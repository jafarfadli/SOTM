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afarfadli/Koding/SOTM/template/"/>
    </mc:Choice>
  </mc:AlternateContent>
  <xr:revisionPtr revIDLastSave="0" documentId="13_ncr:1_{1F24C883-2598-2846-9CDF-320B03C29B75}" xr6:coauthVersionLast="47" xr6:coauthVersionMax="47" xr10:uidLastSave="{00000000-0000-0000-0000-000000000000}"/>
  <bookViews>
    <workbookView xWindow="0" yWindow="600" windowWidth="28800" windowHeight="15680" xr2:uid="{330FF421-C845-234C-B98E-D031243B06AB}"/>
  </bookViews>
  <sheets>
    <sheet name="SUMMARY" sheetId="1" r:id="rId1"/>
    <sheet name="CPL-PI" sheetId="2" r:id="rId2"/>
    <sheet name="NILAI CPL" sheetId="12" r:id="rId3"/>
    <sheet name="NILAI" sheetId="3" r:id="rId4"/>
    <sheet name="TUGAS 1" sheetId="4" r:id="rId5"/>
    <sheet name="TUGAS 2" sheetId="14" r:id="rId6"/>
    <sheet name="TUBES" sheetId="16" r:id="rId7"/>
    <sheet name="UJIAN 1" sheetId="13" r:id="rId8"/>
    <sheet name="UJIAN 2" sheetId="15" r:id="rId9"/>
  </sheets>
  <functionGroups builtInGroupCount="19"/>
  <definedNames>
    <definedName name="_xleta.IF" hidden="1" xlm="1">#NAME?</definedName>
    <definedName name="_xleta.N" hidden="1" xlm="1">#NAME?</definedName>
    <definedName name="_xleta.SUM" hidden="1" xlm="1">#NAME?</definedName>
    <definedName name="_xlpm.sheet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" i="3" l="1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Q9" i="3"/>
  <c r="Q8" i="3"/>
  <c r="C15" i="4"/>
  <c r="B15" i="4"/>
  <c r="C14" i="4"/>
  <c r="B14" i="4"/>
  <c r="C13" i="4"/>
  <c r="B13" i="4"/>
  <c r="Q13" i="4" s="1"/>
  <c r="C12" i="4"/>
  <c r="B12" i="4"/>
  <c r="C11" i="4"/>
  <c r="B11" i="4"/>
  <c r="C15" i="14"/>
  <c r="B15" i="14"/>
  <c r="C14" i="14"/>
  <c r="B14" i="14"/>
  <c r="Q14" i="14" s="1"/>
  <c r="C13" i="14"/>
  <c r="B13" i="14"/>
  <c r="Q13" i="14" s="1"/>
  <c r="C12" i="14"/>
  <c r="B12" i="14"/>
  <c r="C11" i="14"/>
  <c r="B11" i="14"/>
  <c r="Q11" i="14" s="1"/>
  <c r="C15" i="16"/>
  <c r="B15" i="16"/>
  <c r="Q15" i="16" s="1"/>
  <c r="C14" i="16"/>
  <c r="B14" i="16"/>
  <c r="AH14" i="16" s="1"/>
  <c r="C13" i="16"/>
  <c r="B13" i="16"/>
  <c r="Q13" i="16" s="1"/>
  <c r="C12" i="16"/>
  <c r="B12" i="16"/>
  <c r="Q12" i="16" s="1"/>
  <c r="C11" i="16"/>
  <c r="B11" i="16"/>
  <c r="Q11" i="16" s="1"/>
  <c r="C12" i="3"/>
  <c r="Q16" i="15"/>
  <c r="Q17" i="15"/>
  <c r="Q18" i="15"/>
  <c r="Q19" i="15"/>
  <c r="Q20" i="15"/>
  <c r="Q21" i="15"/>
  <c r="Q22" i="15"/>
  <c r="Q23" i="15"/>
  <c r="Q24" i="15"/>
  <c r="Q25" i="15"/>
  <c r="Q26" i="15"/>
  <c r="Q27" i="15"/>
  <c r="Q28" i="15"/>
  <c r="Q29" i="15"/>
  <c r="Q30" i="15"/>
  <c r="Q31" i="15"/>
  <c r="Q32" i="15"/>
  <c r="Q33" i="15"/>
  <c r="Q34" i="15"/>
  <c r="Q35" i="15"/>
  <c r="Q36" i="15"/>
  <c r="Q37" i="15"/>
  <c r="Q38" i="15"/>
  <c r="Q39" i="15"/>
  <c r="Q40" i="15"/>
  <c r="Q41" i="15"/>
  <c r="Q42" i="15"/>
  <c r="Q43" i="15"/>
  <c r="Q44" i="15"/>
  <c r="Q45" i="15"/>
  <c r="Q46" i="15"/>
  <c r="Q47" i="15"/>
  <c r="Q48" i="15"/>
  <c r="Q49" i="15"/>
  <c r="Q50" i="15"/>
  <c r="Q51" i="15"/>
  <c r="Q52" i="15"/>
  <c r="Q53" i="15"/>
  <c r="Q54" i="15"/>
  <c r="Q55" i="15"/>
  <c r="Q56" i="15"/>
  <c r="Q57" i="15"/>
  <c r="Q58" i="15"/>
  <c r="Q59" i="15"/>
  <c r="Q60" i="15"/>
  <c r="Q61" i="15"/>
  <c r="Q62" i="15"/>
  <c r="Q63" i="15"/>
  <c r="Q64" i="15"/>
  <c r="Q65" i="15"/>
  <c r="Q66" i="15"/>
  <c r="Q67" i="15"/>
  <c r="Q68" i="15"/>
  <c r="Q69" i="15"/>
  <c r="Q70" i="15"/>
  <c r="Q71" i="15"/>
  <c r="Q72" i="15"/>
  <c r="Q73" i="15"/>
  <c r="Q74" i="15"/>
  <c r="Q75" i="15"/>
  <c r="Q76" i="15"/>
  <c r="Q77" i="15"/>
  <c r="Q78" i="15"/>
  <c r="Q79" i="15"/>
  <c r="Q80" i="15"/>
  <c r="Q81" i="15"/>
  <c r="Q82" i="15"/>
  <c r="Q83" i="15"/>
  <c r="Q84" i="15"/>
  <c r="Q85" i="15"/>
  <c r="Q86" i="15"/>
  <c r="Q87" i="15"/>
  <c r="Q88" i="15"/>
  <c r="Q89" i="15"/>
  <c r="Q90" i="15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Q57" i="13"/>
  <c r="Q58" i="13"/>
  <c r="Q59" i="13"/>
  <c r="Q60" i="13"/>
  <c r="Q61" i="13"/>
  <c r="Q62" i="13"/>
  <c r="Q63" i="13"/>
  <c r="Q64" i="13"/>
  <c r="Q65" i="13"/>
  <c r="Q66" i="13"/>
  <c r="Q67" i="13"/>
  <c r="Q68" i="13"/>
  <c r="Q69" i="13"/>
  <c r="Q70" i="13"/>
  <c r="Q71" i="13"/>
  <c r="Q72" i="13"/>
  <c r="Q73" i="13"/>
  <c r="Q74" i="13"/>
  <c r="Q75" i="13"/>
  <c r="Q76" i="13"/>
  <c r="Q77" i="13"/>
  <c r="Q78" i="13"/>
  <c r="Q79" i="13"/>
  <c r="Q80" i="13"/>
  <c r="Q81" i="13"/>
  <c r="Q82" i="13"/>
  <c r="Q83" i="13"/>
  <c r="Q84" i="13"/>
  <c r="Q85" i="13"/>
  <c r="Q86" i="13"/>
  <c r="Q87" i="13"/>
  <c r="Q88" i="13"/>
  <c r="Q89" i="13"/>
  <c r="Q90" i="13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Q56" i="16"/>
  <c r="Q57" i="16"/>
  <c r="Q58" i="16"/>
  <c r="Q59" i="16"/>
  <c r="Q60" i="16"/>
  <c r="Q61" i="16"/>
  <c r="Q62" i="16"/>
  <c r="Q63" i="16"/>
  <c r="Q64" i="16"/>
  <c r="Q65" i="16"/>
  <c r="Q66" i="16"/>
  <c r="Q67" i="16"/>
  <c r="Q68" i="16"/>
  <c r="Q69" i="16"/>
  <c r="Q70" i="16"/>
  <c r="Q71" i="16"/>
  <c r="Q72" i="16"/>
  <c r="Q73" i="16"/>
  <c r="Q74" i="16"/>
  <c r="Q75" i="16"/>
  <c r="Q76" i="16"/>
  <c r="Q77" i="16"/>
  <c r="Q78" i="16"/>
  <c r="Q79" i="16"/>
  <c r="Q80" i="16"/>
  <c r="Q81" i="16"/>
  <c r="Q82" i="16"/>
  <c r="Q83" i="16"/>
  <c r="Q84" i="16"/>
  <c r="Q85" i="16"/>
  <c r="Q86" i="16"/>
  <c r="Q87" i="16"/>
  <c r="Q88" i="16"/>
  <c r="Q89" i="16"/>
  <c r="Q90" i="16"/>
  <c r="Q16" i="14"/>
  <c r="Q15" i="14"/>
  <c r="Q12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61" i="14"/>
  <c r="Q62" i="14"/>
  <c r="Q63" i="14"/>
  <c r="Q64" i="14"/>
  <c r="Q65" i="14"/>
  <c r="Q66" i="14"/>
  <c r="Q67" i="14"/>
  <c r="Q68" i="14"/>
  <c r="Q69" i="14"/>
  <c r="Q70" i="14"/>
  <c r="Q71" i="14"/>
  <c r="Q72" i="14"/>
  <c r="Q73" i="14"/>
  <c r="Q74" i="14"/>
  <c r="Q75" i="14"/>
  <c r="Q76" i="14"/>
  <c r="Q77" i="14"/>
  <c r="Q78" i="14"/>
  <c r="Q79" i="14"/>
  <c r="Q80" i="14"/>
  <c r="Q81" i="14"/>
  <c r="Q82" i="14"/>
  <c r="Q83" i="14"/>
  <c r="Q84" i="14"/>
  <c r="Q85" i="14"/>
  <c r="Q86" i="14"/>
  <c r="Q87" i="14"/>
  <c r="Q88" i="14"/>
  <c r="Q89" i="14"/>
  <c r="Q90" i="14"/>
  <c r="Q11" i="4"/>
  <c r="Q14" i="4"/>
  <c r="Q12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B15" i="12"/>
  <c r="C90" i="16"/>
  <c r="B90" i="16"/>
  <c r="AN90" i="16" s="1"/>
  <c r="C89" i="16"/>
  <c r="B89" i="16"/>
  <c r="AG89" i="16" s="1"/>
  <c r="C88" i="16"/>
  <c r="B88" i="16"/>
  <c r="C87" i="16"/>
  <c r="B87" i="16"/>
  <c r="AE87" i="16" s="1"/>
  <c r="C86" i="16"/>
  <c r="B86" i="16"/>
  <c r="W86" i="16" s="1"/>
  <c r="C85" i="16"/>
  <c r="B85" i="16"/>
  <c r="AE85" i="16" s="1"/>
  <c r="C84" i="16"/>
  <c r="B84" i="16"/>
  <c r="AB84" i="16" s="1"/>
  <c r="C83" i="16"/>
  <c r="B83" i="16"/>
  <c r="C82" i="16"/>
  <c r="B82" i="16"/>
  <c r="AH82" i="16" s="1"/>
  <c r="C81" i="16"/>
  <c r="B81" i="16"/>
  <c r="C80" i="16"/>
  <c r="B80" i="16"/>
  <c r="AD80" i="16" s="1"/>
  <c r="C79" i="16"/>
  <c r="B79" i="16"/>
  <c r="AM79" i="16" s="1"/>
  <c r="C78" i="16"/>
  <c r="B78" i="16"/>
  <c r="AC78" i="16" s="1"/>
  <c r="C77" i="16"/>
  <c r="B77" i="16"/>
  <c r="Y77" i="16" s="1"/>
  <c r="C76" i="16"/>
  <c r="B76" i="16"/>
  <c r="C75" i="16"/>
  <c r="B75" i="16"/>
  <c r="U75" i="16" s="1"/>
  <c r="C74" i="16"/>
  <c r="B74" i="16"/>
  <c r="C73" i="16"/>
  <c r="B73" i="16"/>
  <c r="AI73" i="16" s="1"/>
  <c r="C72" i="16"/>
  <c r="B72" i="16"/>
  <c r="AA72" i="16" s="1"/>
  <c r="C71" i="16"/>
  <c r="B71" i="16"/>
  <c r="C70" i="16"/>
  <c r="B70" i="16"/>
  <c r="AN70" i="16" s="1"/>
  <c r="C69" i="16"/>
  <c r="B69" i="16"/>
  <c r="X69" i="16" s="1"/>
  <c r="C68" i="16"/>
  <c r="B68" i="16"/>
  <c r="C67" i="16"/>
  <c r="B67" i="16"/>
  <c r="AK67" i="16" s="1"/>
  <c r="C66" i="16"/>
  <c r="B66" i="16"/>
  <c r="AM66" i="16" s="1"/>
  <c r="C65" i="16"/>
  <c r="B65" i="16"/>
  <c r="C64" i="16"/>
  <c r="B64" i="16"/>
  <c r="Y64" i="16" s="1"/>
  <c r="C63" i="16"/>
  <c r="B63" i="16"/>
  <c r="C62" i="16"/>
  <c r="B62" i="16"/>
  <c r="AN62" i="16" s="1"/>
  <c r="C61" i="16"/>
  <c r="B61" i="16"/>
  <c r="AH61" i="16" s="1"/>
  <c r="V60" i="16"/>
  <c r="U60" i="16"/>
  <c r="C60" i="16"/>
  <c r="B60" i="16"/>
  <c r="AG60" i="16" s="1"/>
  <c r="C59" i="16"/>
  <c r="B59" i="16"/>
  <c r="C58" i="16"/>
  <c r="B58" i="16"/>
  <c r="AC58" i="16" s="1"/>
  <c r="C57" i="16"/>
  <c r="B57" i="16"/>
  <c r="C56" i="16"/>
  <c r="B56" i="16"/>
  <c r="AL56" i="16" s="1"/>
  <c r="C55" i="16"/>
  <c r="B55" i="16"/>
  <c r="X55" i="16" s="1"/>
  <c r="C54" i="16"/>
  <c r="B54" i="16"/>
  <c r="AN54" i="16" s="1"/>
  <c r="C53" i="16"/>
  <c r="B53" i="16"/>
  <c r="C52" i="16"/>
  <c r="B52" i="16"/>
  <c r="AJ52" i="16" s="1"/>
  <c r="C51" i="16"/>
  <c r="B51" i="16"/>
  <c r="C50" i="16"/>
  <c r="B50" i="16"/>
  <c r="C49" i="16"/>
  <c r="B49" i="16"/>
  <c r="Y49" i="16" s="1"/>
  <c r="C48" i="16"/>
  <c r="B48" i="16"/>
  <c r="C47" i="16"/>
  <c r="B47" i="16"/>
  <c r="AC47" i="16" s="1"/>
  <c r="C46" i="16"/>
  <c r="B46" i="16"/>
  <c r="AK46" i="16" s="1"/>
  <c r="C45" i="16"/>
  <c r="B45" i="16"/>
  <c r="AN45" i="16" s="1"/>
  <c r="C44" i="16"/>
  <c r="B44" i="16"/>
  <c r="C43" i="16"/>
  <c r="B43" i="16"/>
  <c r="AC43" i="16" s="1"/>
  <c r="C42" i="16"/>
  <c r="B42" i="16"/>
  <c r="AM42" i="16" s="1"/>
  <c r="C41" i="16"/>
  <c r="B41" i="16"/>
  <c r="AK41" i="16" s="1"/>
  <c r="C40" i="16"/>
  <c r="B40" i="16"/>
  <c r="C39" i="16"/>
  <c r="B39" i="16"/>
  <c r="AF39" i="16" s="1"/>
  <c r="C38" i="16"/>
  <c r="B38" i="16"/>
  <c r="AD38" i="16" s="1"/>
  <c r="C37" i="16"/>
  <c r="B37" i="16"/>
  <c r="AJ37" i="16" s="1"/>
  <c r="C36" i="16"/>
  <c r="B36" i="16"/>
  <c r="AH36" i="16" s="1"/>
  <c r="C35" i="16"/>
  <c r="B35" i="16"/>
  <c r="C34" i="16"/>
  <c r="B34" i="16"/>
  <c r="AM34" i="16" s="1"/>
  <c r="C33" i="16"/>
  <c r="B33" i="16"/>
  <c r="C32" i="16"/>
  <c r="B32" i="16"/>
  <c r="AA32" i="16" s="1"/>
  <c r="C31" i="16"/>
  <c r="B31" i="16"/>
  <c r="C30" i="16"/>
  <c r="B30" i="16"/>
  <c r="S30" i="16" s="1"/>
  <c r="C29" i="16"/>
  <c r="B29" i="16"/>
  <c r="Z29" i="16" s="1"/>
  <c r="C28" i="16"/>
  <c r="B28" i="16"/>
  <c r="AN28" i="16" s="1"/>
  <c r="C27" i="16"/>
  <c r="B27" i="16"/>
  <c r="AG27" i="16" s="1"/>
  <c r="C26" i="16"/>
  <c r="B26" i="16"/>
  <c r="C25" i="16"/>
  <c r="B25" i="16"/>
  <c r="AC25" i="16" s="1"/>
  <c r="C24" i="16"/>
  <c r="B24" i="16"/>
  <c r="C23" i="16"/>
  <c r="B23" i="16"/>
  <c r="C22" i="16"/>
  <c r="B22" i="16"/>
  <c r="C21" i="16"/>
  <c r="B21" i="16"/>
  <c r="C20" i="16"/>
  <c r="B20" i="16"/>
  <c r="AN20" i="16" s="1"/>
  <c r="C19" i="16"/>
  <c r="B19" i="16"/>
  <c r="AE19" i="16" s="1"/>
  <c r="C18" i="16"/>
  <c r="B18" i="16"/>
  <c r="AI18" i="16" s="1"/>
  <c r="C17" i="16"/>
  <c r="B17" i="16"/>
  <c r="C16" i="16"/>
  <c r="B16" i="16"/>
  <c r="AF16" i="16" s="1"/>
  <c r="AN15" i="16"/>
  <c r="P9" i="16"/>
  <c r="O9" i="16"/>
  <c r="N9" i="16"/>
  <c r="M9" i="16"/>
  <c r="L9" i="16"/>
  <c r="K9" i="16"/>
  <c r="J9" i="16"/>
  <c r="I9" i="16"/>
  <c r="H9" i="16"/>
  <c r="G9" i="16"/>
  <c r="F9" i="16"/>
  <c r="E9" i="16"/>
  <c r="P8" i="16"/>
  <c r="O8" i="16"/>
  <c r="N8" i="16"/>
  <c r="M8" i="16"/>
  <c r="L8" i="16"/>
  <c r="K8" i="16"/>
  <c r="J8" i="16"/>
  <c r="I8" i="16"/>
  <c r="H8" i="16"/>
  <c r="G8" i="16"/>
  <c r="F8" i="16"/>
  <c r="E8" i="16"/>
  <c r="C90" i="15"/>
  <c r="B90" i="15"/>
  <c r="AN90" i="15" s="1"/>
  <c r="C89" i="15"/>
  <c r="B89" i="15"/>
  <c r="C88" i="15"/>
  <c r="B88" i="15"/>
  <c r="C87" i="15"/>
  <c r="B87" i="15"/>
  <c r="C86" i="15"/>
  <c r="B86" i="15"/>
  <c r="C85" i="15"/>
  <c r="B85" i="15"/>
  <c r="AN85" i="15" s="1"/>
  <c r="C84" i="15"/>
  <c r="B84" i="15"/>
  <c r="AL84" i="15" s="1"/>
  <c r="C83" i="15"/>
  <c r="B83" i="15"/>
  <c r="S83" i="15" s="1"/>
  <c r="C82" i="15"/>
  <c r="B82" i="15"/>
  <c r="C81" i="15"/>
  <c r="B81" i="15"/>
  <c r="U81" i="15" s="1"/>
  <c r="C80" i="15"/>
  <c r="B80" i="15"/>
  <c r="AH80" i="15" s="1"/>
  <c r="C79" i="15"/>
  <c r="B79" i="15"/>
  <c r="AJ79" i="15" s="1"/>
  <c r="C78" i="15"/>
  <c r="B78" i="15"/>
  <c r="AK78" i="15" s="1"/>
  <c r="C77" i="15"/>
  <c r="B77" i="15"/>
  <c r="AN77" i="15" s="1"/>
  <c r="C76" i="15"/>
  <c r="B76" i="15"/>
  <c r="S76" i="15" s="1"/>
  <c r="C75" i="15"/>
  <c r="B75" i="15"/>
  <c r="C74" i="15"/>
  <c r="B74" i="15"/>
  <c r="C73" i="15"/>
  <c r="B73" i="15"/>
  <c r="AN73" i="15" s="1"/>
  <c r="C72" i="15"/>
  <c r="B72" i="15"/>
  <c r="AL72" i="15" s="1"/>
  <c r="C71" i="15"/>
  <c r="B71" i="15"/>
  <c r="AG71" i="15" s="1"/>
  <c r="C70" i="15"/>
  <c r="B70" i="15"/>
  <c r="AJ70" i="15" s="1"/>
  <c r="C69" i="15"/>
  <c r="B69" i="15"/>
  <c r="C68" i="15"/>
  <c r="B68" i="15"/>
  <c r="AJ68" i="15" s="1"/>
  <c r="C67" i="15"/>
  <c r="B67" i="15"/>
  <c r="C66" i="15"/>
  <c r="B66" i="15"/>
  <c r="C65" i="15"/>
  <c r="B65" i="15"/>
  <c r="Y65" i="15" s="1"/>
  <c r="C64" i="15"/>
  <c r="B64" i="15"/>
  <c r="AL64" i="15" s="1"/>
  <c r="C63" i="15"/>
  <c r="B63" i="15"/>
  <c r="T63" i="15" s="1"/>
  <c r="C62" i="15"/>
  <c r="B62" i="15"/>
  <c r="Z62" i="15" s="1"/>
  <c r="C61" i="15"/>
  <c r="B61" i="15"/>
  <c r="V61" i="15" s="1"/>
  <c r="C60" i="15"/>
  <c r="B60" i="15"/>
  <c r="T60" i="15" s="1"/>
  <c r="C59" i="15"/>
  <c r="B59" i="15"/>
  <c r="W59" i="15" s="1"/>
  <c r="C58" i="15"/>
  <c r="B58" i="15"/>
  <c r="AM58" i="15" s="1"/>
  <c r="C57" i="15"/>
  <c r="B57" i="15"/>
  <c r="AK57" i="15" s="1"/>
  <c r="C56" i="15"/>
  <c r="B56" i="15"/>
  <c r="AE56" i="15" s="1"/>
  <c r="C55" i="15"/>
  <c r="B55" i="15"/>
  <c r="W55" i="15" s="1"/>
  <c r="C54" i="15"/>
  <c r="B54" i="15"/>
  <c r="C53" i="15"/>
  <c r="B53" i="15"/>
  <c r="W53" i="15" s="1"/>
  <c r="C52" i="15"/>
  <c r="B52" i="15"/>
  <c r="AG52" i="15" s="1"/>
  <c r="C51" i="15"/>
  <c r="B51" i="15"/>
  <c r="AH51" i="15" s="1"/>
  <c r="C50" i="15"/>
  <c r="B50" i="15"/>
  <c r="AC50" i="15" s="1"/>
  <c r="C49" i="15"/>
  <c r="B49" i="15"/>
  <c r="AC49" i="15" s="1"/>
  <c r="C48" i="15"/>
  <c r="B48" i="15"/>
  <c r="AC48" i="15" s="1"/>
  <c r="C47" i="15"/>
  <c r="B47" i="15"/>
  <c r="AF47" i="15" s="1"/>
  <c r="C46" i="15"/>
  <c r="B46" i="15"/>
  <c r="C45" i="15"/>
  <c r="B45" i="15"/>
  <c r="C44" i="15"/>
  <c r="B44" i="15"/>
  <c r="C43" i="15"/>
  <c r="B43" i="15"/>
  <c r="AL43" i="15" s="1"/>
  <c r="C42" i="15"/>
  <c r="B42" i="15"/>
  <c r="X42" i="15" s="1"/>
  <c r="C41" i="15"/>
  <c r="B41" i="15"/>
  <c r="AG41" i="15" s="1"/>
  <c r="C40" i="15"/>
  <c r="B40" i="15"/>
  <c r="Y40" i="15" s="1"/>
  <c r="C39" i="15"/>
  <c r="B39" i="15"/>
  <c r="C38" i="15"/>
  <c r="B38" i="15"/>
  <c r="AJ38" i="15" s="1"/>
  <c r="C37" i="15"/>
  <c r="B37" i="15"/>
  <c r="AB37" i="15" s="1"/>
  <c r="C36" i="15"/>
  <c r="B36" i="15"/>
  <c r="C35" i="15"/>
  <c r="B35" i="15"/>
  <c r="AJ35" i="15" s="1"/>
  <c r="C34" i="15"/>
  <c r="B34" i="15"/>
  <c r="V34" i="15" s="1"/>
  <c r="C33" i="15"/>
  <c r="B33" i="15"/>
  <c r="V33" i="15" s="1"/>
  <c r="C32" i="15"/>
  <c r="B32" i="15"/>
  <c r="AH32" i="15" s="1"/>
  <c r="C31" i="15"/>
  <c r="B31" i="15"/>
  <c r="C30" i="15"/>
  <c r="B30" i="15"/>
  <c r="U30" i="15" s="1"/>
  <c r="C29" i="15"/>
  <c r="B29" i="15"/>
  <c r="AC29" i="15" s="1"/>
  <c r="C28" i="15"/>
  <c r="B28" i="15"/>
  <c r="T28" i="15" s="1"/>
  <c r="C27" i="15"/>
  <c r="B27" i="15"/>
  <c r="AF27" i="15" s="1"/>
  <c r="C26" i="15"/>
  <c r="B26" i="15"/>
  <c r="AM26" i="15" s="1"/>
  <c r="C25" i="15"/>
  <c r="B25" i="15"/>
  <c r="W25" i="15" s="1"/>
  <c r="C24" i="15"/>
  <c r="B24" i="15"/>
  <c r="AJ24" i="15" s="1"/>
  <c r="C23" i="15"/>
  <c r="B23" i="15"/>
  <c r="C22" i="15"/>
  <c r="B22" i="15"/>
  <c r="AM22" i="15" s="1"/>
  <c r="C21" i="15"/>
  <c r="B21" i="15"/>
  <c r="AK21" i="15" s="1"/>
  <c r="C20" i="15"/>
  <c r="B20" i="15"/>
  <c r="C19" i="15"/>
  <c r="B19" i="15"/>
  <c r="Y19" i="15" s="1"/>
  <c r="C18" i="15"/>
  <c r="B18" i="15"/>
  <c r="AH18" i="15" s="1"/>
  <c r="C17" i="15"/>
  <c r="B17" i="15"/>
  <c r="C16" i="15"/>
  <c r="B16" i="15"/>
  <c r="AN16" i="15" s="1"/>
  <c r="C15" i="15"/>
  <c r="B15" i="15"/>
  <c r="AI15" i="15" s="1"/>
  <c r="C14" i="15"/>
  <c r="B14" i="15"/>
  <c r="AL14" i="15" s="1"/>
  <c r="C13" i="15"/>
  <c r="B13" i="15"/>
  <c r="AK13" i="15" s="1"/>
  <c r="C12" i="15"/>
  <c r="B12" i="15"/>
  <c r="AL12" i="15" s="1"/>
  <c r="C11" i="15"/>
  <c r="B11" i="15"/>
  <c r="Z11" i="15" s="1"/>
  <c r="P9" i="15"/>
  <c r="O9" i="15"/>
  <c r="N9" i="15"/>
  <c r="M9" i="15"/>
  <c r="L9" i="15"/>
  <c r="K9" i="15"/>
  <c r="J9" i="15"/>
  <c r="I9" i="15"/>
  <c r="H9" i="15"/>
  <c r="G9" i="15"/>
  <c r="F9" i="15"/>
  <c r="E9" i="15"/>
  <c r="P8" i="15"/>
  <c r="O8" i="15"/>
  <c r="N8" i="15"/>
  <c r="M8" i="15"/>
  <c r="L8" i="15"/>
  <c r="K8" i="15"/>
  <c r="J8" i="15"/>
  <c r="I8" i="15"/>
  <c r="H8" i="15"/>
  <c r="G8" i="15"/>
  <c r="F8" i="15"/>
  <c r="E8" i="15"/>
  <c r="C90" i="14"/>
  <c r="B90" i="14"/>
  <c r="AC90" i="14" s="1"/>
  <c r="C89" i="14"/>
  <c r="B89" i="14"/>
  <c r="AK89" i="14" s="1"/>
  <c r="C88" i="14"/>
  <c r="B88" i="14"/>
  <c r="C87" i="14"/>
  <c r="B87" i="14"/>
  <c r="AN87" i="14" s="1"/>
  <c r="C86" i="14"/>
  <c r="B86" i="14"/>
  <c r="AA86" i="14" s="1"/>
  <c r="C85" i="14"/>
  <c r="B85" i="14"/>
  <c r="Z85" i="14" s="1"/>
  <c r="C84" i="14"/>
  <c r="B84" i="14"/>
  <c r="C83" i="14"/>
  <c r="B83" i="14"/>
  <c r="C82" i="14"/>
  <c r="B82" i="14"/>
  <c r="V82" i="14" s="1"/>
  <c r="C81" i="14"/>
  <c r="B81" i="14"/>
  <c r="AL81" i="14" s="1"/>
  <c r="C80" i="14"/>
  <c r="B80" i="14"/>
  <c r="AG80" i="14" s="1"/>
  <c r="C79" i="14"/>
  <c r="B79" i="14"/>
  <c r="AG79" i="14" s="1"/>
  <c r="C78" i="14"/>
  <c r="B78" i="14"/>
  <c r="V78" i="14" s="1"/>
  <c r="C77" i="14"/>
  <c r="B77" i="14"/>
  <c r="AL77" i="14" s="1"/>
  <c r="C76" i="14"/>
  <c r="B76" i="14"/>
  <c r="AK76" i="14" s="1"/>
  <c r="C75" i="14"/>
  <c r="B75" i="14"/>
  <c r="AI75" i="14" s="1"/>
  <c r="C74" i="14"/>
  <c r="B74" i="14"/>
  <c r="AN74" i="14" s="1"/>
  <c r="C73" i="14"/>
  <c r="B73" i="14"/>
  <c r="C72" i="14"/>
  <c r="B72" i="14"/>
  <c r="S72" i="14" s="1"/>
  <c r="C71" i="14"/>
  <c r="B71" i="14"/>
  <c r="C70" i="14"/>
  <c r="B70" i="14"/>
  <c r="AL70" i="14" s="1"/>
  <c r="C69" i="14"/>
  <c r="B69" i="14"/>
  <c r="AJ69" i="14" s="1"/>
  <c r="C68" i="14"/>
  <c r="B68" i="14"/>
  <c r="C67" i="14"/>
  <c r="B67" i="14"/>
  <c r="AA67" i="14" s="1"/>
  <c r="C66" i="14"/>
  <c r="B66" i="14"/>
  <c r="AB66" i="14" s="1"/>
  <c r="C65" i="14"/>
  <c r="B65" i="14"/>
  <c r="AM65" i="14" s="1"/>
  <c r="C64" i="14"/>
  <c r="B64" i="14"/>
  <c r="C63" i="14"/>
  <c r="B63" i="14"/>
  <c r="AF63" i="14" s="1"/>
  <c r="C62" i="14"/>
  <c r="B62" i="14"/>
  <c r="X62" i="14" s="1"/>
  <c r="C61" i="14"/>
  <c r="B61" i="14"/>
  <c r="T61" i="14" s="1"/>
  <c r="C60" i="14"/>
  <c r="B60" i="14"/>
  <c r="C59" i="14"/>
  <c r="B59" i="14"/>
  <c r="AM59" i="14" s="1"/>
  <c r="C58" i="14"/>
  <c r="B58" i="14"/>
  <c r="AH58" i="14" s="1"/>
  <c r="C57" i="14"/>
  <c r="B57" i="14"/>
  <c r="AA57" i="14" s="1"/>
  <c r="C56" i="14"/>
  <c r="B56" i="14"/>
  <c r="C55" i="14"/>
  <c r="B55" i="14"/>
  <c r="AK55" i="14" s="1"/>
  <c r="C54" i="14"/>
  <c r="B54" i="14"/>
  <c r="Z54" i="14" s="1"/>
  <c r="C53" i="14"/>
  <c r="B53" i="14"/>
  <c r="AL53" i="14" s="1"/>
  <c r="C52" i="14"/>
  <c r="B52" i="14"/>
  <c r="AG52" i="14" s="1"/>
  <c r="C51" i="14"/>
  <c r="B51" i="14"/>
  <c r="AD51" i="14" s="1"/>
  <c r="C50" i="14"/>
  <c r="B50" i="14"/>
  <c r="AH50" i="14" s="1"/>
  <c r="C49" i="14"/>
  <c r="B49" i="14"/>
  <c r="AI49" i="14" s="1"/>
  <c r="C48" i="14"/>
  <c r="B48" i="14"/>
  <c r="C47" i="14"/>
  <c r="B47" i="14"/>
  <c r="AL47" i="14" s="1"/>
  <c r="C46" i="14"/>
  <c r="B46" i="14"/>
  <c r="AN46" i="14" s="1"/>
  <c r="C45" i="14"/>
  <c r="B45" i="14"/>
  <c r="U45" i="14" s="1"/>
  <c r="C44" i="14"/>
  <c r="B44" i="14"/>
  <c r="C43" i="14"/>
  <c r="B43" i="14"/>
  <c r="C42" i="14"/>
  <c r="B42" i="14"/>
  <c r="AI42" i="14" s="1"/>
  <c r="C41" i="14"/>
  <c r="B41" i="14"/>
  <c r="AG41" i="14" s="1"/>
  <c r="C40" i="14"/>
  <c r="B40" i="14"/>
  <c r="AB40" i="14" s="1"/>
  <c r="C39" i="14"/>
  <c r="B39" i="14"/>
  <c r="C38" i="14"/>
  <c r="B38" i="14"/>
  <c r="C37" i="14"/>
  <c r="B37" i="14"/>
  <c r="AJ37" i="14" s="1"/>
  <c r="C36" i="14"/>
  <c r="B36" i="14"/>
  <c r="AM36" i="14" s="1"/>
  <c r="C35" i="14"/>
  <c r="B35" i="14"/>
  <c r="X35" i="14" s="1"/>
  <c r="C34" i="14"/>
  <c r="B34" i="14"/>
  <c r="Y34" i="14" s="1"/>
  <c r="C33" i="14"/>
  <c r="B33" i="14"/>
  <c r="AI33" i="14" s="1"/>
  <c r="C32" i="14"/>
  <c r="B32" i="14"/>
  <c r="AH32" i="14" s="1"/>
  <c r="C31" i="14"/>
  <c r="B31" i="14"/>
  <c r="AB31" i="14" s="1"/>
  <c r="C30" i="14"/>
  <c r="B30" i="14"/>
  <c r="AA30" i="14" s="1"/>
  <c r="C29" i="14"/>
  <c r="B29" i="14"/>
  <c r="AL29" i="14" s="1"/>
  <c r="C28" i="14"/>
  <c r="B28" i="14"/>
  <c r="C27" i="14"/>
  <c r="B27" i="14"/>
  <c r="AN27" i="14" s="1"/>
  <c r="C26" i="14"/>
  <c r="B26" i="14"/>
  <c r="C25" i="14"/>
  <c r="B25" i="14"/>
  <c r="T25" i="14" s="1"/>
  <c r="C24" i="14"/>
  <c r="B24" i="14"/>
  <c r="C23" i="14"/>
  <c r="B23" i="14"/>
  <c r="AN23" i="14" s="1"/>
  <c r="C22" i="14"/>
  <c r="B22" i="14"/>
  <c r="AH22" i="14" s="1"/>
  <c r="C21" i="14"/>
  <c r="B21" i="14"/>
  <c r="AM21" i="14" s="1"/>
  <c r="C20" i="14"/>
  <c r="B20" i="14"/>
  <c r="V20" i="14" s="1"/>
  <c r="C19" i="14"/>
  <c r="B19" i="14"/>
  <c r="AG19" i="14" s="1"/>
  <c r="C18" i="14"/>
  <c r="B18" i="14"/>
  <c r="AD18" i="14" s="1"/>
  <c r="C17" i="14"/>
  <c r="B17" i="14"/>
  <c r="AJ17" i="14" s="1"/>
  <c r="C16" i="14"/>
  <c r="B16" i="14"/>
  <c r="AF16" i="14" s="1"/>
  <c r="AG15" i="14"/>
  <c r="AK14" i="14"/>
  <c r="Z13" i="14"/>
  <c r="AM12" i="14"/>
  <c r="P9" i="14"/>
  <c r="O9" i="14"/>
  <c r="N9" i="14"/>
  <c r="M9" i="14"/>
  <c r="L9" i="14"/>
  <c r="K9" i="14"/>
  <c r="J9" i="14"/>
  <c r="I9" i="14"/>
  <c r="H9" i="14"/>
  <c r="G9" i="14"/>
  <c r="F9" i="14"/>
  <c r="E9" i="14"/>
  <c r="P8" i="14"/>
  <c r="O8" i="14"/>
  <c r="N8" i="14"/>
  <c r="M8" i="14"/>
  <c r="L8" i="14"/>
  <c r="K8" i="14"/>
  <c r="J8" i="14"/>
  <c r="I8" i="14"/>
  <c r="H8" i="14"/>
  <c r="G8" i="14"/>
  <c r="F8" i="14"/>
  <c r="E8" i="14"/>
  <c r="B1" i="15" a="1"/>
  <c r="B1" i="14" a="1"/>
  <c r="E2" i="12" a="1"/>
  <c r="B1" i="16" a="1"/>
  <c r="AM11" i="16" l="1"/>
  <c r="AN11" i="14"/>
  <c r="Q12" i="15"/>
  <c r="Q11" i="15"/>
  <c r="Q15" i="15"/>
  <c r="Q14" i="15"/>
  <c r="Q13" i="15"/>
  <c r="Q14" i="16"/>
  <c r="AA50" i="15"/>
  <c r="T17" i="16"/>
  <c r="U17" i="16"/>
  <c r="AK38" i="14"/>
  <c r="AJ38" i="14"/>
  <c r="BD15" i="14" a="1"/>
  <c r="BD15" i="14" s="1"/>
  <c r="BK15" i="16" a="1"/>
  <c r="BK15" i="16" s="1"/>
  <c r="BF15" i="15" a="1"/>
  <c r="BF15" i="15" s="1"/>
  <c r="AE42" i="15"/>
  <c r="Y82" i="16"/>
  <c r="AN40" i="14"/>
  <c r="AC41" i="16"/>
  <c r="AN79" i="15"/>
  <c r="T38" i="16"/>
  <c r="AE14" i="14"/>
  <c r="AD72" i="14"/>
  <c r="AK72" i="15"/>
  <c r="AC77" i="15"/>
  <c r="W60" i="16"/>
  <c r="AD77" i="15"/>
  <c r="AN42" i="16"/>
  <c r="AC60" i="16"/>
  <c r="AB55" i="14"/>
  <c r="AI74" i="14"/>
  <c r="Z81" i="14"/>
  <c r="Z59" i="15"/>
  <c r="S20" i="16"/>
  <c r="AM60" i="16"/>
  <c r="AM42" i="15"/>
  <c r="Z82" i="16"/>
  <c r="AA38" i="14"/>
  <c r="U57" i="15"/>
  <c r="Y83" i="15"/>
  <c r="W14" i="16"/>
  <c r="AB58" i="16"/>
  <c r="U62" i="16"/>
  <c r="AG77" i="16"/>
  <c r="AF80" i="16"/>
  <c r="AI82" i="16"/>
  <c r="W57" i="15"/>
  <c r="AK58" i="16"/>
  <c r="W62" i="16"/>
  <c r="AL77" i="16"/>
  <c r="AL38" i="14"/>
  <c r="AA57" i="15"/>
  <c r="AL58" i="16"/>
  <c r="S90" i="14"/>
  <c r="S44" i="15"/>
  <c r="AM57" i="15"/>
  <c r="AB72" i="15"/>
  <c r="AI38" i="16"/>
  <c r="AH41" i="16"/>
  <c r="AB57" i="15"/>
  <c r="AD21" i="14"/>
  <c r="AI66" i="14"/>
  <c r="AD42" i="15"/>
  <c r="AI72" i="15"/>
  <c r="AH85" i="15"/>
  <c r="V82" i="16"/>
  <c r="AG84" i="16"/>
  <c r="Y30" i="15"/>
  <c r="S37" i="15"/>
  <c r="T49" i="15"/>
  <c r="AF43" i="16"/>
  <c r="AA46" i="16"/>
  <c r="AA69" i="16"/>
  <c r="AG74" i="14"/>
  <c r="Y85" i="15"/>
  <c r="AN11" i="16"/>
  <c r="AF42" i="16"/>
  <c r="U49" i="15"/>
  <c r="Z36" i="16"/>
  <c r="AD49" i="16"/>
  <c r="Y19" i="14"/>
  <c r="W30" i="14"/>
  <c r="AN33" i="14"/>
  <c r="X42" i="14"/>
  <c r="AJ67" i="14"/>
  <c r="U89" i="14"/>
  <c r="AH11" i="15"/>
  <c r="AE18" i="15"/>
  <c r="AE21" i="15"/>
  <c r="S24" i="15"/>
  <c r="AD49" i="15"/>
  <c r="S64" i="15"/>
  <c r="U73" i="15"/>
  <c r="X30" i="16"/>
  <c r="V42" i="16"/>
  <c r="AG43" i="16"/>
  <c r="AN56" i="16"/>
  <c r="AJ66" i="16"/>
  <c r="AE72" i="16"/>
  <c r="AM52" i="16"/>
  <c r="V72" i="16"/>
  <c r="W42" i="14"/>
  <c r="W34" i="15"/>
  <c r="Z37" i="15"/>
  <c r="AM56" i="16"/>
  <c r="AB66" i="16"/>
  <c r="W72" i="16"/>
  <c r="AJ30" i="14"/>
  <c r="Y42" i="14"/>
  <c r="U65" i="14"/>
  <c r="AN67" i="14"/>
  <c r="U74" i="14"/>
  <c r="AH76" i="14"/>
  <c r="W89" i="14"/>
  <c r="V15" i="15"/>
  <c r="AS15" i="15" s="1" a="1"/>
  <c r="AS15" i="15" s="1"/>
  <c r="AB28" i="15"/>
  <c r="AE49" i="15"/>
  <c r="AB64" i="15"/>
  <c r="AJ73" i="15"/>
  <c r="T76" i="15"/>
  <c r="S85" i="15"/>
  <c r="AC11" i="16"/>
  <c r="W42" i="16"/>
  <c r="AJ72" i="16"/>
  <c r="Z15" i="14"/>
  <c r="AW15" i="14" s="1" a="1"/>
  <c r="AW15" i="14" s="1"/>
  <c r="AF65" i="14"/>
  <c r="AB74" i="14"/>
  <c r="AI76" i="14"/>
  <c r="Y42" i="15"/>
  <c r="AJ49" i="15"/>
  <c r="AM64" i="15"/>
  <c r="AL73" i="15"/>
  <c r="V76" i="15"/>
  <c r="V85" i="15"/>
  <c r="T14" i="16"/>
  <c r="T34" i="16"/>
  <c r="X42" i="16"/>
  <c r="AN72" i="16"/>
  <c r="S82" i="16"/>
  <c r="AI24" i="15"/>
  <c r="AG68" i="15"/>
  <c r="AJ15" i="14"/>
  <c r="BG15" i="14" s="1" a="1"/>
  <c r="BG15" i="14" s="1"/>
  <c r="AJ21" i="14"/>
  <c r="Z30" i="14"/>
  <c r="AB38" i="14"/>
  <c r="T40" i="14"/>
  <c r="V42" i="14"/>
  <c r="Y62" i="14"/>
  <c r="S65" i="14"/>
  <c r="AE69" i="14"/>
  <c r="V74" i="14"/>
  <c r="AM78" i="14"/>
  <c r="AN24" i="15"/>
  <c r="V73" i="15"/>
  <c r="U85" i="15"/>
  <c r="AC66" i="16"/>
  <c r="U22" i="14"/>
  <c r="AM38" i="14"/>
  <c r="AG63" i="14"/>
  <c r="AD70" i="14"/>
  <c r="T90" i="14"/>
  <c r="T35" i="15"/>
  <c r="AB48" i="15"/>
  <c r="AL76" i="15"/>
  <c r="S84" i="15"/>
  <c r="Y22" i="14"/>
  <c r="AN34" i="14"/>
  <c r="Y41" i="14"/>
  <c r="AG42" i="14"/>
  <c r="AC53" i="14"/>
  <c r="AE70" i="14"/>
  <c r="AM74" i="14"/>
  <c r="Z89" i="14"/>
  <c r="AA90" i="14"/>
  <c r="AB24" i="15"/>
  <c r="U35" i="15"/>
  <c r="AA37" i="15"/>
  <c r="AD56" i="15"/>
  <c r="AI57" i="15"/>
  <c r="S68" i="15"/>
  <c r="AB84" i="15"/>
  <c r="AK20" i="16"/>
  <c r="AC34" i="16"/>
  <c r="AJ47" i="16"/>
  <c r="AG62" i="16"/>
  <c r="AF78" i="16"/>
  <c r="AA20" i="16"/>
  <c r="AJ38" i="16"/>
  <c r="AA47" i="16"/>
  <c r="Y78" i="16"/>
  <c r="AG12" i="14"/>
  <c r="U15" i="14"/>
  <c r="AR15" i="14" s="1" a="1"/>
  <c r="AR15" i="14" s="1"/>
  <c r="AD22" i="14"/>
  <c r="T38" i="14"/>
  <c r="AH41" i="14"/>
  <c r="AA66" i="14"/>
  <c r="AA89" i="14"/>
  <c r="AD90" i="14"/>
  <c r="AE13" i="15"/>
  <c r="AH19" i="15"/>
  <c r="AC24" i="15"/>
  <c r="X26" i="15"/>
  <c r="V35" i="15"/>
  <c r="AC37" i="15"/>
  <c r="X53" i="15"/>
  <c r="V60" i="15"/>
  <c r="S63" i="15"/>
  <c r="X68" i="15"/>
  <c r="S73" i="15"/>
  <c r="AG79" i="15"/>
  <c r="AN34" i="16"/>
  <c r="Z37" i="16"/>
  <c r="V66" i="16"/>
  <c r="AN78" i="16"/>
  <c r="AL86" i="16"/>
  <c r="AG49" i="14"/>
  <c r="V24" i="15"/>
  <c r="AE62" i="16"/>
  <c r="Y15" i="14"/>
  <c r="AV15" i="14" s="1" a="1"/>
  <c r="AV15" i="14" s="1"/>
  <c r="U21" i="14"/>
  <c r="T30" i="14"/>
  <c r="AI32" i="14"/>
  <c r="U38" i="14"/>
  <c r="AG66" i="14"/>
  <c r="AI89" i="14"/>
  <c r="AD24" i="15"/>
  <c r="S49" i="15"/>
  <c r="AJ60" i="15"/>
  <c r="AB68" i="15"/>
  <c r="T73" i="15"/>
  <c r="S77" i="15"/>
  <c r="T42" i="16"/>
  <c r="S60" i="16"/>
  <c r="AA66" i="16"/>
  <c r="AI28" i="16"/>
  <c r="AK45" i="16"/>
  <c r="AL90" i="14"/>
  <c r="W13" i="15"/>
  <c r="AE15" i="15"/>
  <c r="BB15" i="15" s="1" a="1"/>
  <c r="BB15" i="15" s="1"/>
  <c r="W21" i="15"/>
  <c r="W24" i="15"/>
  <c r="AL24" i="15"/>
  <c r="W26" i="15"/>
  <c r="AC28" i="15"/>
  <c r="Z30" i="15"/>
  <c r="AI49" i="15"/>
  <c r="AB50" i="15"/>
  <c r="Y53" i="15"/>
  <c r="V57" i="15"/>
  <c r="AI58" i="15"/>
  <c r="AA59" i="15"/>
  <c r="W60" i="15"/>
  <c r="W64" i="15"/>
  <c r="T68" i="15"/>
  <c r="AL68" i="15"/>
  <c r="AK73" i="15"/>
  <c r="W77" i="15"/>
  <c r="AA83" i="15"/>
  <c r="T85" i="15"/>
  <c r="AI20" i="16"/>
  <c r="AJ28" i="16"/>
  <c r="AF30" i="16"/>
  <c r="AF34" i="16"/>
  <c r="AA36" i="16"/>
  <c r="U42" i="16"/>
  <c r="AM45" i="16"/>
  <c r="T60" i="16"/>
  <c r="V62" i="16"/>
  <c r="AI69" i="16"/>
  <c r="T82" i="16"/>
  <c r="AE58" i="15"/>
  <c r="AG14" i="14"/>
  <c r="V21" i="14"/>
  <c r="AJ65" i="14"/>
  <c r="AF69" i="14"/>
  <c r="AH14" i="14"/>
  <c r="AH15" i="14"/>
  <c r="BE15" i="14" s="1" a="1"/>
  <c r="BE15" i="14" s="1"/>
  <c r="AI17" i="14"/>
  <c r="W21" i="14"/>
  <c r="AN21" i="14"/>
  <c r="AG22" i="14"/>
  <c r="AL30" i="14"/>
  <c r="AN32" i="14"/>
  <c r="W37" i="14"/>
  <c r="V38" i="14"/>
  <c r="Y40" i="14"/>
  <c r="Y50" i="14"/>
  <c r="AI62" i="14"/>
  <c r="AN65" i="14"/>
  <c r="S69" i="14"/>
  <c r="AG69" i="14"/>
  <c r="W74" i="14"/>
  <c r="AK74" i="14"/>
  <c r="W87" i="14"/>
  <c r="AA24" i="15"/>
  <c r="AM24" i="15"/>
  <c r="AJ28" i="15"/>
  <c r="AA40" i="15"/>
  <c r="AK50" i="15"/>
  <c r="Z52" i="15"/>
  <c r="AB53" i="15"/>
  <c r="AK58" i="15"/>
  <c r="AJ59" i="15"/>
  <c r="AD60" i="15"/>
  <c r="AA64" i="15"/>
  <c r="V68" i="15"/>
  <c r="AN68" i="15"/>
  <c r="AB77" i="15"/>
  <c r="AJ20" i="16"/>
  <c r="S27" i="16"/>
  <c r="AK28" i="16"/>
  <c r="AG34" i="16"/>
  <c r="W80" i="16"/>
  <c r="AK19" i="14"/>
  <c r="AL21" i="14"/>
  <c r="AJ32" i="14"/>
  <c r="X40" i="14"/>
  <c r="AM55" i="14"/>
  <c r="AH62" i="14"/>
  <c r="AI15" i="14"/>
  <c r="BF15" i="14" s="1" a="1"/>
  <c r="BF15" i="14" s="1"/>
  <c r="X21" i="14"/>
  <c r="AI22" i="14"/>
  <c r="AA37" i="14"/>
  <c r="Z40" i="14"/>
  <c r="X41" i="14"/>
  <c r="U59" i="14"/>
  <c r="T69" i="14"/>
  <c r="AI69" i="14"/>
  <c r="AA74" i="14"/>
  <c r="AL74" i="14"/>
  <c r="X87" i="14"/>
  <c r="Y38" i="15"/>
  <c r="AL50" i="15"/>
  <c r="AI53" i="15"/>
  <c r="S58" i="15"/>
  <c r="AL58" i="15"/>
  <c r="AG60" i="15"/>
  <c r="V15" i="16"/>
  <c r="AS15" i="16" s="1" a="1"/>
  <c r="AS15" i="16" s="1"/>
  <c r="T27" i="16"/>
  <c r="S28" i="16"/>
  <c r="S45" i="16"/>
  <c r="AF15" i="16"/>
  <c r="BC15" i="16" s="1" a="1"/>
  <c r="BC15" i="16" s="1"/>
  <c r="AC27" i="16"/>
  <c r="W28" i="16"/>
  <c r="Z45" i="16"/>
  <c r="AF62" i="16"/>
  <c r="AA64" i="16"/>
  <c r="AC70" i="16"/>
  <c r="Y84" i="16"/>
  <c r="T89" i="16"/>
  <c r="AE37" i="14"/>
  <c r="AG40" i="14"/>
  <c r="V69" i="14"/>
  <c r="AL69" i="14"/>
  <c r="AD87" i="14"/>
  <c r="Z38" i="15"/>
  <c r="AM53" i="15"/>
  <c r="T58" i="15"/>
  <c r="T15" i="14"/>
  <c r="AQ15" i="14" s="1" a="1"/>
  <c r="AQ15" i="14" s="1"/>
  <c r="AK15" i="14"/>
  <c r="BH15" i="14" s="1" a="1"/>
  <c r="BH15" i="14" s="1"/>
  <c r="AE21" i="14"/>
  <c r="T22" i="14"/>
  <c r="V30" i="14"/>
  <c r="AH31" i="14"/>
  <c r="AE38" i="14"/>
  <c r="AH40" i="14"/>
  <c r="S49" i="14"/>
  <c r="AG59" i="14"/>
  <c r="T65" i="14"/>
  <c r="Z66" i="14"/>
  <c r="W69" i="14"/>
  <c r="AN69" i="14"/>
  <c r="AC74" i="14"/>
  <c r="AI80" i="14"/>
  <c r="AI82" i="14"/>
  <c r="AM87" i="14"/>
  <c r="AD22" i="15"/>
  <c r="X41" i="15"/>
  <c r="T48" i="15"/>
  <c r="V58" i="15"/>
  <c r="AN64" i="15"/>
  <c r="AD68" i="15"/>
  <c r="AK77" i="15"/>
  <c r="AH15" i="16"/>
  <c r="BE15" i="16" s="1" a="1"/>
  <c r="BE15" i="16" s="1"/>
  <c r="AE27" i="16"/>
  <c r="Z28" i="16"/>
  <c r="AB45" i="16"/>
  <c r="AI70" i="16"/>
  <c r="AD89" i="16"/>
  <c r="V59" i="14"/>
  <c r="V14" i="14"/>
  <c r="S21" i="14"/>
  <c r="AF21" i="14"/>
  <c r="AK36" i="14"/>
  <c r="AI40" i="14"/>
  <c r="Z55" i="14"/>
  <c r="X69" i="14"/>
  <c r="S74" i="14"/>
  <c r="AD74" i="14"/>
  <c r="AJ82" i="14"/>
  <c r="AL22" i="15"/>
  <c r="T24" i="15"/>
  <c r="AE24" i="15"/>
  <c r="W32" i="15"/>
  <c r="U34" i="15"/>
  <c r="AD35" i="15"/>
  <c r="Y48" i="15"/>
  <c r="V49" i="15"/>
  <c r="S50" i="15"/>
  <c r="U51" i="15"/>
  <c r="T53" i="15"/>
  <c r="AL57" i="15"/>
  <c r="W58" i="15"/>
  <c r="S59" i="15"/>
  <c r="S60" i="15"/>
  <c r="AE68" i="15"/>
  <c r="AD73" i="15"/>
  <c r="AM77" i="15"/>
  <c r="AI85" i="15"/>
  <c r="X14" i="16"/>
  <c r="AL15" i="16"/>
  <c r="BI15" i="16" s="1" a="1"/>
  <c r="BI15" i="16" s="1"/>
  <c r="W20" i="16"/>
  <c r="AH27" i="16"/>
  <c r="AA28" i="16"/>
  <c r="U34" i="16"/>
  <c r="AG39" i="16"/>
  <c r="AG42" i="16"/>
  <c r="AC45" i="16"/>
  <c r="AH60" i="16"/>
  <c r="AK62" i="16"/>
  <c r="AK79" i="16"/>
  <c r="AJ82" i="16"/>
  <c r="Y87" i="16"/>
  <c r="AH59" i="14"/>
  <c r="W62" i="14"/>
  <c r="W14" i="14"/>
  <c r="V15" i="14"/>
  <c r="AS15" i="14" s="1" a="1"/>
  <c r="AS15" i="14" s="1"/>
  <c r="T21" i="14"/>
  <c r="AI21" i="14"/>
  <c r="W22" i="14"/>
  <c r="Y30" i="14"/>
  <c r="AL36" i="14"/>
  <c r="S38" i="14"/>
  <c r="S40" i="14"/>
  <c r="AJ40" i="14"/>
  <c r="AA55" i="14"/>
  <c r="V65" i="14"/>
  <c r="AB69" i="14"/>
  <c r="T74" i="14"/>
  <c r="AE74" i="14"/>
  <c r="AE89" i="14"/>
  <c r="U15" i="15"/>
  <c r="AR15" i="15" s="1" a="1"/>
  <c r="AR15" i="15" s="1"/>
  <c r="U24" i="15"/>
  <c r="AG24" i="15"/>
  <c r="Z48" i="15"/>
  <c r="T50" i="15"/>
  <c r="AD58" i="15"/>
  <c r="Y59" i="15"/>
  <c r="AF68" i="15"/>
  <c r="AE73" i="15"/>
  <c r="Y14" i="16"/>
  <c r="Z20" i="16"/>
  <c r="AI27" i="16"/>
  <c r="AB28" i="16"/>
  <c r="X32" i="16"/>
  <c r="V34" i="16"/>
  <c r="AK39" i="16"/>
  <c r="AJ42" i="16"/>
  <c r="AD45" i="16"/>
  <c r="AI60" i="16"/>
  <c r="S62" i="16"/>
  <c r="AL62" i="16"/>
  <c r="Y69" i="16"/>
  <c r="AL79" i="16"/>
  <c r="AK82" i="16"/>
  <c r="AL23" i="14"/>
  <c r="AM44" i="14"/>
  <c r="U44" i="14"/>
  <c r="AK44" i="14"/>
  <c r="AM45" i="14"/>
  <c r="AE47" i="14"/>
  <c r="AC56" i="14"/>
  <c r="AI56" i="14"/>
  <c r="T56" i="14"/>
  <c r="AH56" i="14"/>
  <c r="S56" i="14"/>
  <c r="AG56" i="14"/>
  <c r="AB23" i="14"/>
  <c r="AI47" i="14"/>
  <c r="Y23" i="14"/>
  <c r="AK23" i="14"/>
  <c r="AA31" i="14"/>
  <c r="AL34" i="14"/>
  <c r="AL44" i="14"/>
  <c r="AL45" i="14"/>
  <c r="AC47" i="14"/>
  <c r="AM49" i="14"/>
  <c r="AE49" i="14"/>
  <c r="AA49" i="14"/>
  <c r="AF49" i="14"/>
  <c r="AK56" i="14"/>
  <c r="Y60" i="14"/>
  <c r="AK60" i="14"/>
  <c r="AJ60" i="14"/>
  <c r="Z86" i="14"/>
  <c r="W86" i="14"/>
  <c r="AM25" i="15"/>
  <c r="AN25" i="15"/>
  <c r="V25" i="15"/>
  <c r="AJ25" i="15"/>
  <c r="U25" i="15"/>
  <c r="AG25" i="15"/>
  <c r="T25" i="15"/>
  <c r="X25" i="15"/>
  <c r="AC81" i="15"/>
  <c r="S81" i="15"/>
  <c r="AM81" i="15"/>
  <c r="Z81" i="15"/>
  <c r="AL81" i="15"/>
  <c r="AB18" i="16"/>
  <c r="AA18" i="16"/>
  <c r="W18" i="16"/>
  <c r="AK18" i="16"/>
  <c r="Z21" i="16"/>
  <c r="Y21" i="16"/>
  <c r="X21" i="16"/>
  <c r="AN24" i="16"/>
  <c r="AD24" i="16"/>
  <c r="Y24" i="16"/>
  <c r="X24" i="16"/>
  <c r="AM24" i="16"/>
  <c r="AE24" i="16"/>
  <c r="W24" i="16"/>
  <c r="X68" i="16"/>
  <c r="AI68" i="16"/>
  <c r="AG68" i="16"/>
  <c r="Z12" i="16"/>
  <c r="W12" i="16"/>
  <c r="AE12" i="16"/>
  <c r="AJ12" i="16"/>
  <c r="AA12" i="16"/>
  <c r="V81" i="16"/>
  <c r="AL81" i="16"/>
  <c r="U81" i="16"/>
  <c r="AJ81" i="16"/>
  <c r="T81" i="16"/>
  <c r="Z81" i="16"/>
  <c r="W81" i="16"/>
  <c r="AH81" i="16"/>
  <c r="S23" i="14"/>
  <c r="S31" i="14"/>
  <c r="AL31" i="14"/>
  <c r="W34" i="14"/>
  <c r="AL35" i="14"/>
  <c r="AF41" i="14"/>
  <c r="AM41" i="14"/>
  <c r="AI41" i="14"/>
  <c r="W44" i="14"/>
  <c r="V47" i="14"/>
  <c r="U49" i="14"/>
  <c r="AN49" i="14"/>
  <c r="AD55" i="14"/>
  <c r="X56" i="14"/>
  <c r="AG61" i="14"/>
  <c r="AF73" i="14"/>
  <c r="AB73" i="14"/>
  <c r="AG86" i="14"/>
  <c r="V14" i="15"/>
  <c r="AK23" i="15"/>
  <c r="AE23" i="15"/>
  <c r="AE25" i="15"/>
  <c r="V27" i="15"/>
  <c r="U55" i="15"/>
  <c r="AJ75" i="15"/>
  <c r="AF75" i="15"/>
  <c r="AE75" i="15"/>
  <c r="Z75" i="15"/>
  <c r="X75" i="15"/>
  <c r="AK81" i="15"/>
  <c r="AG23" i="16"/>
  <c r="AF23" i="16"/>
  <c r="W23" i="16"/>
  <c r="AM23" i="16"/>
  <c r="AN37" i="16"/>
  <c r="AD37" i="16"/>
  <c r="T37" i="16"/>
  <c r="AM37" i="16"/>
  <c r="AC37" i="16"/>
  <c r="S37" i="16"/>
  <c r="AL37" i="16"/>
  <c r="AB37" i="16"/>
  <c r="AG37" i="16"/>
  <c r="V37" i="16"/>
  <c r="AI37" i="16"/>
  <c r="AE37" i="16"/>
  <c r="AA37" i="16"/>
  <c r="AK37" i="16"/>
  <c r="AG40" i="16"/>
  <c r="Z40" i="16"/>
  <c r="Y40" i="16"/>
  <c r="X40" i="16"/>
  <c r="AF40" i="16"/>
  <c r="W40" i="16"/>
  <c r="AM71" i="16"/>
  <c r="AN71" i="16"/>
  <c r="X71" i="16"/>
  <c r="AJ76" i="16"/>
  <c r="AB76" i="16"/>
  <c r="AA76" i="16"/>
  <c r="AI81" i="16"/>
  <c r="AA23" i="14"/>
  <c r="AE45" i="14"/>
  <c r="AF45" i="14"/>
  <c r="W45" i="14"/>
  <c r="AN47" i="14"/>
  <c r="AG47" i="14"/>
  <c r="U47" i="14"/>
  <c r="AD47" i="14"/>
  <c r="S47" i="14"/>
  <c r="AM57" i="14"/>
  <c r="AB57" i="14"/>
  <c r="S64" i="14"/>
  <c r="AJ64" i="14"/>
  <c r="V75" i="14"/>
  <c r="Z75" i="14"/>
  <c r="Y75" i="14"/>
  <c r="X75" i="14"/>
  <c r="AI67" i="15"/>
  <c r="AA67" i="15"/>
  <c r="Z67" i="15"/>
  <c r="AF69" i="15"/>
  <c r="U69" i="15"/>
  <c r="S69" i="15"/>
  <c r="AJ86" i="15"/>
  <c r="AH86" i="15"/>
  <c r="Y86" i="15"/>
  <c r="T86" i="15"/>
  <c r="AE25" i="16"/>
  <c r="AD25" i="16"/>
  <c r="W33" i="14"/>
  <c r="Y33" i="14"/>
  <c r="AH37" i="14"/>
  <c r="AC37" i="14"/>
  <c r="AI37" i="14"/>
  <c r="W46" i="14"/>
  <c r="Z46" i="14"/>
  <c r="T49" i="14"/>
  <c r="AC55" i="14"/>
  <c r="Z57" i="14"/>
  <c r="AI64" i="14"/>
  <c r="AH75" i="14"/>
  <c r="Z13" i="16"/>
  <c r="Y13" i="16"/>
  <c r="Y18" i="14"/>
  <c r="AD23" i="14"/>
  <c r="AB15" i="14"/>
  <c r="AY15" i="14" s="1" a="1"/>
  <c r="AY15" i="14" s="1"/>
  <c r="AG20" i="14"/>
  <c r="T23" i="14"/>
  <c r="AG23" i="14"/>
  <c r="AG30" i="14"/>
  <c r="T31" i="14"/>
  <c r="X33" i="14"/>
  <c r="AM35" i="14"/>
  <c r="T37" i="14"/>
  <c r="AK37" i="14"/>
  <c r="AN41" i="14"/>
  <c r="Z44" i="14"/>
  <c r="V45" i="14"/>
  <c r="X46" i="14"/>
  <c r="W47" i="14"/>
  <c r="AM47" i="14"/>
  <c r="W49" i="14"/>
  <c r="AJ55" i="14"/>
  <c r="Y56" i="14"/>
  <c r="AJ61" i="14"/>
  <c r="AJ76" i="14"/>
  <c r="Z76" i="14"/>
  <c r="Y76" i="14"/>
  <c r="X76" i="14"/>
  <c r="AM86" i="14"/>
  <c r="AL17" i="15"/>
  <c r="AK17" i="15"/>
  <c r="AF25" i="15"/>
  <c r="AE27" i="15"/>
  <c r="V55" i="15"/>
  <c r="AG88" i="15"/>
  <c r="AH88" i="15"/>
  <c r="Z88" i="15"/>
  <c r="Y53" i="16"/>
  <c r="W53" i="16"/>
  <c r="V53" i="16"/>
  <c r="AE53" i="16"/>
  <c r="AJ31" i="14"/>
  <c r="AM34" i="14"/>
  <c r="X34" i="14"/>
  <c r="AN45" i="14"/>
  <c r="AJ14" i="15"/>
  <c r="AE14" i="15"/>
  <c r="AD14" i="15"/>
  <c r="W14" i="15"/>
  <c r="AN29" i="16"/>
  <c r="AK29" i="16"/>
  <c r="U29" i="16"/>
  <c r="AJ29" i="16"/>
  <c r="T29" i="16"/>
  <c r="AI29" i="16"/>
  <c r="S29" i="16"/>
  <c r="AM29" i="16"/>
  <c r="AA29" i="16"/>
  <c r="AL29" i="16"/>
  <c r="AD29" i="16"/>
  <c r="AC29" i="16"/>
  <c r="W44" i="16"/>
  <c r="V44" i="16"/>
  <c r="AH44" i="16"/>
  <c r="AK47" i="14"/>
  <c r="AM19" i="15"/>
  <c r="T19" i="15"/>
  <c r="AJ19" i="15"/>
  <c r="S19" i="15"/>
  <c r="AI19" i="15"/>
  <c r="Z19" i="15"/>
  <c r="AD25" i="15"/>
  <c r="AA81" i="15"/>
  <c r="AE81" i="16"/>
  <c r="Z33" i="14"/>
  <c r="AN35" i="14"/>
  <c r="U37" i="14"/>
  <c r="AL37" i="14"/>
  <c r="S41" i="14"/>
  <c r="AH42" i="14"/>
  <c r="Z42" i="14"/>
  <c r="AN42" i="14"/>
  <c r="AB44" i="14"/>
  <c r="X45" i="14"/>
  <c r="AD46" i="14"/>
  <c r="Z47" i="14"/>
  <c r="X49" i="14"/>
  <c r="S55" i="14"/>
  <c r="AB56" i="14"/>
  <c r="AN62" i="14"/>
  <c r="V62" i="14"/>
  <c r="U62" i="14"/>
  <c r="AM62" i="14"/>
  <c r="AN66" i="14"/>
  <c r="W66" i="14"/>
  <c r="AK66" i="14"/>
  <c r="S66" i="14"/>
  <c r="AJ66" i="14"/>
  <c r="AA73" i="14"/>
  <c r="AD81" i="14"/>
  <c r="AC81" i="14"/>
  <c r="AB81" i="14"/>
  <c r="AL87" i="14"/>
  <c r="V87" i="14"/>
  <c r="U87" i="14"/>
  <c r="AA19" i="15"/>
  <c r="AG32" i="15"/>
  <c r="AF32" i="15"/>
  <c r="AE32" i="15"/>
  <c r="AK34" i="15"/>
  <c r="AF34" i="15"/>
  <c r="AE34" i="15"/>
  <c r="AI51" i="15"/>
  <c r="AG51" i="15"/>
  <c r="AD51" i="15"/>
  <c r="V51" i="15"/>
  <c r="AB29" i="16"/>
  <c r="AN35" i="16"/>
  <c r="W35" i="16"/>
  <c r="V35" i="16"/>
  <c r="U37" i="16"/>
  <c r="AF61" i="16"/>
  <c r="W61" i="16"/>
  <c r="AM61" i="16"/>
  <c r="S61" i="16"/>
  <c r="AL61" i="16"/>
  <c r="AA61" i="16"/>
  <c r="AB61" i="16"/>
  <c r="Z61" i="16"/>
  <c r="AJ61" i="16"/>
  <c r="AH77" i="16"/>
  <c r="X77" i="16"/>
  <c r="W77" i="16"/>
  <c r="Z77" i="16"/>
  <c r="AF52" i="14"/>
  <c r="AE52" i="14"/>
  <c r="X52" i="14"/>
  <c r="AN83" i="14"/>
  <c r="AL83" i="14"/>
  <c r="AJ27" i="15"/>
  <c r="U27" i="15"/>
  <c r="T27" i="15"/>
  <c r="AD27" i="15"/>
  <c r="AF55" i="15"/>
  <c r="X55" i="15"/>
  <c r="AK55" i="15"/>
  <c r="AH55" i="15"/>
  <c r="AG55" i="15"/>
  <c r="AN61" i="15"/>
  <c r="AM61" i="15"/>
  <c r="X61" i="15"/>
  <c r="W61" i="15"/>
  <c r="AB65" i="16"/>
  <c r="AA65" i="16"/>
  <c r="Z65" i="16"/>
  <c r="AL65" i="16"/>
  <c r="AK65" i="16"/>
  <c r="X65" i="16"/>
  <c r="AC23" i="14"/>
  <c r="AK31" i="14"/>
  <c r="V44" i="14"/>
  <c r="T45" i="14"/>
  <c r="T47" i="14"/>
  <c r="AK49" i="14"/>
  <c r="AN55" i="14"/>
  <c r="AI55" i="14"/>
  <c r="W55" i="14"/>
  <c r="AG55" i="14"/>
  <c r="V55" i="14"/>
  <c r="AE55" i="14"/>
  <c r="U55" i="14"/>
  <c r="U56" i="14"/>
  <c r="AH77" i="14"/>
  <c r="AI77" i="14"/>
  <c r="V77" i="14"/>
  <c r="T77" i="14"/>
  <c r="AA82" i="14"/>
  <c r="Z82" i="14"/>
  <c r="Y82" i="14"/>
  <c r="AC86" i="14"/>
  <c r="AG19" i="16"/>
  <c r="V19" i="16"/>
  <c r="AM19" i="16"/>
  <c r="U19" i="16"/>
  <c r="AI19" i="16"/>
  <c r="T19" i="16"/>
  <c r="AC19" i="16"/>
  <c r="AD19" i="16"/>
  <c r="W19" i="16"/>
  <c r="S19" i="16"/>
  <c r="AH19" i="16"/>
  <c r="AF20" i="14"/>
  <c r="AD15" i="14"/>
  <c r="BA15" i="14" s="1" a="1"/>
  <c r="BA15" i="14" s="1"/>
  <c r="AJ20" i="14"/>
  <c r="U23" i="14"/>
  <c r="AH23" i="14"/>
  <c r="AH30" i="14"/>
  <c r="V31" i="14"/>
  <c r="Z34" i="14"/>
  <c r="U14" i="14"/>
  <c r="AC21" i="14"/>
  <c r="V23" i="14"/>
  <c r="AI23" i="14"/>
  <c r="AI30" i="14"/>
  <c r="Z31" i="14"/>
  <c r="AH33" i="14"/>
  <c r="AH34" i="14"/>
  <c r="V37" i="14"/>
  <c r="AN38" i="14"/>
  <c r="AD38" i="14"/>
  <c r="AC38" i="14"/>
  <c r="W41" i="14"/>
  <c r="AF44" i="14"/>
  <c r="AG45" i="14"/>
  <c r="AM46" i="14"/>
  <c r="AB47" i="14"/>
  <c r="AC49" i="14"/>
  <c r="AB53" i="14"/>
  <c r="T55" i="14"/>
  <c r="AL55" i="14"/>
  <c r="AF56" i="14"/>
  <c r="AK59" i="14"/>
  <c r="AF59" i="14"/>
  <c r="X59" i="14"/>
  <c r="W59" i="14"/>
  <c r="AN59" i="14"/>
  <c r="W76" i="14"/>
  <c r="AE82" i="14"/>
  <c r="AN90" i="14"/>
  <c r="AK90" i="14"/>
  <c r="Y90" i="14"/>
  <c r="AI90" i="14"/>
  <c r="V90" i="14"/>
  <c r="AH90" i="14"/>
  <c r="U90" i="14"/>
  <c r="AB90" i="14"/>
  <c r="AG90" i="14"/>
  <c r="AG19" i="15"/>
  <c r="S28" i="15"/>
  <c r="AM28" i="15"/>
  <c r="Y28" i="15"/>
  <c r="AI30" i="15"/>
  <c r="AB30" i="15"/>
  <c r="AA30" i="15"/>
  <c r="AD54" i="15"/>
  <c r="Z54" i="15"/>
  <c r="AI54" i="15"/>
  <c r="AA54" i="15"/>
  <c r="Y54" i="15"/>
  <c r="AE83" i="15"/>
  <c r="AC83" i="15"/>
  <c r="AB83" i="15"/>
  <c r="AM83" i="15"/>
  <c r="AH23" i="16"/>
  <c r="AC30" i="16"/>
  <c r="V30" i="16"/>
  <c r="U30" i="16"/>
  <c r="AK30" i="16"/>
  <c r="T30" i="16"/>
  <c r="AD30" i="16"/>
  <c r="AJ30" i="16"/>
  <c r="AG30" i="16"/>
  <c r="W37" i="16"/>
  <c r="AM48" i="16"/>
  <c r="AI48" i="16"/>
  <c r="AC53" i="16"/>
  <c r="AL70" i="16"/>
  <c r="AG70" i="16"/>
  <c r="U70" i="16"/>
  <c r="AF70" i="16"/>
  <c r="S70" i="16"/>
  <c r="AE70" i="16"/>
  <c r="AM70" i="16"/>
  <c r="W70" i="16"/>
  <c r="X70" i="16"/>
  <c r="V70" i="16"/>
  <c r="AD70" i="16"/>
  <c r="AM15" i="15"/>
  <c r="BJ15" i="15" s="1" a="1"/>
  <c r="BJ15" i="15" s="1"/>
  <c r="AH33" i="15"/>
  <c r="AG33" i="15"/>
  <c r="AA44" i="15"/>
  <c r="Z44" i="15"/>
  <c r="AM17" i="16"/>
  <c r="AF17" i="16"/>
  <c r="X17" i="16"/>
  <c r="W17" i="16"/>
  <c r="AK17" i="16"/>
  <c r="AJ46" i="16"/>
  <c r="Z46" i="16"/>
  <c r="T46" i="16"/>
  <c r="S46" i="16"/>
  <c r="AB46" i="16"/>
  <c r="AG67" i="16"/>
  <c r="X67" i="16"/>
  <c r="U67" i="16"/>
  <c r="AN67" i="16"/>
  <c r="X75" i="16"/>
  <c r="AN75" i="16"/>
  <c r="AB75" i="16"/>
  <c r="Y75" i="16"/>
  <c r="AN87" i="16"/>
  <c r="V87" i="16"/>
  <c r="U87" i="16"/>
  <c r="AM87" i="16"/>
  <c r="T87" i="16"/>
  <c r="AD87" i="16"/>
  <c r="AC65" i="14"/>
  <c r="AA69" i="14"/>
  <c r="AM69" i="14"/>
  <c r="W15" i="15"/>
  <c r="AT15" i="15" s="1" a="1"/>
  <c r="AT15" i="15" s="1"/>
  <c r="AM21" i="15"/>
  <c r="W33" i="15"/>
  <c r="AH42" i="15"/>
  <c r="V42" i="15"/>
  <c r="AN42" i="15"/>
  <c r="Y44" i="15"/>
  <c r="AN53" i="15"/>
  <c r="AG53" i="15"/>
  <c r="S53" i="15"/>
  <c r="AE53" i="15"/>
  <c r="AA58" i="15"/>
  <c r="AK59" i="15"/>
  <c r="Z72" i="15"/>
  <c r="W72" i="15"/>
  <c r="AM72" i="15"/>
  <c r="S72" i="15"/>
  <c r="V17" i="16"/>
  <c r="AG32" i="16"/>
  <c r="AL46" i="16"/>
  <c r="AN49" i="16"/>
  <c r="AH49" i="16"/>
  <c r="AM78" i="16"/>
  <c r="U78" i="16"/>
  <c r="AH78" i="16"/>
  <c r="AG78" i="16"/>
  <c r="W78" i="16"/>
  <c r="AJ83" i="16"/>
  <c r="AI83" i="16"/>
  <c r="AH83" i="16"/>
  <c r="AF87" i="16"/>
  <c r="AD65" i="14"/>
  <c r="AC15" i="15"/>
  <c r="AZ15" i="15" s="1" a="1"/>
  <c r="AZ15" i="15" s="1"/>
  <c r="AE33" i="15"/>
  <c r="AB44" i="15"/>
  <c r="AG50" i="15"/>
  <c r="AM50" i="15"/>
  <c r="U50" i="15"/>
  <c r="AD50" i="15"/>
  <c r="AF53" i="15"/>
  <c r="AG58" i="15"/>
  <c r="AH58" i="15"/>
  <c r="U58" i="15"/>
  <c r="AB58" i="15"/>
  <c r="AM59" i="15"/>
  <c r="AL65" i="15"/>
  <c r="AD65" i="15"/>
  <c r="AC65" i="15"/>
  <c r="AJ17" i="16"/>
  <c r="W47" i="16"/>
  <c r="AB47" i="16"/>
  <c r="AC52" i="16"/>
  <c r="S52" i="16"/>
  <c r="AL52" i="16"/>
  <c r="AG87" i="16"/>
  <c r="AF40" i="14"/>
  <c r="X50" i="14"/>
  <c r="AI54" i="14"/>
  <c r="AE65" i="14"/>
  <c r="AD69" i="14"/>
  <c r="Z74" i="14"/>
  <c r="AJ74" i="14"/>
  <c r="AD15" i="15"/>
  <c r="BA15" i="15" s="1" a="1"/>
  <c r="BA15" i="15" s="1"/>
  <c r="Z24" i="15"/>
  <c r="AK24" i="15"/>
  <c r="AF33" i="15"/>
  <c r="W42" i="15"/>
  <c r="AE50" i="15"/>
  <c r="AH53" i="15"/>
  <c r="AC58" i="15"/>
  <c r="AN60" i="15"/>
  <c r="AF60" i="15"/>
  <c r="AE60" i="15"/>
  <c r="AA72" i="15"/>
  <c r="AI76" i="15"/>
  <c r="AE76" i="15"/>
  <c r="AD76" i="15"/>
  <c r="AL11" i="16"/>
  <c r="W11" i="16"/>
  <c r="V11" i="16"/>
  <c r="U11" i="16"/>
  <c r="AD11" i="16"/>
  <c r="AL17" i="16"/>
  <c r="AN43" i="16"/>
  <c r="U43" i="16"/>
  <c r="T43" i="16"/>
  <c r="AE43" i="16"/>
  <c r="X49" i="16"/>
  <c r="AN66" i="16"/>
  <c r="AG66" i="16"/>
  <c r="U66" i="16"/>
  <c r="AE66" i="16"/>
  <c r="T66" i="16"/>
  <c r="AD66" i="16"/>
  <c r="S66" i="16"/>
  <c r="AK66" i="16"/>
  <c r="W66" i="16"/>
  <c r="AL66" i="16"/>
  <c r="V78" i="16"/>
  <c r="AA77" i="15"/>
  <c r="AL77" i="15"/>
  <c r="AD27" i="16"/>
  <c r="AA45" i="16"/>
  <c r="AL45" i="16"/>
  <c r="AF49" i="15"/>
  <c r="AC64" i="15"/>
  <c r="W68" i="15"/>
  <c r="AI68" i="15"/>
  <c r="AA73" i="15"/>
  <c r="AM73" i="15"/>
  <c r="T77" i="15"/>
  <c r="AE77" i="15"/>
  <c r="AC85" i="15"/>
  <c r="AI14" i="16"/>
  <c r="U27" i="16"/>
  <c r="AM27" i="16"/>
  <c r="AI41" i="16"/>
  <c r="T45" i="16"/>
  <c r="AE45" i="16"/>
  <c r="AN79" i="16"/>
  <c r="AK64" i="15"/>
  <c r="AB73" i="15"/>
  <c r="U77" i="15"/>
  <c r="AG77" i="15"/>
  <c r="AD85" i="15"/>
  <c r="AB20" i="16"/>
  <c r="V27" i="16"/>
  <c r="AG28" i="16"/>
  <c r="AD34" i="16"/>
  <c r="AD42" i="16"/>
  <c r="U45" i="16"/>
  <c r="AI45" i="16"/>
  <c r="AD60" i="16"/>
  <c r="X62" i="16"/>
  <c r="AE82" i="16"/>
  <c r="AA68" i="15"/>
  <c r="AM68" i="15"/>
  <c r="AC73" i="15"/>
  <c r="V77" i="15"/>
  <c r="AJ77" i="15"/>
  <c r="AG85" i="15"/>
  <c r="AG20" i="16"/>
  <c r="W27" i="16"/>
  <c r="AE34" i="16"/>
  <c r="AE42" i="16"/>
  <c r="V45" i="16"/>
  <c r="AJ45" i="16"/>
  <c r="AE60" i="16"/>
  <c r="AD62" i="16"/>
  <c r="AD29" i="14"/>
  <c r="AG11" i="14"/>
  <c r="Y24" i="14"/>
  <c r="U24" i="14"/>
  <c r="AE25" i="14"/>
  <c r="AN39" i="14"/>
  <c r="AC39" i="14"/>
  <c r="S39" i="14"/>
  <c r="AL39" i="14"/>
  <c r="AB39" i="14"/>
  <c r="AK39" i="14"/>
  <c r="AA39" i="14"/>
  <c r="AM57" i="16"/>
  <c r="AN57" i="16"/>
  <c r="AH59" i="16"/>
  <c r="AE59" i="16"/>
  <c r="T59" i="16"/>
  <c r="AD59" i="16"/>
  <c r="S59" i="16"/>
  <c r="AC59" i="16"/>
  <c r="AJ59" i="16"/>
  <c r="V59" i="16"/>
  <c r="W59" i="16"/>
  <c r="U59" i="16"/>
  <c r="AM59" i="16"/>
  <c r="AB59" i="16"/>
  <c r="AN74" i="16"/>
  <c r="AJ74" i="16"/>
  <c r="AA74" i="16"/>
  <c r="AH74" i="16"/>
  <c r="W74" i="16"/>
  <c r="AG74" i="16"/>
  <c r="V74" i="16"/>
  <c r="AE74" i="16"/>
  <c r="U74" i="16"/>
  <c r="AD74" i="16"/>
  <c r="T74" i="16"/>
  <c r="AM74" i="16"/>
  <c r="AC74" i="16"/>
  <c r="S74" i="16"/>
  <c r="AL74" i="16"/>
  <c r="AB74" i="16"/>
  <c r="AK74" i="16"/>
  <c r="Z74" i="16"/>
  <c r="AH36" i="15"/>
  <c r="AL36" i="15"/>
  <c r="AA36" i="15"/>
  <c r="AK36" i="15"/>
  <c r="W36" i="15"/>
  <c r="AJ36" i="15"/>
  <c r="V36" i="15"/>
  <c r="AB36" i="15"/>
  <c r="U36" i="15"/>
  <c r="T36" i="15"/>
  <c r="AD36" i="15"/>
  <c r="AN43" i="15"/>
  <c r="AG43" i="15"/>
  <c r="W43" i="15"/>
  <c r="AE43" i="15"/>
  <c r="V43" i="15"/>
  <c r="AM43" i="15"/>
  <c r="AD43" i="15"/>
  <c r="U43" i="15"/>
  <c r="AK43" i="15"/>
  <c r="Y43" i="15"/>
  <c r="AJ43" i="15"/>
  <c r="T43" i="15"/>
  <c r="AI43" i="15"/>
  <c r="S43" i="15"/>
  <c r="AA43" i="15"/>
  <c r="AH87" i="15"/>
  <c r="AI87" i="15"/>
  <c r="AA87" i="15"/>
  <c r="S87" i="15"/>
  <c r="AH26" i="16"/>
  <c r="AE26" i="16"/>
  <c r="T26" i="16"/>
  <c r="AD26" i="16"/>
  <c r="S26" i="16"/>
  <c r="AC26" i="16"/>
  <c r="AJ26" i="16"/>
  <c r="V26" i="16"/>
  <c r="W26" i="16"/>
  <c r="U26" i="16"/>
  <c r="AM26" i="16"/>
  <c r="AB26" i="16"/>
  <c r="T31" i="15"/>
  <c r="S31" i="15"/>
  <c r="AH31" i="15"/>
  <c r="AM46" i="15"/>
  <c r="W46" i="15"/>
  <c r="AL46" i="15"/>
  <c r="V46" i="15"/>
  <c r="AG46" i="15"/>
  <c r="T46" i="15"/>
  <c r="X46" i="15"/>
  <c r="S46" i="15"/>
  <c r="AD46" i="15"/>
  <c r="AN89" i="15"/>
  <c r="Y89" i="15"/>
  <c r="AG89" i="15"/>
  <c r="Z89" i="15"/>
  <c r="AE29" i="14"/>
  <c r="AJ54" i="14"/>
  <c r="AN78" i="14"/>
  <c r="AI18" i="14"/>
  <c r="W18" i="14"/>
  <c r="S29" i="14"/>
  <c r="T39" i="14"/>
  <c r="AK64" i="14"/>
  <c r="AK83" i="14"/>
  <c r="AD83" i="14"/>
  <c r="AC83" i="14"/>
  <c r="X83" i="14"/>
  <c r="AG83" i="14"/>
  <c r="AN18" i="15"/>
  <c r="AC18" i="15"/>
  <c r="S18" i="15"/>
  <c r="AM18" i="15"/>
  <c r="AB18" i="15"/>
  <c r="AK18" i="15"/>
  <c r="AA18" i="15"/>
  <c r="AG18" i="15"/>
  <c r="U18" i="15"/>
  <c r="U39" i="14"/>
  <c r="AE73" i="14"/>
  <c r="U73" i="14"/>
  <c r="AN73" i="14"/>
  <c r="AD73" i="14"/>
  <c r="T73" i="14"/>
  <c r="AM73" i="14"/>
  <c r="AC73" i="14"/>
  <c r="S73" i="14"/>
  <c r="AI73" i="14"/>
  <c r="W73" i="14"/>
  <c r="AJ11" i="14"/>
  <c r="X11" i="14"/>
  <c r="AF25" i="14"/>
  <c r="S25" i="14"/>
  <c r="AB25" i="14"/>
  <c r="AH29" i="14"/>
  <c r="AK29" i="14"/>
  <c r="W29" i="14"/>
  <c r="AI29" i="14"/>
  <c r="U29" i="14"/>
  <c r="AG39" i="14"/>
  <c r="Z43" i="14"/>
  <c r="Y43" i="14"/>
  <c r="X43" i="14"/>
  <c r="AK68" i="14"/>
  <c r="AJ68" i="14"/>
  <c r="AF78" i="14"/>
  <c r="U78" i="14"/>
  <c r="AE78" i="14"/>
  <c r="S78" i="14"/>
  <c r="AD78" i="14"/>
  <c r="AK78" i="14"/>
  <c r="W78" i="14"/>
  <c r="AL20" i="15"/>
  <c r="AN20" i="15"/>
  <c r="AG45" i="15"/>
  <c r="AK45" i="15"/>
  <c r="Z45" i="15"/>
  <c r="AJ45" i="15"/>
  <c r="W45" i="15"/>
  <c r="AI45" i="15"/>
  <c r="U45" i="15"/>
  <c r="AC45" i="15"/>
  <c r="AB45" i="15"/>
  <c r="AA45" i="15"/>
  <c r="AF45" i="15"/>
  <c r="AM11" i="14"/>
  <c r="AG25" i="14"/>
  <c r="AH39" i="14"/>
  <c r="AG17" i="15"/>
  <c r="AH17" i="15"/>
  <c r="T17" i="15"/>
  <c r="AD17" i="15"/>
  <c r="S17" i="15"/>
  <c r="AC17" i="15"/>
  <c r="AJ17" i="15"/>
  <c r="V17" i="15"/>
  <c r="U11" i="14"/>
  <c r="AM17" i="14"/>
  <c r="AH17" i="14"/>
  <c r="AH25" i="14"/>
  <c r="S43" i="14"/>
  <c r="AI84" i="14"/>
  <c r="AH84" i="14"/>
  <c r="AA88" i="14"/>
  <c r="Y88" i="14"/>
  <c r="X88" i="14"/>
  <c r="AG88" i="14"/>
  <c r="V11" i="14"/>
  <c r="Y14" i="14"/>
  <c r="AK20" i="14"/>
  <c r="AI25" i="14"/>
  <c r="AJ39" i="14"/>
  <c r="U54" i="14"/>
  <c r="AJ73" i="14"/>
  <c r="AJ18" i="15"/>
  <c r="AN22" i="14"/>
  <c r="AE22" i="14"/>
  <c r="V22" i="14"/>
  <c r="AL22" i="14"/>
  <c r="AF28" i="14"/>
  <c r="AM28" i="14"/>
  <c r="AH70" i="14"/>
  <c r="V70" i="14"/>
  <c r="AG70" i="14"/>
  <c r="U70" i="14"/>
  <c r="AF70" i="14"/>
  <c r="S70" i="14"/>
  <c r="AM70" i="14"/>
  <c r="X70" i="14"/>
  <c r="AK73" i="14"/>
  <c r="AA78" i="14"/>
  <c r="W88" i="14"/>
  <c r="Z17" i="15"/>
  <c r="T18" i="15"/>
  <c r="AI23" i="15"/>
  <c r="V23" i="15"/>
  <c r="AM23" i="15"/>
  <c r="U23" i="15"/>
  <c r="AL23" i="15"/>
  <c r="AC23" i="15"/>
  <c r="AA29" i="15"/>
  <c r="AG31" i="15"/>
  <c r="AC36" i="15"/>
  <c r="Z43" i="15"/>
  <c r="T45" i="15"/>
  <c r="AF46" i="15"/>
  <c r="AG66" i="15"/>
  <c r="X66" i="15"/>
  <c r="V66" i="15"/>
  <c r="AN66" i="15"/>
  <c r="AI66" i="15"/>
  <c r="AH66" i="15"/>
  <c r="AB78" i="15"/>
  <c r="AI26" i="16"/>
  <c r="AA54" i="16"/>
  <c r="Z54" i="16"/>
  <c r="Y54" i="16"/>
  <c r="AI54" i="16"/>
  <c r="AK59" i="16"/>
  <c r="W11" i="14"/>
  <c r="AF24" i="14"/>
  <c r="V29" i="14"/>
  <c r="AI43" i="14"/>
  <c r="W54" i="14"/>
  <c r="AA22" i="14"/>
  <c r="AG24" i="14"/>
  <c r="AK43" i="14"/>
  <c r="AL73" i="14"/>
  <c r="AC78" i="14"/>
  <c r="U83" i="14"/>
  <c r="AF88" i="14"/>
  <c r="AA17" i="15"/>
  <c r="W18" i="15"/>
  <c r="AE36" i="15"/>
  <c r="AI39" i="15"/>
  <c r="AN39" i="15"/>
  <c r="AJ39" i="15"/>
  <c r="Z39" i="15"/>
  <c r="AB43" i="15"/>
  <c r="AE45" i="15"/>
  <c r="AN46" i="15"/>
  <c r="AN65" i="15"/>
  <c r="AK65" i="15"/>
  <c r="AB65" i="15"/>
  <c r="S65" i="15"/>
  <c r="AJ65" i="15"/>
  <c r="AA65" i="15"/>
  <c r="AI65" i="15"/>
  <c r="Z65" i="15"/>
  <c r="AH65" i="15"/>
  <c r="U65" i="15"/>
  <c r="AG65" i="15"/>
  <c r="T65" i="15"/>
  <c r="AE65" i="15"/>
  <c r="AM65" i="15"/>
  <c r="W65" i="15"/>
  <c r="V70" i="15"/>
  <c r="Z74" i="15"/>
  <c r="Y74" i="15"/>
  <c r="AG74" i="15"/>
  <c r="AF74" i="15"/>
  <c r="AK26" i="16"/>
  <c r="AB39" i="16"/>
  <c r="AN39" i="16"/>
  <c r="X39" i="16"/>
  <c r="AM39" i="16"/>
  <c r="W39" i="16"/>
  <c r="AE39" i="16"/>
  <c r="T39" i="16"/>
  <c r="S39" i="16"/>
  <c r="AC39" i="16"/>
  <c r="Z48" i="16"/>
  <c r="Y48" i="16"/>
  <c r="X48" i="16"/>
  <c r="AH48" i="16"/>
  <c r="AL59" i="16"/>
  <c r="AG54" i="14"/>
  <c r="AD54" i="14"/>
  <c r="T54" i="14"/>
  <c r="AM54" i="14"/>
  <c r="AC54" i="14"/>
  <c r="S54" i="14"/>
  <c r="AL54" i="14"/>
  <c r="AB54" i="14"/>
  <c r="AH54" i="14"/>
  <c r="V54" i="14"/>
  <c r="AE18" i="14"/>
  <c r="T24" i="14"/>
  <c r="AC27" i="14"/>
  <c r="AJ29" i="14"/>
  <c r="AI39" i="14"/>
  <c r="AK54" i="14"/>
  <c r="AL64" i="14"/>
  <c r="AC64" i="14"/>
  <c r="Y64" i="14"/>
  <c r="AN64" i="14"/>
  <c r="V64" i="14"/>
  <c r="AE64" i="14"/>
  <c r="AM11" i="15"/>
  <c r="Y11" i="15"/>
  <c r="AJ11" i="15"/>
  <c r="T11" i="15"/>
  <c r="AI11" i="15"/>
  <c r="S11" i="15"/>
  <c r="AA11" i="15"/>
  <c r="AI18" i="15"/>
  <c r="AG29" i="15"/>
  <c r="AI29" i="15"/>
  <c r="U29" i="15"/>
  <c r="AH29" i="15"/>
  <c r="T29" i="15"/>
  <c r="AD29" i="15"/>
  <c r="S29" i="15"/>
  <c r="Z29" i="15"/>
  <c r="V29" i="15"/>
  <c r="AL29" i="15"/>
  <c r="AB29" i="15"/>
  <c r="AB31" i="15"/>
  <c r="AB46" i="15"/>
  <c r="AI78" i="15"/>
  <c r="AJ78" i="15"/>
  <c r="T78" i="15"/>
  <c r="AH78" i="15"/>
  <c r="AG78" i="15"/>
  <c r="Z78" i="15"/>
  <c r="Y78" i="15"/>
  <c r="U78" i="15"/>
  <c r="AC78" i="15"/>
  <c r="AH89" i="15"/>
  <c r="AA59" i="16"/>
  <c r="Y74" i="16"/>
  <c r="AN14" i="14"/>
  <c r="AI14" i="14"/>
  <c r="Z14" i="14"/>
  <c r="AJ14" i="14"/>
  <c r="X24" i="14"/>
  <c r="T29" i="14"/>
  <c r="W61" i="14"/>
  <c r="V61" i="14"/>
  <c r="AL61" i="14"/>
  <c r="U61" i="14"/>
  <c r="AE61" i="14"/>
  <c r="AE71" i="14"/>
  <c r="AB71" i="14"/>
  <c r="V71" i="14"/>
  <c r="AG71" i="14"/>
  <c r="X78" i="14"/>
  <c r="U17" i="15"/>
  <c r="AA26" i="16"/>
  <c r="Z33" i="16"/>
  <c r="AM33" i="16"/>
  <c r="U33" i="16"/>
  <c r="AL33" i="16"/>
  <c r="S33" i="16"/>
  <c r="AC33" i="16"/>
  <c r="AI33" i="16"/>
  <c r="AD33" i="16"/>
  <c r="AA33" i="16"/>
  <c r="AI59" i="16"/>
  <c r="AI74" i="16"/>
  <c r="W17" i="14"/>
  <c r="AG18" i="14"/>
  <c r="Z22" i="14"/>
  <c r="W25" i="14"/>
  <c r="AM29" i="14"/>
  <c r="Y32" i="14"/>
  <c r="T32" i="14"/>
  <c r="X36" i="14"/>
  <c r="W36" i="14"/>
  <c r="V36" i="14"/>
  <c r="AL63" i="14"/>
  <c r="AK63" i="14"/>
  <c r="W63" i="14"/>
  <c r="AJ63" i="14"/>
  <c r="T63" i="14"/>
  <c r="AH63" i="14"/>
  <c r="Y63" i="14"/>
  <c r="T83" i="14"/>
  <c r="AD11" i="14"/>
  <c r="W12" i="14"/>
  <c r="AB14" i="14"/>
  <c r="AL14" i="14"/>
  <c r="S18" i="14"/>
  <c r="W20" i="14"/>
  <c r="AH26" i="14"/>
  <c r="AN26" i="14"/>
  <c r="AN30" i="14"/>
  <c r="AM30" i="14"/>
  <c r="AD30" i="14"/>
  <c r="U30" i="14"/>
  <c r="AK30" i="14"/>
  <c r="AB30" i="14"/>
  <c r="S30" i="14"/>
  <c r="AK35" i="14"/>
  <c r="AC35" i="14"/>
  <c r="Y35" i="14"/>
  <c r="T64" i="14"/>
  <c r="X12" i="14"/>
  <c r="Y17" i="14"/>
  <c r="AN18" i="14"/>
  <c r="X20" i="14"/>
  <c r="AB22" i="14"/>
  <c r="AH24" i="14"/>
  <c r="AC30" i="14"/>
  <c r="AL43" i="14"/>
  <c r="X61" i="14"/>
  <c r="X63" i="14"/>
  <c r="U64" i="14"/>
  <c r="W70" i="14"/>
  <c r="AF71" i="14"/>
  <c r="V73" i="14"/>
  <c r="AG78" i="14"/>
  <c r="V83" i="14"/>
  <c r="AF86" i="14"/>
  <c r="V86" i="14"/>
  <c r="AE86" i="14"/>
  <c r="U86" i="14"/>
  <c r="AN86" i="14"/>
  <c r="AD86" i="14"/>
  <c r="S86" i="14"/>
  <c r="AI86" i="14"/>
  <c r="X86" i="14"/>
  <c r="AK86" i="14"/>
  <c r="AJ88" i="14"/>
  <c r="AB11" i="15"/>
  <c r="AB17" i="15"/>
  <c r="Y18" i="15"/>
  <c r="W23" i="15"/>
  <c r="AJ29" i="15"/>
  <c r="AI36" i="15"/>
  <c r="AC43" i="15"/>
  <c r="AM45" i="15"/>
  <c r="U66" i="15"/>
  <c r="AA79" i="15"/>
  <c r="Y79" i="15"/>
  <c r="X79" i="15"/>
  <c r="AB79" i="15"/>
  <c r="T79" i="15"/>
  <c r="S79" i="15"/>
  <c r="AI79" i="15"/>
  <c r="AN12" i="16"/>
  <c r="AM12" i="16"/>
  <c r="AD12" i="16"/>
  <c r="U12" i="16"/>
  <c r="AL12" i="16"/>
  <c r="AC12" i="16"/>
  <c r="T12" i="16"/>
  <c r="AK12" i="16"/>
  <c r="AB12" i="16"/>
  <c r="S12" i="16"/>
  <c r="AI12" i="16"/>
  <c r="V12" i="16"/>
  <c r="AH12" i="16"/>
  <c r="AG12" i="16"/>
  <c r="Y12" i="16"/>
  <c r="AL26" i="16"/>
  <c r="AK33" i="16"/>
  <c r="AF18" i="14"/>
  <c r="AA43" i="14"/>
  <c r="AF31" i="15"/>
  <c r="S36" i="15"/>
  <c r="S45" i="15"/>
  <c r="AE46" i="15"/>
  <c r="AE70" i="15"/>
  <c r="Z70" i="15"/>
  <c r="Y70" i="15"/>
  <c r="AH70" i="15"/>
  <c r="X70" i="15"/>
  <c r="W70" i="15"/>
  <c r="AN70" i="15"/>
  <c r="AA14" i="14"/>
  <c r="AJ22" i="14"/>
  <c r="AN25" i="14"/>
  <c r="V39" i="14"/>
  <c r="X17" i="14"/>
  <c r="AH18" i="14"/>
  <c r="AK22" i="14"/>
  <c r="X25" i="14"/>
  <c r="AA29" i="14"/>
  <c r="AN31" i="14"/>
  <c r="AI31" i="14"/>
  <c r="Y31" i="14"/>
  <c r="AG31" i="14"/>
  <c r="U31" i="14"/>
  <c r="Y39" i="14"/>
  <c r="AE11" i="14"/>
  <c r="S14" i="14"/>
  <c r="AC14" i="14"/>
  <c r="AM14" i="14"/>
  <c r="V18" i="14"/>
  <c r="AM22" i="14"/>
  <c r="Y25" i="14"/>
  <c r="AB28" i="14"/>
  <c r="AB29" i="14"/>
  <c r="AC31" i="14"/>
  <c r="X32" i="14"/>
  <c r="AB36" i="14"/>
  <c r="Z39" i="14"/>
  <c r="AA54" i="14"/>
  <c r="AF11" i="14"/>
  <c r="AF12" i="14"/>
  <c r="T14" i="14"/>
  <c r="AD14" i="14"/>
  <c r="AN15" i="14"/>
  <c r="BK15" i="14" s="1" a="1"/>
  <c r="BK15" i="14" s="1"/>
  <c r="AC15" i="14"/>
  <c r="AZ15" i="14" s="1" a="1"/>
  <c r="AZ15" i="14" s="1"/>
  <c r="S15" i="14"/>
  <c r="AP15" i="14" s="1" a="1"/>
  <c r="AP15" i="14" s="1"/>
  <c r="AA15" i="14"/>
  <c r="AX15" i="14" s="1" a="1"/>
  <c r="AX15" i="14" s="1"/>
  <c r="AL15" i="14"/>
  <c r="BI15" i="14" s="1" a="1"/>
  <c r="BI15" i="14" s="1"/>
  <c r="AG17" i="14"/>
  <c r="X18" i="14"/>
  <c r="Y20" i="14"/>
  <c r="S22" i="14"/>
  <c r="AC22" i="14"/>
  <c r="AI24" i="14"/>
  <c r="AA25" i="14"/>
  <c r="Z26" i="14"/>
  <c r="AN28" i="14"/>
  <c r="AC29" i="14"/>
  <c r="AE30" i="14"/>
  <c r="AD31" i="14"/>
  <c r="Z32" i="14"/>
  <c r="W35" i="14"/>
  <c r="AJ36" i="14"/>
  <c r="AD39" i="14"/>
  <c r="AG44" i="14"/>
  <c r="AE44" i="14"/>
  <c r="T44" i="14"/>
  <c r="AD44" i="14"/>
  <c r="AN44" i="14"/>
  <c r="AC44" i="14"/>
  <c r="AJ44" i="14"/>
  <c r="W52" i="14"/>
  <c r="AK52" i="14"/>
  <c r="V52" i="14"/>
  <c r="AJ52" i="14"/>
  <c r="U52" i="14"/>
  <c r="Y52" i="14"/>
  <c r="AE54" i="14"/>
  <c r="AF61" i="14"/>
  <c r="AC63" i="14"/>
  <c r="AD64" i="14"/>
  <c r="Y70" i="14"/>
  <c r="AC72" i="14"/>
  <c r="AB72" i="14"/>
  <c r="T72" i="14"/>
  <c r="AG72" i="14"/>
  <c r="Z73" i="14"/>
  <c r="AL78" i="14"/>
  <c r="AK81" i="14"/>
  <c r="U81" i="14"/>
  <c r="AJ81" i="14"/>
  <c r="T81" i="14"/>
  <c r="AI81" i="14"/>
  <c r="S81" i="14"/>
  <c r="AM81" i="14"/>
  <c r="AA81" i="14"/>
  <c r="AN82" i="14"/>
  <c r="AM82" i="14"/>
  <c r="AD82" i="14"/>
  <c r="U82" i="14"/>
  <c r="AL82" i="14"/>
  <c r="AC82" i="14"/>
  <c r="T82" i="14"/>
  <c r="AK82" i="14"/>
  <c r="AB82" i="14"/>
  <c r="S82" i="14"/>
  <c r="AG82" i="14"/>
  <c r="W82" i="14"/>
  <c r="AH82" i="14"/>
  <c r="AF83" i="14"/>
  <c r="AL86" i="14"/>
  <c r="AG89" i="14"/>
  <c r="AD89" i="14"/>
  <c r="T89" i="14"/>
  <c r="AM89" i="14"/>
  <c r="AC89" i="14"/>
  <c r="S89" i="14"/>
  <c r="AL89" i="14"/>
  <c r="AB89" i="14"/>
  <c r="AH89" i="14"/>
  <c r="V89" i="14"/>
  <c r="AJ89" i="14"/>
  <c r="AG11" i="15"/>
  <c r="AI17" i="15"/>
  <c r="Z18" i="15"/>
  <c r="AJ22" i="15"/>
  <c r="W22" i="15"/>
  <c r="V22" i="15"/>
  <c r="AE22" i="15"/>
  <c r="AD23" i="15"/>
  <c r="AN28" i="15"/>
  <c r="AK28" i="15"/>
  <c r="AI28" i="15"/>
  <c r="Z28" i="15"/>
  <c r="AH28" i="15"/>
  <c r="W28" i="15"/>
  <c r="AG28" i="15"/>
  <c r="V28" i="15"/>
  <c r="AE28" i="15"/>
  <c r="U28" i="15"/>
  <c r="AL28" i="15"/>
  <c r="AA28" i="15"/>
  <c r="AD28" i="15"/>
  <c r="AK29" i="15"/>
  <c r="AM36" i="15"/>
  <c r="AN38" i="15"/>
  <c r="AI38" i="15"/>
  <c r="U38" i="15"/>
  <c r="AH38" i="15"/>
  <c r="T38" i="15"/>
  <c r="AG38" i="15"/>
  <c r="S38" i="15"/>
  <c r="AC38" i="15"/>
  <c r="AB38" i="15"/>
  <c r="AA38" i="15"/>
  <c r="AK38" i="15"/>
  <c r="Y39" i="15"/>
  <c r="AH43" i="15"/>
  <c r="AN45" i="15"/>
  <c r="V65" i="15"/>
  <c r="Y67" i="15"/>
  <c r="X67" i="15"/>
  <c r="S67" i="15"/>
  <c r="AK67" i="15"/>
  <c r="AJ67" i="15"/>
  <c r="AC71" i="15"/>
  <c r="AB71" i="15"/>
  <c r="AA71" i="15"/>
  <c r="AK82" i="15"/>
  <c r="AF82" i="15"/>
  <c r="AD82" i="15"/>
  <c r="AN82" i="15"/>
  <c r="AL82" i="15"/>
  <c r="AN16" i="16"/>
  <c r="V16" i="16"/>
  <c r="AL16" i="16"/>
  <c r="U16" i="16"/>
  <c r="AK16" i="16"/>
  <c r="X16" i="16"/>
  <c r="AE16" i="16"/>
  <c r="W16" i="16"/>
  <c r="AG16" i="16"/>
  <c r="AN38" i="16"/>
  <c r="AC38" i="16"/>
  <c r="S38" i="16"/>
  <c r="AL38" i="16"/>
  <c r="AB38" i="16"/>
  <c r="AK38" i="16"/>
  <c r="AA38" i="16"/>
  <c r="AF38" i="16"/>
  <c r="U38" i="16"/>
  <c r="Z38" i="16"/>
  <c r="X38" i="16"/>
  <c r="V38" i="16"/>
  <c r="AG38" i="16"/>
  <c r="U39" i="16"/>
  <c r="AA48" i="16"/>
  <c r="AB54" i="16"/>
  <c r="Y66" i="14"/>
  <c r="AH66" i="14"/>
  <c r="AJ77" i="14"/>
  <c r="W41" i="15"/>
  <c r="AN51" i="15"/>
  <c r="AL51" i="15"/>
  <c r="AC51" i="15"/>
  <c r="T51" i="15"/>
  <c r="AK51" i="15"/>
  <c r="AB51" i="15"/>
  <c r="S51" i="15"/>
  <c r="AJ51" i="15"/>
  <c r="AA51" i="15"/>
  <c r="AE51" i="15"/>
  <c r="V56" i="15"/>
  <c r="U56" i="15"/>
  <c r="T56" i="15"/>
  <c r="AJ63" i="15"/>
  <c r="AI63" i="15"/>
  <c r="AD63" i="15"/>
  <c r="AN69" i="15"/>
  <c r="X69" i="15"/>
  <c r="AM69" i="15"/>
  <c r="W69" i="15"/>
  <c r="AL69" i="15"/>
  <c r="V69" i="15"/>
  <c r="AG69" i="15"/>
  <c r="AK84" i="15"/>
  <c r="AA84" i="15"/>
  <c r="V84" i="15"/>
  <c r="T84" i="15"/>
  <c r="AI13" i="16"/>
  <c r="AB13" i="16"/>
  <c r="AG52" i="16"/>
  <c r="AI52" i="16"/>
  <c r="W52" i="16"/>
  <c r="AH52" i="16"/>
  <c r="V52" i="16"/>
  <c r="AE52" i="16"/>
  <c r="U52" i="16"/>
  <c r="AK52" i="16"/>
  <c r="AA52" i="16"/>
  <c r="AD52" i="16"/>
  <c r="AM33" i="14"/>
  <c r="AB37" i="14"/>
  <c r="AM37" i="14"/>
  <c r="W38" i="14"/>
  <c r="AG38" i="14"/>
  <c r="Z41" i="14"/>
  <c r="AF42" i="14"/>
  <c r="AC45" i="14"/>
  <c r="Y47" i="14"/>
  <c r="AH47" i="14"/>
  <c r="Z49" i="14"/>
  <c r="AJ49" i="14"/>
  <c r="AD50" i="14"/>
  <c r="AA56" i="14"/>
  <c r="AN56" i="14"/>
  <c r="AC59" i="14"/>
  <c r="AE62" i="14"/>
  <c r="W65" i="14"/>
  <c r="AK65" i="14"/>
  <c r="T66" i="14"/>
  <c r="AC66" i="14"/>
  <c r="AL66" i="14"/>
  <c r="AL75" i="14"/>
  <c r="Y77" i="14"/>
  <c r="AE87" i="14"/>
  <c r="AM13" i="15"/>
  <c r="AM14" i="15"/>
  <c r="Z25" i="15"/>
  <c r="AK25" i="15"/>
  <c r="AF26" i="15"/>
  <c r="AG37" i="15"/>
  <c r="AJ37" i="15"/>
  <c r="V37" i="15"/>
  <c r="AI37" i="15"/>
  <c r="U37" i="15"/>
  <c r="AH37" i="15"/>
  <c r="T37" i="15"/>
  <c r="AD37" i="15"/>
  <c r="AH41" i="15"/>
  <c r="AI47" i="15"/>
  <c r="AG47" i="15"/>
  <c r="W51" i="15"/>
  <c r="AM51" i="15"/>
  <c r="AF56" i="15"/>
  <c r="AF59" i="15"/>
  <c r="V59" i="15"/>
  <c r="AE59" i="15"/>
  <c r="U59" i="15"/>
  <c r="AN59" i="15"/>
  <c r="AC59" i="15"/>
  <c r="T59" i="15"/>
  <c r="AB59" i="15"/>
  <c r="U63" i="15"/>
  <c r="AC69" i="15"/>
  <c r="AF72" i="15"/>
  <c r="V72" i="15"/>
  <c r="AE72" i="15"/>
  <c r="U72" i="15"/>
  <c r="AN72" i="15"/>
  <c r="AD72" i="15"/>
  <c r="T72" i="15"/>
  <c r="AC72" i="15"/>
  <c r="AD84" i="15"/>
  <c r="AI86" i="15"/>
  <c r="AG86" i="15"/>
  <c r="AB86" i="15"/>
  <c r="Z86" i="15"/>
  <c r="AA13" i="16"/>
  <c r="AH18" i="16"/>
  <c r="AE18" i="16"/>
  <c r="T18" i="16"/>
  <c r="AD18" i="16"/>
  <c r="S18" i="16"/>
  <c r="AC18" i="16"/>
  <c r="AJ18" i="16"/>
  <c r="V18" i="16"/>
  <c r="AL18" i="16"/>
  <c r="AF36" i="16"/>
  <c r="AG49" i="16"/>
  <c r="U49" i="16"/>
  <c r="AF49" i="16"/>
  <c r="AE49" i="16"/>
  <c r="AK49" i="16"/>
  <c r="W49" i="16"/>
  <c r="AN50" i="16"/>
  <c r="T50" i="16"/>
  <c r="T52" i="16"/>
  <c r="AN53" i="16"/>
  <c r="AK53" i="16"/>
  <c r="AB53" i="16"/>
  <c r="S53" i="16"/>
  <c r="AJ53" i="16"/>
  <c r="AA53" i="16"/>
  <c r="AI53" i="16"/>
  <c r="Z53" i="16"/>
  <c r="AM53" i="16"/>
  <c r="AD53" i="16"/>
  <c r="U53" i="16"/>
  <c r="AG53" i="16"/>
  <c r="Y38" i="14"/>
  <c r="AH38" i="14"/>
  <c r="AE41" i="14"/>
  <c r="AD45" i="14"/>
  <c r="AE50" i="14"/>
  <c r="AD59" i="14"/>
  <c r="AF62" i="14"/>
  <c r="AA65" i="14"/>
  <c r="AL65" i="14"/>
  <c r="U66" i="14"/>
  <c r="AD66" i="14"/>
  <c r="AM66" i="14"/>
  <c r="AN75" i="14"/>
  <c r="Z77" i="14"/>
  <c r="AF87" i="14"/>
  <c r="AK15" i="15"/>
  <c r="BH15" i="15" s="1" a="1"/>
  <c r="BH15" i="15" s="1"/>
  <c r="AB25" i="15"/>
  <c r="AL25" i="15"/>
  <c r="AG26" i="15"/>
  <c r="AN30" i="15"/>
  <c r="AH30" i="15"/>
  <c r="T30" i="15"/>
  <c r="AG30" i="15"/>
  <c r="S30" i="15"/>
  <c r="AC30" i="15"/>
  <c r="AJ30" i="15"/>
  <c r="S32" i="15"/>
  <c r="AK37" i="15"/>
  <c r="AM41" i="15"/>
  <c r="Y51" i="15"/>
  <c r="AJ56" i="15"/>
  <c r="AH59" i="15"/>
  <c r="AG62" i="15"/>
  <c r="AF62" i="15"/>
  <c r="AB62" i="15"/>
  <c r="AK63" i="15"/>
  <c r="AD69" i="15"/>
  <c r="AN81" i="15"/>
  <c r="AI81" i="15"/>
  <c r="Y81" i="15"/>
  <c r="AH81" i="15"/>
  <c r="W81" i="15"/>
  <c r="AG81" i="15"/>
  <c r="V81" i="15"/>
  <c r="AD81" i="15"/>
  <c r="AI84" i="15"/>
  <c r="AM18" i="16"/>
  <c r="Z52" i="16"/>
  <c r="AH53" i="16"/>
  <c r="AB21" i="14"/>
  <c r="Z23" i="14"/>
  <c r="AJ23" i="14"/>
  <c r="S37" i="14"/>
  <c r="AD37" i="14"/>
  <c r="Z38" i="14"/>
  <c r="AI38" i="14"/>
  <c r="AA47" i="14"/>
  <c r="AJ47" i="14"/>
  <c r="AB49" i="14"/>
  <c r="AN50" i="14"/>
  <c r="Y55" i="14"/>
  <c r="AH55" i="14"/>
  <c r="AE59" i="14"/>
  <c r="AC60" i="14"/>
  <c r="AG62" i="14"/>
  <c r="AB65" i="14"/>
  <c r="V66" i="14"/>
  <c r="AE66" i="14"/>
  <c r="Z69" i="14"/>
  <c r="Y74" i="14"/>
  <c r="AH74" i="14"/>
  <c r="AG87" i="14"/>
  <c r="Z90" i="14"/>
  <c r="AJ90" i="14"/>
  <c r="AL15" i="15"/>
  <c r="BI15" i="15" s="1" a="1"/>
  <c r="BI15" i="15" s="1"/>
  <c r="AB19" i="15"/>
  <c r="Y24" i="15"/>
  <c r="AH24" i="15"/>
  <c r="AC25" i="15"/>
  <c r="AK30" i="15"/>
  <c r="AL37" i="15"/>
  <c r="Z40" i="15"/>
  <c r="AN41" i="15"/>
  <c r="Z47" i="15"/>
  <c r="Z51" i="15"/>
  <c r="AH57" i="15"/>
  <c r="AE57" i="15"/>
  <c r="T57" i="15"/>
  <c r="AD57" i="15"/>
  <c r="S57" i="15"/>
  <c r="AC57" i="15"/>
  <c r="AJ57" i="15"/>
  <c r="AI59" i="15"/>
  <c r="AH61" i="15"/>
  <c r="AD61" i="15"/>
  <c r="Y61" i="15"/>
  <c r="AJ64" i="15"/>
  <c r="V64" i="15"/>
  <c r="AF64" i="15"/>
  <c r="U64" i="15"/>
  <c r="AE64" i="15"/>
  <c r="T64" i="15"/>
  <c r="AD64" i="15"/>
  <c r="AE69" i="15"/>
  <c r="AJ72" i="15"/>
  <c r="AN75" i="15"/>
  <c r="W75" i="15"/>
  <c r="AM75" i="15"/>
  <c r="U75" i="15"/>
  <c r="AK75" i="15"/>
  <c r="T75" i="15"/>
  <c r="AK76" i="15"/>
  <c r="AB76" i="15"/>
  <c r="AA76" i="15"/>
  <c r="AM76" i="15"/>
  <c r="W76" i="15"/>
  <c r="AJ76" i="15"/>
  <c r="AE81" i="15"/>
  <c r="AL83" i="15"/>
  <c r="AJ83" i="15"/>
  <c r="W83" i="15"/>
  <c r="AI83" i="15"/>
  <c r="U83" i="15"/>
  <c r="AG83" i="15"/>
  <c r="T83" i="15"/>
  <c r="AK83" i="15"/>
  <c r="AJ84" i="15"/>
  <c r="U18" i="16"/>
  <c r="AN44" i="16"/>
  <c r="AI44" i="16"/>
  <c r="AG47" i="16"/>
  <c r="U47" i="16"/>
  <c r="AF47" i="16"/>
  <c r="T47" i="16"/>
  <c r="AE47" i="16"/>
  <c r="S47" i="16"/>
  <c r="AM47" i="16"/>
  <c r="X47" i="16"/>
  <c r="AN47" i="16"/>
  <c r="V49" i="16"/>
  <c r="AB52" i="16"/>
  <c r="T53" i="16"/>
  <c r="AL53" i="16"/>
  <c r="AG15" i="16"/>
  <c r="BD15" i="16" s="1" a="1"/>
  <c r="BD15" i="16" s="1"/>
  <c r="Y20" i="16"/>
  <c r="AH20" i="16"/>
  <c r="Y28" i="16"/>
  <c r="AH28" i="16"/>
  <c r="AJ32" i="16"/>
  <c r="AD43" i="16"/>
  <c r="Y61" i="16"/>
  <c r="AI61" i="16"/>
  <c r="AB64" i="16"/>
  <c r="V67" i="16"/>
  <c r="AL67" i="16"/>
  <c r="AH68" i="16"/>
  <c r="Z69" i="16"/>
  <c r="AC71" i="16"/>
  <c r="AI72" i="16"/>
  <c r="Y86" i="16"/>
  <c r="X86" i="16"/>
  <c r="AG64" i="16"/>
  <c r="AD71" i="16"/>
  <c r="AI64" i="16"/>
  <c r="AB67" i="16"/>
  <c r="AN68" i="16"/>
  <c r="AE71" i="16"/>
  <c r="AE80" i="16"/>
  <c r="X80" i="16"/>
  <c r="AI80" i="16"/>
  <c r="AH84" i="16"/>
  <c r="T84" i="16"/>
  <c r="AF84" i="16"/>
  <c r="AE84" i="16"/>
  <c r="AI84" i="16"/>
  <c r="S64" i="16"/>
  <c r="AJ64" i="16"/>
  <c r="AC67" i="16"/>
  <c r="AJ69" i="16"/>
  <c r="T71" i="16"/>
  <c r="AF71" i="16"/>
  <c r="AH75" i="16"/>
  <c r="T75" i="16"/>
  <c r="AC75" i="16"/>
  <c r="AJ80" i="16"/>
  <c r="AN84" i="16"/>
  <c r="AG34" i="15"/>
  <c r="AE35" i="15"/>
  <c r="AI44" i="15"/>
  <c r="AL48" i="15"/>
  <c r="W49" i="15"/>
  <c r="AM49" i="15"/>
  <c r="V50" i="15"/>
  <c r="AH50" i="15"/>
  <c r="AA53" i="15"/>
  <c r="AM54" i="15"/>
  <c r="Y55" i="15"/>
  <c r="Z58" i="15"/>
  <c r="AJ58" i="15"/>
  <c r="X60" i="15"/>
  <c r="AL60" i="15"/>
  <c r="Z68" i="15"/>
  <c r="W73" i="15"/>
  <c r="AG73" i="15"/>
  <c r="Z85" i="15"/>
  <c r="AJ85" i="15"/>
  <c r="AE11" i="16"/>
  <c r="AF14" i="16"/>
  <c r="W15" i="16"/>
  <c r="AT15" i="16" s="1" a="1"/>
  <c r="AT15" i="16" s="1"/>
  <c r="Z19" i="16"/>
  <c r="AJ19" i="16"/>
  <c r="T20" i="16"/>
  <c r="AC20" i="16"/>
  <c r="AL20" i="16"/>
  <c r="Z27" i="16"/>
  <c r="AJ27" i="16"/>
  <c r="T28" i="16"/>
  <c r="AC28" i="16"/>
  <c r="AL28" i="16"/>
  <c r="V29" i="16"/>
  <c r="AE29" i="16"/>
  <c r="AA30" i="16"/>
  <c r="AL30" i="16"/>
  <c r="Y32" i="16"/>
  <c r="W34" i="16"/>
  <c r="AK34" i="16"/>
  <c r="AG35" i="16"/>
  <c r="Z42" i="16"/>
  <c r="AK42" i="16"/>
  <c r="V43" i="16"/>
  <c r="AL43" i="16"/>
  <c r="AC46" i="16"/>
  <c r="Z60" i="16"/>
  <c r="AJ60" i="16"/>
  <c r="T61" i="16"/>
  <c r="AD61" i="16"/>
  <c r="AN61" i="16"/>
  <c r="W64" i="16"/>
  <c r="AK64" i="16"/>
  <c r="AD67" i="16"/>
  <c r="U68" i="16"/>
  <c r="AL69" i="16"/>
  <c r="U71" i="16"/>
  <c r="AG71" i="16"/>
  <c r="X72" i="16"/>
  <c r="AF75" i="16"/>
  <c r="AE76" i="16"/>
  <c r="T80" i="16"/>
  <c r="AN80" i="16"/>
  <c r="AN82" i="16"/>
  <c r="AG82" i="16"/>
  <c r="W82" i="16"/>
  <c r="AM82" i="16"/>
  <c r="AD82" i="16"/>
  <c r="U82" i="16"/>
  <c r="AA82" i="16"/>
  <c r="AL82" i="16"/>
  <c r="S84" i="16"/>
  <c r="AD85" i="16"/>
  <c r="Z85" i="16"/>
  <c r="S85" i="16"/>
  <c r="AF35" i="15"/>
  <c r="AJ44" i="15"/>
  <c r="AM48" i="15"/>
  <c r="X49" i="15"/>
  <c r="AN49" i="15"/>
  <c r="W50" i="15"/>
  <c r="AI50" i="15"/>
  <c r="AN54" i="15"/>
  <c r="AE55" i="15"/>
  <c r="AA60" i="15"/>
  <c r="AM60" i="15"/>
  <c r="Y73" i="15"/>
  <c r="AH73" i="15"/>
  <c r="Y77" i="15"/>
  <c r="AH77" i="15"/>
  <c r="AA85" i="15"/>
  <c r="AK85" i="15"/>
  <c r="AF11" i="16"/>
  <c r="AG14" i="16"/>
  <c r="X15" i="16"/>
  <c r="AU15" i="16" s="1" a="1"/>
  <c r="AU15" i="16" s="1"/>
  <c r="AD17" i="16"/>
  <c r="AA19" i="16"/>
  <c r="AK19" i="16"/>
  <c r="U20" i="16"/>
  <c r="AD20" i="16"/>
  <c r="AM20" i="16"/>
  <c r="AA27" i="16"/>
  <c r="AK27" i="16"/>
  <c r="U28" i="16"/>
  <c r="AD28" i="16"/>
  <c r="AM28" i="16"/>
  <c r="W29" i="16"/>
  <c r="AG29" i="16"/>
  <c r="AB30" i="16"/>
  <c r="AN30" i="16"/>
  <c r="Z32" i="16"/>
  <c r="X34" i="16"/>
  <c r="AL34" i="16"/>
  <c r="AI35" i="16"/>
  <c r="Y37" i="16"/>
  <c r="AH37" i="16"/>
  <c r="AI40" i="16"/>
  <c r="AB42" i="16"/>
  <c r="AL42" i="16"/>
  <c r="W43" i="16"/>
  <c r="AM43" i="16"/>
  <c r="W45" i="16"/>
  <c r="AG45" i="16"/>
  <c r="AI46" i="16"/>
  <c r="AA60" i="16"/>
  <c r="AK60" i="16"/>
  <c r="U61" i="16"/>
  <c r="AE61" i="16"/>
  <c r="AA62" i="16"/>
  <c r="AM62" i="16"/>
  <c r="X64" i="16"/>
  <c r="Y66" i="16"/>
  <c r="AH66" i="16"/>
  <c r="S67" i="16"/>
  <c r="AF67" i="16"/>
  <c r="W68" i="16"/>
  <c r="S69" i="16"/>
  <c r="Z70" i="16"/>
  <c r="AK70" i="16"/>
  <c r="V71" i="16"/>
  <c r="AL71" i="16"/>
  <c r="Y72" i="16"/>
  <c r="AH73" i="16"/>
  <c r="AG75" i="16"/>
  <c r="AK78" i="16"/>
  <c r="X78" i="16"/>
  <c r="AD78" i="16"/>
  <c r="U80" i="16"/>
  <c r="AG81" i="16"/>
  <c r="AM81" i="16"/>
  <c r="AC81" i="16"/>
  <c r="S81" i="16"/>
  <c r="AK81" i="16"/>
  <c r="AA81" i="16"/>
  <c r="AB81" i="16"/>
  <c r="AB82" i="16"/>
  <c r="W84" i="16"/>
  <c r="AK44" i="15"/>
  <c r="Z50" i="15"/>
  <c r="AJ50" i="15"/>
  <c r="AB60" i="15"/>
  <c r="Z73" i="15"/>
  <c r="AI73" i="15"/>
  <c r="Z77" i="15"/>
  <c r="AI77" i="15"/>
  <c r="AB85" i="15"/>
  <c r="AL85" i="15"/>
  <c r="T11" i="16"/>
  <c r="AE15" i="16"/>
  <c r="BB15" i="16" s="1" a="1"/>
  <c r="BB15" i="16" s="1"/>
  <c r="AE17" i="16"/>
  <c r="AB19" i="16"/>
  <c r="AL19" i="16"/>
  <c r="V20" i="16"/>
  <c r="AE20" i="16"/>
  <c r="AB27" i="16"/>
  <c r="AL27" i="16"/>
  <c r="V28" i="16"/>
  <c r="AE28" i="16"/>
  <c r="Y29" i="16"/>
  <c r="AH29" i="16"/>
  <c r="AB34" i="16"/>
  <c r="AC42" i="16"/>
  <c r="X43" i="16"/>
  <c r="Y45" i="16"/>
  <c r="AH45" i="16"/>
  <c r="AB60" i="16"/>
  <c r="AL60" i="16"/>
  <c r="V61" i="16"/>
  <c r="AC62" i="16"/>
  <c r="Z66" i="16"/>
  <c r="AI66" i="16"/>
  <c r="T67" i="16"/>
  <c r="AA70" i="16"/>
  <c r="W71" i="16"/>
  <c r="S75" i="16"/>
  <c r="AI75" i="16"/>
  <c r="AE78" i="16"/>
  <c r="T79" i="16"/>
  <c r="V80" i="16"/>
  <c r="AD81" i="16"/>
  <c r="AC82" i="16"/>
  <c r="X84" i="16"/>
  <c r="AA85" i="16"/>
  <c r="W89" i="16"/>
  <c r="AI89" i="16"/>
  <c r="S90" i="16"/>
  <c r="AB90" i="16"/>
  <c r="AK90" i="16"/>
  <c r="Z89" i="16"/>
  <c r="AJ89" i="16"/>
  <c r="T90" i="16"/>
  <c r="AC90" i="16"/>
  <c r="AL90" i="16"/>
  <c r="AA89" i="16"/>
  <c r="AK89" i="16"/>
  <c r="U90" i="16"/>
  <c r="AD90" i="16"/>
  <c r="AM90" i="16"/>
  <c r="W87" i="16"/>
  <c r="AJ87" i="16"/>
  <c r="AB89" i="16"/>
  <c r="AL89" i="16"/>
  <c r="V90" i="16"/>
  <c r="AE90" i="16"/>
  <c r="X87" i="16"/>
  <c r="AK87" i="16"/>
  <c r="S89" i="16"/>
  <c r="AC89" i="16"/>
  <c r="AM89" i="16"/>
  <c r="W90" i="16"/>
  <c r="AG90" i="16"/>
  <c r="Y90" i="16"/>
  <c r="AH90" i="16"/>
  <c r="AC87" i="16"/>
  <c r="U89" i="16"/>
  <c r="AE89" i="16"/>
  <c r="Z90" i="16"/>
  <c r="AI90" i="16"/>
  <c r="V89" i="16"/>
  <c r="AH89" i="16"/>
  <c r="AA90" i="16"/>
  <c r="AJ90" i="16"/>
  <c r="B1" i="16"/>
  <c r="AL22" i="16"/>
  <c r="AD22" i="16"/>
  <c r="V22" i="16"/>
  <c r="AK22" i="16"/>
  <c r="AC22" i="16"/>
  <c r="U22" i="16"/>
  <c r="AJ22" i="16"/>
  <c r="AB22" i="16"/>
  <c r="T22" i="16"/>
  <c r="AM22" i="16"/>
  <c r="AE22" i="16"/>
  <c r="W22" i="16"/>
  <c r="AN22" i="16"/>
  <c r="X22" i="16"/>
  <c r="AI22" i="16"/>
  <c r="S22" i="16"/>
  <c r="AH22" i="16"/>
  <c r="AG22" i="16"/>
  <c r="AM21" i="16"/>
  <c r="AE21" i="16"/>
  <c r="W21" i="16"/>
  <c r="AL21" i="16"/>
  <c r="AD21" i="16"/>
  <c r="V21" i="16"/>
  <c r="AK21" i="16"/>
  <c r="AC21" i="16"/>
  <c r="U21" i="16"/>
  <c r="AH21" i="16"/>
  <c r="T21" i="16"/>
  <c r="AG21" i="16"/>
  <c r="S21" i="16"/>
  <c r="AF21" i="16"/>
  <c r="AB21" i="16"/>
  <c r="AN21" i="16"/>
  <c r="AI25" i="16"/>
  <c r="AA25" i="16"/>
  <c r="S25" i="16"/>
  <c r="AH25" i="16"/>
  <c r="Z25" i="16"/>
  <c r="AG25" i="16"/>
  <c r="Y25" i="16"/>
  <c r="AJ25" i="16"/>
  <c r="AB25" i="16"/>
  <c r="T25" i="16"/>
  <c r="AN25" i="16"/>
  <c r="X25" i="16"/>
  <c r="AM25" i="16"/>
  <c r="W25" i="16"/>
  <c r="AL25" i="16"/>
  <c r="V25" i="16"/>
  <c r="AK25" i="16"/>
  <c r="U25" i="16"/>
  <c r="AL31" i="16"/>
  <c r="AD31" i="16"/>
  <c r="V31" i="16"/>
  <c r="AK31" i="16"/>
  <c r="AB31" i="16"/>
  <c r="S31" i="16"/>
  <c r="AJ31" i="16"/>
  <c r="AA31" i="16"/>
  <c r="AI31" i="16"/>
  <c r="Z31" i="16"/>
  <c r="AM31" i="16"/>
  <c r="AC31" i="16"/>
  <c r="T31" i="16"/>
  <c r="X31" i="16"/>
  <c r="W31" i="16"/>
  <c r="AN31" i="16"/>
  <c r="U31" i="16"/>
  <c r="AH31" i="16"/>
  <c r="AH51" i="16"/>
  <c r="Z51" i="16"/>
  <c r="AG51" i="16"/>
  <c r="Y51" i="16"/>
  <c r="AN51" i="16"/>
  <c r="AD51" i="16"/>
  <c r="T51" i="16"/>
  <c r="AM51" i="16"/>
  <c r="AC51" i="16"/>
  <c r="S51" i="16"/>
  <c r="AL51" i="16"/>
  <c r="AB51" i="16"/>
  <c r="AE51" i="16"/>
  <c r="U51" i="16"/>
  <c r="X51" i="16"/>
  <c r="W51" i="16"/>
  <c r="V51" i="16"/>
  <c r="AK51" i="16"/>
  <c r="AI50" i="16"/>
  <c r="AA50" i="16"/>
  <c r="S50" i="16"/>
  <c r="AH50" i="16"/>
  <c r="Z50" i="16"/>
  <c r="AJ50" i="16"/>
  <c r="X50" i="16"/>
  <c r="AG50" i="16"/>
  <c r="W50" i="16"/>
  <c r="AF50" i="16"/>
  <c r="V50" i="16"/>
  <c r="AK50" i="16"/>
  <c r="Y50" i="16"/>
  <c r="AE50" i="16"/>
  <c r="AD50" i="16"/>
  <c r="AC50" i="16"/>
  <c r="AB50" i="16"/>
  <c r="AL55" i="16"/>
  <c r="AD55" i="16"/>
  <c r="V55" i="16"/>
  <c r="AK55" i="16"/>
  <c r="AC55" i="16"/>
  <c r="U55" i="16"/>
  <c r="AJ55" i="16"/>
  <c r="AB55" i="16"/>
  <c r="T55" i="16"/>
  <c r="AG55" i="16"/>
  <c r="S55" i="16"/>
  <c r="AF55" i="16"/>
  <c r="AE55" i="16"/>
  <c r="AH55" i="16"/>
  <c r="W55" i="16"/>
  <c r="AI55" i="16"/>
  <c r="AA55" i="16"/>
  <c r="Z55" i="16"/>
  <c r="Y55" i="16"/>
  <c r="Y22" i="16"/>
  <c r="Y31" i="16"/>
  <c r="AA51" i="16"/>
  <c r="AH88" i="16"/>
  <c r="Z88" i="16"/>
  <c r="AG88" i="16"/>
  <c r="Y88" i="16"/>
  <c r="AF88" i="16"/>
  <c r="V88" i="16"/>
  <c r="AE88" i="16"/>
  <c r="U88" i="16"/>
  <c r="AN88" i="16"/>
  <c r="AD88" i="16"/>
  <c r="T88" i="16"/>
  <c r="AI88" i="16"/>
  <c r="W88" i="16"/>
  <c r="AA88" i="16"/>
  <c r="X88" i="16"/>
  <c r="AM88" i="16"/>
  <c r="S88" i="16"/>
  <c r="AB88" i="16"/>
  <c r="AL88" i="16"/>
  <c r="AK88" i="16"/>
  <c r="AJ88" i="16"/>
  <c r="AE31" i="16"/>
  <c r="AF51" i="16"/>
  <c r="AJ57" i="16"/>
  <c r="AB57" i="16"/>
  <c r="T57" i="16"/>
  <c r="AI57" i="16"/>
  <c r="AA57" i="16"/>
  <c r="S57" i="16"/>
  <c r="AH57" i="16"/>
  <c r="Z57" i="16"/>
  <c r="AG57" i="16"/>
  <c r="V57" i="16"/>
  <c r="AF57" i="16"/>
  <c r="U57" i="16"/>
  <c r="AE57" i="16"/>
  <c r="AK57" i="16"/>
  <c r="W57" i="16"/>
  <c r="AC57" i="16"/>
  <c r="Y57" i="16"/>
  <c r="X57" i="16"/>
  <c r="AI63" i="16"/>
  <c r="AA63" i="16"/>
  <c r="S63" i="16"/>
  <c r="AL63" i="16"/>
  <c r="AC63" i="16"/>
  <c r="T63" i="16"/>
  <c r="AK63" i="16"/>
  <c r="AB63" i="16"/>
  <c r="AJ63" i="16"/>
  <c r="Z63" i="16"/>
  <c r="Y63" i="16"/>
  <c r="AN63" i="16"/>
  <c r="X63" i="16"/>
  <c r="AM63" i="16"/>
  <c r="W63" i="16"/>
  <c r="AD63" i="16"/>
  <c r="AF63" i="16"/>
  <c r="AE63" i="16"/>
  <c r="V63" i="16"/>
  <c r="U63" i="16"/>
  <c r="AM13" i="16"/>
  <c r="AE13" i="16"/>
  <c r="W13" i="16"/>
  <c r="AL13" i="16"/>
  <c r="AD13" i="16"/>
  <c r="V13" i="16"/>
  <c r="AH13" i="16"/>
  <c r="X13" i="16"/>
  <c r="AG13" i="16"/>
  <c r="U13" i="16"/>
  <c r="AF13" i="16"/>
  <c r="T13" i="16"/>
  <c r="AC13" i="16"/>
  <c r="S13" i="16"/>
  <c r="AJ13" i="16"/>
  <c r="AA21" i="16"/>
  <c r="AA22" i="16"/>
  <c r="AF25" i="16"/>
  <c r="AF31" i="16"/>
  <c r="AJ41" i="16"/>
  <c r="AB41" i="16"/>
  <c r="T41" i="16"/>
  <c r="AF41" i="16"/>
  <c r="W41" i="16"/>
  <c r="AN41" i="16"/>
  <c r="AE41" i="16"/>
  <c r="V41" i="16"/>
  <c r="AM41" i="16"/>
  <c r="AD41" i="16"/>
  <c r="U41" i="16"/>
  <c r="AG41" i="16"/>
  <c r="X41" i="16"/>
  <c r="AA41" i="16"/>
  <c r="Z41" i="16"/>
  <c r="Y41" i="16"/>
  <c r="AL41" i="16"/>
  <c r="S41" i="16"/>
  <c r="U50" i="16"/>
  <c r="AI51" i="16"/>
  <c r="AM55" i="16"/>
  <c r="AC88" i="16"/>
  <c r="AK13" i="16"/>
  <c r="AI21" i="16"/>
  <c r="AF22" i="16"/>
  <c r="AG31" i="16"/>
  <c r="AG36" i="16"/>
  <c r="Y36" i="16"/>
  <c r="AM36" i="16"/>
  <c r="AD36" i="16"/>
  <c r="U36" i="16"/>
  <c r="AL36" i="16"/>
  <c r="AC36" i="16"/>
  <c r="T36" i="16"/>
  <c r="AK36" i="16"/>
  <c r="AB36" i="16"/>
  <c r="S36" i="16"/>
  <c r="AN36" i="16"/>
  <c r="AE36" i="16"/>
  <c r="V36" i="16"/>
  <c r="X36" i="16"/>
  <c r="W36" i="16"/>
  <c r="AJ36" i="16"/>
  <c r="AI36" i="16"/>
  <c r="AL50" i="16"/>
  <c r="AJ51" i="16"/>
  <c r="AN55" i="16"/>
  <c r="AD57" i="16"/>
  <c r="AG63" i="16"/>
  <c r="Z22" i="16"/>
  <c r="AN13" i="16"/>
  <c r="AJ21" i="16"/>
  <c r="AK23" i="16"/>
  <c r="AC23" i="16"/>
  <c r="U23" i="16"/>
  <c r="AJ23" i="16"/>
  <c r="AB23" i="16"/>
  <c r="T23" i="16"/>
  <c r="AI23" i="16"/>
  <c r="AA23" i="16"/>
  <c r="S23" i="16"/>
  <c r="AL23" i="16"/>
  <c r="AD23" i="16"/>
  <c r="V23" i="16"/>
  <c r="AE23" i="16"/>
  <c r="Z23" i="16"/>
  <c r="Y23" i="16"/>
  <c r="AN23" i="16"/>
  <c r="X23" i="16"/>
  <c r="AH35" i="16"/>
  <c r="Z35" i="16"/>
  <c r="AL35" i="16"/>
  <c r="AC35" i="16"/>
  <c r="T35" i="16"/>
  <c r="AK35" i="16"/>
  <c r="AB35" i="16"/>
  <c r="S35" i="16"/>
  <c r="AJ35" i="16"/>
  <c r="AA35" i="16"/>
  <c r="AM35" i="16"/>
  <c r="AD35" i="16"/>
  <c r="U35" i="16"/>
  <c r="AF35" i="16"/>
  <c r="AE35" i="16"/>
  <c r="Y35" i="16"/>
  <c r="X35" i="16"/>
  <c r="AG44" i="16"/>
  <c r="Y44" i="16"/>
  <c r="AL44" i="16"/>
  <c r="AC44" i="16"/>
  <c r="T44" i="16"/>
  <c r="AK44" i="16"/>
  <c r="AB44" i="16"/>
  <c r="S44" i="16"/>
  <c r="AJ44" i="16"/>
  <c r="AA44" i="16"/>
  <c r="AM44" i="16"/>
  <c r="AD44" i="16"/>
  <c r="U44" i="16"/>
  <c r="AF44" i="16"/>
  <c r="AE44" i="16"/>
  <c r="Z44" i="16"/>
  <c r="X44" i="16"/>
  <c r="AM50" i="16"/>
  <c r="AK56" i="16"/>
  <c r="AC56" i="16"/>
  <c r="U56" i="16"/>
  <c r="AJ56" i="16"/>
  <c r="AB56" i="16"/>
  <c r="T56" i="16"/>
  <c r="AI56" i="16"/>
  <c r="AA56" i="16"/>
  <c r="S56" i="16"/>
  <c r="AG56" i="16"/>
  <c r="V56" i="16"/>
  <c r="AF56" i="16"/>
  <c r="AE56" i="16"/>
  <c r="AH56" i="16"/>
  <c r="W56" i="16"/>
  <c r="AD56" i="16"/>
  <c r="Z56" i="16"/>
  <c r="Y56" i="16"/>
  <c r="X56" i="16"/>
  <c r="AL57" i="16"/>
  <c r="AH63" i="16"/>
  <c r="AG11" i="16"/>
  <c r="Y11" i="16"/>
  <c r="X11" i="16"/>
  <c r="AH11" i="16"/>
  <c r="AL14" i="16"/>
  <c r="AD14" i="16"/>
  <c r="V14" i="16"/>
  <c r="AK14" i="16"/>
  <c r="AC14" i="16"/>
  <c r="U14" i="16"/>
  <c r="Z14" i="16"/>
  <c r="AJ14" i="16"/>
  <c r="AI58" i="16"/>
  <c r="AA58" i="16"/>
  <c r="S58" i="16"/>
  <c r="AH58" i="16"/>
  <c r="Z58" i="16"/>
  <c r="AG58" i="16"/>
  <c r="Y58" i="16"/>
  <c r="AF58" i="16"/>
  <c r="U58" i="16"/>
  <c r="AE58" i="16"/>
  <c r="T58" i="16"/>
  <c r="AD58" i="16"/>
  <c r="AJ58" i="16"/>
  <c r="V58" i="16"/>
  <c r="AM58" i="16"/>
  <c r="AG73" i="16"/>
  <c r="Y73" i="16"/>
  <c r="AN73" i="16"/>
  <c r="AE73" i="16"/>
  <c r="V73" i="16"/>
  <c r="AM73" i="16"/>
  <c r="AD73" i="16"/>
  <c r="U73" i="16"/>
  <c r="AL73" i="16"/>
  <c r="AC73" i="16"/>
  <c r="T73" i="16"/>
  <c r="AF73" i="16"/>
  <c r="W73" i="16"/>
  <c r="X73" i="16"/>
  <c r="AK73" i="16"/>
  <c r="S73" i="16"/>
  <c r="AJ73" i="16"/>
  <c r="Z73" i="16"/>
  <c r="Z11" i="16"/>
  <c r="AI11" i="16"/>
  <c r="AA14" i="16"/>
  <c r="AM14" i="16"/>
  <c r="Y15" i="16"/>
  <c r="AV15" i="16" s="1" a="1"/>
  <c r="AV15" i="16" s="1"/>
  <c r="AM15" i="16"/>
  <c r="BJ15" i="16" s="1" a="1"/>
  <c r="BJ15" i="16" s="1"/>
  <c r="Y16" i="16"/>
  <c r="AM16" i="16"/>
  <c r="AJ24" i="16"/>
  <c r="AB24" i="16"/>
  <c r="T24" i="16"/>
  <c r="AI24" i="16"/>
  <c r="AA24" i="16"/>
  <c r="S24" i="16"/>
  <c r="AH24" i="16"/>
  <c r="Z24" i="16"/>
  <c r="AK24" i="16"/>
  <c r="AC24" i="16"/>
  <c r="U24" i="16"/>
  <c r="AF24" i="16"/>
  <c r="AN58" i="16"/>
  <c r="AM83" i="16"/>
  <c r="AE83" i="16"/>
  <c r="W83" i="16"/>
  <c r="AL83" i="16"/>
  <c r="AD83" i="16"/>
  <c r="V83" i="16"/>
  <c r="AF83" i="16"/>
  <c r="T83" i="16"/>
  <c r="AC83" i="16"/>
  <c r="S83" i="16"/>
  <c r="AN83" i="16"/>
  <c r="AB83" i="16"/>
  <c r="AG83" i="16"/>
  <c r="U83" i="16"/>
  <c r="Y83" i="16"/>
  <c r="X83" i="16"/>
  <c r="AK83" i="16"/>
  <c r="Z83" i="16"/>
  <c r="AA11" i="16"/>
  <c r="AJ11" i="16"/>
  <c r="AB14" i="16"/>
  <c r="AN14" i="16"/>
  <c r="Z15" i="16"/>
  <c r="AW15" i="16" s="1" a="1"/>
  <c r="AW15" i="16" s="1"/>
  <c r="AC16" i="16"/>
  <c r="AB17" i="16"/>
  <c r="AG24" i="16"/>
  <c r="AK32" i="16"/>
  <c r="AC32" i="16"/>
  <c r="U32" i="16"/>
  <c r="AN32" i="16"/>
  <c r="AE32" i="16"/>
  <c r="V32" i="16"/>
  <c r="AM32" i="16"/>
  <c r="AD32" i="16"/>
  <c r="T32" i="16"/>
  <c r="AL32" i="16"/>
  <c r="AB32" i="16"/>
  <c r="S32" i="16"/>
  <c r="AF32" i="16"/>
  <c r="W32" i="16"/>
  <c r="AH32" i="16"/>
  <c r="W58" i="16"/>
  <c r="AG65" i="16"/>
  <c r="Y65" i="16"/>
  <c r="AF65" i="16"/>
  <c r="W65" i="16"/>
  <c r="AN65" i="16"/>
  <c r="AE65" i="16"/>
  <c r="V65" i="16"/>
  <c r="AM65" i="16"/>
  <c r="AD65" i="16"/>
  <c r="U65" i="16"/>
  <c r="AI65" i="16"/>
  <c r="S65" i="16"/>
  <c r="AH65" i="16"/>
  <c r="AC65" i="16"/>
  <c r="AJ65" i="16"/>
  <c r="T65" i="16"/>
  <c r="AA73" i="16"/>
  <c r="S11" i="16"/>
  <c r="AB11" i="16"/>
  <c r="AK11" i="16"/>
  <c r="S14" i="16"/>
  <c r="AE14" i="16"/>
  <c r="AK15" i="16"/>
  <c r="BH15" i="16" s="1" a="1"/>
  <c r="BH15" i="16" s="1"/>
  <c r="AC15" i="16"/>
  <c r="AZ15" i="16" s="1" a="1"/>
  <c r="AZ15" i="16" s="1"/>
  <c r="U15" i="16"/>
  <c r="AR15" i="16" s="1" a="1"/>
  <c r="AR15" i="16" s="1"/>
  <c r="AJ15" i="16"/>
  <c r="BG15" i="16" s="1" a="1"/>
  <c r="BG15" i="16" s="1"/>
  <c r="AB15" i="16"/>
  <c r="AY15" i="16" s="1" a="1"/>
  <c r="AY15" i="16" s="1"/>
  <c r="T15" i="16"/>
  <c r="AQ15" i="16" s="1" a="1"/>
  <c r="AQ15" i="16" s="1"/>
  <c r="AI15" i="16"/>
  <c r="BF15" i="16" s="1" a="1"/>
  <c r="BF15" i="16" s="1"/>
  <c r="AA15" i="16"/>
  <c r="AX15" i="16" s="1" a="1"/>
  <c r="AX15" i="16" s="1"/>
  <c r="S15" i="16"/>
  <c r="AP15" i="16" s="1" a="1"/>
  <c r="AP15" i="16" s="1"/>
  <c r="AD15" i="16"/>
  <c r="BA15" i="16" s="1" a="1"/>
  <c r="BA15" i="16" s="1"/>
  <c r="AJ16" i="16"/>
  <c r="AB16" i="16"/>
  <c r="T16" i="16"/>
  <c r="AI16" i="16"/>
  <c r="AA16" i="16"/>
  <c r="S16" i="16"/>
  <c r="AH16" i="16"/>
  <c r="Z16" i="16"/>
  <c r="AD16" i="16"/>
  <c r="AI17" i="16"/>
  <c r="AA17" i="16"/>
  <c r="S17" i="16"/>
  <c r="AH17" i="16"/>
  <c r="Z17" i="16"/>
  <c r="AG17" i="16"/>
  <c r="Y17" i="16"/>
  <c r="AC17" i="16"/>
  <c r="AN17" i="16"/>
  <c r="V24" i="16"/>
  <c r="AL24" i="16"/>
  <c r="AI32" i="16"/>
  <c r="AK40" i="16"/>
  <c r="AC40" i="16"/>
  <c r="U40" i="16"/>
  <c r="AM40" i="16"/>
  <c r="AD40" i="16"/>
  <c r="T40" i="16"/>
  <c r="AL40" i="16"/>
  <c r="AB40" i="16"/>
  <c r="S40" i="16"/>
  <c r="AJ40" i="16"/>
  <c r="AA40" i="16"/>
  <c r="AN40" i="16"/>
  <c r="AE40" i="16"/>
  <c r="V40" i="16"/>
  <c r="AH40" i="16"/>
  <c r="AK48" i="16"/>
  <c r="AC48" i="16"/>
  <c r="U48" i="16"/>
  <c r="AJ48" i="16"/>
  <c r="AB48" i="16"/>
  <c r="T48" i="16"/>
  <c r="AF48" i="16"/>
  <c r="V48" i="16"/>
  <c r="AE48" i="16"/>
  <c r="S48" i="16"/>
  <c r="AN48" i="16"/>
  <c r="AD48" i="16"/>
  <c r="AG48" i="16"/>
  <c r="W48" i="16"/>
  <c r="AL48" i="16"/>
  <c r="AM54" i="16"/>
  <c r="AE54" i="16"/>
  <c r="W54" i="16"/>
  <c r="AL54" i="16"/>
  <c r="AD54" i="16"/>
  <c r="V54" i="16"/>
  <c r="AK54" i="16"/>
  <c r="AG54" i="16"/>
  <c r="U54" i="16"/>
  <c r="AF54" i="16"/>
  <c r="T54" i="16"/>
  <c r="AC54" i="16"/>
  <c r="S54" i="16"/>
  <c r="AH54" i="16"/>
  <c r="X54" i="16"/>
  <c r="AJ54" i="16"/>
  <c r="X58" i="16"/>
  <c r="AB73" i="16"/>
  <c r="AL76" i="16"/>
  <c r="AD76" i="16"/>
  <c r="V76" i="16"/>
  <c r="AK76" i="16"/>
  <c r="AC76" i="16"/>
  <c r="U76" i="16"/>
  <c r="AH76" i="16"/>
  <c r="X76" i="16"/>
  <c r="AG76" i="16"/>
  <c r="W76" i="16"/>
  <c r="AF76" i="16"/>
  <c r="T76" i="16"/>
  <c r="AI76" i="16"/>
  <c r="Y76" i="16"/>
  <c r="S76" i="16"/>
  <c r="AN76" i="16"/>
  <c r="AM76" i="16"/>
  <c r="Z76" i="16"/>
  <c r="AI79" i="16"/>
  <c r="AA79" i="16"/>
  <c r="S79" i="16"/>
  <c r="AH79" i="16"/>
  <c r="Z79" i="16"/>
  <c r="AG79" i="16"/>
  <c r="W79" i="16"/>
  <c r="AF79" i="16"/>
  <c r="V79" i="16"/>
  <c r="AE79" i="16"/>
  <c r="U79" i="16"/>
  <c r="AJ79" i="16"/>
  <c r="X79" i="16"/>
  <c r="AC79" i="16"/>
  <c r="AB79" i="16"/>
  <c r="Y79" i="16"/>
  <c r="AD79" i="16"/>
  <c r="AA83" i="16"/>
  <c r="AJ33" i="16"/>
  <c r="AB33" i="16"/>
  <c r="T33" i="16"/>
  <c r="Y33" i="16"/>
  <c r="AH33" i="16"/>
  <c r="AM46" i="16"/>
  <c r="AE46" i="16"/>
  <c r="W46" i="16"/>
  <c r="Y46" i="16"/>
  <c r="AH46" i="16"/>
  <c r="AL68" i="16"/>
  <c r="AD68" i="16"/>
  <c r="V68" i="16"/>
  <c r="AM68" i="16"/>
  <c r="AC68" i="16"/>
  <c r="T68" i="16"/>
  <c r="AK68" i="16"/>
  <c r="AB68" i="16"/>
  <c r="S68" i="16"/>
  <c r="AJ68" i="16"/>
  <c r="AA68" i="16"/>
  <c r="AF68" i="16"/>
  <c r="AJ86" i="16"/>
  <c r="AB86" i="16"/>
  <c r="T86" i="16"/>
  <c r="AI86" i="16"/>
  <c r="AA86" i="16"/>
  <c r="S86" i="16"/>
  <c r="AE86" i="16"/>
  <c r="U86" i="16"/>
  <c r="AN86" i="16"/>
  <c r="AD86" i="16"/>
  <c r="AM86" i="16"/>
  <c r="AC86" i="16"/>
  <c r="AF86" i="16"/>
  <c r="V86" i="16"/>
  <c r="AK86" i="16"/>
  <c r="X18" i="16"/>
  <c r="AF18" i="16"/>
  <c r="AN18" i="16"/>
  <c r="X26" i="16"/>
  <c r="AF26" i="16"/>
  <c r="AN26" i="16"/>
  <c r="V33" i="16"/>
  <c r="AE33" i="16"/>
  <c r="AN33" i="16"/>
  <c r="AL39" i="16"/>
  <c r="AD39" i="16"/>
  <c r="V39" i="16"/>
  <c r="Y39" i="16"/>
  <c r="AH39" i="16"/>
  <c r="AH43" i="16"/>
  <c r="Z43" i="16"/>
  <c r="Y43" i="16"/>
  <c r="AI43" i="16"/>
  <c r="U46" i="16"/>
  <c r="AD46" i="16"/>
  <c r="AN46" i="16"/>
  <c r="Y68" i="16"/>
  <c r="AK69" i="16"/>
  <c r="AC69" i="16"/>
  <c r="U69" i="16"/>
  <c r="AF69" i="16"/>
  <c r="W69" i="16"/>
  <c r="AN69" i="16"/>
  <c r="AE69" i="16"/>
  <c r="V69" i="16"/>
  <c r="AM69" i="16"/>
  <c r="AD69" i="16"/>
  <c r="T69" i="16"/>
  <c r="AB69" i="16"/>
  <c r="AK85" i="16"/>
  <c r="AC85" i="16"/>
  <c r="U85" i="16"/>
  <c r="AJ85" i="16"/>
  <c r="AB85" i="16"/>
  <c r="T85" i="16"/>
  <c r="AH85" i="16"/>
  <c r="X85" i="16"/>
  <c r="AG85" i="16"/>
  <c r="W85" i="16"/>
  <c r="AF85" i="16"/>
  <c r="V85" i="16"/>
  <c r="AI85" i="16"/>
  <c r="Y85" i="16"/>
  <c r="AL85" i="16"/>
  <c r="Z86" i="16"/>
  <c r="Y18" i="16"/>
  <c r="AG18" i="16"/>
  <c r="X19" i="16"/>
  <c r="AF19" i="16"/>
  <c r="AN19" i="16"/>
  <c r="Y26" i="16"/>
  <c r="AG26" i="16"/>
  <c r="X27" i="16"/>
  <c r="AF27" i="16"/>
  <c r="AN27" i="16"/>
  <c r="AM30" i="16"/>
  <c r="AE30" i="16"/>
  <c r="W30" i="16"/>
  <c r="Y30" i="16"/>
  <c r="AH30" i="16"/>
  <c r="W33" i="16"/>
  <c r="AF33" i="16"/>
  <c r="AI34" i="16"/>
  <c r="AA34" i="16"/>
  <c r="S34" i="16"/>
  <c r="Y34" i="16"/>
  <c r="AH34" i="16"/>
  <c r="Z39" i="16"/>
  <c r="AI39" i="16"/>
  <c r="AA43" i="16"/>
  <c r="AJ43" i="16"/>
  <c r="V46" i="16"/>
  <c r="AF46" i="16"/>
  <c r="AL47" i="16"/>
  <c r="AD47" i="16"/>
  <c r="V47" i="16"/>
  <c r="AK47" i="16"/>
  <c r="Y47" i="16"/>
  <c r="AH47" i="16"/>
  <c r="AJ49" i="16"/>
  <c r="AB49" i="16"/>
  <c r="T49" i="16"/>
  <c r="AI49" i="16"/>
  <c r="AA49" i="16"/>
  <c r="S49" i="16"/>
  <c r="Z49" i="16"/>
  <c r="AL49" i="16"/>
  <c r="Z68" i="16"/>
  <c r="AG69" i="16"/>
  <c r="AH72" i="16"/>
  <c r="Z72" i="16"/>
  <c r="AM72" i="16"/>
  <c r="AD72" i="16"/>
  <c r="U72" i="16"/>
  <c r="AL72" i="16"/>
  <c r="AC72" i="16"/>
  <c r="T72" i="16"/>
  <c r="AK72" i="16"/>
  <c r="AB72" i="16"/>
  <c r="S72" i="16"/>
  <c r="AF72" i="16"/>
  <c r="AM85" i="16"/>
  <c r="AG86" i="16"/>
  <c r="X12" i="16"/>
  <c r="AF12" i="16"/>
  <c r="Z18" i="16"/>
  <c r="Y19" i="16"/>
  <c r="X20" i="16"/>
  <c r="AF20" i="16"/>
  <c r="Z26" i="16"/>
  <c r="Y27" i="16"/>
  <c r="X28" i="16"/>
  <c r="AF28" i="16"/>
  <c r="Z30" i="16"/>
  <c r="AI30" i="16"/>
  <c r="X33" i="16"/>
  <c r="AG33" i="16"/>
  <c r="Z34" i="16"/>
  <c r="AJ34" i="16"/>
  <c r="AM38" i="16"/>
  <c r="AE38" i="16"/>
  <c r="W38" i="16"/>
  <c r="Y38" i="16"/>
  <c r="AH38" i="16"/>
  <c r="AA39" i="16"/>
  <c r="AJ39" i="16"/>
  <c r="AI42" i="16"/>
  <c r="AA42" i="16"/>
  <c r="S42" i="16"/>
  <c r="Y42" i="16"/>
  <c r="AH42" i="16"/>
  <c r="S43" i="16"/>
  <c r="AB43" i="16"/>
  <c r="AK43" i="16"/>
  <c r="X46" i="16"/>
  <c r="AG46" i="16"/>
  <c r="Z47" i="16"/>
  <c r="AI47" i="16"/>
  <c r="AC49" i="16"/>
  <c r="AM49" i="16"/>
  <c r="AH64" i="16"/>
  <c r="Z64" i="16"/>
  <c r="AN64" i="16"/>
  <c r="AE64" i="16"/>
  <c r="V64" i="16"/>
  <c r="AM64" i="16"/>
  <c r="AD64" i="16"/>
  <c r="U64" i="16"/>
  <c r="AL64" i="16"/>
  <c r="AC64" i="16"/>
  <c r="T64" i="16"/>
  <c r="AF64" i="16"/>
  <c r="AE68" i="16"/>
  <c r="AH69" i="16"/>
  <c r="AG72" i="16"/>
  <c r="AK77" i="16"/>
  <c r="AC77" i="16"/>
  <c r="U77" i="16"/>
  <c r="AJ77" i="16"/>
  <c r="AB77" i="16"/>
  <c r="T77" i="16"/>
  <c r="AE77" i="16"/>
  <c r="S77" i="16"/>
  <c r="AN77" i="16"/>
  <c r="AD77" i="16"/>
  <c r="AM77" i="16"/>
  <c r="AA77" i="16"/>
  <c r="AF77" i="16"/>
  <c r="V77" i="16"/>
  <c r="AI77" i="16"/>
  <c r="AN85" i="16"/>
  <c r="AH86" i="16"/>
  <c r="X59" i="16"/>
  <c r="AF59" i="16"/>
  <c r="AN59" i="16"/>
  <c r="AM67" i="16"/>
  <c r="AE67" i="16"/>
  <c r="W67" i="16"/>
  <c r="Y67" i="16"/>
  <c r="AH67" i="16"/>
  <c r="AI71" i="16"/>
  <c r="AA71" i="16"/>
  <c r="S71" i="16"/>
  <c r="Y71" i="16"/>
  <c r="AH71" i="16"/>
  <c r="AH80" i="16"/>
  <c r="Z80" i="16"/>
  <c r="AG80" i="16"/>
  <c r="Y80" i="16"/>
  <c r="AA80" i="16"/>
  <c r="AK80" i="16"/>
  <c r="X52" i="16"/>
  <c r="AF52" i="16"/>
  <c r="AN52" i="16"/>
  <c r="Y59" i="16"/>
  <c r="AG59" i="16"/>
  <c r="X60" i="16"/>
  <c r="AF60" i="16"/>
  <c r="AN60" i="16"/>
  <c r="AJ62" i="16"/>
  <c r="AB62" i="16"/>
  <c r="T62" i="16"/>
  <c r="Y62" i="16"/>
  <c r="AH62" i="16"/>
  <c r="Z67" i="16"/>
  <c r="AI67" i="16"/>
  <c r="Z71" i="16"/>
  <c r="AJ71" i="16"/>
  <c r="AM75" i="16"/>
  <c r="AE75" i="16"/>
  <c r="W75" i="16"/>
  <c r="AL75" i="16"/>
  <c r="AD75" i="16"/>
  <c r="V75" i="16"/>
  <c r="Z75" i="16"/>
  <c r="AJ75" i="16"/>
  <c r="AB80" i="16"/>
  <c r="AL80" i="16"/>
  <c r="AL84" i="16"/>
  <c r="AD84" i="16"/>
  <c r="V84" i="16"/>
  <c r="AK84" i="16"/>
  <c r="AC84" i="16"/>
  <c r="U84" i="16"/>
  <c r="Z84" i="16"/>
  <c r="AJ84" i="16"/>
  <c r="X29" i="16"/>
  <c r="AF29" i="16"/>
  <c r="X37" i="16"/>
  <c r="AF37" i="16"/>
  <c r="X45" i="16"/>
  <c r="AF45" i="16"/>
  <c r="Y52" i="16"/>
  <c r="X53" i="16"/>
  <c r="AF53" i="16"/>
  <c r="Z59" i="16"/>
  <c r="Y60" i="16"/>
  <c r="AK61" i="16"/>
  <c r="AC61" i="16"/>
  <c r="X61" i="16"/>
  <c r="AG61" i="16"/>
  <c r="Z62" i="16"/>
  <c r="AI62" i="16"/>
  <c r="AA67" i="16"/>
  <c r="AJ67" i="16"/>
  <c r="AJ70" i="16"/>
  <c r="AB70" i="16"/>
  <c r="T70" i="16"/>
  <c r="Y70" i="16"/>
  <c r="AH70" i="16"/>
  <c r="AB71" i="16"/>
  <c r="AK71" i="16"/>
  <c r="AA75" i="16"/>
  <c r="AK75" i="16"/>
  <c r="AJ78" i="16"/>
  <c r="AB78" i="16"/>
  <c r="T78" i="16"/>
  <c r="AI78" i="16"/>
  <c r="AA78" i="16"/>
  <c r="S78" i="16"/>
  <c r="Z78" i="16"/>
  <c r="AL78" i="16"/>
  <c r="S80" i="16"/>
  <c r="AC80" i="16"/>
  <c r="AM80" i="16"/>
  <c r="AA84" i="16"/>
  <c r="AM84" i="16"/>
  <c r="AI87" i="16"/>
  <c r="AA87" i="16"/>
  <c r="S87" i="16"/>
  <c r="AH87" i="16"/>
  <c r="Z87" i="16"/>
  <c r="AB87" i="16"/>
  <c r="AL87" i="16"/>
  <c r="X81" i="16"/>
  <c r="AF81" i="16"/>
  <c r="AN81" i="16"/>
  <c r="X89" i="16"/>
  <c r="AF89" i="16"/>
  <c r="AN89" i="16"/>
  <c r="X66" i="16"/>
  <c r="AF66" i="16"/>
  <c r="X74" i="16"/>
  <c r="AF74" i="16"/>
  <c r="Y81" i="16"/>
  <c r="X82" i="16"/>
  <c r="AF82" i="16"/>
  <c r="Y89" i="16"/>
  <c r="X90" i="16"/>
  <c r="AF90" i="16"/>
  <c r="AA16" i="15"/>
  <c r="AJ16" i="15"/>
  <c r="S16" i="15"/>
  <c r="AB16" i="15"/>
  <c r="AK16" i="15"/>
  <c r="T16" i="15"/>
  <c r="AC16" i="15"/>
  <c r="AL16" i="15"/>
  <c r="U16" i="15"/>
  <c r="AD16" i="15"/>
  <c r="AM16" i="15"/>
  <c r="V16" i="15"/>
  <c r="AE16" i="15"/>
  <c r="W16" i="15"/>
  <c r="AG16" i="15"/>
  <c r="Y16" i="15"/>
  <c r="AH16" i="15"/>
  <c r="Z16" i="15"/>
  <c r="AI16" i="15"/>
  <c r="B1" i="15"/>
  <c r="X20" i="15"/>
  <c r="X13" i="15"/>
  <c r="Y20" i="15"/>
  <c r="AF22" i="15"/>
  <c r="AA12" i="15"/>
  <c r="AH13" i="15"/>
  <c r="AF15" i="15"/>
  <c r="BC15" i="15" s="1" a="1"/>
  <c r="BC15" i="15" s="1"/>
  <c r="S20" i="15"/>
  <c r="Z21" i="15"/>
  <c r="AG22" i="15"/>
  <c r="AB39" i="15"/>
  <c r="AH47" i="15"/>
  <c r="AM52" i="15"/>
  <c r="AE52" i="15"/>
  <c r="W52" i="15"/>
  <c r="AL52" i="15"/>
  <c r="AD52" i="15"/>
  <c r="V52" i="15"/>
  <c r="AC52" i="15"/>
  <c r="S52" i="15"/>
  <c r="AN52" i="15"/>
  <c r="AB52" i="15"/>
  <c r="AK52" i="15"/>
  <c r="AA52" i="15"/>
  <c r="AF52" i="15"/>
  <c r="T52" i="15"/>
  <c r="X11" i="15"/>
  <c r="AF11" i="15"/>
  <c r="AN11" i="15"/>
  <c r="W12" i="15"/>
  <c r="AE12" i="15"/>
  <c r="AM12" i="15"/>
  <c r="V13" i="15"/>
  <c r="AD13" i="15"/>
  <c r="AL13" i="15"/>
  <c r="U14" i="15"/>
  <c r="AC14" i="15"/>
  <c r="AK14" i="15"/>
  <c r="T15" i="15"/>
  <c r="AQ15" i="15" s="1" a="1"/>
  <c r="AQ15" i="15" s="1"/>
  <c r="AB15" i="15"/>
  <c r="AY15" i="15" s="1" a="1"/>
  <c r="AY15" i="15" s="1"/>
  <c r="AJ15" i="15"/>
  <c r="BG15" i="15" s="1" a="1"/>
  <c r="BG15" i="15" s="1"/>
  <c r="X19" i="15"/>
  <c r="AF19" i="15"/>
  <c r="AN19" i="15"/>
  <c r="W20" i="15"/>
  <c r="AE20" i="15"/>
  <c r="AM20" i="15"/>
  <c r="V21" i="15"/>
  <c r="AD21" i="15"/>
  <c r="AL21" i="15"/>
  <c r="U22" i="15"/>
  <c r="AC22" i="15"/>
  <c r="AK22" i="15"/>
  <c r="T23" i="15"/>
  <c r="AB23" i="15"/>
  <c r="AJ23" i="15"/>
  <c r="V26" i="15"/>
  <c r="AE26" i="15"/>
  <c r="AI27" i="15"/>
  <c r="AA27" i="15"/>
  <c r="S27" i="15"/>
  <c r="AH27" i="15"/>
  <c r="Z27" i="15"/>
  <c r="AG27" i="15"/>
  <c r="Y27" i="15"/>
  <c r="AC27" i="15"/>
  <c r="AN27" i="15"/>
  <c r="AM31" i="15"/>
  <c r="AE31" i="15"/>
  <c r="W31" i="15"/>
  <c r="AL31" i="15"/>
  <c r="AD31" i="15"/>
  <c r="V31" i="15"/>
  <c r="AK31" i="15"/>
  <c r="AC31" i="15"/>
  <c r="U31" i="15"/>
  <c r="AA31" i="15"/>
  <c r="AL32" i="15"/>
  <c r="AD32" i="15"/>
  <c r="V32" i="15"/>
  <c r="AK32" i="15"/>
  <c r="AC32" i="15"/>
  <c r="U32" i="15"/>
  <c r="AJ32" i="15"/>
  <c r="AB32" i="15"/>
  <c r="T32" i="15"/>
  <c r="AA32" i="15"/>
  <c r="AK33" i="15"/>
  <c r="AC33" i="15"/>
  <c r="U33" i="15"/>
  <c r="AJ33" i="15"/>
  <c r="AB33" i="15"/>
  <c r="T33" i="15"/>
  <c r="AI33" i="15"/>
  <c r="AA33" i="15"/>
  <c r="S33" i="15"/>
  <c r="AD33" i="15"/>
  <c r="AJ34" i="15"/>
  <c r="AB34" i="15"/>
  <c r="T34" i="15"/>
  <c r="AI34" i="15"/>
  <c r="AA34" i="15"/>
  <c r="S34" i="15"/>
  <c r="AH34" i="15"/>
  <c r="Z34" i="15"/>
  <c r="AD34" i="15"/>
  <c r="AI35" i="15"/>
  <c r="AA35" i="15"/>
  <c r="S35" i="15"/>
  <c r="AH35" i="15"/>
  <c r="Z35" i="15"/>
  <c r="AG35" i="15"/>
  <c r="Y35" i="15"/>
  <c r="AC35" i="15"/>
  <c r="AN35" i="15"/>
  <c r="X39" i="15"/>
  <c r="AK41" i="15"/>
  <c r="AC41" i="15"/>
  <c r="U41" i="15"/>
  <c r="AJ41" i="15"/>
  <c r="AB41" i="15"/>
  <c r="T41" i="15"/>
  <c r="AI41" i="15"/>
  <c r="AA41" i="15"/>
  <c r="S41" i="15"/>
  <c r="AL41" i="15"/>
  <c r="AD41" i="15"/>
  <c r="V41" i="15"/>
  <c r="AF41" i="15"/>
  <c r="Y47" i="15"/>
  <c r="Y52" i="15"/>
  <c r="AG80" i="15"/>
  <c r="Y80" i="15"/>
  <c r="AL80" i="15"/>
  <c r="AD80" i="15"/>
  <c r="V80" i="15"/>
  <c r="AK80" i="15"/>
  <c r="AC80" i="15"/>
  <c r="U80" i="15"/>
  <c r="AJ80" i="15"/>
  <c r="AB80" i="15"/>
  <c r="T80" i="15"/>
  <c r="AI80" i="15"/>
  <c r="AA80" i="15"/>
  <c r="S80" i="15"/>
  <c r="W80" i="15"/>
  <c r="AN80" i="15"/>
  <c r="AM80" i="15"/>
  <c r="AE80" i="15"/>
  <c r="Z80" i="15"/>
  <c r="X80" i="15"/>
  <c r="AF80" i="15"/>
  <c r="AG12" i="15"/>
  <c r="AN13" i="15"/>
  <c r="AF21" i="15"/>
  <c r="Z12" i="15"/>
  <c r="Y13" i="15"/>
  <c r="X14" i="15"/>
  <c r="AN14" i="15"/>
  <c r="AM39" i="15"/>
  <c r="AE39" i="15"/>
  <c r="W39" i="15"/>
  <c r="AL39" i="15"/>
  <c r="AD39" i="15"/>
  <c r="V39" i="15"/>
  <c r="AK39" i="15"/>
  <c r="AC39" i="15"/>
  <c r="U39" i="15"/>
  <c r="AA39" i="15"/>
  <c r="AL40" i="15"/>
  <c r="AD40" i="15"/>
  <c r="V40" i="15"/>
  <c r="AK40" i="15"/>
  <c r="AC40" i="15"/>
  <c r="U40" i="15"/>
  <c r="AJ40" i="15"/>
  <c r="AB40" i="15"/>
  <c r="T40" i="15"/>
  <c r="AM40" i="15"/>
  <c r="AE40" i="15"/>
  <c r="W40" i="15"/>
  <c r="AF40" i="15"/>
  <c r="AH52" i="15"/>
  <c r="S12" i="15"/>
  <c r="Z13" i="15"/>
  <c r="AG14" i="15"/>
  <c r="AK26" i="15"/>
  <c r="X12" i="15"/>
  <c r="AN12" i="15"/>
  <c r="AF13" i="15"/>
  <c r="AG20" i="15"/>
  <c r="AN21" i="15"/>
  <c r="AH12" i="15"/>
  <c r="AG21" i="15"/>
  <c r="AI26" i="15"/>
  <c r="AA20" i="15"/>
  <c r="AN23" i="15"/>
  <c r="AA26" i="15"/>
  <c r="AG40" i="15"/>
  <c r="AI52" i="15"/>
  <c r="U11" i="15"/>
  <c r="AC11" i="15"/>
  <c r="AK11" i="15"/>
  <c r="T12" i="15"/>
  <c r="AB12" i="15"/>
  <c r="AJ12" i="15"/>
  <c r="S13" i="15"/>
  <c r="AA13" i="15"/>
  <c r="AI13" i="15"/>
  <c r="Z14" i="15"/>
  <c r="AH14" i="15"/>
  <c r="Y15" i="15"/>
  <c r="AV15" i="15" s="1" a="1"/>
  <c r="AV15" i="15" s="1"/>
  <c r="AG15" i="15"/>
  <c r="BD15" i="15" s="1" a="1"/>
  <c r="BD15" i="15" s="1"/>
  <c r="X16" i="15"/>
  <c r="AF16" i="15"/>
  <c r="W17" i="15"/>
  <c r="AE17" i="15"/>
  <c r="AM17" i="15"/>
  <c r="V18" i="15"/>
  <c r="AD18" i="15"/>
  <c r="AL18" i="15"/>
  <c r="U19" i="15"/>
  <c r="AC19" i="15"/>
  <c r="AK19" i="15"/>
  <c r="T20" i="15"/>
  <c r="AB20" i="15"/>
  <c r="AJ20" i="15"/>
  <c r="S21" i="15"/>
  <c r="AA21" i="15"/>
  <c r="AI21" i="15"/>
  <c r="Z22" i="15"/>
  <c r="AH22" i="15"/>
  <c r="Y23" i="15"/>
  <c r="AG23" i="15"/>
  <c r="X24" i="15"/>
  <c r="AF24" i="15"/>
  <c r="AI25" i="15"/>
  <c r="AA25" i="15"/>
  <c r="S25" i="15"/>
  <c r="Y25" i="15"/>
  <c r="AH25" i="15"/>
  <c r="S26" i="15"/>
  <c r="AB26" i="15"/>
  <c r="AL26" i="15"/>
  <c r="W27" i="15"/>
  <c r="AK27" i="15"/>
  <c r="X31" i="15"/>
  <c r="AI31" i="15"/>
  <c r="X32" i="15"/>
  <c r="AI32" i="15"/>
  <c r="X33" i="15"/>
  <c r="AL33" i="15"/>
  <c r="X34" i="15"/>
  <c r="AL34" i="15"/>
  <c r="W35" i="15"/>
  <c r="AK35" i="15"/>
  <c r="AF39" i="15"/>
  <c r="AH40" i="15"/>
  <c r="Y41" i="15"/>
  <c r="AG42" i="15"/>
  <c r="AK42" i="15"/>
  <c r="AB42" i="15"/>
  <c r="T42" i="15"/>
  <c r="AJ42" i="15"/>
  <c r="AA42" i="15"/>
  <c r="S42" i="15"/>
  <c r="AI42" i="15"/>
  <c r="Z42" i="15"/>
  <c r="AL42" i="15"/>
  <c r="AC42" i="15"/>
  <c r="U42" i="15"/>
  <c r="AF42" i="15"/>
  <c r="AJ52" i="15"/>
  <c r="AI62" i="15"/>
  <c r="AA62" i="15"/>
  <c r="S62" i="15"/>
  <c r="AN62" i="15"/>
  <c r="AE62" i="15"/>
  <c r="V62" i="15"/>
  <c r="AM62" i="15"/>
  <c r="AD62" i="15"/>
  <c r="U62" i="15"/>
  <c r="AL62" i="15"/>
  <c r="AC62" i="15"/>
  <c r="T62" i="15"/>
  <c r="AK62" i="15"/>
  <c r="X62" i="15"/>
  <c r="AJ62" i="15"/>
  <c r="W62" i="15"/>
  <c r="AH62" i="15"/>
  <c r="Y62" i="15"/>
  <c r="AF12" i="15"/>
  <c r="Y12" i="15"/>
  <c r="X21" i="15"/>
  <c r="AG13" i="15"/>
  <c r="AH20" i="15"/>
  <c r="X22" i="15"/>
  <c r="Y26" i="15"/>
  <c r="X15" i="15"/>
  <c r="AU15" i="15" s="1" a="1"/>
  <c r="AU15" i="15" s="1"/>
  <c r="Y22" i="15"/>
  <c r="AF23" i="15"/>
  <c r="AJ47" i="15"/>
  <c r="AB47" i="15"/>
  <c r="T47" i="15"/>
  <c r="AM47" i="15"/>
  <c r="AD47" i="15"/>
  <c r="U47" i="15"/>
  <c r="AL47" i="15"/>
  <c r="AC47" i="15"/>
  <c r="S47" i="15"/>
  <c r="AK47" i="15"/>
  <c r="AA47" i="15"/>
  <c r="AN47" i="15"/>
  <c r="AE47" i="15"/>
  <c r="V47" i="15"/>
  <c r="V11" i="15"/>
  <c r="AD11" i="15"/>
  <c r="AL11" i="15"/>
  <c r="U12" i="15"/>
  <c r="AC12" i="15"/>
  <c r="AK12" i="15"/>
  <c r="T13" i="15"/>
  <c r="AB13" i="15"/>
  <c r="AJ13" i="15"/>
  <c r="S14" i="15"/>
  <c r="AA14" i="15"/>
  <c r="AI14" i="15"/>
  <c r="Z15" i="15"/>
  <c r="AW15" i="15" s="1" a="1"/>
  <c r="AW15" i="15" s="1"/>
  <c r="AH15" i="15"/>
  <c r="BE15" i="15" s="1" a="1"/>
  <c r="BE15" i="15" s="1"/>
  <c r="X17" i="15"/>
  <c r="AF17" i="15"/>
  <c r="AN17" i="15"/>
  <c r="V19" i="15"/>
  <c r="AD19" i="15"/>
  <c r="AL19" i="15"/>
  <c r="U20" i="15"/>
  <c r="AC20" i="15"/>
  <c r="AK20" i="15"/>
  <c r="T21" i="15"/>
  <c r="AB21" i="15"/>
  <c r="AJ21" i="15"/>
  <c r="S22" i="15"/>
  <c r="AA22" i="15"/>
  <c r="AI22" i="15"/>
  <c r="Z23" i="15"/>
  <c r="AH23" i="15"/>
  <c r="T26" i="15"/>
  <c r="AC26" i="15"/>
  <c r="X27" i="15"/>
  <c r="AL27" i="15"/>
  <c r="Y31" i="15"/>
  <c r="AJ31" i="15"/>
  <c r="Y32" i="15"/>
  <c r="AM32" i="15"/>
  <c r="Y33" i="15"/>
  <c r="AM33" i="15"/>
  <c r="Y34" i="15"/>
  <c r="AM34" i="15"/>
  <c r="X35" i="15"/>
  <c r="AL35" i="15"/>
  <c r="S39" i="15"/>
  <c r="AG39" i="15"/>
  <c r="S40" i="15"/>
  <c r="AI40" i="15"/>
  <c r="Z41" i="15"/>
  <c r="W47" i="15"/>
  <c r="AI48" i="15"/>
  <c r="AA48" i="15"/>
  <c r="S48" i="15"/>
  <c r="AH48" i="15"/>
  <c r="AF48" i="15"/>
  <c r="W48" i="15"/>
  <c r="AE48" i="15"/>
  <c r="V48" i="15"/>
  <c r="AN48" i="15"/>
  <c r="AD48" i="15"/>
  <c r="U48" i="15"/>
  <c r="AG48" i="15"/>
  <c r="X48" i="15"/>
  <c r="AJ48" i="15"/>
  <c r="U52" i="15"/>
  <c r="AH71" i="15"/>
  <c r="Z71" i="15"/>
  <c r="AF71" i="15"/>
  <c r="W71" i="15"/>
  <c r="AN71" i="15"/>
  <c r="AE71" i="15"/>
  <c r="V71" i="15"/>
  <c r="AM71" i="15"/>
  <c r="AD71" i="15"/>
  <c r="U71" i="15"/>
  <c r="AK71" i="15"/>
  <c r="X71" i="15"/>
  <c r="AJ71" i="15"/>
  <c r="T71" i="15"/>
  <c r="AI71" i="15"/>
  <c r="S71" i="15"/>
  <c r="AL71" i="15"/>
  <c r="Y71" i="15"/>
  <c r="AF20" i="15"/>
  <c r="AF14" i="15"/>
  <c r="Z20" i="15"/>
  <c r="Y21" i="15"/>
  <c r="AN22" i="15"/>
  <c r="AJ26" i="15"/>
  <c r="AH26" i="15"/>
  <c r="Z26" i="15"/>
  <c r="AI12" i="15"/>
  <c r="Y14" i="15"/>
  <c r="AN15" i="15"/>
  <c r="BK15" i="15" s="1" a="1"/>
  <c r="BK15" i="15" s="1"/>
  <c r="AI20" i="15"/>
  <c r="AH21" i="15"/>
  <c r="X23" i="15"/>
  <c r="W11" i="15"/>
  <c r="AE11" i="15"/>
  <c r="V12" i="15"/>
  <c r="AD12" i="15"/>
  <c r="U13" i="15"/>
  <c r="AC13" i="15"/>
  <c r="T14" i="15"/>
  <c r="AB14" i="15"/>
  <c r="S15" i="15"/>
  <c r="AP15" i="15" s="1" a="1"/>
  <c r="AP15" i="15" s="1"/>
  <c r="AA15" i="15"/>
  <c r="AX15" i="15" s="1" a="1"/>
  <c r="AX15" i="15" s="1"/>
  <c r="Y17" i="15"/>
  <c r="X18" i="15"/>
  <c r="AF18" i="15"/>
  <c r="W19" i="15"/>
  <c r="AE19" i="15"/>
  <c r="V20" i="15"/>
  <c r="AD20" i="15"/>
  <c r="U21" i="15"/>
  <c r="AC21" i="15"/>
  <c r="T22" i="15"/>
  <c r="AB22" i="15"/>
  <c r="S23" i="15"/>
  <c r="AA23" i="15"/>
  <c r="U26" i="15"/>
  <c r="AD26" i="15"/>
  <c r="AN26" i="15"/>
  <c r="AB27" i="15"/>
  <c r="AM27" i="15"/>
  <c r="Z31" i="15"/>
  <c r="AN31" i="15"/>
  <c r="Z32" i="15"/>
  <c r="AN32" i="15"/>
  <c r="Z33" i="15"/>
  <c r="AN33" i="15"/>
  <c r="AC34" i="15"/>
  <c r="AN34" i="15"/>
  <c r="AB35" i="15"/>
  <c r="AM35" i="15"/>
  <c r="T39" i="15"/>
  <c r="AH39" i="15"/>
  <c r="X40" i="15"/>
  <c r="AN40" i="15"/>
  <c r="AE41" i="15"/>
  <c r="AM44" i="15"/>
  <c r="AE44" i="15"/>
  <c r="W44" i="15"/>
  <c r="AF44" i="15"/>
  <c r="V44" i="15"/>
  <c r="AN44" i="15"/>
  <c r="AD44" i="15"/>
  <c r="U44" i="15"/>
  <c r="AL44" i="15"/>
  <c r="AC44" i="15"/>
  <c r="T44" i="15"/>
  <c r="AG44" i="15"/>
  <c r="X44" i="15"/>
  <c r="AH44" i="15"/>
  <c r="X47" i="15"/>
  <c r="AK48" i="15"/>
  <c r="X52" i="15"/>
  <c r="AK54" i="15"/>
  <c r="AC54" i="15"/>
  <c r="U54" i="15"/>
  <c r="AJ54" i="15"/>
  <c r="AB54" i="15"/>
  <c r="T54" i="15"/>
  <c r="AG54" i="15"/>
  <c r="W54" i="15"/>
  <c r="AF54" i="15"/>
  <c r="V54" i="15"/>
  <c r="AE54" i="15"/>
  <c r="S54" i="15"/>
  <c r="AH54" i="15"/>
  <c r="X54" i="15"/>
  <c r="AL54" i="15"/>
  <c r="AM74" i="15"/>
  <c r="AE74" i="15"/>
  <c r="W74" i="15"/>
  <c r="AJ74" i="15"/>
  <c r="AB74" i="15"/>
  <c r="T74" i="15"/>
  <c r="AH74" i="15"/>
  <c r="AD74" i="15"/>
  <c r="S74" i="15"/>
  <c r="AC74" i="15"/>
  <c r="AN74" i="15"/>
  <c r="AA74" i="15"/>
  <c r="AL74" i="15"/>
  <c r="V74" i="15"/>
  <c r="AK74" i="15"/>
  <c r="U74" i="15"/>
  <c r="AI74" i="15"/>
  <c r="X74" i="15"/>
  <c r="AI56" i="15"/>
  <c r="AA56" i="15"/>
  <c r="S56" i="15"/>
  <c r="AH56" i="15"/>
  <c r="Z56" i="15"/>
  <c r="AG56" i="15"/>
  <c r="Y56" i="15"/>
  <c r="AC56" i="15"/>
  <c r="AN56" i="15"/>
  <c r="AH63" i="15"/>
  <c r="Z63" i="15"/>
  <c r="AG63" i="15"/>
  <c r="X63" i="15"/>
  <c r="AF63" i="15"/>
  <c r="W63" i="15"/>
  <c r="AN63" i="15"/>
  <c r="AE63" i="15"/>
  <c r="V63" i="15"/>
  <c r="AC63" i="15"/>
  <c r="AM66" i="15"/>
  <c r="AE66" i="15"/>
  <c r="W66" i="15"/>
  <c r="AL66" i="15"/>
  <c r="AC66" i="15"/>
  <c r="T66" i="15"/>
  <c r="AK66" i="15"/>
  <c r="AB66" i="15"/>
  <c r="S66" i="15"/>
  <c r="AJ66" i="15"/>
  <c r="AA66" i="15"/>
  <c r="AF66" i="15"/>
  <c r="X28" i="15"/>
  <c r="AF28" i="15"/>
  <c r="W29" i="15"/>
  <c r="AE29" i="15"/>
  <c r="AM29" i="15"/>
  <c r="V30" i="15"/>
  <c r="AD30" i="15"/>
  <c r="AL30" i="15"/>
  <c r="X36" i="15"/>
  <c r="AF36" i="15"/>
  <c r="AN36" i="15"/>
  <c r="W37" i="15"/>
  <c r="AE37" i="15"/>
  <c r="AM37" i="15"/>
  <c r="V38" i="15"/>
  <c r="AD38" i="15"/>
  <c r="AL38" i="15"/>
  <c r="AK46" i="15"/>
  <c r="AC46" i="15"/>
  <c r="U46" i="15"/>
  <c r="Y46" i="15"/>
  <c r="AH46" i="15"/>
  <c r="AJ55" i="15"/>
  <c r="AB55" i="15"/>
  <c r="T55" i="15"/>
  <c r="AI55" i="15"/>
  <c r="AA55" i="15"/>
  <c r="S55" i="15"/>
  <c r="Z55" i="15"/>
  <c r="AL55" i="15"/>
  <c r="W56" i="15"/>
  <c r="AK56" i="15"/>
  <c r="AJ61" i="15"/>
  <c r="AB61" i="15"/>
  <c r="T61" i="15"/>
  <c r="AL61" i="15"/>
  <c r="AC61" i="15"/>
  <c r="S61" i="15"/>
  <c r="AK61" i="15"/>
  <c r="AA61" i="15"/>
  <c r="AI61" i="15"/>
  <c r="Z61" i="15"/>
  <c r="AE61" i="15"/>
  <c r="Y63" i="15"/>
  <c r="AL63" i="15"/>
  <c r="Y66" i="15"/>
  <c r="AL67" i="15"/>
  <c r="AD67" i="15"/>
  <c r="V67" i="15"/>
  <c r="AF67" i="15"/>
  <c r="W67" i="15"/>
  <c r="AN67" i="15"/>
  <c r="AE67" i="15"/>
  <c r="U67" i="15"/>
  <c r="AM67" i="15"/>
  <c r="AC67" i="15"/>
  <c r="T67" i="15"/>
  <c r="AB67" i="15"/>
  <c r="AM82" i="15"/>
  <c r="AE82" i="15"/>
  <c r="W82" i="15"/>
  <c r="AJ82" i="15"/>
  <c r="AB82" i="15"/>
  <c r="T82" i="15"/>
  <c r="AI82" i="15"/>
  <c r="AA82" i="15"/>
  <c r="S82" i="15"/>
  <c r="AH82" i="15"/>
  <c r="Z82" i="15"/>
  <c r="AG82" i="15"/>
  <c r="Y82" i="15"/>
  <c r="AC82" i="15"/>
  <c r="X82" i="15"/>
  <c r="V82" i="15"/>
  <c r="X29" i="15"/>
  <c r="AF29" i="15"/>
  <c r="AN29" i="15"/>
  <c r="W30" i="15"/>
  <c r="AE30" i="15"/>
  <c r="AM30" i="15"/>
  <c r="Y36" i="15"/>
  <c r="AG36" i="15"/>
  <c r="X37" i="15"/>
  <c r="AF37" i="15"/>
  <c r="AN37" i="15"/>
  <c r="W38" i="15"/>
  <c r="AE38" i="15"/>
  <c r="AM38" i="15"/>
  <c r="X45" i="15"/>
  <c r="Z46" i="15"/>
  <c r="AI46" i="15"/>
  <c r="AH49" i="15"/>
  <c r="Z49" i="15"/>
  <c r="AG49" i="15"/>
  <c r="Y49" i="15"/>
  <c r="AA49" i="15"/>
  <c r="AK49" i="15"/>
  <c r="AC55" i="15"/>
  <c r="AM55" i="15"/>
  <c r="X56" i="15"/>
  <c r="AL56" i="15"/>
  <c r="AF61" i="15"/>
  <c r="AA63" i="15"/>
  <c r="AM63" i="15"/>
  <c r="Z66" i="15"/>
  <c r="AG67" i="15"/>
  <c r="AI70" i="15"/>
  <c r="AA70" i="15"/>
  <c r="S70" i="15"/>
  <c r="AM70" i="15"/>
  <c r="AD70" i="15"/>
  <c r="U70" i="15"/>
  <c r="AL70" i="15"/>
  <c r="AC70" i="15"/>
  <c r="T70" i="15"/>
  <c r="AK70" i="15"/>
  <c r="AB70" i="15"/>
  <c r="AF70" i="15"/>
  <c r="Y29" i="15"/>
  <c r="X30" i="15"/>
  <c r="AF30" i="15"/>
  <c r="Z36" i="15"/>
  <c r="Y37" i="15"/>
  <c r="X38" i="15"/>
  <c r="AF38" i="15"/>
  <c r="AL45" i="15"/>
  <c r="AD45" i="15"/>
  <c r="V45" i="15"/>
  <c r="Y45" i="15"/>
  <c r="AH45" i="15"/>
  <c r="AA46" i="15"/>
  <c r="AJ46" i="15"/>
  <c r="AB49" i="15"/>
  <c r="AL49" i="15"/>
  <c r="AL53" i="15"/>
  <c r="AD53" i="15"/>
  <c r="V53" i="15"/>
  <c r="AK53" i="15"/>
  <c r="AC53" i="15"/>
  <c r="U53" i="15"/>
  <c r="Z53" i="15"/>
  <c r="AJ53" i="15"/>
  <c r="AD55" i="15"/>
  <c r="AN55" i="15"/>
  <c r="AB56" i="15"/>
  <c r="AM56" i="15"/>
  <c r="U61" i="15"/>
  <c r="AG61" i="15"/>
  <c r="AB63" i="15"/>
  <c r="AD66" i="15"/>
  <c r="AH67" i="15"/>
  <c r="AG70" i="15"/>
  <c r="U82" i="15"/>
  <c r="X57" i="15"/>
  <c r="AF57" i="15"/>
  <c r="AN57" i="15"/>
  <c r="AJ69" i="15"/>
  <c r="AB69" i="15"/>
  <c r="T69" i="15"/>
  <c r="Y69" i="15"/>
  <c r="AH69" i="15"/>
  <c r="X50" i="15"/>
  <c r="AF50" i="15"/>
  <c r="AN50" i="15"/>
  <c r="Y57" i="15"/>
  <c r="AG57" i="15"/>
  <c r="X58" i="15"/>
  <c r="AF58" i="15"/>
  <c r="AN58" i="15"/>
  <c r="AK60" i="15"/>
  <c r="AC60" i="15"/>
  <c r="U60" i="15"/>
  <c r="Y60" i="15"/>
  <c r="AH60" i="15"/>
  <c r="AG64" i="15"/>
  <c r="Y64" i="15"/>
  <c r="X64" i="15"/>
  <c r="AH64" i="15"/>
  <c r="Z69" i="15"/>
  <c r="AI69" i="15"/>
  <c r="AL75" i="15"/>
  <c r="AD75" i="15"/>
  <c r="V75" i="15"/>
  <c r="AI75" i="15"/>
  <c r="AA75" i="15"/>
  <c r="S75" i="15"/>
  <c r="AH75" i="15"/>
  <c r="AG75" i="15"/>
  <c r="Y75" i="15"/>
  <c r="AB75" i="15"/>
  <c r="X43" i="15"/>
  <c r="AF43" i="15"/>
  <c r="Y50" i="15"/>
  <c r="X51" i="15"/>
  <c r="AF51" i="15"/>
  <c r="Z57" i="15"/>
  <c r="Y58" i="15"/>
  <c r="AL59" i="15"/>
  <c r="AD59" i="15"/>
  <c r="X59" i="15"/>
  <c r="AG59" i="15"/>
  <c r="Z60" i="15"/>
  <c r="AI60" i="15"/>
  <c r="Z64" i="15"/>
  <c r="AI64" i="15"/>
  <c r="AK68" i="15"/>
  <c r="AC68" i="15"/>
  <c r="U68" i="15"/>
  <c r="Y68" i="15"/>
  <c r="AH68" i="15"/>
  <c r="AA69" i="15"/>
  <c r="AK69" i="15"/>
  <c r="AG72" i="15"/>
  <c r="Y72" i="15"/>
  <c r="X72" i="15"/>
  <c r="AH72" i="15"/>
  <c r="AC75" i="15"/>
  <c r="AH79" i="15"/>
  <c r="Z79" i="15"/>
  <c r="AM79" i="15"/>
  <c r="AE79" i="15"/>
  <c r="W79" i="15"/>
  <c r="AL79" i="15"/>
  <c r="AD79" i="15"/>
  <c r="V79" i="15"/>
  <c r="AK79" i="15"/>
  <c r="AC79" i="15"/>
  <c r="U79" i="15"/>
  <c r="AF79" i="15"/>
  <c r="X83" i="15"/>
  <c r="AF83" i="15"/>
  <c r="AN83" i="15"/>
  <c r="W84" i="15"/>
  <c r="AE84" i="15"/>
  <c r="AM84" i="15"/>
  <c r="U86" i="15"/>
  <c r="AC86" i="15"/>
  <c r="AK86" i="15"/>
  <c r="T87" i="15"/>
  <c r="AB87" i="15"/>
  <c r="AJ87" i="15"/>
  <c r="S88" i="15"/>
  <c r="AA88" i="15"/>
  <c r="AI88" i="15"/>
  <c r="Y90" i="15"/>
  <c r="AG90" i="15"/>
  <c r="X76" i="15"/>
  <c r="AF76" i="15"/>
  <c r="AN76" i="15"/>
  <c r="V78" i="15"/>
  <c r="AD78" i="15"/>
  <c r="AL78" i="15"/>
  <c r="X84" i="15"/>
  <c r="AF84" i="15"/>
  <c r="AN84" i="15"/>
  <c r="W85" i="15"/>
  <c r="AE85" i="15"/>
  <c r="AM85" i="15"/>
  <c r="V86" i="15"/>
  <c r="AD86" i="15"/>
  <c r="AL86" i="15"/>
  <c r="U87" i="15"/>
  <c r="AC87" i="15"/>
  <c r="AK87" i="15"/>
  <c r="T88" i="15"/>
  <c r="AB88" i="15"/>
  <c r="AJ88" i="15"/>
  <c r="S89" i="15"/>
  <c r="AA89" i="15"/>
  <c r="AI89" i="15"/>
  <c r="Z90" i="15"/>
  <c r="AH90" i="15"/>
  <c r="Y76" i="15"/>
  <c r="AG76" i="15"/>
  <c r="X77" i="15"/>
  <c r="AF77" i="15"/>
  <c r="W78" i="15"/>
  <c r="AE78" i="15"/>
  <c r="AM78" i="15"/>
  <c r="T81" i="15"/>
  <c r="AB81" i="15"/>
  <c r="AJ81" i="15"/>
  <c r="Z83" i="15"/>
  <c r="AH83" i="15"/>
  <c r="Y84" i="15"/>
  <c r="AG84" i="15"/>
  <c r="X85" i="15"/>
  <c r="AF85" i="15"/>
  <c r="W86" i="15"/>
  <c r="AE86" i="15"/>
  <c r="AM86" i="15"/>
  <c r="V87" i="15"/>
  <c r="AD87" i="15"/>
  <c r="AL87" i="15"/>
  <c r="U88" i="15"/>
  <c r="AC88" i="15"/>
  <c r="AK88" i="15"/>
  <c r="T89" i="15"/>
  <c r="AB89" i="15"/>
  <c r="AJ89" i="15"/>
  <c r="S90" i="15"/>
  <c r="AA90" i="15"/>
  <c r="AI90" i="15"/>
  <c r="Z76" i="15"/>
  <c r="AH76" i="15"/>
  <c r="X78" i="15"/>
  <c r="AF78" i="15"/>
  <c r="AN78" i="15"/>
  <c r="Z84" i="15"/>
  <c r="AH84" i="15"/>
  <c r="X86" i="15"/>
  <c r="AF86" i="15"/>
  <c r="AN86" i="15"/>
  <c r="W87" i="15"/>
  <c r="AE87" i="15"/>
  <c r="AM87" i="15"/>
  <c r="V88" i="15"/>
  <c r="AD88" i="15"/>
  <c r="AL88" i="15"/>
  <c r="U89" i="15"/>
  <c r="AC89" i="15"/>
  <c r="AK89" i="15"/>
  <c r="T90" i="15"/>
  <c r="AB90" i="15"/>
  <c r="AJ90" i="15"/>
  <c r="X87" i="15"/>
  <c r="AF87" i="15"/>
  <c r="AN87" i="15"/>
  <c r="W88" i="15"/>
  <c r="AE88" i="15"/>
  <c r="AM88" i="15"/>
  <c r="V89" i="15"/>
  <c r="AD89" i="15"/>
  <c r="AL89" i="15"/>
  <c r="U90" i="15"/>
  <c r="AC90" i="15"/>
  <c r="AK90" i="15"/>
  <c r="Y87" i="15"/>
  <c r="AG87" i="15"/>
  <c r="X88" i="15"/>
  <c r="AF88" i="15"/>
  <c r="AN88" i="15"/>
  <c r="W89" i="15"/>
  <c r="AE89" i="15"/>
  <c r="AM89" i="15"/>
  <c r="V90" i="15"/>
  <c r="AD90" i="15"/>
  <c r="AL90" i="15"/>
  <c r="X65" i="15"/>
  <c r="AF65" i="15"/>
  <c r="X73" i="15"/>
  <c r="AF73" i="15"/>
  <c r="U76" i="15"/>
  <c r="AC76" i="15"/>
  <c r="S78" i="15"/>
  <c r="AA78" i="15"/>
  <c r="X81" i="15"/>
  <c r="AF81" i="15"/>
  <c r="V83" i="15"/>
  <c r="AD83" i="15"/>
  <c r="U84" i="15"/>
  <c r="AC84" i="15"/>
  <c r="S86" i="15"/>
  <c r="AA86" i="15"/>
  <c r="Z87" i="15"/>
  <c r="Y88" i="15"/>
  <c r="X89" i="15"/>
  <c r="AF89" i="15"/>
  <c r="W90" i="15"/>
  <c r="AE90" i="15"/>
  <c r="AM90" i="15"/>
  <c r="X90" i="15"/>
  <c r="AF90" i="15"/>
  <c r="B1" i="14"/>
  <c r="AM48" i="14"/>
  <c r="AE48" i="14"/>
  <c r="W48" i="14"/>
  <c r="AG48" i="14"/>
  <c r="X48" i="14"/>
  <c r="AF48" i="14"/>
  <c r="V48" i="14"/>
  <c r="AN48" i="14"/>
  <c r="AD48" i="14"/>
  <c r="U48" i="14"/>
  <c r="AB48" i="14"/>
  <c r="AK58" i="14"/>
  <c r="AC58" i="14"/>
  <c r="U58" i="14"/>
  <c r="AJ58" i="14"/>
  <c r="AB58" i="14"/>
  <c r="T58" i="14"/>
  <c r="AE58" i="14"/>
  <c r="S58" i="14"/>
  <c r="AN58" i="14"/>
  <c r="AD58" i="14"/>
  <c r="AM58" i="14"/>
  <c r="AA58" i="14"/>
  <c r="AG58" i="14"/>
  <c r="AF79" i="14"/>
  <c r="AH13" i="14"/>
  <c r="AI13" i="14"/>
  <c r="AH80" i="14"/>
  <c r="Z80" i="14"/>
  <c r="AN80" i="14"/>
  <c r="AE80" i="14"/>
  <c r="V80" i="14"/>
  <c r="AM80" i="14"/>
  <c r="AD80" i="14"/>
  <c r="U80" i="14"/>
  <c r="AF80" i="14"/>
  <c r="AA80" i="14"/>
  <c r="AL80" i="14"/>
  <c r="Y80" i="14"/>
  <c r="AK80" i="14"/>
  <c r="X80" i="14"/>
  <c r="AJ80" i="14"/>
  <c r="W80" i="14"/>
  <c r="AG13" i="14"/>
  <c r="Y13" i="14"/>
  <c r="AJ27" i="14"/>
  <c r="AB27" i="14"/>
  <c r="T27" i="14"/>
  <c r="AI27" i="14"/>
  <c r="AA27" i="14"/>
  <c r="S27" i="14"/>
  <c r="AH27" i="14"/>
  <c r="Z27" i="14"/>
  <c r="AJ51" i="14"/>
  <c r="AB51" i="14"/>
  <c r="T51" i="14"/>
  <c r="AI51" i="14"/>
  <c r="AA51" i="14"/>
  <c r="S51" i="14"/>
  <c r="AG51" i="14"/>
  <c r="W51" i="14"/>
  <c r="AF51" i="14"/>
  <c r="V51" i="14"/>
  <c r="AE51" i="14"/>
  <c r="U51" i="14"/>
  <c r="AC19" i="14"/>
  <c r="AI79" i="14"/>
  <c r="AA79" i="14"/>
  <c r="S79" i="14"/>
  <c r="AL79" i="14"/>
  <c r="AC79" i="14"/>
  <c r="T79" i="14"/>
  <c r="AK79" i="14"/>
  <c r="AB79" i="14"/>
  <c r="AN79" i="14"/>
  <c r="Z79" i="14"/>
  <c r="AM79" i="14"/>
  <c r="Y79" i="14"/>
  <c r="AJ79" i="14"/>
  <c r="X79" i="14"/>
  <c r="AH79" i="14"/>
  <c r="W79" i="14"/>
  <c r="Z16" i="14"/>
  <c r="Z19" i="14"/>
  <c r="AD26" i="14"/>
  <c r="AH51" i="14"/>
  <c r="AB16" i="14"/>
  <c r="AM19" i="14"/>
  <c r="AE26" i="14"/>
  <c r="AL68" i="14"/>
  <c r="AD68" i="14"/>
  <c r="V68" i="14"/>
  <c r="AF68" i="14"/>
  <c r="W68" i="14"/>
  <c r="AN68" i="14"/>
  <c r="AE68" i="14"/>
  <c r="U68" i="14"/>
  <c r="AI68" i="14"/>
  <c r="X68" i="14"/>
  <c r="AH68" i="14"/>
  <c r="T68" i="14"/>
  <c r="AG68" i="14"/>
  <c r="S68" i="14"/>
  <c r="AC68" i="14"/>
  <c r="S13" i="14"/>
  <c r="S16" i="14"/>
  <c r="AN19" i="14"/>
  <c r="AF26" i="14"/>
  <c r="AL58" i="14"/>
  <c r="T16" i="14"/>
  <c r="AA17" i="14"/>
  <c r="U19" i="14"/>
  <c r="AE19" i="14"/>
  <c r="AI20" i="14"/>
  <c r="AA20" i="14"/>
  <c r="S20" i="14"/>
  <c r="AH20" i="14"/>
  <c r="Z20" i="14"/>
  <c r="AB20" i="14"/>
  <c r="AL20" i="14"/>
  <c r="AM24" i="14"/>
  <c r="AE24" i="14"/>
  <c r="W24" i="14"/>
  <c r="AL24" i="14"/>
  <c r="AD24" i="14"/>
  <c r="V24" i="14"/>
  <c r="Z24" i="14"/>
  <c r="AJ24" i="14"/>
  <c r="V26" i="14"/>
  <c r="AG26" i="14"/>
  <c r="V27" i="14"/>
  <c r="AG27" i="14"/>
  <c r="U28" i="14"/>
  <c r="AM32" i="14"/>
  <c r="AE32" i="14"/>
  <c r="W32" i="14"/>
  <c r="AL32" i="14"/>
  <c r="AD32" i="14"/>
  <c r="V32" i="14"/>
  <c r="AK32" i="14"/>
  <c r="AC32" i="14"/>
  <c r="U32" i="14"/>
  <c r="AA32" i="14"/>
  <c r="AL33" i="14"/>
  <c r="AD33" i="14"/>
  <c r="V33" i="14"/>
  <c r="AK33" i="14"/>
  <c r="AC33" i="14"/>
  <c r="U33" i="14"/>
  <c r="AJ33" i="14"/>
  <c r="AB33" i="14"/>
  <c r="T33" i="14"/>
  <c r="AA33" i="14"/>
  <c r="AK34" i="14"/>
  <c r="AC34" i="14"/>
  <c r="U34" i="14"/>
  <c r="AJ34" i="14"/>
  <c r="AB34" i="14"/>
  <c r="T34" i="14"/>
  <c r="AI34" i="14"/>
  <c r="AA34" i="14"/>
  <c r="S34" i="14"/>
  <c r="AD34" i="14"/>
  <c r="AJ35" i="14"/>
  <c r="AB35" i="14"/>
  <c r="T35" i="14"/>
  <c r="AI35" i="14"/>
  <c r="AA35" i="14"/>
  <c r="S35" i="14"/>
  <c r="AH35" i="14"/>
  <c r="Z35" i="14"/>
  <c r="AD35" i="14"/>
  <c r="AI36" i="14"/>
  <c r="AA36" i="14"/>
  <c r="S36" i="14"/>
  <c r="AH36" i="14"/>
  <c r="Z36" i="14"/>
  <c r="AG36" i="14"/>
  <c r="Y36" i="14"/>
  <c r="AC36" i="14"/>
  <c r="AN36" i="14"/>
  <c r="AG46" i="14"/>
  <c r="Y46" i="14"/>
  <c r="AL46" i="14"/>
  <c r="AC46" i="14"/>
  <c r="T46" i="14"/>
  <c r="AK46" i="14"/>
  <c r="AB46" i="14"/>
  <c r="S46" i="14"/>
  <c r="AJ46" i="14"/>
  <c r="AA46" i="14"/>
  <c r="AE46" i="14"/>
  <c r="T48" i="14"/>
  <c r="AJ48" i="14"/>
  <c r="AF50" i="14"/>
  <c r="X51" i="14"/>
  <c r="AM51" i="14"/>
  <c r="S53" i="14"/>
  <c r="AK53" i="14"/>
  <c r="AI57" i="14"/>
  <c r="X58" i="14"/>
  <c r="AM60" i="14"/>
  <c r="Y67" i="14"/>
  <c r="Y68" i="14"/>
  <c r="U79" i="14"/>
  <c r="S80" i="14"/>
  <c r="AL84" i="14"/>
  <c r="AD84" i="14"/>
  <c r="V84" i="14"/>
  <c r="AM84" i="14"/>
  <c r="AC84" i="14"/>
  <c r="T84" i="14"/>
  <c r="AK84" i="14"/>
  <c r="AB84" i="14"/>
  <c r="S84" i="14"/>
  <c r="AJ84" i="14"/>
  <c r="AA84" i="14"/>
  <c r="AN84" i="14"/>
  <c r="AE84" i="14"/>
  <c r="U84" i="14"/>
  <c r="AF84" i="14"/>
  <c r="Z84" i="14"/>
  <c r="Y84" i="14"/>
  <c r="X84" i="14"/>
  <c r="AM16" i="14"/>
  <c r="AE16" i="14"/>
  <c r="W16" i="14"/>
  <c r="AL16" i="14"/>
  <c r="AD16" i="14"/>
  <c r="V16" i="14"/>
  <c r="AA16" i="14"/>
  <c r="AI28" i="14"/>
  <c r="AA28" i="14"/>
  <c r="S28" i="14"/>
  <c r="AH28" i="14"/>
  <c r="Z28" i="14"/>
  <c r="AG28" i="14"/>
  <c r="Y28" i="14"/>
  <c r="AI12" i="14"/>
  <c r="AN16" i="14"/>
  <c r="AD28" i="14"/>
  <c r="AD53" i="14"/>
  <c r="V58" i="14"/>
  <c r="AM68" i="14"/>
  <c r="AK85" i="14"/>
  <c r="AC85" i="14"/>
  <c r="U85" i="14"/>
  <c r="AF85" i="14"/>
  <c r="W85" i="14"/>
  <c r="AN85" i="14"/>
  <c r="AE85" i="14"/>
  <c r="V85" i="14"/>
  <c r="AM85" i="14"/>
  <c r="AD85" i="14"/>
  <c r="T85" i="14"/>
  <c r="AG85" i="14"/>
  <c r="X85" i="14"/>
  <c r="Y85" i="14"/>
  <c r="AL85" i="14"/>
  <c r="S85" i="14"/>
  <c r="AJ85" i="14"/>
  <c r="AI85" i="14"/>
  <c r="AJ12" i="14"/>
  <c r="AK13" i="14"/>
  <c r="AL17" i="14"/>
  <c r="AD17" i="14"/>
  <c r="V17" i="14"/>
  <c r="AK17" i="14"/>
  <c r="AC17" i="14"/>
  <c r="U17" i="14"/>
  <c r="AF27" i="14"/>
  <c r="S48" i="14"/>
  <c r="AL51" i="14"/>
  <c r="Z11" i="14"/>
  <c r="T12" i="14"/>
  <c r="AC12" i="14"/>
  <c r="AL12" i="14"/>
  <c r="U13" i="14"/>
  <c r="AD13" i="14"/>
  <c r="AM13" i="14"/>
  <c r="U16" i="14"/>
  <c r="AG16" i="14"/>
  <c r="AB17" i="14"/>
  <c r="AN17" i="14"/>
  <c r="V19" i="14"/>
  <c r="AF19" i="14"/>
  <c r="AC20" i="14"/>
  <c r="AM20" i="14"/>
  <c r="AA24" i="14"/>
  <c r="AK24" i="14"/>
  <c r="W26" i="14"/>
  <c r="W27" i="14"/>
  <c r="AK27" i="14"/>
  <c r="V28" i="14"/>
  <c r="AJ28" i="14"/>
  <c r="AB32" i="14"/>
  <c r="AE33" i="14"/>
  <c r="AE34" i="14"/>
  <c r="AE35" i="14"/>
  <c r="AD36" i="14"/>
  <c r="AJ43" i="14"/>
  <c r="AB43" i="14"/>
  <c r="T43" i="14"/>
  <c r="AF43" i="14"/>
  <c r="W43" i="14"/>
  <c r="AN43" i="14"/>
  <c r="AE43" i="14"/>
  <c r="V43" i="14"/>
  <c r="AM43" i="14"/>
  <c r="AD43" i="14"/>
  <c r="U43" i="14"/>
  <c r="AC43" i="14"/>
  <c r="AF46" i="14"/>
  <c r="Y48" i="14"/>
  <c r="AK48" i="14"/>
  <c r="T50" i="14"/>
  <c r="AG50" i="14"/>
  <c r="Y51" i="14"/>
  <c r="AN51" i="14"/>
  <c r="T53" i="14"/>
  <c r="AJ57" i="14"/>
  <c r="Y58" i="14"/>
  <c r="X60" i="14"/>
  <c r="Z67" i="14"/>
  <c r="Z68" i="14"/>
  <c r="V79" i="14"/>
  <c r="T80" i="14"/>
  <c r="AA85" i="14"/>
  <c r="X13" i="14"/>
  <c r="AL19" i="14"/>
  <c r="AK26" i="14"/>
  <c r="AC26" i="14"/>
  <c r="U26" i="14"/>
  <c r="AJ26" i="14"/>
  <c r="AB26" i="14"/>
  <c r="T26" i="14"/>
  <c r="AI26" i="14"/>
  <c r="AA26" i="14"/>
  <c r="S26" i="14"/>
  <c r="AD27" i="14"/>
  <c r="AH53" i="14"/>
  <c r="Z53" i="14"/>
  <c r="AG53" i="14"/>
  <c r="Y53" i="14"/>
  <c r="AJ53" i="14"/>
  <c r="X53" i="14"/>
  <c r="AI53" i="14"/>
  <c r="W53" i="14"/>
  <c r="AF53" i="14"/>
  <c r="V53" i="14"/>
  <c r="Z17" i="14"/>
  <c r="AD19" i="14"/>
  <c r="U27" i="14"/>
  <c r="AE28" i="14"/>
  <c r="AI48" i="14"/>
  <c r="AE57" i="14"/>
  <c r="AI11" i="14"/>
  <c r="AA11" i="14"/>
  <c r="S11" i="14"/>
  <c r="Y11" i="14"/>
  <c r="AH11" i="14"/>
  <c r="S12" i="14"/>
  <c r="AB12" i="14"/>
  <c r="AK12" i="14"/>
  <c r="T13" i="14"/>
  <c r="AC13" i="14"/>
  <c r="AL13" i="14"/>
  <c r="AB11" i="14"/>
  <c r="AK11" i="14"/>
  <c r="U12" i="14"/>
  <c r="AD12" i="14"/>
  <c r="V13" i="14"/>
  <c r="AE13" i="14"/>
  <c r="AN13" i="14"/>
  <c r="X16" i="14"/>
  <c r="AH16" i="14"/>
  <c r="S17" i="14"/>
  <c r="AE17" i="14"/>
  <c r="AK18" i="14"/>
  <c r="AC18" i="14"/>
  <c r="U18" i="14"/>
  <c r="AJ18" i="14"/>
  <c r="AB18" i="14"/>
  <c r="T18" i="14"/>
  <c r="Z18" i="14"/>
  <c r="AL18" i="14"/>
  <c r="W19" i="14"/>
  <c r="T20" i="14"/>
  <c r="AD20" i="14"/>
  <c r="AN20" i="14"/>
  <c r="AB24" i="14"/>
  <c r="AN24" i="14"/>
  <c r="X26" i="14"/>
  <c r="AL26" i="14"/>
  <c r="X27" i="14"/>
  <c r="AL27" i="14"/>
  <c r="W28" i="14"/>
  <c r="AK28" i="14"/>
  <c r="AF32" i="14"/>
  <c r="AF33" i="14"/>
  <c r="AF34" i="14"/>
  <c r="U35" i="14"/>
  <c r="AF35" i="14"/>
  <c r="T36" i="14"/>
  <c r="AE36" i="14"/>
  <c r="AG43" i="14"/>
  <c r="U46" i="14"/>
  <c r="AH46" i="14"/>
  <c r="Z48" i="14"/>
  <c r="AL48" i="14"/>
  <c r="V50" i="14"/>
  <c r="Z51" i="14"/>
  <c r="U53" i="14"/>
  <c r="AM53" i="14"/>
  <c r="S57" i="14"/>
  <c r="Z58" i="14"/>
  <c r="AA68" i="14"/>
  <c r="AI71" i="14"/>
  <c r="AA71" i="14"/>
  <c r="S71" i="14"/>
  <c r="AM71" i="14"/>
  <c r="AD71" i="14"/>
  <c r="U71" i="14"/>
  <c r="AL71" i="14"/>
  <c r="AC71" i="14"/>
  <c r="T71" i="14"/>
  <c r="AN71" i="14"/>
  <c r="Z71" i="14"/>
  <c r="AK71" i="14"/>
  <c r="Y71" i="14"/>
  <c r="AJ71" i="14"/>
  <c r="X71" i="14"/>
  <c r="AH71" i="14"/>
  <c r="W71" i="14"/>
  <c r="AH72" i="14"/>
  <c r="Z72" i="14"/>
  <c r="AF72" i="14"/>
  <c r="W72" i="14"/>
  <c r="AN72" i="14"/>
  <c r="AE72" i="14"/>
  <c r="V72" i="14"/>
  <c r="AL72" i="14"/>
  <c r="AA72" i="14"/>
  <c r="AK72" i="14"/>
  <c r="Y72" i="14"/>
  <c r="AJ72" i="14"/>
  <c r="X72" i="14"/>
  <c r="AI72" i="14"/>
  <c r="U72" i="14"/>
  <c r="AM72" i="14"/>
  <c r="AD79" i="14"/>
  <c r="AB80" i="14"/>
  <c r="W84" i="14"/>
  <c r="AB85" i="14"/>
  <c r="AJ16" i="14"/>
  <c r="AK16" i="14"/>
  <c r="AJ19" i="14"/>
  <c r="AB19" i="14"/>
  <c r="T19" i="14"/>
  <c r="AI19" i="14"/>
  <c r="AA19" i="14"/>
  <c r="S19" i="14"/>
  <c r="AC28" i="14"/>
  <c r="AC48" i="14"/>
  <c r="AH12" i="14"/>
  <c r="Z12" i="14"/>
  <c r="Y12" i="14"/>
  <c r="AA13" i="14"/>
  <c r="AJ13" i="14"/>
  <c r="AE27" i="14"/>
  <c r="AH48" i="14"/>
  <c r="AK51" i="14"/>
  <c r="AI58" i="14"/>
  <c r="AM67" i="14"/>
  <c r="AE67" i="14"/>
  <c r="W67" i="14"/>
  <c r="AL67" i="14"/>
  <c r="AC67" i="14"/>
  <c r="T67" i="14"/>
  <c r="AK67" i="14"/>
  <c r="AB67" i="14"/>
  <c r="S67" i="14"/>
  <c r="AI67" i="14"/>
  <c r="X67" i="14"/>
  <c r="AH67" i="14"/>
  <c r="V67" i="14"/>
  <c r="AG67" i="14"/>
  <c r="U67" i="14"/>
  <c r="AF67" i="14"/>
  <c r="AA12" i="14"/>
  <c r="AB13" i="14"/>
  <c r="AC16" i="14"/>
  <c r="T28" i="14"/>
  <c r="AK50" i="14"/>
  <c r="AC50" i="14"/>
  <c r="U50" i="14"/>
  <c r="AL50" i="14"/>
  <c r="AB50" i="14"/>
  <c r="S50" i="14"/>
  <c r="AJ50" i="14"/>
  <c r="AA50" i="14"/>
  <c r="AI50" i="14"/>
  <c r="Z50" i="14"/>
  <c r="AE53" i="14"/>
  <c r="AL57" i="14"/>
  <c r="AD57" i="14"/>
  <c r="V57" i="14"/>
  <c r="AK57" i="14"/>
  <c r="AC57" i="14"/>
  <c r="U57" i="14"/>
  <c r="AH57" i="14"/>
  <c r="X57" i="14"/>
  <c r="AG57" i="14"/>
  <c r="W57" i="14"/>
  <c r="AF57" i="14"/>
  <c r="T57" i="14"/>
  <c r="W58" i="14"/>
  <c r="AI60" i="14"/>
  <c r="AA60" i="14"/>
  <c r="S60" i="14"/>
  <c r="AH60" i="14"/>
  <c r="Z60" i="14"/>
  <c r="AG60" i="14"/>
  <c r="W60" i="14"/>
  <c r="AF60" i="14"/>
  <c r="V60" i="14"/>
  <c r="AE60" i="14"/>
  <c r="U60" i="14"/>
  <c r="AN60" i="14"/>
  <c r="AD60" i="14"/>
  <c r="T60" i="14"/>
  <c r="AL60" i="14"/>
  <c r="T11" i="14"/>
  <c r="AC11" i="14"/>
  <c r="AL11" i="14"/>
  <c r="V12" i="14"/>
  <c r="AE12" i="14"/>
  <c r="AN12" i="14"/>
  <c r="W13" i="14"/>
  <c r="AF13" i="14"/>
  <c r="Y16" i="14"/>
  <c r="AI16" i="14"/>
  <c r="T17" i="14"/>
  <c r="AF17" i="14"/>
  <c r="AA18" i="14"/>
  <c r="AM18" i="14"/>
  <c r="X19" i="14"/>
  <c r="AH19" i="14"/>
  <c r="U20" i="14"/>
  <c r="AE20" i="14"/>
  <c r="AH21" i="14"/>
  <c r="Z21" i="14"/>
  <c r="AG21" i="14"/>
  <c r="Y21" i="14"/>
  <c r="AA21" i="14"/>
  <c r="AK21" i="14"/>
  <c r="S24" i="14"/>
  <c r="AC24" i="14"/>
  <c r="AL25" i="14"/>
  <c r="AD25" i="14"/>
  <c r="V25" i="14"/>
  <c r="AK25" i="14"/>
  <c r="AC25" i="14"/>
  <c r="U25" i="14"/>
  <c r="AJ25" i="14"/>
  <c r="Z25" i="14"/>
  <c r="AM25" i="14"/>
  <c r="Y26" i="14"/>
  <c r="AM26" i="14"/>
  <c r="Y27" i="14"/>
  <c r="AM27" i="14"/>
  <c r="X28" i="14"/>
  <c r="AL28" i="14"/>
  <c r="S32" i="14"/>
  <c r="AG32" i="14"/>
  <c r="S33" i="14"/>
  <c r="AG33" i="14"/>
  <c r="V34" i="14"/>
  <c r="AG34" i="14"/>
  <c r="V35" i="14"/>
  <c r="AG35" i="14"/>
  <c r="U36" i="14"/>
  <c r="AF36" i="14"/>
  <c r="AM40" i="14"/>
  <c r="AE40" i="14"/>
  <c r="W40" i="14"/>
  <c r="AL40" i="14"/>
  <c r="AD40" i="14"/>
  <c r="V40" i="14"/>
  <c r="AK40" i="14"/>
  <c r="AC40" i="14"/>
  <c r="U40" i="14"/>
  <c r="AA40" i="14"/>
  <c r="AL41" i="14"/>
  <c r="AD41" i="14"/>
  <c r="V41" i="14"/>
  <c r="AK41" i="14"/>
  <c r="AC41" i="14"/>
  <c r="U41" i="14"/>
  <c r="AJ41" i="14"/>
  <c r="AB41" i="14"/>
  <c r="T41" i="14"/>
  <c r="AA41" i="14"/>
  <c r="AK42" i="14"/>
  <c r="AC42" i="14"/>
  <c r="AM42" i="14"/>
  <c r="AD42" i="14"/>
  <c r="U42" i="14"/>
  <c r="AL42" i="14"/>
  <c r="AB42" i="14"/>
  <c r="T42" i="14"/>
  <c r="AJ42" i="14"/>
  <c r="AA42" i="14"/>
  <c r="S42" i="14"/>
  <c r="AE42" i="14"/>
  <c r="AH43" i="14"/>
  <c r="V46" i="14"/>
  <c r="AI46" i="14"/>
  <c r="AA48" i="14"/>
  <c r="W50" i="14"/>
  <c r="AM50" i="14"/>
  <c r="AC51" i="14"/>
  <c r="AA53" i="14"/>
  <c r="AN53" i="14"/>
  <c r="Y57" i="14"/>
  <c r="AN57" i="14"/>
  <c r="AF58" i="14"/>
  <c r="AB60" i="14"/>
  <c r="AD67" i="14"/>
  <c r="AB68" i="14"/>
  <c r="AE79" i="14"/>
  <c r="AC80" i="14"/>
  <c r="AG84" i="14"/>
  <c r="AH85" i="14"/>
  <c r="AM75" i="14"/>
  <c r="AE75" i="14"/>
  <c r="W75" i="14"/>
  <c r="AK75" i="14"/>
  <c r="AB75" i="14"/>
  <c r="S75" i="14"/>
  <c r="AJ75" i="14"/>
  <c r="AA75" i="14"/>
  <c r="AC75" i="14"/>
  <c r="AL76" i="14"/>
  <c r="AD76" i="14"/>
  <c r="V76" i="14"/>
  <c r="AN76" i="14"/>
  <c r="AE76" i="14"/>
  <c r="U76" i="14"/>
  <c r="AM76" i="14"/>
  <c r="AC76" i="14"/>
  <c r="T76" i="14"/>
  <c r="AA76" i="14"/>
  <c r="AK77" i="14"/>
  <c r="AC77" i="14"/>
  <c r="U77" i="14"/>
  <c r="AG77" i="14"/>
  <c r="X77" i="14"/>
  <c r="AF77" i="14"/>
  <c r="W77" i="14"/>
  <c r="AA77" i="14"/>
  <c r="AM77" i="14"/>
  <c r="X29" i="14"/>
  <c r="AF29" i="14"/>
  <c r="AN29" i="14"/>
  <c r="X37" i="14"/>
  <c r="AF37" i="14"/>
  <c r="AN37" i="14"/>
  <c r="AH45" i="14"/>
  <c r="Z45" i="14"/>
  <c r="Y45" i="14"/>
  <c r="AI45" i="14"/>
  <c r="AI52" i="14"/>
  <c r="AA52" i="14"/>
  <c r="S52" i="14"/>
  <c r="AH52" i="14"/>
  <c r="Z52" i="14"/>
  <c r="AB52" i="14"/>
  <c r="AL52" i="14"/>
  <c r="AK61" i="14"/>
  <c r="AC61" i="14"/>
  <c r="AI61" i="14"/>
  <c r="Z61" i="14"/>
  <c r="AH61" i="14"/>
  <c r="Y61" i="14"/>
  <c r="AA61" i="14"/>
  <c r="AM61" i="14"/>
  <c r="AD75" i="14"/>
  <c r="AB76" i="14"/>
  <c r="AB77" i="14"/>
  <c r="AN77" i="14"/>
  <c r="X14" i="14"/>
  <c r="AF14" i="14"/>
  <c r="W15" i="14"/>
  <c r="AT15" i="14" s="1" a="1"/>
  <c r="AT15" i="14" s="1"/>
  <c r="AE15" i="14"/>
  <c r="BB15" i="14" s="1" a="1"/>
  <c r="BB15" i="14" s="1"/>
  <c r="AM15" i="14"/>
  <c r="BJ15" i="14" s="1" a="1"/>
  <c r="BJ15" i="14" s="1"/>
  <c r="X22" i="14"/>
  <c r="AF22" i="14"/>
  <c r="W23" i="14"/>
  <c r="AE23" i="14"/>
  <c r="AM23" i="14"/>
  <c r="Y29" i="14"/>
  <c r="AG29" i="14"/>
  <c r="X30" i="14"/>
  <c r="AF30" i="14"/>
  <c r="W31" i="14"/>
  <c r="AE31" i="14"/>
  <c r="AM31" i="14"/>
  <c r="Y37" i="14"/>
  <c r="AG37" i="14"/>
  <c r="X38" i="14"/>
  <c r="AF38" i="14"/>
  <c r="W39" i="14"/>
  <c r="AE39" i="14"/>
  <c r="AM39" i="14"/>
  <c r="X44" i="14"/>
  <c r="AA45" i="14"/>
  <c r="AJ45" i="14"/>
  <c r="AL49" i="14"/>
  <c r="AD49" i="14"/>
  <c r="V49" i="14"/>
  <c r="Y49" i="14"/>
  <c r="AH49" i="14"/>
  <c r="AC52" i="14"/>
  <c r="AM52" i="14"/>
  <c r="AM56" i="14"/>
  <c r="AE56" i="14"/>
  <c r="W56" i="14"/>
  <c r="AL56" i="14"/>
  <c r="AD56" i="14"/>
  <c r="V56" i="14"/>
  <c r="Z56" i="14"/>
  <c r="AJ56" i="14"/>
  <c r="Y59" i="14"/>
  <c r="AB61" i="14"/>
  <c r="AN61" i="14"/>
  <c r="Z62" i="14"/>
  <c r="Z63" i="14"/>
  <c r="AA64" i="14"/>
  <c r="T75" i="14"/>
  <c r="AF75" i="14"/>
  <c r="AF76" i="14"/>
  <c r="AD77" i="14"/>
  <c r="X15" i="14"/>
  <c r="AU15" i="14" s="1" a="1"/>
  <c r="AU15" i="14" s="1"/>
  <c r="AF15" i="14"/>
  <c r="BC15" i="14" s="1" a="1"/>
  <c r="BC15" i="14" s="1"/>
  <c r="X23" i="14"/>
  <c r="AF23" i="14"/>
  <c r="Z29" i="14"/>
  <c r="X31" i="14"/>
  <c r="AF31" i="14"/>
  <c r="Z37" i="14"/>
  <c r="X39" i="14"/>
  <c r="AF39" i="14"/>
  <c r="AI44" i="14"/>
  <c r="AA44" i="14"/>
  <c r="S44" i="14"/>
  <c r="Y44" i="14"/>
  <c r="AH44" i="14"/>
  <c r="S45" i="14"/>
  <c r="AB45" i="14"/>
  <c r="AK45" i="14"/>
  <c r="T52" i="14"/>
  <c r="AD52" i="14"/>
  <c r="AN52" i="14"/>
  <c r="AJ59" i="14"/>
  <c r="AB59" i="14"/>
  <c r="T59" i="14"/>
  <c r="AI59" i="14"/>
  <c r="AA59" i="14"/>
  <c r="S59" i="14"/>
  <c r="Z59" i="14"/>
  <c r="AL59" i="14"/>
  <c r="S61" i="14"/>
  <c r="AD61" i="14"/>
  <c r="AJ62" i="14"/>
  <c r="AB62" i="14"/>
  <c r="T62" i="14"/>
  <c r="AL62" i="14"/>
  <c r="AC62" i="14"/>
  <c r="S62" i="14"/>
  <c r="AK62" i="14"/>
  <c r="AA62" i="14"/>
  <c r="AD62" i="14"/>
  <c r="AI63" i="14"/>
  <c r="AA63" i="14"/>
  <c r="S63" i="14"/>
  <c r="AN63" i="14"/>
  <c r="AE63" i="14"/>
  <c r="V63" i="14"/>
  <c r="AM63" i="14"/>
  <c r="AD63" i="14"/>
  <c r="U63" i="14"/>
  <c r="AB63" i="14"/>
  <c r="AH64" i="14"/>
  <c r="Z64" i="14"/>
  <c r="AG64" i="14"/>
  <c r="X64" i="14"/>
  <c r="AF64" i="14"/>
  <c r="W64" i="14"/>
  <c r="AB64" i="14"/>
  <c r="AM64" i="14"/>
  <c r="AJ70" i="14"/>
  <c r="AB70" i="14"/>
  <c r="T70" i="14"/>
  <c r="AK70" i="14"/>
  <c r="AA70" i="14"/>
  <c r="AI70" i="14"/>
  <c r="Z70" i="14"/>
  <c r="AC70" i="14"/>
  <c r="AN70" i="14"/>
  <c r="U75" i="14"/>
  <c r="AG75" i="14"/>
  <c r="S76" i="14"/>
  <c r="AG76" i="14"/>
  <c r="S77" i="14"/>
  <c r="AE77" i="14"/>
  <c r="AH88" i="14"/>
  <c r="Z88" i="14"/>
  <c r="AM88" i="14"/>
  <c r="AD88" i="14"/>
  <c r="U88" i="14"/>
  <c r="AL88" i="14"/>
  <c r="AC88" i="14"/>
  <c r="T88" i="14"/>
  <c r="AK88" i="14"/>
  <c r="AB88" i="14"/>
  <c r="S88" i="14"/>
  <c r="AN88" i="14"/>
  <c r="AE88" i="14"/>
  <c r="V88" i="14"/>
  <c r="AI88" i="14"/>
  <c r="AG81" i="14"/>
  <c r="Y81" i="14"/>
  <c r="X81" i="14"/>
  <c r="AH81" i="14"/>
  <c r="S83" i="14"/>
  <c r="AB83" i="14"/>
  <c r="T87" i="14"/>
  <c r="AC87" i="14"/>
  <c r="AM83" i="14"/>
  <c r="AE83" i="14"/>
  <c r="W83" i="14"/>
  <c r="Y83" i="14"/>
  <c r="AH83" i="14"/>
  <c r="AI87" i="14"/>
  <c r="AA87" i="14"/>
  <c r="S87" i="14"/>
  <c r="Y87" i="14"/>
  <c r="AH87" i="14"/>
  <c r="X54" i="14"/>
  <c r="AF54" i="14"/>
  <c r="AN54" i="14"/>
  <c r="AG65" i="14"/>
  <c r="Y65" i="14"/>
  <c r="X65" i="14"/>
  <c r="AH65" i="14"/>
  <c r="AJ78" i="14"/>
  <c r="AB78" i="14"/>
  <c r="T78" i="14"/>
  <c r="Y78" i="14"/>
  <c r="AH78" i="14"/>
  <c r="V81" i="14"/>
  <c r="AE81" i="14"/>
  <c r="AN81" i="14"/>
  <c r="Z83" i="14"/>
  <c r="AI83" i="14"/>
  <c r="Z87" i="14"/>
  <c r="AJ87" i="14"/>
  <c r="X47" i="14"/>
  <c r="AF47" i="14"/>
  <c r="Y54" i="14"/>
  <c r="X55" i="14"/>
  <c r="AF55" i="14"/>
  <c r="Z65" i="14"/>
  <c r="AI65" i="14"/>
  <c r="AK69" i="14"/>
  <c r="AC69" i="14"/>
  <c r="U69" i="14"/>
  <c r="Y69" i="14"/>
  <c r="AH69" i="14"/>
  <c r="AG73" i="14"/>
  <c r="Y73" i="14"/>
  <c r="X73" i="14"/>
  <c r="AH73" i="14"/>
  <c r="Z78" i="14"/>
  <c r="AI78" i="14"/>
  <c r="W81" i="14"/>
  <c r="AF81" i="14"/>
  <c r="AA83" i="14"/>
  <c r="AJ83" i="14"/>
  <c r="AJ86" i="14"/>
  <c r="AB86" i="14"/>
  <c r="T86" i="14"/>
  <c r="Y86" i="14"/>
  <c r="AH86" i="14"/>
  <c r="AB87" i="14"/>
  <c r="AK87" i="14"/>
  <c r="X89" i="14"/>
  <c r="AF89" i="14"/>
  <c r="AN89" i="14"/>
  <c r="W90" i="14"/>
  <c r="AE90" i="14"/>
  <c r="AM90" i="14"/>
  <c r="X66" i="14"/>
  <c r="AF66" i="14"/>
  <c r="X74" i="14"/>
  <c r="AF74" i="14"/>
  <c r="X82" i="14"/>
  <c r="AF82" i="14"/>
  <c r="Y89" i="14"/>
  <c r="X90" i="14"/>
  <c r="AF90" i="14"/>
  <c r="E2" i="12"/>
  <c r="F2" i="12" a="1"/>
  <c r="Q9" i="15" l="1"/>
  <c r="Q8" i="16"/>
  <c r="Q9" i="16"/>
  <c r="Q8" i="15"/>
  <c r="Q8" i="14"/>
  <c r="Q9" i="14"/>
  <c r="F2" i="12"/>
  <c r="G8" i="4"/>
  <c r="C90" i="13"/>
  <c r="B90" i="13"/>
  <c r="AI90" i="13" s="1"/>
  <c r="C89" i="13"/>
  <c r="B89" i="13"/>
  <c r="AG89" i="13" s="1"/>
  <c r="C88" i="13"/>
  <c r="B88" i="13"/>
  <c r="AC88" i="13" s="1"/>
  <c r="C87" i="13"/>
  <c r="B87" i="13"/>
  <c r="AJ87" i="13" s="1"/>
  <c r="C86" i="13"/>
  <c r="B86" i="13"/>
  <c r="Y86" i="13" s="1"/>
  <c r="C85" i="13"/>
  <c r="B85" i="13"/>
  <c r="C84" i="13"/>
  <c r="B84" i="13"/>
  <c r="AE84" i="13" s="1"/>
  <c r="C83" i="13"/>
  <c r="B83" i="13"/>
  <c r="AJ83" i="13" s="1"/>
  <c r="C82" i="13"/>
  <c r="B82" i="13"/>
  <c r="AD82" i="13" s="1"/>
  <c r="C81" i="13"/>
  <c r="B81" i="13"/>
  <c r="AG81" i="13" s="1"/>
  <c r="C80" i="13"/>
  <c r="B80" i="13"/>
  <c r="W80" i="13" s="1"/>
  <c r="C79" i="13"/>
  <c r="B79" i="13"/>
  <c r="AM79" i="13" s="1"/>
  <c r="C78" i="13"/>
  <c r="B78" i="13"/>
  <c r="Z78" i="13" s="1"/>
  <c r="C77" i="13"/>
  <c r="B77" i="13"/>
  <c r="AN77" i="13" s="1"/>
  <c r="C76" i="13"/>
  <c r="B76" i="13"/>
  <c r="AG76" i="13" s="1"/>
  <c r="C75" i="13"/>
  <c r="B75" i="13"/>
  <c r="AK75" i="13" s="1"/>
  <c r="C74" i="13"/>
  <c r="B74" i="13"/>
  <c r="AN74" i="13" s="1"/>
  <c r="C73" i="13"/>
  <c r="B73" i="13"/>
  <c r="C72" i="13"/>
  <c r="B72" i="13"/>
  <c r="AG72" i="13" s="1"/>
  <c r="C71" i="13"/>
  <c r="B71" i="13"/>
  <c r="X71" i="13" s="1"/>
  <c r="C70" i="13"/>
  <c r="B70" i="13"/>
  <c r="AH70" i="13" s="1"/>
  <c r="C69" i="13"/>
  <c r="B69" i="13"/>
  <c r="C68" i="13"/>
  <c r="B68" i="13"/>
  <c r="AN68" i="13" s="1"/>
  <c r="C67" i="13"/>
  <c r="B67" i="13"/>
  <c r="AF67" i="13" s="1"/>
  <c r="C66" i="13"/>
  <c r="B66" i="13"/>
  <c r="AH66" i="13" s="1"/>
  <c r="C65" i="13"/>
  <c r="B65" i="13"/>
  <c r="X65" i="13" s="1"/>
  <c r="C64" i="13"/>
  <c r="B64" i="13"/>
  <c r="AG64" i="13" s="1"/>
  <c r="C63" i="13"/>
  <c r="B63" i="13"/>
  <c r="AG63" i="13" s="1"/>
  <c r="C62" i="13"/>
  <c r="B62" i="13"/>
  <c r="AH62" i="13" s="1"/>
  <c r="C61" i="13"/>
  <c r="B61" i="13"/>
  <c r="AI61" i="13" s="1"/>
  <c r="C60" i="13"/>
  <c r="B60" i="13"/>
  <c r="X60" i="13" s="1"/>
  <c r="C59" i="13"/>
  <c r="B59" i="13"/>
  <c r="AN59" i="13" s="1"/>
  <c r="C58" i="13"/>
  <c r="B58" i="13"/>
  <c r="AJ58" i="13" s="1"/>
  <c r="C57" i="13"/>
  <c r="B57" i="13"/>
  <c r="AC57" i="13" s="1"/>
  <c r="C56" i="13"/>
  <c r="B56" i="13"/>
  <c r="C55" i="13"/>
  <c r="B55" i="13"/>
  <c r="C54" i="13"/>
  <c r="B54" i="13"/>
  <c r="C53" i="13"/>
  <c r="B53" i="13"/>
  <c r="C52" i="13"/>
  <c r="B52" i="13"/>
  <c r="AL52" i="13" s="1"/>
  <c r="C51" i="13"/>
  <c r="B51" i="13"/>
  <c r="AM51" i="13" s="1"/>
  <c r="C50" i="13"/>
  <c r="B50" i="13"/>
  <c r="X50" i="13" s="1"/>
  <c r="C49" i="13"/>
  <c r="B49" i="13"/>
  <c r="W49" i="13" s="1"/>
  <c r="C48" i="13"/>
  <c r="B48" i="13"/>
  <c r="Z48" i="13" s="1"/>
  <c r="C47" i="13"/>
  <c r="B47" i="13"/>
  <c r="X47" i="13" s="1"/>
  <c r="C46" i="13"/>
  <c r="B46" i="13"/>
  <c r="Z46" i="13" s="1"/>
  <c r="C45" i="13"/>
  <c r="B45" i="13"/>
  <c r="U45" i="13" s="1"/>
  <c r="C44" i="13"/>
  <c r="B44" i="13"/>
  <c r="AG44" i="13" s="1"/>
  <c r="C43" i="13"/>
  <c r="B43" i="13"/>
  <c r="AL43" i="13" s="1"/>
  <c r="C42" i="13"/>
  <c r="B42" i="13"/>
  <c r="AA42" i="13" s="1"/>
  <c r="C41" i="13"/>
  <c r="B41" i="13"/>
  <c r="AN41" i="13" s="1"/>
  <c r="C40" i="13"/>
  <c r="B40" i="13"/>
  <c r="AL40" i="13" s="1"/>
  <c r="C39" i="13"/>
  <c r="B39" i="13"/>
  <c r="AL39" i="13" s="1"/>
  <c r="C38" i="13"/>
  <c r="B38" i="13"/>
  <c r="AA38" i="13" s="1"/>
  <c r="C37" i="13"/>
  <c r="B37" i="13"/>
  <c r="AC37" i="13" s="1"/>
  <c r="C36" i="13"/>
  <c r="B36" i="13"/>
  <c r="X36" i="13" s="1"/>
  <c r="C35" i="13"/>
  <c r="B35" i="13"/>
  <c r="AN35" i="13" s="1"/>
  <c r="C34" i="13"/>
  <c r="B34" i="13"/>
  <c r="Z34" i="13" s="1"/>
  <c r="C33" i="13"/>
  <c r="B33" i="13"/>
  <c r="AI33" i="13" s="1"/>
  <c r="C32" i="13"/>
  <c r="B32" i="13"/>
  <c r="AC32" i="13" s="1"/>
  <c r="C31" i="13"/>
  <c r="B31" i="13"/>
  <c r="AG31" i="13" s="1"/>
  <c r="C30" i="13"/>
  <c r="B30" i="13"/>
  <c r="AM30" i="13" s="1"/>
  <c r="C29" i="13"/>
  <c r="B29" i="13"/>
  <c r="AN29" i="13" s="1"/>
  <c r="C28" i="13"/>
  <c r="B28" i="13"/>
  <c r="AL28" i="13" s="1"/>
  <c r="C27" i="13"/>
  <c r="B27" i="13"/>
  <c r="AN27" i="13" s="1"/>
  <c r="C26" i="13"/>
  <c r="B26" i="13"/>
  <c r="C25" i="13"/>
  <c r="B25" i="13"/>
  <c r="AL25" i="13" s="1"/>
  <c r="C24" i="13"/>
  <c r="B24" i="13"/>
  <c r="AN24" i="13" s="1"/>
  <c r="C23" i="13"/>
  <c r="B23" i="13"/>
  <c r="AD23" i="13" s="1"/>
  <c r="C22" i="13"/>
  <c r="B22" i="13"/>
  <c r="AJ22" i="13" s="1"/>
  <c r="C21" i="13"/>
  <c r="B21" i="13"/>
  <c r="AF21" i="13" s="1"/>
  <c r="C20" i="13"/>
  <c r="B20" i="13"/>
  <c r="W20" i="13" s="1"/>
  <c r="C19" i="13"/>
  <c r="B19" i="13"/>
  <c r="C18" i="13"/>
  <c r="B18" i="13"/>
  <c r="AK18" i="13" s="1"/>
  <c r="C17" i="13"/>
  <c r="B17" i="13"/>
  <c r="AG17" i="13" s="1"/>
  <c r="C16" i="13"/>
  <c r="B16" i="13"/>
  <c r="AG16" i="13" s="1"/>
  <c r="C15" i="13"/>
  <c r="B15" i="13"/>
  <c r="Q15" i="13" s="1"/>
  <c r="C14" i="13"/>
  <c r="B14" i="13"/>
  <c r="C13" i="13"/>
  <c r="B13" i="13"/>
  <c r="C12" i="13"/>
  <c r="B12" i="13"/>
  <c r="C11" i="13"/>
  <c r="B11" i="13"/>
  <c r="P9" i="13"/>
  <c r="O9" i="13"/>
  <c r="N9" i="13"/>
  <c r="M9" i="13"/>
  <c r="L9" i="13"/>
  <c r="K9" i="13"/>
  <c r="J9" i="13"/>
  <c r="I9" i="13"/>
  <c r="H9" i="13"/>
  <c r="G9" i="13"/>
  <c r="F9" i="13"/>
  <c r="E9" i="13"/>
  <c r="P8" i="13"/>
  <c r="O8" i="13"/>
  <c r="N8" i="13"/>
  <c r="M8" i="13"/>
  <c r="L8" i="13"/>
  <c r="K8" i="13"/>
  <c r="J8" i="13"/>
  <c r="I8" i="13"/>
  <c r="H8" i="13"/>
  <c r="G8" i="13"/>
  <c r="F8" i="13"/>
  <c r="E8" i="13"/>
  <c r="F9" i="4"/>
  <c r="G9" i="4"/>
  <c r="H9" i="4"/>
  <c r="I9" i="4"/>
  <c r="J9" i="4"/>
  <c r="K9" i="4"/>
  <c r="L9" i="4"/>
  <c r="M9" i="4"/>
  <c r="N9" i="4"/>
  <c r="O9" i="4"/>
  <c r="P9" i="4"/>
  <c r="F8" i="4"/>
  <c r="H8" i="4"/>
  <c r="I8" i="4"/>
  <c r="J8" i="4"/>
  <c r="K8" i="4"/>
  <c r="L8" i="4"/>
  <c r="M8" i="4"/>
  <c r="N8" i="4"/>
  <c r="O8" i="4"/>
  <c r="P8" i="4"/>
  <c r="E9" i="4"/>
  <c r="E8" i="4"/>
  <c r="B11" i="12"/>
  <c r="C90" i="12"/>
  <c r="B90" i="12"/>
  <c r="C89" i="12"/>
  <c r="B89" i="12"/>
  <c r="C88" i="12"/>
  <c r="B88" i="12"/>
  <c r="C87" i="12"/>
  <c r="B87" i="12"/>
  <c r="C86" i="12"/>
  <c r="B86" i="12"/>
  <c r="C85" i="12"/>
  <c r="B85" i="12"/>
  <c r="C84" i="12"/>
  <c r="B84" i="12"/>
  <c r="C83" i="12"/>
  <c r="B83" i="12"/>
  <c r="C82" i="12"/>
  <c r="B82" i="12"/>
  <c r="C81" i="12"/>
  <c r="B81" i="12"/>
  <c r="C80" i="12"/>
  <c r="B80" i="12"/>
  <c r="C79" i="12"/>
  <c r="B79" i="12"/>
  <c r="C78" i="12"/>
  <c r="B78" i="12"/>
  <c r="C77" i="12"/>
  <c r="B77" i="12"/>
  <c r="C76" i="12"/>
  <c r="B76" i="12"/>
  <c r="C75" i="12"/>
  <c r="B75" i="12"/>
  <c r="C74" i="12"/>
  <c r="B74" i="12"/>
  <c r="C73" i="12"/>
  <c r="B73" i="12"/>
  <c r="C72" i="12"/>
  <c r="B72" i="12"/>
  <c r="C71" i="12"/>
  <c r="B71" i="12"/>
  <c r="C70" i="12"/>
  <c r="B70" i="12"/>
  <c r="C69" i="12"/>
  <c r="B69" i="12"/>
  <c r="C68" i="12"/>
  <c r="B68" i="12"/>
  <c r="C67" i="12"/>
  <c r="B67" i="12"/>
  <c r="C66" i="12"/>
  <c r="B66" i="12"/>
  <c r="C65" i="12"/>
  <c r="B65" i="12"/>
  <c r="C64" i="12"/>
  <c r="B64" i="12"/>
  <c r="C63" i="12"/>
  <c r="B63" i="12"/>
  <c r="C62" i="12"/>
  <c r="B62" i="12"/>
  <c r="C61" i="12"/>
  <c r="B61" i="12"/>
  <c r="C60" i="12"/>
  <c r="B60" i="12"/>
  <c r="C59" i="12"/>
  <c r="B59" i="12"/>
  <c r="C58" i="12"/>
  <c r="B58" i="12"/>
  <c r="C57" i="12"/>
  <c r="B57" i="12"/>
  <c r="C56" i="12"/>
  <c r="B56" i="12"/>
  <c r="C55" i="12"/>
  <c r="B55" i="12"/>
  <c r="C54" i="12"/>
  <c r="B54" i="12"/>
  <c r="C53" i="12"/>
  <c r="B53" i="12"/>
  <c r="C52" i="12"/>
  <c r="B52" i="12"/>
  <c r="C51" i="12"/>
  <c r="B51" i="12"/>
  <c r="C50" i="12"/>
  <c r="B50" i="12"/>
  <c r="C49" i="12"/>
  <c r="B49" i="12"/>
  <c r="C48" i="12"/>
  <c r="B48" i="12"/>
  <c r="C47" i="12"/>
  <c r="B47" i="12"/>
  <c r="C46" i="12"/>
  <c r="B46" i="12"/>
  <c r="C45" i="12"/>
  <c r="B45" i="12"/>
  <c r="C44" i="12"/>
  <c r="B44" i="12"/>
  <c r="C43" i="12"/>
  <c r="B43" i="12"/>
  <c r="C42" i="12"/>
  <c r="B42" i="12"/>
  <c r="C41" i="12"/>
  <c r="B41" i="12"/>
  <c r="C40" i="12"/>
  <c r="B40" i="12"/>
  <c r="C39" i="12"/>
  <c r="B39" i="12"/>
  <c r="C38" i="12"/>
  <c r="B38" i="12"/>
  <c r="C37" i="12"/>
  <c r="B37" i="12"/>
  <c r="C36" i="12"/>
  <c r="B36" i="12"/>
  <c r="C35" i="12"/>
  <c r="B35" i="12"/>
  <c r="C34" i="12"/>
  <c r="B34" i="12"/>
  <c r="C33" i="12"/>
  <c r="B33" i="12"/>
  <c r="C32" i="12"/>
  <c r="B32" i="12"/>
  <c r="C31" i="12"/>
  <c r="B31" i="12"/>
  <c r="C30" i="12"/>
  <c r="B30" i="12"/>
  <c r="C29" i="12"/>
  <c r="B29" i="12"/>
  <c r="C28" i="12"/>
  <c r="B28" i="12"/>
  <c r="C27" i="12"/>
  <c r="B27" i="12"/>
  <c r="C26" i="12"/>
  <c r="B26" i="12"/>
  <c r="C25" i="12"/>
  <c r="B25" i="12"/>
  <c r="C24" i="12"/>
  <c r="B24" i="12"/>
  <c r="C23" i="12"/>
  <c r="B23" i="12"/>
  <c r="C22" i="12"/>
  <c r="B22" i="12"/>
  <c r="C21" i="12"/>
  <c r="B21" i="12"/>
  <c r="C20" i="12"/>
  <c r="B20" i="12"/>
  <c r="C19" i="12"/>
  <c r="B19" i="12"/>
  <c r="C18" i="12"/>
  <c r="B18" i="12"/>
  <c r="C17" i="12"/>
  <c r="B17" i="12"/>
  <c r="C16" i="12"/>
  <c r="B16" i="12"/>
  <c r="C15" i="12"/>
  <c r="C14" i="12"/>
  <c r="B14" i="12"/>
  <c r="C13" i="12"/>
  <c r="B13" i="12"/>
  <c r="C12" i="12"/>
  <c r="B12" i="12"/>
  <c r="C11" i="12"/>
  <c r="R12" i="12" a="1"/>
  <c r="M12" i="12" a="1"/>
  <c r="V14" i="12" a="1"/>
  <c r="S13" i="12" a="1"/>
  <c r="Q13" i="12" a="1"/>
  <c r="Q15" i="12" a="1"/>
  <c r="U12" i="12" a="1"/>
  <c r="T14" i="12" a="1"/>
  <c r="L15" i="12" a="1"/>
  <c r="W15" i="12" a="1"/>
  <c r="U14" i="12" a="1"/>
  <c r="R15" i="12" a="1"/>
  <c r="W14" i="12" a="1"/>
  <c r="Q14" i="12" a="1"/>
  <c r="M13" i="12" a="1"/>
  <c r="M14" i="12" a="1"/>
  <c r="P14" i="12" a="1"/>
  <c r="O13" i="12" a="1"/>
  <c r="U15" i="12" a="1"/>
  <c r="R14" i="12" a="1"/>
  <c r="W13" i="12" a="1"/>
  <c r="W12" i="12" a="1"/>
  <c r="N15" i="12" a="1"/>
  <c r="T12" i="12" a="1"/>
  <c r="S12" i="12" a="1"/>
  <c r="O14" i="12" a="1"/>
  <c r="X12" i="12" a="1"/>
  <c r="V13" i="12" a="1"/>
  <c r="J13" i="12" a="1"/>
  <c r="U13" i="12" a="1"/>
  <c r="V15" i="12" a="1"/>
  <c r="K13" i="12" a="1"/>
  <c r="O15" i="12" a="1"/>
  <c r="J14" i="12" a="1"/>
  <c r="N13" i="12" a="1"/>
  <c r="L13" i="12" a="1"/>
  <c r="S14" i="12" a="1"/>
  <c r="X13" i="12" a="1"/>
  <c r="S15" i="12" a="1"/>
  <c r="I14" i="12" a="1"/>
  <c r="K14" i="12" a="1"/>
  <c r="O12" i="12" a="1"/>
  <c r="T15" i="12" a="1"/>
  <c r="Q12" i="12" a="1"/>
  <c r="P15" i="12" a="1"/>
  <c r="Y14" i="12" a="1"/>
  <c r="Y12" i="12" a="1"/>
  <c r="V12" i="12" a="1"/>
  <c r="N12" i="12" a="1"/>
  <c r="I15" i="12" a="1"/>
  <c r="M15" i="12" a="1"/>
  <c r="Y15" i="12" a="1"/>
  <c r="J15" i="12" a="1"/>
  <c r="I12" i="12" a="1"/>
  <c r="J12" i="12" a="1"/>
  <c r="K12" i="12" a="1"/>
  <c r="N14" i="12" a="1"/>
  <c r="T13" i="12" a="1"/>
  <c r="X15" i="12" a="1"/>
  <c r="K15" i="12" a="1"/>
  <c r="R13" i="12" a="1"/>
  <c r="P13" i="12" a="1"/>
  <c r="X14" i="12" a="1"/>
  <c r="Y13" i="12" a="1"/>
  <c r="P12" i="12" a="1"/>
  <c r="L14" i="12" a="1"/>
  <c r="I13" i="12" a="1"/>
  <c r="L12" i="12" a="1"/>
  <c r="O11" i="12" a="1"/>
  <c r="K11" i="12" a="1"/>
  <c r="I11" i="12" a="1"/>
  <c r="T11" i="12" a="1"/>
  <c r="N2" i="12" a="1"/>
  <c r="G2" i="12" a="1"/>
  <c r="N3" i="12" a="1"/>
  <c r="I3" i="12" a="1"/>
  <c r="J2" i="12" a="1"/>
  <c r="M2" i="12" a="1"/>
  <c r="F10" i="3" a="1"/>
  <c r="L3" i="12" a="1"/>
  <c r="O3" i="12" a="1"/>
  <c r="E3" i="12" a="1"/>
  <c r="L2" i="12" a="1"/>
  <c r="G3" i="12" a="1"/>
  <c r="B1" i="13" a="1"/>
  <c r="O2" i="12" a="1"/>
  <c r="F3" i="12" a="1"/>
  <c r="K3" i="12" a="1"/>
  <c r="M3" i="12" a="1"/>
  <c r="P2" i="12" a="1"/>
  <c r="K2" i="12" a="1"/>
  <c r="H2" i="12" a="1"/>
  <c r="I2" i="12" a="1"/>
  <c r="H10" i="3" a="1"/>
  <c r="J3" i="12" a="1"/>
  <c r="H3" i="12" a="1"/>
  <c r="P3" i="12" a="1"/>
  <c r="AI11" i="13" l="1"/>
  <c r="Q11" i="13"/>
  <c r="AG13" i="13"/>
  <c r="Q13" i="13"/>
  <c r="AN14" i="13"/>
  <c r="Q14" i="13"/>
  <c r="AH12" i="13"/>
  <c r="Q12" i="13"/>
  <c r="BP16" i="12" a="1"/>
  <c r="BP16" i="12" s="1"/>
  <c r="BJ16" i="12" a="1"/>
  <c r="BJ16" i="12" s="1"/>
  <c r="BQ16" i="12" a="1"/>
  <c r="BQ16" i="12" s="1"/>
  <c r="BK16" i="12" a="1"/>
  <c r="BK16" i="12" s="1"/>
  <c r="BR16" i="12" a="1"/>
  <c r="BR16" i="12" s="1"/>
  <c r="BO16" i="12" a="1"/>
  <c r="BO16" i="12" s="1"/>
  <c r="AY16" i="12"/>
  <c r="BG16" i="12"/>
  <c r="AZ16" i="12"/>
  <c r="BH16" i="12"/>
  <c r="BL16" i="12" a="1"/>
  <c r="BL16" i="12" s="1"/>
  <c r="BA16" i="12"/>
  <c r="BS16" i="12" a="1"/>
  <c r="BS16" i="12" s="1"/>
  <c r="BB16" i="12"/>
  <c r="BM16" i="12" a="1"/>
  <c r="BM16" i="12" s="1"/>
  <c r="BC16" i="12"/>
  <c r="BN16" i="12" a="1"/>
  <c r="BN16" i="12" s="1"/>
  <c r="BD16" i="12"/>
  <c r="BE16" i="12"/>
  <c r="BF16" i="12"/>
  <c r="BL32" i="12" a="1"/>
  <c r="BL32" i="12" s="1"/>
  <c r="BM32" i="12" a="1"/>
  <c r="BM32" i="12" s="1"/>
  <c r="BN32" i="12" a="1"/>
  <c r="BN32" i="12" s="1"/>
  <c r="BK32" i="12" a="1"/>
  <c r="BK32" i="12" s="1"/>
  <c r="BS32" i="12" a="1"/>
  <c r="BS32" i="12" s="1"/>
  <c r="BJ32" i="12" a="1"/>
  <c r="BJ32" i="12" s="1"/>
  <c r="AY32" i="12"/>
  <c r="BG32" i="12"/>
  <c r="BO32" i="12" a="1"/>
  <c r="BO32" i="12" s="1"/>
  <c r="AZ32" i="12"/>
  <c r="BP32" i="12" a="1"/>
  <c r="BP32" i="12" s="1"/>
  <c r="BA32" i="12"/>
  <c r="BR32" i="12" a="1"/>
  <c r="BR32" i="12" s="1"/>
  <c r="BF32" i="12"/>
  <c r="BH32" i="12"/>
  <c r="BB32" i="12"/>
  <c r="BC32" i="12"/>
  <c r="BD32" i="12"/>
  <c r="BE32" i="12"/>
  <c r="BG32" i="15" a="1"/>
  <c r="BG32" i="15" s="1"/>
  <c r="BQ32" i="12" a="1"/>
  <c r="BQ32" i="12" s="1"/>
  <c r="BB32" i="15" a="1"/>
  <c r="BB32" i="15" s="1"/>
  <c r="AV32" i="15" a="1"/>
  <c r="AV32" i="15" s="1"/>
  <c r="AP32" i="15" a="1"/>
  <c r="AP32" i="15" s="1"/>
  <c r="BH32" i="15" a="1"/>
  <c r="BH32" i="15" s="1"/>
  <c r="BA32" i="15" a="1"/>
  <c r="BA32" i="15" s="1"/>
  <c r="AU32" i="15" a="1"/>
  <c r="AU32" i="15" s="1"/>
  <c r="BF32" i="15" a="1"/>
  <c r="BF32" i="15" s="1"/>
  <c r="BI32" i="15" a="1"/>
  <c r="BI32" i="15" s="1"/>
  <c r="AQ32" i="15" a="1"/>
  <c r="AQ32" i="15" s="1"/>
  <c r="AS32" i="15" a="1"/>
  <c r="AS32" i="15" s="1"/>
  <c r="BD32" i="15" a="1"/>
  <c r="BD32" i="15" s="1"/>
  <c r="BC32" i="15" a="1"/>
  <c r="BC32" i="15" s="1"/>
  <c r="AR32" i="15" a="1"/>
  <c r="AR32" i="15" s="1"/>
  <c r="AZ32" i="15" a="1"/>
  <c r="AZ32" i="15" s="1"/>
  <c r="BK32" i="15" a="1"/>
  <c r="BK32" i="15" s="1"/>
  <c r="AY32" i="15" a="1"/>
  <c r="AY32" i="15" s="1"/>
  <c r="BJ32" i="15" a="1"/>
  <c r="BJ32" i="15" s="1"/>
  <c r="BE32" i="15" a="1"/>
  <c r="BE32" i="15" s="1"/>
  <c r="AX32" i="15" a="1"/>
  <c r="AX32" i="15" s="1"/>
  <c r="BK32" i="13" a="1"/>
  <c r="BK32" i="13" s="1"/>
  <c r="AX32" i="13" a="1"/>
  <c r="AX32" i="13" s="1"/>
  <c r="AR32" i="13" a="1"/>
  <c r="AR32" i="13" s="1"/>
  <c r="AW32" i="15" a="1"/>
  <c r="AW32" i="15" s="1"/>
  <c r="BJ32" i="13" a="1"/>
  <c r="BJ32" i="13" s="1"/>
  <c r="BE32" i="13" a="1"/>
  <c r="BE32" i="13" s="1"/>
  <c r="AT32" i="15" a="1"/>
  <c r="AT32" i="15" s="1"/>
  <c r="BD32" i="13" a="1"/>
  <c r="BD32" i="13" s="1"/>
  <c r="AW32" i="13" a="1"/>
  <c r="AW32" i="13" s="1"/>
  <c r="AQ32" i="13" a="1"/>
  <c r="AQ32" i="13" s="1"/>
  <c r="BF32" i="13" a="1"/>
  <c r="BF32" i="13" s="1"/>
  <c r="AY32" i="13" a="1"/>
  <c r="AY32" i="13" s="1"/>
  <c r="AS32" i="13" a="1"/>
  <c r="AS32" i="13" s="1"/>
  <c r="AZ32" i="13" a="1"/>
  <c r="AZ32" i="13" s="1"/>
  <c r="BF32" i="16" a="1"/>
  <c r="BF32" i="16" s="1"/>
  <c r="AS32" i="16" a="1"/>
  <c r="AS32" i="16" s="1"/>
  <c r="BI32" i="13" a="1"/>
  <c r="BI32" i="13" s="1"/>
  <c r="AV32" i="13" a="1"/>
  <c r="AV32" i="13" s="1"/>
  <c r="BH32" i="13" a="1"/>
  <c r="BH32" i="13" s="1"/>
  <c r="BB32" i="13" a="1"/>
  <c r="BB32" i="13" s="1"/>
  <c r="BA32" i="13" a="1"/>
  <c r="BA32" i="13" s="1"/>
  <c r="AT32" i="13" a="1"/>
  <c r="AT32" i="13" s="1"/>
  <c r="BG32" i="16" a="1"/>
  <c r="BG32" i="16" s="1"/>
  <c r="AY32" i="16" a="1"/>
  <c r="AY32" i="16" s="1"/>
  <c r="AQ32" i="16" a="1"/>
  <c r="AQ32" i="16" s="1"/>
  <c r="AP32" i="13" a="1"/>
  <c r="AP32" i="13" s="1"/>
  <c r="BK32" i="16" a="1"/>
  <c r="BK32" i="16" s="1"/>
  <c r="AW32" i="16" a="1"/>
  <c r="AW32" i="16" s="1"/>
  <c r="AU32" i="13" a="1"/>
  <c r="AU32" i="13" s="1"/>
  <c r="BD32" i="16" a="1"/>
  <c r="BD32" i="16" s="1"/>
  <c r="AT32" i="16" a="1"/>
  <c r="AT32" i="16" s="1"/>
  <c r="BC32" i="13" a="1"/>
  <c r="BC32" i="13" s="1"/>
  <c r="BC32" i="16" a="1"/>
  <c r="BC32" i="16" s="1"/>
  <c r="BJ32" i="16" a="1"/>
  <c r="BJ32" i="16" s="1"/>
  <c r="BB32" i="16" a="1"/>
  <c r="BB32" i="16" s="1"/>
  <c r="AR32" i="16" a="1"/>
  <c r="AR32" i="16" s="1"/>
  <c r="AZ32" i="16" a="1"/>
  <c r="AZ32" i="16" s="1"/>
  <c r="BG32" i="14" a="1"/>
  <c r="BG32" i="14" s="1"/>
  <c r="AZ32" i="14" a="1"/>
  <c r="AZ32" i="14" s="1"/>
  <c r="BG32" i="13" a="1"/>
  <c r="BG32" i="13" s="1"/>
  <c r="BE32" i="16" a="1"/>
  <c r="BE32" i="16" s="1"/>
  <c r="AU32" i="14" a="1"/>
  <c r="AU32" i="14" s="1"/>
  <c r="BA32" i="16" a="1"/>
  <c r="BA32" i="16" s="1"/>
  <c r="BK32" i="14" a="1"/>
  <c r="BK32" i="14" s="1"/>
  <c r="BF32" i="14" a="1"/>
  <c r="BF32" i="14" s="1"/>
  <c r="AY32" i="14" a="1"/>
  <c r="AY32" i="14" s="1"/>
  <c r="AT32" i="14" a="1"/>
  <c r="AT32" i="14" s="1"/>
  <c r="AX32" i="16" a="1"/>
  <c r="AX32" i="16" s="1"/>
  <c r="AV32" i="16" a="1"/>
  <c r="AV32" i="16" s="1"/>
  <c r="BD32" i="14" a="1"/>
  <c r="BD32" i="14" s="1"/>
  <c r="AX32" i="14" a="1"/>
  <c r="AX32" i="14" s="1"/>
  <c r="AR32" i="14" a="1"/>
  <c r="AR32" i="14" s="1"/>
  <c r="AU32" i="16" a="1"/>
  <c r="AU32" i="16" s="1"/>
  <c r="BI32" i="16" a="1"/>
  <c r="BI32" i="16" s="1"/>
  <c r="AP32" i="16" a="1"/>
  <c r="AP32" i="16" s="1"/>
  <c r="BH32" i="16" a="1"/>
  <c r="BH32" i="16" s="1"/>
  <c r="BA32" i="14" a="1"/>
  <c r="BA32" i="14" s="1"/>
  <c r="AV32" i="14" a="1"/>
  <c r="AV32" i="14" s="1"/>
  <c r="BH32" i="14" a="1"/>
  <c r="BH32" i="14" s="1"/>
  <c r="BJ32" i="14" a="1"/>
  <c r="BJ32" i="14" s="1"/>
  <c r="AW32" i="14" a="1"/>
  <c r="AW32" i="14" s="1"/>
  <c r="AQ32" i="14" a="1"/>
  <c r="AQ32" i="14" s="1"/>
  <c r="BI32" i="14" a="1"/>
  <c r="BI32" i="14" s="1"/>
  <c r="AS32" i="14" a="1"/>
  <c r="AS32" i="14" s="1"/>
  <c r="BE32" i="14" a="1"/>
  <c r="BE32" i="14" s="1"/>
  <c r="BC32" i="14" a="1"/>
  <c r="BC32" i="14" s="1"/>
  <c r="BB32" i="14" a="1"/>
  <c r="BB32" i="14" s="1"/>
  <c r="AP32" i="14" a="1"/>
  <c r="AP32" i="14" s="1"/>
  <c r="BO44" i="12" a="1"/>
  <c r="BO44" i="12" s="1"/>
  <c r="BJ44" i="12" a="1"/>
  <c r="BJ44" i="12" s="1"/>
  <c r="BP44" i="12" a="1"/>
  <c r="BP44" i="12" s="1"/>
  <c r="BK44" i="12" a="1"/>
  <c r="BK44" i="12" s="1"/>
  <c r="BQ44" i="12" a="1"/>
  <c r="BQ44" i="12" s="1"/>
  <c r="BN44" i="12" a="1"/>
  <c r="BN44" i="12" s="1"/>
  <c r="BL44" i="12" a="1"/>
  <c r="BL44" i="12" s="1"/>
  <c r="BM44" i="12" a="1"/>
  <c r="BM44" i="12" s="1"/>
  <c r="BB44" i="12"/>
  <c r="BR44" i="12" a="1"/>
  <c r="BR44" i="12" s="1"/>
  <c r="BC44" i="12"/>
  <c r="BS44" i="12" a="1"/>
  <c r="BS44" i="12" s="1"/>
  <c r="BD44" i="12"/>
  <c r="BE44" i="12"/>
  <c r="AY44" i="12"/>
  <c r="BG44" i="12"/>
  <c r="BH44" i="12"/>
  <c r="BF44" i="15" a="1"/>
  <c r="BF44" i="15" s="1"/>
  <c r="AZ44" i="15" a="1"/>
  <c r="AZ44" i="15" s="1"/>
  <c r="AS44" i="15" a="1"/>
  <c r="AS44" i="15" s="1"/>
  <c r="BK44" i="15" a="1"/>
  <c r="BK44" i="15" s="1"/>
  <c r="BE44" i="15" a="1"/>
  <c r="BE44" i="15" s="1"/>
  <c r="AY44" i="15" a="1"/>
  <c r="AY44" i="15" s="1"/>
  <c r="AZ44" i="12"/>
  <c r="AX44" i="15" a="1"/>
  <c r="AX44" i="15" s="1"/>
  <c r="AR44" i="15" a="1"/>
  <c r="AR44" i="15" s="1"/>
  <c r="BD44" i="15" a="1"/>
  <c r="BD44" i="15" s="1"/>
  <c r="BA44" i="12"/>
  <c r="BC44" i="15" a="1"/>
  <c r="BC44" i="15" s="1"/>
  <c r="AT44" i="15" a="1"/>
  <c r="AT44" i="15" s="1"/>
  <c r="BF44" i="12"/>
  <c r="BB44" i="15" a="1"/>
  <c r="BB44" i="15" s="1"/>
  <c r="AQ44" i="15" a="1"/>
  <c r="AQ44" i="15" s="1"/>
  <c r="BG44" i="15" a="1"/>
  <c r="BG44" i="15" s="1"/>
  <c r="AU44" i="15" a="1"/>
  <c r="AU44" i="15" s="1"/>
  <c r="BI44" i="15" a="1"/>
  <c r="BI44" i="15" s="1"/>
  <c r="AP44" i="15" a="1"/>
  <c r="AP44" i="15" s="1"/>
  <c r="BH44" i="15" a="1"/>
  <c r="BH44" i="15" s="1"/>
  <c r="BA44" i="15" a="1"/>
  <c r="BA44" i="15" s="1"/>
  <c r="BK44" i="13" a="1"/>
  <c r="BK44" i="13" s="1"/>
  <c r="BE44" i="13" a="1"/>
  <c r="BE44" i="13" s="1"/>
  <c r="AY44" i="13" a="1"/>
  <c r="AY44" i="13" s="1"/>
  <c r="BC44" i="13" a="1"/>
  <c r="BC44" i="13" s="1"/>
  <c r="BD44" i="13" a="1"/>
  <c r="BD44" i="13" s="1"/>
  <c r="AW44" i="13" a="1"/>
  <c r="AW44" i="13" s="1"/>
  <c r="AQ44" i="13" a="1"/>
  <c r="AQ44" i="13" s="1"/>
  <c r="AV44" i="13" a="1"/>
  <c r="AV44" i="13" s="1"/>
  <c r="AP44" i="13" a="1"/>
  <c r="AP44" i="13" s="1"/>
  <c r="BJ44" i="13" a="1"/>
  <c r="BJ44" i="13" s="1"/>
  <c r="BB44" i="13" a="1"/>
  <c r="BB44" i="13" s="1"/>
  <c r="AV44" i="15" a="1"/>
  <c r="AV44" i="15" s="1"/>
  <c r="AX44" i="13" a="1"/>
  <c r="AX44" i="13" s="1"/>
  <c r="BK44" i="16" a="1"/>
  <c r="BK44" i="16" s="1"/>
  <c r="AY44" i="16" a="1"/>
  <c r="AY44" i="16" s="1"/>
  <c r="AS44" i="16" a="1"/>
  <c r="AS44" i="16" s="1"/>
  <c r="BI44" i="13" a="1"/>
  <c r="BI44" i="13" s="1"/>
  <c r="AU44" i="13" a="1"/>
  <c r="AU44" i="13" s="1"/>
  <c r="BH44" i="13" a="1"/>
  <c r="BH44" i="13" s="1"/>
  <c r="AT44" i="13" a="1"/>
  <c r="AT44" i="13" s="1"/>
  <c r="AW44" i="15" a="1"/>
  <c r="AW44" i="15" s="1"/>
  <c r="BA44" i="13" a="1"/>
  <c r="BA44" i="13" s="1"/>
  <c r="AZ44" i="13" a="1"/>
  <c r="AZ44" i="13" s="1"/>
  <c r="BF44" i="16" a="1"/>
  <c r="BF44" i="16" s="1"/>
  <c r="AZ44" i="16" a="1"/>
  <c r="AZ44" i="16" s="1"/>
  <c r="AS44" i="13" a="1"/>
  <c r="AS44" i="13" s="1"/>
  <c r="BA44" i="16" a="1"/>
  <c r="BA44" i="16" s="1"/>
  <c r="AR44" i="16" a="1"/>
  <c r="AR44" i="16" s="1"/>
  <c r="AR44" i="13" a="1"/>
  <c r="AR44" i="13" s="1"/>
  <c r="BJ44" i="15" a="1"/>
  <c r="BJ44" i="15" s="1"/>
  <c r="BH44" i="16" a="1"/>
  <c r="BH44" i="16" s="1"/>
  <c r="AX44" i="16" a="1"/>
  <c r="AX44" i="16" s="1"/>
  <c r="AP44" i="16" a="1"/>
  <c r="AP44" i="16" s="1"/>
  <c r="BG44" i="16" a="1"/>
  <c r="BG44" i="16" s="1"/>
  <c r="AW44" i="16" a="1"/>
  <c r="AW44" i="16" s="1"/>
  <c r="BJ44" i="16" a="1"/>
  <c r="BJ44" i="16" s="1"/>
  <c r="BB44" i="16" a="1"/>
  <c r="BB44" i="16" s="1"/>
  <c r="AT44" i="16" a="1"/>
  <c r="AT44" i="16" s="1"/>
  <c r="BG44" i="13" a="1"/>
  <c r="BG44" i="13" s="1"/>
  <c r="BI44" i="16" a="1"/>
  <c r="BI44" i="16" s="1"/>
  <c r="AQ44" i="16" a="1"/>
  <c r="AQ44" i="16" s="1"/>
  <c r="BF44" i="13" a="1"/>
  <c r="BF44" i="13" s="1"/>
  <c r="BE44" i="16" a="1"/>
  <c r="BE44" i="16" s="1"/>
  <c r="BD44" i="16" a="1"/>
  <c r="BD44" i="16" s="1"/>
  <c r="BF44" i="14" a="1"/>
  <c r="BF44" i="14" s="1"/>
  <c r="AY44" i="14" a="1"/>
  <c r="AY44" i="14" s="1"/>
  <c r="AR44" i="14" a="1"/>
  <c r="AR44" i="14" s="1"/>
  <c r="BE44" i="14" a="1"/>
  <c r="BE44" i="14" s="1"/>
  <c r="AQ44" i="14" a="1"/>
  <c r="AQ44" i="14" s="1"/>
  <c r="BC44" i="16" a="1"/>
  <c r="BC44" i="16" s="1"/>
  <c r="BK44" i="14" a="1"/>
  <c r="BK44" i="14" s="1"/>
  <c r="BD44" i="14" a="1"/>
  <c r="BD44" i="14" s="1"/>
  <c r="AX44" i="14" a="1"/>
  <c r="AX44" i="14" s="1"/>
  <c r="AV44" i="16" a="1"/>
  <c r="AV44" i="16" s="1"/>
  <c r="BJ44" i="14" a="1"/>
  <c r="BJ44" i="14" s="1"/>
  <c r="BC44" i="14" a="1"/>
  <c r="BC44" i="14" s="1"/>
  <c r="AV44" i="14" a="1"/>
  <c r="AV44" i="14" s="1"/>
  <c r="AU44" i="16" a="1"/>
  <c r="AU44" i="16" s="1"/>
  <c r="BG44" i="14" a="1"/>
  <c r="BG44" i="14" s="1"/>
  <c r="AZ44" i="14" a="1"/>
  <c r="AZ44" i="14" s="1"/>
  <c r="AS44" i="14" a="1"/>
  <c r="AS44" i="14" s="1"/>
  <c r="BH44" i="14" a="1"/>
  <c r="BH44" i="14" s="1"/>
  <c r="BA44" i="14" a="1"/>
  <c r="BA44" i="14" s="1"/>
  <c r="BB44" i="14" a="1"/>
  <c r="BB44" i="14" s="1"/>
  <c r="AU44" i="14" a="1"/>
  <c r="AU44" i="14" s="1"/>
  <c r="AT44" i="14" a="1"/>
  <c r="AT44" i="14" s="1"/>
  <c r="BI44" i="14" a="1"/>
  <c r="BI44" i="14" s="1"/>
  <c r="AP44" i="14" a="1"/>
  <c r="AP44" i="14" s="1"/>
  <c r="AW44" i="14" a="1"/>
  <c r="AW44" i="14" s="1"/>
  <c r="BQ64" i="12" a="1"/>
  <c r="BQ64" i="12" s="1"/>
  <c r="BJ64" i="12" a="1"/>
  <c r="BJ64" i="12" s="1"/>
  <c r="BR64" i="12" a="1"/>
  <c r="BR64" i="12" s="1"/>
  <c r="BK64" i="12" a="1"/>
  <c r="BK64" i="12" s="1"/>
  <c r="BS64" i="12" a="1"/>
  <c r="BS64" i="12" s="1"/>
  <c r="BP64" i="12" a="1"/>
  <c r="BP64" i="12" s="1"/>
  <c r="BO64" i="12" a="1"/>
  <c r="BO64" i="12" s="1"/>
  <c r="BM64" i="12" a="1"/>
  <c r="BM64" i="12" s="1"/>
  <c r="BB64" i="12"/>
  <c r="BN64" i="12" a="1"/>
  <c r="BN64" i="12" s="1"/>
  <c r="BC64" i="12"/>
  <c r="BD64" i="12"/>
  <c r="BE64" i="12"/>
  <c r="BF64" i="12"/>
  <c r="BG64" i="12"/>
  <c r="AZ64" i="12"/>
  <c r="BG64" i="15" a="1"/>
  <c r="BG64" i="15" s="1"/>
  <c r="BA64" i="15" a="1"/>
  <c r="BA64" i="15" s="1"/>
  <c r="AU64" i="15" a="1"/>
  <c r="AU64" i="15" s="1"/>
  <c r="BF64" i="15" a="1"/>
  <c r="BF64" i="15" s="1"/>
  <c r="BL64" i="12" a="1"/>
  <c r="BL64" i="12" s="1"/>
  <c r="BK64" i="15" a="1"/>
  <c r="BK64" i="15" s="1"/>
  <c r="BE64" i="15" a="1"/>
  <c r="BE64" i="15" s="1"/>
  <c r="AZ64" i="15" a="1"/>
  <c r="AZ64" i="15" s="1"/>
  <c r="AT64" i="15" a="1"/>
  <c r="AT64" i="15" s="1"/>
  <c r="AY64" i="12"/>
  <c r="BJ64" i="15" a="1"/>
  <c r="BJ64" i="15" s="1"/>
  <c r="AY64" i="15" a="1"/>
  <c r="AY64" i="15" s="1"/>
  <c r="BB64" i="15" a="1"/>
  <c r="BB64" i="15" s="1"/>
  <c r="AP64" i="15" a="1"/>
  <c r="AP64" i="15" s="1"/>
  <c r="BI64" i="15" a="1"/>
  <c r="BI64" i="15" s="1"/>
  <c r="AX64" i="15" a="1"/>
  <c r="AX64" i="15" s="1"/>
  <c r="AQ64" i="15" a="1"/>
  <c r="AQ64" i="15" s="1"/>
  <c r="BH64" i="12"/>
  <c r="BC64" i="15" a="1"/>
  <c r="BC64" i="15" s="1"/>
  <c r="AW64" i="15" a="1"/>
  <c r="AW64" i="15" s="1"/>
  <c r="AV64" i="15" a="1"/>
  <c r="AV64" i="15" s="1"/>
  <c r="BA64" i="12"/>
  <c r="BD64" i="15" a="1"/>
  <c r="BD64" i="15" s="1"/>
  <c r="AR64" i="15" a="1"/>
  <c r="AR64" i="15" s="1"/>
  <c r="AZ64" i="13" a="1"/>
  <c r="AZ64" i="13" s="1"/>
  <c r="BE64" i="13" a="1"/>
  <c r="BE64" i="13" s="1"/>
  <c r="AY64" i="13" a="1"/>
  <c r="AY64" i="13" s="1"/>
  <c r="AS64" i="13" a="1"/>
  <c r="AS64" i="13" s="1"/>
  <c r="BK64" i="13" a="1"/>
  <c r="BK64" i="13" s="1"/>
  <c r="BD64" i="13" a="1"/>
  <c r="BD64" i="13" s="1"/>
  <c r="AX64" i="13" a="1"/>
  <c r="AX64" i="13" s="1"/>
  <c r="AR64" i="13" a="1"/>
  <c r="AR64" i="13" s="1"/>
  <c r="BJ64" i="13" a="1"/>
  <c r="BJ64" i="13" s="1"/>
  <c r="AQ64" i="13" a="1"/>
  <c r="AQ64" i="13" s="1"/>
  <c r="AS64" i="15" a="1"/>
  <c r="AS64" i="15" s="1"/>
  <c r="BF64" i="13" a="1"/>
  <c r="BF64" i="13" s="1"/>
  <c r="BA64" i="13" a="1"/>
  <c r="BA64" i="13" s="1"/>
  <c r="AW64" i="13" a="1"/>
  <c r="AW64" i="13" s="1"/>
  <c r="BI64" i="13" a="1"/>
  <c r="BI64" i="13" s="1"/>
  <c r="AV64" i="13" a="1"/>
  <c r="AV64" i="13" s="1"/>
  <c r="BB64" i="13" a="1"/>
  <c r="BB64" i="13" s="1"/>
  <c r="BB64" i="16" a="1"/>
  <c r="BB64" i="16" s="1"/>
  <c r="AU64" i="13" a="1"/>
  <c r="AU64" i="13" s="1"/>
  <c r="BH64" i="15" a="1"/>
  <c r="BH64" i="15" s="1"/>
  <c r="AT64" i="13" a="1"/>
  <c r="AT64" i="13" s="1"/>
  <c r="BG64" i="16" a="1"/>
  <c r="BG64" i="16" s="1"/>
  <c r="AZ64" i="16" a="1"/>
  <c r="AZ64" i="16" s="1"/>
  <c r="AS64" i="16" a="1"/>
  <c r="AS64" i="16" s="1"/>
  <c r="BG64" i="13" a="1"/>
  <c r="BG64" i="13" s="1"/>
  <c r="BC64" i="13" a="1"/>
  <c r="BC64" i="13" s="1"/>
  <c r="BI64" i="16" a="1"/>
  <c r="BI64" i="16" s="1"/>
  <c r="BC64" i="16" a="1"/>
  <c r="BC64" i="16" s="1"/>
  <c r="AU64" i="16" a="1"/>
  <c r="AU64" i="16" s="1"/>
  <c r="BH64" i="13" a="1"/>
  <c r="BH64" i="13" s="1"/>
  <c r="AX64" i="16" a="1"/>
  <c r="AX64" i="16" s="1"/>
  <c r="AP64" i="13" a="1"/>
  <c r="AP64" i="13" s="1"/>
  <c r="BF64" i="16" a="1"/>
  <c r="BF64" i="16" s="1"/>
  <c r="AV64" i="16" a="1"/>
  <c r="AV64" i="16" s="1"/>
  <c r="BE64" i="16" a="1"/>
  <c r="BE64" i="16" s="1"/>
  <c r="AT64" i="16" a="1"/>
  <c r="AT64" i="16" s="1"/>
  <c r="BJ64" i="16" a="1"/>
  <c r="BJ64" i="16" s="1"/>
  <c r="AY64" i="16" a="1"/>
  <c r="AY64" i="16" s="1"/>
  <c r="AP64" i="16" a="1"/>
  <c r="AP64" i="16" s="1"/>
  <c r="BH64" i="16" a="1"/>
  <c r="BH64" i="16" s="1"/>
  <c r="BE64" i="14" a="1"/>
  <c r="BE64" i="14" s="1"/>
  <c r="AS64" i="14" a="1"/>
  <c r="AS64" i="14" s="1"/>
  <c r="BK64" i="14" a="1"/>
  <c r="BK64" i="14" s="1"/>
  <c r="AY64" i="14" a="1"/>
  <c r="AY64" i="14" s="1"/>
  <c r="BD64" i="16" a="1"/>
  <c r="BD64" i="16" s="1"/>
  <c r="BJ64" i="14" a="1"/>
  <c r="BJ64" i="14" s="1"/>
  <c r="BD64" i="14" a="1"/>
  <c r="BD64" i="14" s="1"/>
  <c r="AX64" i="14" a="1"/>
  <c r="AX64" i="14" s="1"/>
  <c r="AW64" i="16" a="1"/>
  <c r="AW64" i="16" s="1"/>
  <c r="BI64" i="14" a="1"/>
  <c r="BI64" i="14" s="1"/>
  <c r="BA64" i="14" a="1"/>
  <c r="BA64" i="14" s="1"/>
  <c r="AR64" i="14" a="1"/>
  <c r="AR64" i="14" s="1"/>
  <c r="BK64" i="16" a="1"/>
  <c r="BK64" i="16" s="1"/>
  <c r="AZ64" i="14" a="1"/>
  <c r="AZ64" i="14" s="1"/>
  <c r="AQ64" i="14" a="1"/>
  <c r="AQ64" i="14" s="1"/>
  <c r="BA64" i="16" a="1"/>
  <c r="BA64" i="16" s="1"/>
  <c r="BH64" i="14" a="1"/>
  <c r="BH64" i="14" s="1"/>
  <c r="AW64" i="14" a="1"/>
  <c r="AW64" i="14" s="1"/>
  <c r="AP64" i="14" a="1"/>
  <c r="AP64" i="14" s="1"/>
  <c r="AR64" i="16" a="1"/>
  <c r="AR64" i="16" s="1"/>
  <c r="BG64" i="14" a="1"/>
  <c r="BG64" i="14" s="1"/>
  <c r="AV64" i="14" a="1"/>
  <c r="AV64" i="14" s="1"/>
  <c r="AQ64" i="16" a="1"/>
  <c r="AQ64" i="16" s="1"/>
  <c r="BF64" i="14" a="1"/>
  <c r="BF64" i="14" s="1"/>
  <c r="BB64" i="14" a="1"/>
  <c r="BB64" i="14" s="1"/>
  <c r="AU64" i="14" a="1"/>
  <c r="AU64" i="14" s="1"/>
  <c r="AT64" i="14" a="1"/>
  <c r="AT64" i="14" s="1"/>
  <c r="BC64" i="14" a="1"/>
  <c r="BC64" i="14" s="1"/>
  <c r="BP80" i="12" a="1"/>
  <c r="BP80" i="12" s="1"/>
  <c r="BQ80" i="12" a="1"/>
  <c r="BQ80" i="12" s="1"/>
  <c r="BJ80" i="12" a="1"/>
  <c r="BJ80" i="12" s="1"/>
  <c r="BR80" i="12" a="1"/>
  <c r="BR80" i="12" s="1"/>
  <c r="BB80" i="12"/>
  <c r="BS80" i="12" a="1"/>
  <c r="BS80" i="12" s="1"/>
  <c r="BC80" i="12"/>
  <c r="BD80" i="12"/>
  <c r="BK80" i="12" a="1"/>
  <c r="BK80" i="12" s="1"/>
  <c r="BO80" i="12" a="1"/>
  <c r="BO80" i="12" s="1"/>
  <c r="BK80" i="15" a="1"/>
  <c r="BK80" i="15" s="1"/>
  <c r="BD80" i="15" a="1"/>
  <c r="BD80" i="15" s="1"/>
  <c r="AX80" i="15" a="1"/>
  <c r="AX80" i="15" s="1"/>
  <c r="AR80" i="15" a="1"/>
  <c r="AR80" i="15" s="1"/>
  <c r="AY80" i="12"/>
  <c r="BJ80" i="15" a="1"/>
  <c r="BJ80" i="15" s="1"/>
  <c r="BC80" i="15" a="1"/>
  <c r="BC80" i="15" s="1"/>
  <c r="AW80" i="15" a="1"/>
  <c r="AW80" i="15" s="1"/>
  <c r="AQ80" i="15" a="1"/>
  <c r="AQ80" i="15" s="1"/>
  <c r="AZ80" i="12"/>
  <c r="BI80" i="15" a="1"/>
  <c r="BI80" i="15" s="1"/>
  <c r="AV80" i="15" a="1"/>
  <c r="AV80" i="15" s="1"/>
  <c r="AP80" i="15" a="1"/>
  <c r="AP80" i="15" s="1"/>
  <c r="BM80" i="12" a="1"/>
  <c r="BM80" i="12" s="1"/>
  <c r="BG80" i="12"/>
  <c r="BH80" i="12"/>
  <c r="BA80" i="15" a="1"/>
  <c r="BA80" i="15" s="1"/>
  <c r="AS80" i="15" a="1"/>
  <c r="AS80" i="15" s="1"/>
  <c r="AZ80" i="15" a="1"/>
  <c r="AZ80" i="15" s="1"/>
  <c r="BL80" i="12" a="1"/>
  <c r="BL80" i="12" s="1"/>
  <c r="BH80" i="15" a="1"/>
  <c r="BH80" i="15" s="1"/>
  <c r="AY80" i="15" a="1"/>
  <c r="AY80" i="15" s="1"/>
  <c r="BF80" i="12"/>
  <c r="BB80" i="15" a="1"/>
  <c r="BB80" i="15" s="1"/>
  <c r="AU80" i="15" a="1"/>
  <c r="AU80" i="15" s="1"/>
  <c r="BE80" i="12"/>
  <c r="BE80" i="15" a="1"/>
  <c r="BE80" i="15" s="1"/>
  <c r="BN80" i="12" a="1"/>
  <c r="BN80" i="12" s="1"/>
  <c r="BA80" i="12"/>
  <c r="BF80" i="15" a="1"/>
  <c r="BF80" i="15" s="1"/>
  <c r="BK80" i="13" a="1"/>
  <c r="BK80" i="13" s="1"/>
  <c r="AR80" i="13" a="1"/>
  <c r="AR80" i="13" s="1"/>
  <c r="AT80" i="15" a="1"/>
  <c r="AT80" i="15" s="1"/>
  <c r="BJ80" i="13" a="1"/>
  <c r="BJ80" i="13" s="1"/>
  <c r="BD80" i="13" a="1"/>
  <c r="BD80" i="13" s="1"/>
  <c r="AX80" i="13" a="1"/>
  <c r="AX80" i="13" s="1"/>
  <c r="AQ80" i="13" a="1"/>
  <c r="AQ80" i="13" s="1"/>
  <c r="BI80" i="13" a="1"/>
  <c r="BI80" i="13" s="1"/>
  <c r="BB80" i="13" a="1"/>
  <c r="BB80" i="13" s="1"/>
  <c r="AV80" i="13" a="1"/>
  <c r="AV80" i="13" s="1"/>
  <c r="BA80" i="13" a="1"/>
  <c r="BA80" i="13" s="1"/>
  <c r="AS80" i="13" a="1"/>
  <c r="AS80" i="13" s="1"/>
  <c r="AP80" i="13" a="1"/>
  <c r="AP80" i="13" s="1"/>
  <c r="BG80" i="15" a="1"/>
  <c r="BG80" i="15" s="1"/>
  <c r="AZ80" i="13" a="1"/>
  <c r="AZ80" i="13" s="1"/>
  <c r="BC80" i="13" a="1"/>
  <c r="BC80" i="13" s="1"/>
  <c r="AT80" i="13" a="1"/>
  <c r="AT80" i="13" s="1"/>
  <c r="BE80" i="13" a="1"/>
  <c r="BE80" i="13" s="1"/>
  <c r="AY80" i="13" a="1"/>
  <c r="AY80" i="13" s="1"/>
  <c r="AW80" i="13" a="1"/>
  <c r="AW80" i="13" s="1"/>
  <c r="BF80" i="13" a="1"/>
  <c r="BF80" i="13" s="1"/>
  <c r="BG80" i="13" a="1"/>
  <c r="BG80" i="13" s="1"/>
  <c r="BE80" i="16" a="1"/>
  <c r="BE80" i="16" s="1"/>
  <c r="AX80" i="16" a="1"/>
  <c r="AX80" i="16" s="1"/>
  <c r="AR80" i="16" a="1"/>
  <c r="AR80" i="16" s="1"/>
  <c r="AU80" i="13" a="1"/>
  <c r="AU80" i="13" s="1"/>
  <c r="BJ80" i="16" a="1"/>
  <c r="BJ80" i="16" s="1"/>
  <c r="BC80" i="16" a="1"/>
  <c r="BC80" i="16" s="1"/>
  <c r="BG80" i="16" a="1"/>
  <c r="BG80" i="16" s="1"/>
  <c r="AY80" i="16" a="1"/>
  <c r="AY80" i="16" s="1"/>
  <c r="AT80" i="16" a="1"/>
  <c r="AT80" i="16" s="1"/>
  <c r="BH80" i="13" a="1"/>
  <c r="BH80" i="13" s="1"/>
  <c r="BF80" i="16" a="1"/>
  <c r="BF80" i="16" s="1"/>
  <c r="AS80" i="16" a="1"/>
  <c r="AS80" i="16" s="1"/>
  <c r="AU80" i="16" a="1"/>
  <c r="AU80" i="16" s="1"/>
  <c r="BD80" i="16" a="1"/>
  <c r="BD80" i="16" s="1"/>
  <c r="AQ80" i="16" a="1"/>
  <c r="AQ80" i="16" s="1"/>
  <c r="BB80" i="16" a="1"/>
  <c r="BB80" i="16" s="1"/>
  <c r="AP80" i="16" a="1"/>
  <c r="AP80" i="16" s="1"/>
  <c r="BI80" i="16" a="1"/>
  <c r="BI80" i="16" s="1"/>
  <c r="AV80" i="16" a="1"/>
  <c r="AV80" i="16" s="1"/>
  <c r="BH80" i="16" a="1"/>
  <c r="BH80" i="16" s="1"/>
  <c r="BK80" i="14" a="1"/>
  <c r="BK80" i="14" s="1"/>
  <c r="BD80" i="14" a="1"/>
  <c r="BD80" i="14" s="1"/>
  <c r="AW80" i="14" a="1"/>
  <c r="AW80" i="14" s="1"/>
  <c r="AP80" i="14" a="1"/>
  <c r="AP80" i="14" s="1"/>
  <c r="BA80" i="16" a="1"/>
  <c r="BA80" i="16" s="1"/>
  <c r="BJ80" i="14" a="1"/>
  <c r="BJ80" i="14" s="1"/>
  <c r="BC80" i="14" a="1"/>
  <c r="BC80" i="14" s="1"/>
  <c r="AV80" i="14" a="1"/>
  <c r="AV80" i="14" s="1"/>
  <c r="AZ80" i="16" a="1"/>
  <c r="AZ80" i="16" s="1"/>
  <c r="BI80" i="14" a="1"/>
  <c r="BI80" i="14" s="1"/>
  <c r="BB80" i="14" a="1"/>
  <c r="BB80" i="14" s="1"/>
  <c r="AU80" i="14" a="1"/>
  <c r="AU80" i="14" s="1"/>
  <c r="AW80" i="16" a="1"/>
  <c r="AW80" i="16" s="1"/>
  <c r="BH80" i="14" a="1"/>
  <c r="BH80" i="14" s="1"/>
  <c r="AZ80" i="14" a="1"/>
  <c r="AZ80" i="14" s="1"/>
  <c r="AX80" i="14" a="1"/>
  <c r="AX80" i="14" s="1"/>
  <c r="AT80" i="14" a="1"/>
  <c r="AT80" i="14" s="1"/>
  <c r="BG80" i="14" a="1"/>
  <c r="BG80" i="14" s="1"/>
  <c r="BF80" i="14" a="1"/>
  <c r="BF80" i="14" s="1"/>
  <c r="AS80" i="14" a="1"/>
  <c r="AS80" i="14" s="1"/>
  <c r="BE80" i="14" a="1"/>
  <c r="BE80" i="14" s="1"/>
  <c r="AR80" i="14" a="1"/>
  <c r="AR80" i="14" s="1"/>
  <c r="BK80" i="16" a="1"/>
  <c r="BK80" i="16" s="1"/>
  <c r="AY80" i="14" a="1"/>
  <c r="AY80" i="14" s="1"/>
  <c r="AQ80" i="14" a="1"/>
  <c r="AQ80" i="14" s="1"/>
  <c r="BA80" i="14" a="1"/>
  <c r="BA80" i="14" s="1"/>
  <c r="BQ25" i="12" a="1"/>
  <c r="BQ25" i="12" s="1"/>
  <c r="BJ25" i="12" a="1"/>
  <c r="BJ25" i="12" s="1"/>
  <c r="BR25" i="12" a="1"/>
  <c r="BR25" i="12" s="1"/>
  <c r="BK25" i="12" a="1"/>
  <c r="BK25" i="12" s="1"/>
  <c r="BS25" i="12" a="1"/>
  <c r="BS25" i="12" s="1"/>
  <c r="BP25" i="12" a="1"/>
  <c r="BP25" i="12" s="1"/>
  <c r="BE25" i="12"/>
  <c r="BL25" i="12" a="1"/>
  <c r="BL25" i="12" s="1"/>
  <c r="BF25" i="12"/>
  <c r="BM25" i="12" a="1"/>
  <c r="BM25" i="12" s="1"/>
  <c r="AY25" i="12"/>
  <c r="BG25" i="12"/>
  <c r="BA25" i="12"/>
  <c r="BB25" i="12"/>
  <c r="BC25" i="12"/>
  <c r="BD25" i="12"/>
  <c r="BO25" i="12" a="1"/>
  <c r="BO25" i="12" s="1"/>
  <c r="BN25" i="12" a="1"/>
  <c r="BN25" i="12" s="1"/>
  <c r="BH25" i="12"/>
  <c r="AZ25" i="12"/>
  <c r="BH25" i="15" a="1"/>
  <c r="BH25" i="15" s="1"/>
  <c r="BA25" i="15" a="1"/>
  <c r="BA25" i="15" s="1"/>
  <c r="AU25" i="15" a="1"/>
  <c r="AU25" i="15" s="1"/>
  <c r="BG25" i="15" a="1"/>
  <c r="BG25" i="15" s="1"/>
  <c r="AT25" i="15" a="1"/>
  <c r="AT25" i="15" s="1"/>
  <c r="BF25" i="15" a="1"/>
  <c r="BF25" i="15" s="1"/>
  <c r="AZ25" i="15" a="1"/>
  <c r="AZ25" i="15" s="1"/>
  <c r="AS25" i="15" a="1"/>
  <c r="AS25" i="15" s="1"/>
  <c r="BB25" i="15" a="1"/>
  <c r="BB25" i="15" s="1"/>
  <c r="BK25" i="15" a="1"/>
  <c r="BK25" i="15" s="1"/>
  <c r="AX25" i="15" a="1"/>
  <c r="AX25" i="15" s="1"/>
  <c r="BJ25" i="15" a="1"/>
  <c r="BJ25" i="15" s="1"/>
  <c r="AW25" i="15" a="1"/>
  <c r="AW25" i="15" s="1"/>
  <c r="BI25" i="15" a="1"/>
  <c r="BI25" i="15" s="1"/>
  <c r="AV25" i="15" a="1"/>
  <c r="AV25" i="15" s="1"/>
  <c r="BE25" i="15" a="1"/>
  <c r="BE25" i="15" s="1"/>
  <c r="BD25" i="15" a="1"/>
  <c r="BD25" i="15" s="1"/>
  <c r="AR25" i="15" a="1"/>
  <c r="AR25" i="15" s="1"/>
  <c r="BC25" i="15" a="1"/>
  <c r="BC25" i="15" s="1"/>
  <c r="BG25" i="13" a="1"/>
  <c r="BG25" i="13" s="1"/>
  <c r="BA25" i="13" a="1"/>
  <c r="BA25" i="13" s="1"/>
  <c r="AT25" i="13" a="1"/>
  <c r="AT25" i="13" s="1"/>
  <c r="BF25" i="13" a="1"/>
  <c r="BF25" i="13" s="1"/>
  <c r="AS25" i="13" a="1"/>
  <c r="AS25" i="13" s="1"/>
  <c r="AZ25" i="13" a="1"/>
  <c r="AZ25" i="13" s="1"/>
  <c r="AR25" i="13" a="1"/>
  <c r="AR25" i="13" s="1"/>
  <c r="AP25" i="15" a="1"/>
  <c r="AP25" i="15" s="1"/>
  <c r="BH25" i="13" a="1"/>
  <c r="BH25" i="13" s="1"/>
  <c r="BB25" i="13" a="1"/>
  <c r="BB25" i="13" s="1"/>
  <c r="AU25" i="13" a="1"/>
  <c r="AU25" i="13" s="1"/>
  <c r="BC25" i="13" a="1"/>
  <c r="BC25" i="13" s="1"/>
  <c r="BK25" i="13" a="1"/>
  <c r="BK25" i="13" s="1"/>
  <c r="AY25" i="13" a="1"/>
  <c r="AY25" i="13" s="1"/>
  <c r="BJ25" i="13" a="1"/>
  <c r="BJ25" i="13" s="1"/>
  <c r="AX25" i="13" a="1"/>
  <c r="AX25" i="13" s="1"/>
  <c r="AQ25" i="15" a="1"/>
  <c r="AQ25" i="15" s="1"/>
  <c r="BD25" i="13" a="1"/>
  <c r="BD25" i="13" s="1"/>
  <c r="AQ25" i="13" a="1"/>
  <c r="AQ25" i="13" s="1"/>
  <c r="AP25" i="13" a="1"/>
  <c r="AP25" i="13" s="1"/>
  <c r="BH25" i="16" a="1"/>
  <c r="BH25" i="16" s="1"/>
  <c r="AT25" i="16" a="1"/>
  <c r="AT25" i="16" s="1"/>
  <c r="BI25" i="13" a="1"/>
  <c r="BI25" i="13" s="1"/>
  <c r="BE25" i="13" a="1"/>
  <c r="BE25" i="13" s="1"/>
  <c r="BF25" i="16" a="1"/>
  <c r="BF25" i="16" s="1"/>
  <c r="AZ25" i="16" a="1"/>
  <c r="AZ25" i="16" s="1"/>
  <c r="AS25" i="16" a="1"/>
  <c r="AS25" i="16" s="1"/>
  <c r="AW25" i="13" a="1"/>
  <c r="AW25" i="13" s="1"/>
  <c r="BE25" i="16" a="1"/>
  <c r="BE25" i="16" s="1"/>
  <c r="AW25" i="16" a="1"/>
  <c r="AW25" i="16" s="1"/>
  <c r="AY25" i="15" a="1"/>
  <c r="AY25" i="15" s="1"/>
  <c r="BD25" i="16" a="1"/>
  <c r="BD25" i="16" s="1"/>
  <c r="AV25" i="16" a="1"/>
  <c r="AV25" i="16" s="1"/>
  <c r="BC25" i="16" a="1"/>
  <c r="BC25" i="16" s="1"/>
  <c r="AU25" i="16" a="1"/>
  <c r="AU25" i="16" s="1"/>
  <c r="BB25" i="16" a="1"/>
  <c r="BB25" i="16" s="1"/>
  <c r="AR25" i="16" a="1"/>
  <c r="AR25" i="16" s="1"/>
  <c r="AY25" i="16" a="1"/>
  <c r="AY25" i="16" s="1"/>
  <c r="BH25" i="14" a="1"/>
  <c r="BH25" i="14" s="1"/>
  <c r="AZ25" i="14" a="1"/>
  <c r="AZ25" i="14" s="1"/>
  <c r="AT25" i="14" a="1"/>
  <c r="AT25" i="14" s="1"/>
  <c r="AX25" i="16" a="1"/>
  <c r="AX25" i="16" s="1"/>
  <c r="BG25" i="14" a="1"/>
  <c r="BG25" i="14" s="1"/>
  <c r="AS25" i="14" a="1"/>
  <c r="AS25" i="14" s="1"/>
  <c r="BK25" i="16" a="1"/>
  <c r="BK25" i="16" s="1"/>
  <c r="BF25" i="14" a="1"/>
  <c r="BF25" i="14" s="1"/>
  <c r="AY25" i="14" a="1"/>
  <c r="AY25" i="14" s="1"/>
  <c r="AR25" i="14" a="1"/>
  <c r="AR25" i="14" s="1"/>
  <c r="BJ25" i="16" a="1"/>
  <c r="BJ25" i="16" s="1"/>
  <c r="AQ25" i="16" a="1"/>
  <c r="AQ25" i="16" s="1"/>
  <c r="BI25" i="16" a="1"/>
  <c r="BI25" i="16" s="1"/>
  <c r="AP25" i="16" a="1"/>
  <c r="AP25" i="16" s="1"/>
  <c r="BK25" i="14" a="1"/>
  <c r="BK25" i="14" s="1"/>
  <c r="BD25" i="14" a="1"/>
  <c r="BD25" i="14" s="1"/>
  <c r="AW25" i="14" a="1"/>
  <c r="AW25" i="14" s="1"/>
  <c r="AP25" i="14" a="1"/>
  <c r="AP25" i="14" s="1"/>
  <c r="BG25" i="16" a="1"/>
  <c r="BG25" i="16" s="1"/>
  <c r="AV25" i="13" a="1"/>
  <c r="AV25" i="13" s="1"/>
  <c r="BA25" i="16" a="1"/>
  <c r="BA25" i="16" s="1"/>
  <c r="BI25" i="14" a="1"/>
  <c r="BI25" i="14" s="1"/>
  <c r="BA25" i="14" a="1"/>
  <c r="BA25" i="14" s="1"/>
  <c r="BB25" i="14" a="1"/>
  <c r="BB25" i="14" s="1"/>
  <c r="AX25" i="14" a="1"/>
  <c r="AX25" i="14" s="1"/>
  <c r="AQ25" i="14" a="1"/>
  <c r="AQ25" i="14" s="1"/>
  <c r="AV25" i="14" a="1"/>
  <c r="AV25" i="14" s="1"/>
  <c r="AU25" i="14" a="1"/>
  <c r="AU25" i="14" s="1"/>
  <c r="BJ25" i="14" a="1"/>
  <c r="BJ25" i="14" s="1"/>
  <c r="BE25" i="14" a="1"/>
  <c r="BE25" i="14" s="1"/>
  <c r="BC25" i="14" a="1"/>
  <c r="BC25" i="14" s="1"/>
  <c r="BO37" i="12" a="1"/>
  <c r="BO37" i="12" s="1"/>
  <c r="BP37" i="12" a="1"/>
  <c r="BP37" i="12" s="1"/>
  <c r="BQ37" i="12" a="1"/>
  <c r="BQ37" i="12" s="1"/>
  <c r="BN37" i="12" a="1"/>
  <c r="BN37" i="12" s="1"/>
  <c r="BJ37" i="12" a="1"/>
  <c r="BJ37" i="12" s="1"/>
  <c r="BK37" i="12" a="1"/>
  <c r="BK37" i="12" s="1"/>
  <c r="BR37" i="12" a="1"/>
  <c r="BR37" i="12" s="1"/>
  <c r="AZ37" i="12"/>
  <c r="BH37" i="12"/>
  <c r="BS37" i="12" a="1"/>
  <c r="BS37" i="12" s="1"/>
  <c r="BA37" i="12"/>
  <c r="BB37" i="12"/>
  <c r="BC37" i="12"/>
  <c r="AY37" i="12"/>
  <c r="BD37" i="12"/>
  <c r="BE37" i="12"/>
  <c r="BL37" i="12" a="1"/>
  <c r="BL37" i="12" s="1"/>
  <c r="BM37" i="12" a="1"/>
  <c r="BM37" i="12" s="1"/>
  <c r="BI37" i="15" a="1"/>
  <c r="BI37" i="15" s="1"/>
  <c r="BF37" i="12"/>
  <c r="BF37" i="15" a="1"/>
  <c r="BF37" i="15" s="1"/>
  <c r="AR37" i="15" a="1"/>
  <c r="AR37" i="15" s="1"/>
  <c r="BE37" i="15" a="1"/>
  <c r="BE37" i="15" s="1"/>
  <c r="AX37" i="15" a="1"/>
  <c r="AX37" i="15" s="1"/>
  <c r="AQ37" i="15" a="1"/>
  <c r="AQ37" i="15" s="1"/>
  <c r="BK37" i="15" a="1"/>
  <c r="BK37" i="15" s="1"/>
  <c r="BD37" i="15" a="1"/>
  <c r="BD37" i="15" s="1"/>
  <c r="AW37" i="15" a="1"/>
  <c r="AW37" i="15" s="1"/>
  <c r="AP37" i="15" a="1"/>
  <c r="AP37" i="15" s="1"/>
  <c r="AY37" i="15" a="1"/>
  <c r="AY37" i="15" s="1"/>
  <c r="AS37" i="15" a="1"/>
  <c r="AS37" i="15" s="1"/>
  <c r="BB37" i="15" a="1"/>
  <c r="BB37" i="15" s="1"/>
  <c r="BG37" i="12"/>
  <c r="BA37" i="15" a="1"/>
  <c r="BA37" i="15" s="1"/>
  <c r="AZ37" i="15" a="1"/>
  <c r="AZ37" i="15" s="1"/>
  <c r="AV37" i="15" a="1"/>
  <c r="AV37" i="15" s="1"/>
  <c r="BJ37" i="15" a="1"/>
  <c r="BJ37" i="15" s="1"/>
  <c r="AU37" i="15" a="1"/>
  <c r="AU37" i="15" s="1"/>
  <c r="BG37" i="15" a="1"/>
  <c r="BG37" i="15" s="1"/>
  <c r="BC37" i="15" a="1"/>
  <c r="BC37" i="15" s="1"/>
  <c r="BH37" i="15" a="1"/>
  <c r="BH37" i="15" s="1"/>
  <c r="BA37" i="13" a="1"/>
  <c r="BA37" i="13" s="1"/>
  <c r="AU37" i="13" a="1"/>
  <c r="AU37" i="13" s="1"/>
  <c r="BK37" i="13" a="1"/>
  <c r="BK37" i="13" s="1"/>
  <c r="BE37" i="13" a="1"/>
  <c r="BE37" i="13" s="1"/>
  <c r="AZ37" i="13" a="1"/>
  <c r="AZ37" i="13" s="1"/>
  <c r="AT37" i="13" a="1"/>
  <c r="AT37" i="13" s="1"/>
  <c r="AY37" i="13" a="1"/>
  <c r="AY37" i="13" s="1"/>
  <c r="AS37" i="13" a="1"/>
  <c r="AS37" i="13" s="1"/>
  <c r="BF37" i="13" a="1"/>
  <c r="BF37" i="13" s="1"/>
  <c r="AV37" i="13" a="1"/>
  <c r="AV37" i="13" s="1"/>
  <c r="AP37" i="13" a="1"/>
  <c r="AP37" i="13" s="1"/>
  <c r="BB37" i="13" a="1"/>
  <c r="BB37" i="13" s="1"/>
  <c r="AQ37" i="13" a="1"/>
  <c r="AQ37" i="13" s="1"/>
  <c r="BH37" i="16" a="1"/>
  <c r="BH37" i="16" s="1"/>
  <c r="BB37" i="16" a="1"/>
  <c r="BB37" i="16" s="1"/>
  <c r="AU37" i="16" a="1"/>
  <c r="AU37" i="16" s="1"/>
  <c r="AP37" i="16" a="1"/>
  <c r="AP37" i="16" s="1"/>
  <c r="BJ37" i="13" a="1"/>
  <c r="BJ37" i="13" s="1"/>
  <c r="AX37" i="13" a="1"/>
  <c r="AX37" i="13" s="1"/>
  <c r="BI37" i="13" a="1"/>
  <c r="BI37" i="13" s="1"/>
  <c r="BC37" i="13" a="1"/>
  <c r="BC37" i="13" s="1"/>
  <c r="AR37" i="13" a="1"/>
  <c r="AR37" i="13" s="1"/>
  <c r="BI37" i="16" a="1"/>
  <c r="BI37" i="16" s="1"/>
  <c r="AV37" i="16" a="1"/>
  <c r="AV37" i="16" s="1"/>
  <c r="BH37" i="13" a="1"/>
  <c r="BH37" i="13" s="1"/>
  <c r="BG37" i="13" a="1"/>
  <c r="BG37" i="13" s="1"/>
  <c r="BK37" i="16" a="1"/>
  <c r="BK37" i="16" s="1"/>
  <c r="BA37" i="16" a="1"/>
  <c r="BA37" i="16" s="1"/>
  <c r="AT37" i="16" a="1"/>
  <c r="AT37" i="16" s="1"/>
  <c r="AT37" i="15" a="1"/>
  <c r="AT37" i="15" s="1"/>
  <c r="BD37" i="13" a="1"/>
  <c r="BD37" i="13" s="1"/>
  <c r="BJ37" i="16" a="1"/>
  <c r="BJ37" i="16" s="1"/>
  <c r="AZ37" i="16" a="1"/>
  <c r="AZ37" i="16" s="1"/>
  <c r="BC37" i="16" a="1"/>
  <c r="BC37" i="16" s="1"/>
  <c r="AQ37" i="16" a="1"/>
  <c r="AQ37" i="16" s="1"/>
  <c r="AY37" i="16" a="1"/>
  <c r="AY37" i="16" s="1"/>
  <c r="BG37" i="16" a="1"/>
  <c r="BG37" i="16" s="1"/>
  <c r="AW37" i="16" a="1"/>
  <c r="AW37" i="16" s="1"/>
  <c r="BE37" i="16" a="1"/>
  <c r="BE37" i="16" s="1"/>
  <c r="BF37" i="14" a="1"/>
  <c r="BF37" i="14" s="1"/>
  <c r="BA37" i="14" a="1"/>
  <c r="BA37" i="14" s="1"/>
  <c r="AT37" i="14" a="1"/>
  <c r="AT37" i="14" s="1"/>
  <c r="BD37" i="16" a="1"/>
  <c r="BD37" i="16" s="1"/>
  <c r="BK37" i="14" a="1"/>
  <c r="BK37" i="14" s="1"/>
  <c r="BE37" i="14" a="1"/>
  <c r="BE37" i="14" s="1"/>
  <c r="AZ37" i="14" a="1"/>
  <c r="AZ37" i="14" s="1"/>
  <c r="AX37" i="16" a="1"/>
  <c r="AX37" i="16" s="1"/>
  <c r="BJ37" i="14" a="1"/>
  <c r="BJ37" i="14" s="1"/>
  <c r="AS37" i="14" a="1"/>
  <c r="AS37" i="14" s="1"/>
  <c r="AS37" i="16" a="1"/>
  <c r="AS37" i="16" s="1"/>
  <c r="AX37" i="14" a="1"/>
  <c r="AX37" i="14" s="1"/>
  <c r="AR37" i="14" a="1"/>
  <c r="AR37" i="14" s="1"/>
  <c r="AW37" i="13" a="1"/>
  <c r="AW37" i="13" s="1"/>
  <c r="AR37" i="16" a="1"/>
  <c r="AR37" i="16" s="1"/>
  <c r="BF37" i="16" a="1"/>
  <c r="BF37" i="16" s="1"/>
  <c r="BG37" i="14" a="1"/>
  <c r="BG37" i="14" s="1"/>
  <c r="AU37" i="14" a="1"/>
  <c r="AU37" i="14" s="1"/>
  <c r="BB37" i="14" a="1"/>
  <c r="BB37" i="14" s="1"/>
  <c r="BI37" i="14" a="1"/>
  <c r="BI37" i="14" s="1"/>
  <c r="AY37" i="14" a="1"/>
  <c r="AY37" i="14" s="1"/>
  <c r="AV37" i="14" a="1"/>
  <c r="AV37" i="14" s="1"/>
  <c r="AW37" i="14" a="1"/>
  <c r="AW37" i="14" s="1"/>
  <c r="AP37" i="14" a="1"/>
  <c r="AP37" i="14" s="1"/>
  <c r="AQ37" i="14" a="1"/>
  <c r="AQ37" i="14" s="1"/>
  <c r="BD37" i="14" a="1"/>
  <c r="BD37" i="14" s="1"/>
  <c r="BC37" i="14" a="1"/>
  <c r="BC37" i="14" s="1"/>
  <c r="BH37" i="14" a="1"/>
  <c r="BH37" i="14" s="1"/>
  <c r="BL53" i="12" a="1"/>
  <c r="BL53" i="12" s="1"/>
  <c r="BS53" i="12" a="1"/>
  <c r="BS53" i="12" s="1"/>
  <c r="BM53" i="12" a="1"/>
  <c r="BM53" i="12" s="1"/>
  <c r="BN53" i="12" a="1"/>
  <c r="BN53" i="12" s="1"/>
  <c r="BR53" i="12" a="1"/>
  <c r="BR53" i="12" s="1"/>
  <c r="BK53" i="12" a="1"/>
  <c r="BK53" i="12" s="1"/>
  <c r="BO53" i="12" a="1"/>
  <c r="BO53" i="12" s="1"/>
  <c r="BP53" i="12" a="1"/>
  <c r="BP53" i="12" s="1"/>
  <c r="AZ53" i="12"/>
  <c r="BH53" i="12"/>
  <c r="BJ53" i="12" a="1"/>
  <c r="BJ53" i="12" s="1"/>
  <c r="BA53" i="12"/>
  <c r="BB53" i="12"/>
  <c r="BQ53" i="12" a="1"/>
  <c r="BQ53" i="12" s="1"/>
  <c r="BC53" i="12"/>
  <c r="AY53" i="12"/>
  <c r="BD53" i="12"/>
  <c r="BE53" i="12"/>
  <c r="BI53" i="15" a="1"/>
  <c r="BI53" i="15" s="1"/>
  <c r="AX53" i="15" a="1"/>
  <c r="AX53" i="15" s="1"/>
  <c r="AR53" i="15" a="1"/>
  <c r="AR53" i="15" s="1"/>
  <c r="BH53" i="15" a="1"/>
  <c r="BH53" i="15" s="1"/>
  <c r="BC53" i="15" a="1"/>
  <c r="BC53" i="15" s="1"/>
  <c r="AW53" i="15" a="1"/>
  <c r="AW53" i="15" s="1"/>
  <c r="AQ53" i="15" a="1"/>
  <c r="AQ53" i="15" s="1"/>
  <c r="AV53" i="15" a="1"/>
  <c r="AV53" i="15" s="1"/>
  <c r="AP53" i="15" a="1"/>
  <c r="AP53" i="15" s="1"/>
  <c r="BG53" i="15" a="1"/>
  <c r="BG53" i="15" s="1"/>
  <c r="BB53" i="15" a="1"/>
  <c r="BB53" i="15" s="1"/>
  <c r="BJ53" i="15" a="1"/>
  <c r="BJ53" i="15" s="1"/>
  <c r="BF53" i="15" a="1"/>
  <c r="BF53" i="15" s="1"/>
  <c r="AU53" i="15" a="1"/>
  <c r="AU53" i="15" s="1"/>
  <c r="BE53" i="15" a="1"/>
  <c r="BE53" i="15" s="1"/>
  <c r="BG53" i="12"/>
  <c r="BK53" i="15" a="1"/>
  <c r="BK53" i="15" s="1"/>
  <c r="AY53" i="15" a="1"/>
  <c r="AY53" i="15" s="1"/>
  <c r="BF53" i="12"/>
  <c r="BD53" i="15" a="1"/>
  <c r="BD53" i="15" s="1"/>
  <c r="AZ53" i="15" a="1"/>
  <c r="AZ53" i="15" s="1"/>
  <c r="AT53" i="15" a="1"/>
  <c r="AT53" i="15" s="1"/>
  <c r="AS53" i="15" a="1"/>
  <c r="AS53" i="15" s="1"/>
  <c r="BH53" i="13" a="1"/>
  <c r="BH53" i="13" s="1"/>
  <c r="BC53" i="13" a="1"/>
  <c r="BC53" i="13" s="1"/>
  <c r="AV53" i="13" a="1"/>
  <c r="AV53" i="13" s="1"/>
  <c r="AP53" i="13" a="1"/>
  <c r="AP53" i="13" s="1"/>
  <c r="BB53" i="13" a="1"/>
  <c r="BB53" i="13" s="1"/>
  <c r="BG53" i="13" a="1"/>
  <c r="BG53" i="13" s="1"/>
  <c r="BA53" i="13" a="1"/>
  <c r="BA53" i="13" s="1"/>
  <c r="AU53" i="13" a="1"/>
  <c r="AU53" i="13" s="1"/>
  <c r="AW53" i="13" a="1"/>
  <c r="AW53" i="13" s="1"/>
  <c r="AQ53" i="13" a="1"/>
  <c r="AQ53" i="13" s="1"/>
  <c r="BD53" i="13" a="1"/>
  <c r="BD53" i="13" s="1"/>
  <c r="BK53" i="13" a="1"/>
  <c r="BK53" i="13" s="1"/>
  <c r="AZ53" i="13" a="1"/>
  <c r="AZ53" i="13" s="1"/>
  <c r="BJ53" i="13" a="1"/>
  <c r="BJ53" i="13" s="1"/>
  <c r="AR53" i="13" a="1"/>
  <c r="AR53" i="13" s="1"/>
  <c r="AS53" i="13" a="1"/>
  <c r="AS53" i="13" s="1"/>
  <c r="BE53" i="16" a="1"/>
  <c r="BE53" i="16" s="1"/>
  <c r="AT53" i="16" a="1"/>
  <c r="AT53" i="16" s="1"/>
  <c r="BI53" i="13" a="1"/>
  <c r="BI53" i="13" s="1"/>
  <c r="BJ53" i="16" a="1"/>
  <c r="BJ53" i="16" s="1"/>
  <c r="BA53" i="15" a="1"/>
  <c r="BA53" i="15" s="1"/>
  <c r="AX53" i="13" a="1"/>
  <c r="AX53" i="13" s="1"/>
  <c r="AT53" i="13" a="1"/>
  <c r="AT53" i="13" s="1"/>
  <c r="BF53" i="16" a="1"/>
  <c r="BF53" i="16" s="1"/>
  <c r="AZ53" i="16" a="1"/>
  <c r="AZ53" i="16" s="1"/>
  <c r="BE53" i="13" a="1"/>
  <c r="BE53" i="13" s="1"/>
  <c r="BI53" i="16" a="1"/>
  <c r="BI53" i="16" s="1"/>
  <c r="BB53" i="16" a="1"/>
  <c r="BB53" i="16" s="1"/>
  <c r="AS53" i="16" a="1"/>
  <c r="AS53" i="16" s="1"/>
  <c r="AY53" i="13" a="1"/>
  <c r="AY53" i="13" s="1"/>
  <c r="BH53" i="16" a="1"/>
  <c r="BH53" i="16" s="1"/>
  <c r="AY53" i="16" a="1"/>
  <c r="AY53" i="16" s="1"/>
  <c r="BG53" i="16" a="1"/>
  <c r="BG53" i="16" s="1"/>
  <c r="AX53" i="16" a="1"/>
  <c r="AX53" i="16" s="1"/>
  <c r="AQ53" i="16" a="1"/>
  <c r="AQ53" i="16" s="1"/>
  <c r="BF53" i="13" a="1"/>
  <c r="BF53" i="13" s="1"/>
  <c r="BK53" i="16" a="1"/>
  <c r="BK53" i="16" s="1"/>
  <c r="AU53" i="16" a="1"/>
  <c r="AU53" i="16" s="1"/>
  <c r="AR53" i="16" a="1"/>
  <c r="AR53" i="16" s="1"/>
  <c r="BD53" i="16" a="1"/>
  <c r="BD53" i="16" s="1"/>
  <c r="AP53" i="16" a="1"/>
  <c r="AP53" i="16" s="1"/>
  <c r="BA53" i="16" a="1"/>
  <c r="BA53" i="16" s="1"/>
  <c r="BD53" i="14" a="1"/>
  <c r="BD53" i="14" s="1"/>
  <c r="AX53" i="14" a="1"/>
  <c r="AX53" i="14" s="1"/>
  <c r="AR53" i="14" a="1"/>
  <c r="AR53" i="14" s="1"/>
  <c r="BI53" i="14" a="1"/>
  <c r="BI53" i="14" s="1"/>
  <c r="BC53" i="14" a="1"/>
  <c r="BC53" i="14" s="1"/>
  <c r="BC53" i="16" a="1"/>
  <c r="BC53" i="16" s="1"/>
  <c r="BH53" i="14" a="1"/>
  <c r="BH53" i="14" s="1"/>
  <c r="AW53" i="14" a="1"/>
  <c r="AW53" i="14" s="1"/>
  <c r="AQ53" i="14" a="1"/>
  <c r="AQ53" i="14" s="1"/>
  <c r="AW53" i="16" a="1"/>
  <c r="AW53" i="16" s="1"/>
  <c r="BB53" i="14" a="1"/>
  <c r="BB53" i="14" s="1"/>
  <c r="AV53" i="14" a="1"/>
  <c r="AV53" i="14" s="1"/>
  <c r="AP53" i="14" a="1"/>
  <c r="AP53" i="14" s="1"/>
  <c r="BG53" i="14" a="1"/>
  <c r="BG53" i="14" s="1"/>
  <c r="AV53" i="16" a="1"/>
  <c r="AV53" i="16" s="1"/>
  <c r="BJ53" i="14" a="1"/>
  <c r="BJ53" i="14" s="1"/>
  <c r="BE53" i="14" a="1"/>
  <c r="BE53" i="14" s="1"/>
  <c r="AY53" i="14" a="1"/>
  <c r="AY53" i="14" s="1"/>
  <c r="AS53" i="14" a="1"/>
  <c r="AS53" i="14" s="1"/>
  <c r="BF53" i="14" a="1"/>
  <c r="BF53" i="14" s="1"/>
  <c r="AZ53" i="14" a="1"/>
  <c r="AZ53" i="14" s="1"/>
  <c r="BA53" i="14" a="1"/>
  <c r="BA53" i="14" s="1"/>
  <c r="AU53" i="14" a="1"/>
  <c r="AU53" i="14" s="1"/>
  <c r="AT53" i="14" a="1"/>
  <c r="AT53" i="14" s="1"/>
  <c r="BK53" i="14" a="1"/>
  <c r="BK53" i="14" s="1"/>
  <c r="BP61" i="12" a="1"/>
  <c r="BP61" i="12" s="1"/>
  <c r="BJ61" i="12" a="1"/>
  <c r="BJ61" i="12" s="1"/>
  <c r="BQ61" i="12" a="1"/>
  <c r="BQ61" i="12" s="1"/>
  <c r="BK61" i="12" a="1"/>
  <c r="BK61" i="12" s="1"/>
  <c r="BR61" i="12" a="1"/>
  <c r="BR61" i="12" s="1"/>
  <c r="BO61" i="12" a="1"/>
  <c r="BO61" i="12" s="1"/>
  <c r="BN61" i="12" a="1"/>
  <c r="BN61" i="12" s="1"/>
  <c r="BS61" i="12" a="1"/>
  <c r="BS61" i="12" s="1"/>
  <c r="AZ61" i="12"/>
  <c r="BH61" i="12"/>
  <c r="BA61" i="12"/>
  <c r="BB61" i="12"/>
  <c r="BM61" i="12" a="1"/>
  <c r="BM61" i="12" s="1"/>
  <c r="BG61" i="12"/>
  <c r="BL61" i="12" a="1"/>
  <c r="BL61" i="12" s="1"/>
  <c r="BE61" i="12"/>
  <c r="BI61" i="15" a="1"/>
  <c r="BI61" i="15" s="1"/>
  <c r="AQ61" i="15" a="1"/>
  <c r="AQ61" i="15" s="1"/>
  <c r="AY61" i="12"/>
  <c r="BH61" i="15" a="1"/>
  <c r="BH61" i="15" s="1"/>
  <c r="BB61" i="15" a="1"/>
  <c r="BB61" i="15" s="1"/>
  <c r="AV61" i="15" a="1"/>
  <c r="AV61" i="15" s="1"/>
  <c r="AP61" i="15" a="1"/>
  <c r="AP61" i="15" s="1"/>
  <c r="BC61" i="12"/>
  <c r="BG61" i="15" a="1"/>
  <c r="BG61" i="15" s="1"/>
  <c r="BA61" i="15" a="1"/>
  <c r="BA61" i="15" s="1"/>
  <c r="BD61" i="12"/>
  <c r="BF61" i="15" a="1"/>
  <c r="BF61" i="15" s="1"/>
  <c r="AU61" i="15" a="1"/>
  <c r="AU61" i="15" s="1"/>
  <c r="BJ61" i="15" a="1"/>
  <c r="BJ61" i="15" s="1"/>
  <c r="AW61" i="15" a="1"/>
  <c r="AW61" i="15" s="1"/>
  <c r="BF61" i="12"/>
  <c r="BE61" i="15" a="1"/>
  <c r="BE61" i="15" s="1"/>
  <c r="AT61" i="15" a="1"/>
  <c r="AT61" i="15" s="1"/>
  <c r="AS61" i="15" a="1"/>
  <c r="AS61" i="15" s="1"/>
  <c r="BK61" i="15" a="1"/>
  <c r="BK61" i="15" s="1"/>
  <c r="AX61" i="15" a="1"/>
  <c r="AX61" i="15" s="1"/>
  <c r="AY61" i="15" a="1"/>
  <c r="AY61" i="15" s="1"/>
  <c r="AR61" i="15" a="1"/>
  <c r="AR61" i="15" s="1"/>
  <c r="AZ61" i="15" a="1"/>
  <c r="AZ61" i="15" s="1"/>
  <c r="BD61" i="15" a="1"/>
  <c r="BD61" i="15" s="1"/>
  <c r="BC61" i="15" a="1"/>
  <c r="BC61" i="15" s="1"/>
  <c r="BJ61" i="13" a="1"/>
  <c r="BJ61" i="13" s="1"/>
  <c r="BD61" i="13" a="1"/>
  <c r="BD61" i="13" s="1"/>
  <c r="AY61" i="13" a="1"/>
  <c r="AY61" i="13" s="1"/>
  <c r="AS61" i="13" a="1"/>
  <c r="AS61" i="13" s="1"/>
  <c r="BI61" i="13" a="1"/>
  <c r="BI61" i="13" s="1"/>
  <c r="AX61" i="13" a="1"/>
  <c r="AX61" i="13" s="1"/>
  <c r="BH61" i="13" a="1"/>
  <c r="BH61" i="13" s="1"/>
  <c r="BC61" i="13" a="1"/>
  <c r="BC61" i="13" s="1"/>
  <c r="AW61" i="13" a="1"/>
  <c r="AW61" i="13" s="1"/>
  <c r="AR61" i="13" a="1"/>
  <c r="AR61" i="13" s="1"/>
  <c r="BK61" i="13" a="1"/>
  <c r="BK61" i="13" s="1"/>
  <c r="BE61" i="13" a="1"/>
  <c r="BE61" i="13" s="1"/>
  <c r="AT61" i="13" a="1"/>
  <c r="AT61" i="13" s="1"/>
  <c r="AU61" i="13" a="1"/>
  <c r="AU61" i="13" s="1"/>
  <c r="BB61" i="13" a="1"/>
  <c r="BB61" i="13" s="1"/>
  <c r="AQ61" i="13" a="1"/>
  <c r="AQ61" i="13" s="1"/>
  <c r="BF61" i="13" a="1"/>
  <c r="BF61" i="13" s="1"/>
  <c r="AV61" i="13" a="1"/>
  <c r="AV61" i="13" s="1"/>
  <c r="BD61" i="16" a="1"/>
  <c r="BD61" i="16" s="1"/>
  <c r="AW61" i="16" a="1"/>
  <c r="AW61" i="16" s="1"/>
  <c r="AQ61" i="16" a="1"/>
  <c r="AQ61" i="16" s="1"/>
  <c r="AP61" i="13" a="1"/>
  <c r="AP61" i="13" s="1"/>
  <c r="BI61" i="16" a="1"/>
  <c r="BI61" i="16" s="1"/>
  <c r="BC61" i="16" a="1"/>
  <c r="BC61" i="16" s="1"/>
  <c r="AV61" i="16" a="1"/>
  <c r="AV61" i="16" s="1"/>
  <c r="AZ61" i="13" a="1"/>
  <c r="AZ61" i="13" s="1"/>
  <c r="BK61" i="16" a="1"/>
  <c r="BK61" i="16" s="1"/>
  <c r="BE61" i="16" a="1"/>
  <c r="BE61" i="16" s="1"/>
  <c r="AX61" i="16" a="1"/>
  <c r="AX61" i="16" s="1"/>
  <c r="AR61" i="16" a="1"/>
  <c r="AR61" i="16" s="1"/>
  <c r="BG61" i="13" a="1"/>
  <c r="BG61" i="13" s="1"/>
  <c r="AS61" i="16" a="1"/>
  <c r="AS61" i="16" s="1"/>
  <c r="BA61" i="13" a="1"/>
  <c r="BA61" i="13" s="1"/>
  <c r="BA61" i="16" a="1"/>
  <c r="BA61" i="16" s="1"/>
  <c r="AP61" i="16" a="1"/>
  <c r="AP61" i="16" s="1"/>
  <c r="BJ61" i="16" a="1"/>
  <c r="BJ61" i="16" s="1"/>
  <c r="AZ61" i="16" a="1"/>
  <c r="AZ61" i="16" s="1"/>
  <c r="BF61" i="16" a="1"/>
  <c r="BF61" i="16" s="1"/>
  <c r="AT61" i="16" a="1"/>
  <c r="AT61" i="16" s="1"/>
  <c r="BH61" i="16" a="1"/>
  <c r="BH61" i="16" s="1"/>
  <c r="BG61" i="16" a="1"/>
  <c r="BG61" i="16" s="1"/>
  <c r="BB61" i="16" a="1"/>
  <c r="BB61" i="16" s="1"/>
  <c r="BK61" i="14" a="1"/>
  <c r="BK61" i="14" s="1"/>
  <c r="AZ61" i="14" a="1"/>
  <c r="AZ61" i="14" s="1"/>
  <c r="AS61" i="14" a="1"/>
  <c r="AS61" i="14" s="1"/>
  <c r="AU61" i="16" a="1"/>
  <c r="AU61" i="16" s="1"/>
  <c r="BE61" i="14" a="1"/>
  <c r="BE61" i="14" s="1"/>
  <c r="AY61" i="14" a="1"/>
  <c r="AY61" i="14" s="1"/>
  <c r="AR61" i="14" a="1"/>
  <c r="AR61" i="14" s="1"/>
  <c r="BJ61" i="14" a="1"/>
  <c r="BJ61" i="14" s="1"/>
  <c r="BD61" i="14" a="1"/>
  <c r="BD61" i="14" s="1"/>
  <c r="AX61" i="14" a="1"/>
  <c r="AX61" i="14" s="1"/>
  <c r="AQ61" i="14" a="1"/>
  <c r="AQ61" i="14" s="1"/>
  <c r="BI61" i="14" a="1"/>
  <c r="BI61" i="14" s="1"/>
  <c r="BC61" i="14" a="1"/>
  <c r="BC61" i="14" s="1"/>
  <c r="AW61" i="14" a="1"/>
  <c r="AW61" i="14" s="1"/>
  <c r="BH61" i="14" a="1"/>
  <c r="BH61" i="14" s="1"/>
  <c r="AV61" i="14" a="1"/>
  <c r="AV61" i="14" s="1"/>
  <c r="AP61" i="14" a="1"/>
  <c r="AP61" i="14" s="1"/>
  <c r="AY61" i="16" a="1"/>
  <c r="AY61" i="16" s="1"/>
  <c r="BF61" i="14" a="1"/>
  <c r="BF61" i="14" s="1"/>
  <c r="BA61" i="14" a="1"/>
  <c r="BA61" i="14" s="1"/>
  <c r="AT61" i="14" a="1"/>
  <c r="AT61" i="14" s="1"/>
  <c r="BG61" i="14" a="1"/>
  <c r="BG61" i="14" s="1"/>
  <c r="AU61" i="14" a="1"/>
  <c r="AU61" i="14" s="1"/>
  <c r="BB61" i="14" a="1"/>
  <c r="BB61" i="14" s="1"/>
  <c r="BN73" i="12" a="1"/>
  <c r="BN73" i="12" s="1"/>
  <c r="BO73" i="12" a="1"/>
  <c r="BO73" i="12" s="1"/>
  <c r="BP73" i="12" a="1"/>
  <c r="BP73" i="12" s="1"/>
  <c r="BM73" i="12" a="1"/>
  <c r="BM73" i="12" s="1"/>
  <c r="BQ73" i="12" a="1"/>
  <c r="BQ73" i="12" s="1"/>
  <c r="BR73" i="12" a="1"/>
  <c r="BR73" i="12" s="1"/>
  <c r="AZ73" i="12"/>
  <c r="BH73" i="12"/>
  <c r="BS73" i="12" a="1"/>
  <c r="BS73" i="12" s="1"/>
  <c r="BA73" i="12"/>
  <c r="BB73" i="12"/>
  <c r="BD73" i="12"/>
  <c r="BE73" i="12"/>
  <c r="BJ73" i="12" a="1"/>
  <c r="BJ73" i="12" s="1"/>
  <c r="BF73" i="12"/>
  <c r="AY73" i="12"/>
  <c r="BC73" i="12"/>
  <c r="BF73" i="15" a="1"/>
  <c r="BF73" i="15" s="1"/>
  <c r="BA73" i="15" a="1"/>
  <c r="BA73" i="15" s="1"/>
  <c r="AU73" i="15" a="1"/>
  <c r="AU73" i="15" s="1"/>
  <c r="BK73" i="12" a="1"/>
  <c r="BK73" i="12" s="1"/>
  <c r="BG73" i="12"/>
  <c r="AT73" i="15" a="1"/>
  <c r="AT73" i="15" s="1"/>
  <c r="BL73" i="12" a="1"/>
  <c r="BL73" i="12" s="1"/>
  <c r="BE73" i="15" a="1"/>
  <c r="BE73" i="15" s="1"/>
  <c r="AZ73" i="15" a="1"/>
  <c r="AZ73" i="15" s="1"/>
  <c r="AS73" i="15" a="1"/>
  <c r="AS73" i="15" s="1"/>
  <c r="BK73" i="15" a="1"/>
  <c r="BK73" i="15" s="1"/>
  <c r="BD73" i="15" a="1"/>
  <c r="BD73" i="15" s="1"/>
  <c r="AY73" i="15" a="1"/>
  <c r="AY73" i="15" s="1"/>
  <c r="BG73" i="15" a="1"/>
  <c r="BG73" i="15" s="1"/>
  <c r="AR73" i="15" a="1"/>
  <c r="AR73" i="15" s="1"/>
  <c r="BC73" i="15" a="1"/>
  <c r="BC73" i="15" s="1"/>
  <c r="AQ73" i="15" a="1"/>
  <c r="AQ73" i="15" s="1"/>
  <c r="BH73" i="15" a="1"/>
  <c r="BH73" i="15" s="1"/>
  <c r="AV73" i="15" a="1"/>
  <c r="AV73" i="15" s="1"/>
  <c r="AW73" i="15" a="1"/>
  <c r="AW73" i="15" s="1"/>
  <c r="AP73" i="15" a="1"/>
  <c r="AP73" i="15" s="1"/>
  <c r="AX73" i="15" a="1"/>
  <c r="AX73" i="15" s="1"/>
  <c r="BG73" i="13" a="1"/>
  <c r="BG73" i="13" s="1"/>
  <c r="BB73" i="13" a="1"/>
  <c r="BB73" i="13" s="1"/>
  <c r="AV73" i="13" a="1"/>
  <c r="AV73" i="13" s="1"/>
  <c r="AQ73" i="13" a="1"/>
  <c r="AQ73" i="13" s="1"/>
  <c r="BF73" i="13" a="1"/>
  <c r="BF73" i="13" s="1"/>
  <c r="BA73" i="13" a="1"/>
  <c r="BA73" i="13" s="1"/>
  <c r="AP73" i="13" a="1"/>
  <c r="AP73" i="13" s="1"/>
  <c r="BJ73" i="15" a="1"/>
  <c r="BJ73" i="15" s="1"/>
  <c r="BI73" i="15" a="1"/>
  <c r="BI73" i="15" s="1"/>
  <c r="BK73" i="13" a="1"/>
  <c r="BK73" i="13" s="1"/>
  <c r="BD73" i="13" a="1"/>
  <c r="BD73" i="13" s="1"/>
  <c r="AW73" i="13" a="1"/>
  <c r="AW73" i="13" s="1"/>
  <c r="BB73" i="15" a="1"/>
  <c r="BB73" i="15" s="1"/>
  <c r="BJ73" i="13" a="1"/>
  <c r="BJ73" i="13" s="1"/>
  <c r="AU73" i="13" a="1"/>
  <c r="AU73" i="13" s="1"/>
  <c r="BC73" i="13" a="1"/>
  <c r="BC73" i="13" s="1"/>
  <c r="AT73" i="13" a="1"/>
  <c r="AT73" i="13" s="1"/>
  <c r="AX73" i="13" a="1"/>
  <c r="AX73" i="13" s="1"/>
  <c r="BI73" i="13" a="1"/>
  <c r="BI73" i="13" s="1"/>
  <c r="AS73" i="13" a="1"/>
  <c r="AS73" i="13" s="1"/>
  <c r="BH73" i="13" a="1"/>
  <c r="BH73" i="13" s="1"/>
  <c r="AY73" i="13" a="1"/>
  <c r="AY73" i="13" s="1"/>
  <c r="BF73" i="16" a="1"/>
  <c r="BF73" i="16" s="1"/>
  <c r="BA73" i="16" a="1"/>
  <c r="BA73" i="16" s="1"/>
  <c r="AU73" i="16" a="1"/>
  <c r="AU73" i="16" s="1"/>
  <c r="BE73" i="13" a="1"/>
  <c r="BE73" i="13" s="1"/>
  <c r="BJ73" i="16" a="1"/>
  <c r="BJ73" i="16" s="1"/>
  <c r="BE73" i="16" a="1"/>
  <c r="BE73" i="16" s="1"/>
  <c r="AZ73" i="13" a="1"/>
  <c r="AZ73" i="13" s="1"/>
  <c r="AR73" i="13" a="1"/>
  <c r="AR73" i="13" s="1"/>
  <c r="BG73" i="16" a="1"/>
  <c r="BG73" i="16" s="1"/>
  <c r="BB73" i="16" a="1"/>
  <c r="BB73" i="16" s="1"/>
  <c r="AP73" i="16" a="1"/>
  <c r="AP73" i="16" s="1"/>
  <c r="BK73" i="16" a="1"/>
  <c r="BK73" i="16" s="1"/>
  <c r="AS73" i="16" a="1"/>
  <c r="AS73" i="16" s="1"/>
  <c r="AZ73" i="16" a="1"/>
  <c r="AZ73" i="16" s="1"/>
  <c r="BH73" i="16" a="1"/>
  <c r="BH73" i="16" s="1"/>
  <c r="AY73" i="16" a="1"/>
  <c r="AY73" i="16" s="1"/>
  <c r="AQ73" i="16" a="1"/>
  <c r="AQ73" i="16" s="1"/>
  <c r="BD73" i="16" a="1"/>
  <c r="BD73" i="16" s="1"/>
  <c r="AT73" i="16" a="1"/>
  <c r="AT73" i="16" s="1"/>
  <c r="BC73" i="16" a="1"/>
  <c r="BC73" i="16" s="1"/>
  <c r="BB73" i="14" a="1"/>
  <c r="BB73" i="14" s="1"/>
  <c r="AW73" i="14" a="1"/>
  <c r="AW73" i="14" s="1"/>
  <c r="AX73" i="16" a="1"/>
  <c r="AX73" i="16" s="1"/>
  <c r="BH73" i="14" a="1"/>
  <c r="BH73" i="14" s="1"/>
  <c r="AV73" i="14" a="1"/>
  <c r="AV73" i="14" s="1"/>
  <c r="AQ73" i="14" a="1"/>
  <c r="AQ73" i="14" s="1"/>
  <c r="AW73" i="16" a="1"/>
  <c r="AW73" i="16" s="1"/>
  <c r="BG73" i="14" a="1"/>
  <c r="BG73" i="14" s="1"/>
  <c r="BA73" i="14" a="1"/>
  <c r="BA73" i="14" s="1"/>
  <c r="AU73" i="14" a="1"/>
  <c r="AU73" i="14" s="1"/>
  <c r="AP73" i="14" a="1"/>
  <c r="AP73" i="14" s="1"/>
  <c r="BI73" i="16" a="1"/>
  <c r="BI73" i="16" s="1"/>
  <c r="AR73" i="16" a="1"/>
  <c r="AR73" i="16" s="1"/>
  <c r="BK73" i="14" a="1"/>
  <c r="BK73" i="14" s="1"/>
  <c r="BC73" i="14" a="1"/>
  <c r="BC73" i="14" s="1"/>
  <c r="AS73" i="14" a="1"/>
  <c r="AS73" i="14" s="1"/>
  <c r="BJ73" i="14" a="1"/>
  <c r="BJ73" i="14" s="1"/>
  <c r="AZ73" i="14" a="1"/>
  <c r="AZ73" i="14" s="1"/>
  <c r="AR73" i="14" a="1"/>
  <c r="AR73" i="14" s="1"/>
  <c r="BI73" i="14" a="1"/>
  <c r="BI73" i="14" s="1"/>
  <c r="AV73" i="16" a="1"/>
  <c r="AV73" i="16" s="1"/>
  <c r="BD73" i="14" a="1"/>
  <c r="BD73" i="14" s="1"/>
  <c r="AT73" i="14" a="1"/>
  <c r="AT73" i="14" s="1"/>
  <c r="AY73" i="14" a="1"/>
  <c r="AY73" i="14" s="1"/>
  <c r="AX73" i="14" a="1"/>
  <c r="AX73" i="14" s="1"/>
  <c r="BF73" i="14" a="1"/>
  <c r="BF73" i="14" s="1"/>
  <c r="BE73" i="14" a="1"/>
  <c r="BE73" i="14" s="1"/>
  <c r="BS81" i="12" a="1"/>
  <c r="BS81" i="12" s="1"/>
  <c r="BM81" i="12" a="1"/>
  <c r="BM81" i="12" s="1"/>
  <c r="BN81" i="12" a="1"/>
  <c r="BN81" i="12" s="1"/>
  <c r="AZ81" i="12"/>
  <c r="BH81" i="12"/>
  <c r="BR81" i="12" a="1"/>
  <c r="BR81" i="12" s="1"/>
  <c r="BA81" i="12"/>
  <c r="BJ81" i="12" a="1"/>
  <c r="BJ81" i="12" s="1"/>
  <c r="H81" i="1" s="1"/>
  <c r="BB81" i="12"/>
  <c r="BK81" i="12" a="1"/>
  <c r="BK81" i="12" s="1"/>
  <c r="AY81" i="12"/>
  <c r="BH81" i="15" a="1"/>
  <c r="BH81" i="15" s="1"/>
  <c r="BB81" i="15" a="1"/>
  <c r="BB81" i="15" s="1"/>
  <c r="BL81" i="12" a="1"/>
  <c r="BL81" i="12" s="1"/>
  <c r="BC81" i="12"/>
  <c r="BG81" i="15" a="1"/>
  <c r="BG81" i="15" s="1"/>
  <c r="BA81" i="15" a="1"/>
  <c r="BA81" i="15" s="1"/>
  <c r="AU81" i="15" a="1"/>
  <c r="AU81" i="15" s="1"/>
  <c r="BO81" i="12" a="1"/>
  <c r="BO81" i="12" s="1"/>
  <c r="BD81" i="12"/>
  <c r="BF81" i="15" a="1"/>
  <c r="BF81" i="15" s="1"/>
  <c r="AZ81" i="15" a="1"/>
  <c r="AZ81" i="15" s="1"/>
  <c r="AT81" i="15" a="1"/>
  <c r="AT81" i="15" s="1"/>
  <c r="BK81" i="15" a="1"/>
  <c r="BK81" i="15" s="1"/>
  <c r="AY81" i="15" a="1"/>
  <c r="AY81" i="15" s="1"/>
  <c r="AQ81" i="15" a="1"/>
  <c r="AQ81" i="15" s="1"/>
  <c r="BE81" i="12"/>
  <c r="BJ81" i="15" a="1"/>
  <c r="BJ81" i="15" s="1"/>
  <c r="AX81" i="15" a="1"/>
  <c r="AX81" i="15" s="1"/>
  <c r="AP81" i="15" a="1"/>
  <c r="AP81" i="15" s="1"/>
  <c r="BF81" i="12"/>
  <c r="BI81" i="15" a="1"/>
  <c r="BI81" i="15" s="1"/>
  <c r="AW81" i="15" a="1"/>
  <c r="AW81" i="15" s="1"/>
  <c r="BG81" i="12"/>
  <c r="BE81" i="15" a="1"/>
  <c r="BE81" i="15" s="1"/>
  <c r="BC81" i="15" a="1"/>
  <c r="BC81" i="15" s="1"/>
  <c r="AV81" i="15" a="1"/>
  <c r="AV81" i="15" s="1"/>
  <c r="AS81" i="15" a="1"/>
  <c r="AS81" i="15" s="1"/>
  <c r="BQ81" i="12" a="1"/>
  <c r="BQ81" i="12" s="1"/>
  <c r="BP81" i="12" a="1"/>
  <c r="BP81" i="12" s="1"/>
  <c r="BD81" i="15" a="1"/>
  <c r="BD81" i="15" s="1"/>
  <c r="AR81" i="15" a="1"/>
  <c r="AR81" i="15" s="1"/>
  <c r="BA81" i="13" a="1"/>
  <c r="BA81" i="13" s="1"/>
  <c r="AU81" i="13" a="1"/>
  <c r="AU81" i="13" s="1"/>
  <c r="BF81" i="13" a="1"/>
  <c r="BF81" i="13" s="1"/>
  <c r="AZ81" i="13" a="1"/>
  <c r="AZ81" i="13" s="1"/>
  <c r="AT81" i="13" a="1"/>
  <c r="AT81" i="13" s="1"/>
  <c r="BJ81" i="13" a="1"/>
  <c r="BJ81" i="13" s="1"/>
  <c r="BD81" i="13" a="1"/>
  <c r="BD81" i="13" s="1"/>
  <c r="AY81" i="13" a="1"/>
  <c r="AY81" i="13" s="1"/>
  <c r="AR81" i="13" a="1"/>
  <c r="AR81" i="13" s="1"/>
  <c r="BH81" i="13" a="1"/>
  <c r="BH81" i="13" s="1"/>
  <c r="AX81" i="13" a="1"/>
  <c r="AX81" i="13" s="1"/>
  <c r="AP81" i="13" a="1"/>
  <c r="AP81" i="13" s="1"/>
  <c r="BG81" i="13" a="1"/>
  <c r="BG81" i="13" s="1"/>
  <c r="AW81" i="13" a="1"/>
  <c r="AW81" i="13" s="1"/>
  <c r="BI81" i="13" a="1"/>
  <c r="BI81" i="13" s="1"/>
  <c r="BB81" i="13" a="1"/>
  <c r="BB81" i="13" s="1"/>
  <c r="AQ81" i="13" a="1"/>
  <c r="AQ81" i="13" s="1"/>
  <c r="AV81" i="13" a="1"/>
  <c r="AV81" i="13" s="1"/>
  <c r="BC81" i="13" a="1"/>
  <c r="BC81" i="13" s="1"/>
  <c r="AP81" i="16" a="1"/>
  <c r="AP81" i="16" s="1"/>
  <c r="BK81" i="13" a="1"/>
  <c r="BK81" i="13" s="1"/>
  <c r="BK81" i="16" a="1"/>
  <c r="BK81" i="16" s="1"/>
  <c r="BE81" i="16" a="1"/>
  <c r="BE81" i="16" s="1"/>
  <c r="AT81" i="16" a="1"/>
  <c r="AT81" i="16" s="1"/>
  <c r="AS81" i="13" a="1"/>
  <c r="AS81" i="13" s="1"/>
  <c r="BH81" i="16" a="1"/>
  <c r="BH81" i="16" s="1"/>
  <c r="BB81" i="16" a="1"/>
  <c r="BB81" i="16" s="1"/>
  <c r="AQ81" i="16" a="1"/>
  <c r="AQ81" i="16" s="1"/>
  <c r="BG81" i="16" a="1"/>
  <c r="BG81" i="16" s="1"/>
  <c r="BA81" i="16" a="1"/>
  <c r="BA81" i="16" s="1"/>
  <c r="AV81" i="16" a="1"/>
  <c r="AV81" i="16" s="1"/>
  <c r="BI81" i="16" a="1"/>
  <c r="BI81" i="16" s="1"/>
  <c r="AX81" i="16" a="1"/>
  <c r="AX81" i="16" s="1"/>
  <c r="BF81" i="16" a="1"/>
  <c r="BF81" i="16" s="1"/>
  <c r="AU81" i="16" a="1"/>
  <c r="AU81" i="16" s="1"/>
  <c r="BE81" i="13" a="1"/>
  <c r="BE81" i="13" s="1"/>
  <c r="AS81" i="16" a="1"/>
  <c r="AS81" i="16" s="1"/>
  <c r="BJ81" i="16" a="1"/>
  <c r="BJ81" i="16" s="1"/>
  <c r="AY81" i="16" a="1"/>
  <c r="AY81" i="16" s="1"/>
  <c r="BG81" i="14" a="1"/>
  <c r="BG81" i="14" s="1"/>
  <c r="AZ81" i="14" a="1"/>
  <c r="AZ81" i="14" s="1"/>
  <c r="BD81" i="16" a="1"/>
  <c r="BD81" i="16" s="1"/>
  <c r="BF81" i="14" a="1"/>
  <c r="BF81" i="14" s="1"/>
  <c r="AT81" i="14" a="1"/>
  <c r="AT81" i="14" s="1"/>
  <c r="BC81" i="16" a="1"/>
  <c r="BC81" i="16" s="1"/>
  <c r="BE81" i="14" a="1"/>
  <c r="BE81" i="14" s="1"/>
  <c r="AY81" i="14" a="1"/>
  <c r="AY81" i="14" s="1"/>
  <c r="AS81" i="14" a="1"/>
  <c r="AS81" i="14" s="1"/>
  <c r="AZ81" i="16" a="1"/>
  <c r="AZ81" i="16" s="1"/>
  <c r="AW81" i="16" a="1"/>
  <c r="AW81" i="16" s="1"/>
  <c r="BJ81" i="14" a="1"/>
  <c r="BJ81" i="14" s="1"/>
  <c r="AW81" i="14" a="1"/>
  <c r="AW81" i="14" s="1"/>
  <c r="BB81" i="14" a="1"/>
  <c r="BB81" i="14" s="1"/>
  <c r="BA81" i="14" a="1"/>
  <c r="BA81" i="14" s="1"/>
  <c r="AP81" i="14" a="1"/>
  <c r="AP81" i="14" s="1"/>
  <c r="BK81" i="14" a="1"/>
  <c r="BK81" i="14" s="1"/>
  <c r="AX81" i="14" a="1"/>
  <c r="AX81" i="14" s="1"/>
  <c r="BI81" i="14" a="1"/>
  <c r="BI81" i="14" s="1"/>
  <c r="AR81" i="16" a="1"/>
  <c r="AR81" i="16" s="1"/>
  <c r="AV81" i="14" a="1"/>
  <c r="AV81" i="14" s="1"/>
  <c r="BH81" i="14" a="1"/>
  <c r="BH81" i="14" s="1"/>
  <c r="AU81" i="14" a="1"/>
  <c r="AU81" i="14" s="1"/>
  <c r="BC81" i="14" a="1"/>
  <c r="BC81" i="14" s="1"/>
  <c r="AQ81" i="14" a="1"/>
  <c r="AQ81" i="14" s="1"/>
  <c r="BD81" i="14" a="1"/>
  <c r="BD81" i="14" s="1"/>
  <c r="AR81" i="14" a="1"/>
  <c r="AR81" i="14" s="1"/>
  <c r="BL85" i="12" a="1"/>
  <c r="BL85" i="12" s="1"/>
  <c r="BR85" i="12" a="1"/>
  <c r="BR85" i="12" s="1"/>
  <c r="BS85" i="12" a="1"/>
  <c r="BS85" i="12" s="1"/>
  <c r="BM85" i="12" a="1"/>
  <c r="BM85" i="12" s="1"/>
  <c r="AZ85" i="12"/>
  <c r="BH85" i="12"/>
  <c r="BJ85" i="12" a="1"/>
  <c r="BJ85" i="12" s="1"/>
  <c r="BA85" i="12"/>
  <c r="BK85" i="12" a="1"/>
  <c r="BK85" i="12" s="1"/>
  <c r="BB85" i="12"/>
  <c r="BN85" i="12" a="1"/>
  <c r="BN85" i="12" s="1"/>
  <c r="BJ85" i="15" a="1"/>
  <c r="BJ85" i="15" s="1"/>
  <c r="AV85" i="15" a="1"/>
  <c r="AV85" i="15" s="1"/>
  <c r="BO85" i="12" a="1"/>
  <c r="BO85" i="12" s="1"/>
  <c r="AY85" i="12"/>
  <c r="BI85" i="15" a="1"/>
  <c r="BI85" i="15" s="1"/>
  <c r="BC85" i="15" a="1"/>
  <c r="BC85" i="15" s="1"/>
  <c r="AP85" i="15" a="1"/>
  <c r="AP85" i="15" s="1"/>
  <c r="BP85" i="12" a="1"/>
  <c r="BP85" i="12" s="1"/>
  <c r="BC85" i="12"/>
  <c r="BB85" i="15" a="1"/>
  <c r="BB85" i="15" s="1"/>
  <c r="AU85" i="15" a="1"/>
  <c r="AU85" i="15" s="1"/>
  <c r="BG85" i="12"/>
  <c r="BE85" i="15" a="1"/>
  <c r="BE85" i="15" s="1"/>
  <c r="AT85" i="15" a="1"/>
  <c r="AT85" i="15" s="1"/>
  <c r="BD85" i="15" a="1"/>
  <c r="BD85" i="15" s="1"/>
  <c r="AS85" i="15" a="1"/>
  <c r="AS85" i="15" s="1"/>
  <c r="BA85" i="15" a="1"/>
  <c r="BA85" i="15" s="1"/>
  <c r="AR85" i="15" a="1"/>
  <c r="AR85" i="15" s="1"/>
  <c r="AZ85" i="15" a="1"/>
  <c r="AZ85" i="15" s="1"/>
  <c r="AQ85" i="15" a="1"/>
  <c r="AQ85" i="15" s="1"/>
  <c r="BF85" i="12"/>
  <c r="BK85" i="15" a="1"/>
  <c r="BK85" i="15" s="1"/>
  <c r="BQ85" i="12" a="1"/>
  <c r="BQ85" i="12" s="1"/>
  <c r="BH85" i="15" a="1"/>
  <c r="BH85" i="15" s="1"/>
  <c r="BE85" i="12"/>
  <c r="AW85" i="15" a="1"/>
  <c r="AW85" i="15" s="1"/>
  <c r="BD85" i="12"/>
  <c r="AX85" i="15" a="1"/>
  <c r="AX85" i="15" s="1"/>
  <c r="AY85" i="15" a="1"/>
  <c r="AY85" i="15" s="1"/>
  <c r="BJ85" i="13" a="1"/>
  <c r="BJ85" i="13" s="1"/>
  <c r="AR85" i="13" a="1"/>
  <c r="AR85" i="13" s="1"/>
  <c r="BI85" i="13" a="1"/>
  <c r="BI85" i="13" s="1"/>
  <c r="BD85" i="13" a="1"/>
  <c r="BD85" i="13" s="1"/>
  <c r="AX85" i="13" a="1"/>
  <c r="AX85" i="13" s="1"/>
  <c r="AQ85" i="13" a="1"/>
  <c r="AQ85" i="13" s="1"/>
  <c r="BH85" i="13" a="1"/>
  <c r="BH85" i="13" s="1"/>
  <c r="BC85" i="13" a="1"/>
  <c r="BC85" i="13" s="1"/>
  <c r="AV85" i="13" a="1"/>
  <c r="AV85" i="13" s="1"/>
  <c r="AP85" i="13" a="1"/>
  <c r="AP85" i="13" s="1"/>
  <c r="AZ85" i="13" a="1"/>
  <c r="AZ85" i="13" s="1"/>
  <c r="AY85" i="13" a="1"/>
  <c r="AY85" i="13" s="1"/>
  <c r="BG85" i="13" a="1"/>
  <c r="BG85" i="13" s="1"/>
  <c r="AW85" i="13" a="1"/>
  <c r="AW85" i="13" s="1"/>
  <c r="BA85" i="13" a="1"/>
  <c r="BA85" i="13" s="1"/>
  <c r="BF85" i="15" a="1"/>
  <c r="BF85" i="15" s="1"/>
  <c r="BK85" i="13" a="1"/>
  <c r="BK85" i="13" s="1"/>
  <c r="AS85" i="13" a="1"/>
  <c r="AS85" i="13" s="1"/>
  <c r="BF85" i="13" a="1"/>
  <c r="BF85" i="13" s="1"/>
  <c r="BE85" i="13" a="1"/>
  <c r="BE85" i="13" s="1"/>
  <c r="BG85" i="15" a="1"/>
  <c r="BG85" i="15" s="1"/>
  <c r="AT85" i="13" a="1"/>
  <c r="AT85" i="13" s="1"/>
  <c r="BG85" i="16" a="1"/>
  <c r="BG85" i="16" s="1"/>
  <c r="AZ85" i="16" a="1"/>
  <c r="AZ85" i="16" s="1"/>
  <c r="AT85" i="16" a="1"/>
  <c r="AT85" i="16" s="1"/>
  <c r="BB85" i="13" a="1"/>
  <c r="BB85" i="13" s="1"/>
  <c r="BK85" i="16" a="1"/>
  <c r="BK85" i="16" s="1"/>
  <c r="BE85" i="16" a="1"/>
  <c r="BE85" i="16" s="1"/>
  <c r="AR85" i="16" a="1"/>
  <c r="AR85" i="16" s="1"/>
  <c r="AU85" i="13" a="1"/>
  <c r="AU85" i="13" s="1"/>
  <c r="BH85" i="16" a="1"/>
  <c r="BH85" i="16" s="1"/>
  <c r="BB85" i="16" a="1"/>
  <c r="BB85" i="16" s="1"/>
  <c r="AU85" i="16" a="1"/>
  <c r="AU85" i="16" s="1"/>
  <c r="BA85" i="16" a="1"/>
  <c r="BA85" i="16" s="1"/>
  <c r="BI85" i="16" a="1"/>
  <c r="BI85" i="16" s="1"/>
  <c r="AW85" i="16" a="1"/>
  <c r="AW85" i="16" s="1"/>
  <c r="BF85" i="16" a="1"/>
  <c r="BF85" i="16" s="1"/>
  <c r="AS85" i="16" a="1"/>
  <c r="AS85" i="16" s="1"/>
  <c r="BD85" i="16" a="1"/>
  <c r="BD85" i="16" s="1"/>
  <c r="BJ85" i="16" a="1"/>
  <c r="BJ85" i="16" s="1"/>
  <c r="AX85" i="16" a="1"/>
  <c r="AX85" i="16" s="1"/>
  <c r="AV85" i="16" a="1"/>
  <c r="AV85" i="16" s="1"/>
  <c r="BH85" i="14" a="1"/>
  <c r="BH85" i="14" s="1"/>
  <c r="BB85" i="14" a="1"/>
  <c r="BB85" i="14" s="1"/>
  <c r="AQ85" i="16" a="1"/>
  <c r="AQ85" i="16" s="1"/>
  <c r="BA85" i="14" a="1"/>
  <c r="BA85" i="14" s="1"/>
  <c r="AU85" i="14" a="1"/>
  <c r="AU85" i="14" s="1"/>
  <c r="AP85" i="16" a="1"/>
  <c r="AP85" i="16" s="1"/>
  <c r="BG85" i="14" a="1"/>
  <c r="BG85" i="14" s="1"/>
  <c r="AZ85" i="14" a="1"/>
  <c r="AZ85" i="14" s="1"/>
  <c r="AT85" i="14" a="1"/>
  <c r="AT85" i="14" s="1"/>
  <c r="BE85" i="14" a="1"/>
  <c r="BE85" i="14" s="1"/>
  <c r="AR85" i="14" a="1"/>
  <c r="AR85" i="14" s="1"/>
  <c r="BC85" i="14" a="1"/>
  <c r="BC85" i="14" s="1"/>
  <c r="AP85" i="14" a="1"/>
  <c r="AP85" i="14" s="1"/>
  <c r="BC85" i="16" a="1"/>
  <c r="BC85" i="16" s="1"/>
  <c r="AY85" i="16" a="1"/>
  <c r="AY85" i="16" s="1"/>
  <c r="AY85" i="14" a="1"/>
  <c r="AY85" i="14" s="1"/>
  <c r="BK85" i="14" a="1"/>
  <c r="BK85" i="14" s="1"/>
  <c r="AX85" i="14" a="1"/>
  <c r="AX85" i="14" s="1"/>
  <c r="BJ85" i="14" a="1"/>
  <c r="BJ85" i="14" s="1"/>
  <c r="AW85" i="14" a="1"/>
  <c r="AW85" i="14" s="1"/>
  <c r="BI85" i="14" a="1"/>
  <c r="BI85" i="14" s="1"/>
  <c r="AV85" i="14" a="1"/>
  <c r="AV85" i="14" s="1"/>
  <c r="BD85" i="14" a="1"/>
  <c r="BD85" i="14" s="1"/>
  <c r="AQ85" i="14" a="1"/>
  <c r="AQ85" i="14" s="1"/>
  <c r="BF85" i="14" a="1"/>
  <c r="BF85" i="14" s="1"/>
  <c r="AS85" i="14" a="1"/>
  <c r="AS85" i="14" s="1"/>
  <c r="BP19" i="12" a="1"/>
  <c r="BP19" i="12" s="1"/>
  <c r="BQ19" i="12" a="1"/>
  <c r="BQ19" i="12" s="1"/>
  <c r="BJ19" i="12" a="1"/>
  <c r="BJ19" i="12" s="1"/>
  <c r="BR19" i="12" a="1"/>
  <c r="BR19" i="12" s="1"/>
  <c r="BO19" i="12" a="1"/>
  <c r="BO19" i="12" s="1"/>
  <c r="BA19" i="12"/>
  <c r="BK19" i="12" a="1"/>
  <c r="BK19" i="12" s="1"/>
  <c r="BB19" i="12"/>
  <c r="BL19" i="12" a="1"/>
  <c r="BL19" i="12" s="1"/>
  <c r="BC19" i="12"/>
  <c r="BH19" i="12"/>
  <c r="BM19" i="12" a="1"/>
  <c r="BM19" i="12" s="1"/>
  <c r="AY19" i="12"/>
  <c r="BN19" i="12" a="1"/>
  <c r="BN19" i="12" s="1"/>
  <c r="AZ19" i="12"/>
  <c r="BD19" i="12"/>
  <c r="BE19" i="12"/>
  <c r="BS19" i="12" a="1"/>
  <c r="BS19" i="12" s="1"/>
  <c r="BF19" i="12"/>
  <c r="BG19" i="15" a="1"/>
  <c r="BG19" i="15" s="1"/>
  <c r="AZ19" i="15" a="1"/>
  <c r="AZ19" i="15" s="1"/>
  <c r="AS19" i="15" a="1"/>
  <c r="AS19" i="15" s="1"/>
  <c r="BF19" i="15" a="1"/>
  <c r="BF19" i="15" s="1"/>
  <c r="AR19" i="15" a="1"/>
  <c r="AR19" i="15" s="1"/>
  <c r="BE19" i="15" a="1"/>
  <c r="BE19" i="15" s="1"/>
  <c r="AY19" i="15" a="1"/>
  <c r="AY19" i="15" s="1"/>
  <c r="AQ19" i="15" a="1"/>
  <c r="AQ19" i="15" s="1"/>
  <c r="BG19" i="12"/>
  <c r="BH19" i="15" a="1"/>
  <c r="BH19" i="15" s="1"/>
  <c r="BA19" i="15" a="1"/>
  <c r="BA19" i="15" s="1"/>
  <c r="AT19" i="15" a="1"/>
  <c r="AT19" i="15" s="1"/>
  <c r="BD19" i="15" a="1"/>
  <c r="BD19" i="15" s="1"/>
  <c r="BC19" i="15" a="1"/>
  <c r="BC19" i="15" s="1"/>
  <c r="BB19" i="15" a="1"/>
  <c r="BB19" i="15" s="1"/>
  <c r="AX19" i="15" a="1"/>
  <c r="AX19" i="15" s="1"/>
  <c r="BK19" i="15" a="1"/>
  <c r="BK19" i="15" s="1"/>
  <c r="AW19" i="15" a="1"/>
  <c r="AW19" i="15" s="1"/>
  <c r="AU19" i="15" a="1"/>
  <c r="AU19" i="15" s="1"/>
  <c r="AP19" i="15" a="1"/>
  <c r="AP19" i="15" s="1"/>
  <c r="AV19" i="15" a="1"/>
  <c r="AV19" i="15" s="1"/>
  <c r="BD19" i="13" a="1"/>
  <c r="BD19" i="13" s="1"/>
  <c r="AV19" i="13" a="1"/>
  <c r="AV19" i="13" s="1"/>
  <c r="AP19" i="13" a="1"/>
  <c r="AP19" i="13" s="1"/>
  <c r="BI19" i="13" a="1"/>
  <c r="BI19" i="13" s="1"/>
  <c r="BC19" i="13" a="1"/>
  <c r="BC19" i="13" s="1"/>
  <c r="BJ19" i="15" a="1"/>
  <c r="BJ19" i="15" s="1"/>
  <c r="BH19" i="13" a="1"/>
  <c r="BH19" i="13" s="1"/>
  <c r="BB19" i="13" a="1"/>
  <c r="BB19" i="13" s="1"/>
  <c r="AU19" i="13" a="1"/>
  <c r="AU19" i="13" s="1"/>
  <c r="AX19" i="13" a="1"/>
  <c r="AX19" i="13" s="1"/>
  <c r="BI19" i="15" a="1"/>
  <c r="BI19" i="15" s="1"/>
  <c r="BG19" i="13" a="1"/>
  <c r="BG19" i="13" s="1"/>
  <c r="AW19" i="13" a="1"/>
  <c r="AW19" i="13" s="1"/>
  <c r="BF19" i="13" a="1"/>
  <c r="BF19" i="13" s="1"/>
  <c r="AT19" i="13" a="1"/>
  <c r="AT19" i="13" s="1"/>
  <c r="BK19" i="13" a="1"/>
  <c r="BK19" i="13" s="1"/>
  <c r="AZ19" i="13" a="1"/>
  <c r="AZ19" i="13" s="1"/>
  <c r="AQ19" i="13" a="1"/>
  <c r="AQ19" i="13" s="1"/>
  <c r="BJ19" i="13" a="1"/>
  <c r="BJ19" i="13" s="1"/>
  <c r="AY19" i="13" a="1"/>
  <c r="AY19" i="13" s="1"/>
  <c r="AX19" i="16" a="1"/>
  <c r="AX19" i="16" s="1"/>
  <c r="BE19" i="13" a="1"/>
  <c r="BE19" i="13" s="1"/>
  <c r="BA19" i="13" a="1"/>
  <c r="BA19" i="13" s="1"/>
  <c r="BE19" i="16" a="1"/>
  <c r="BE19" i="16" s="1"/>
  <c r="AW19" i="16" a="1"/>
  <c r="AW19" i="16" s="1"/>
  <c r="BK19" i="16" a="1"/>
  <c r="BK19" i="16" s="1"/>
  <c r="BD19" i="16" a="1"/>
  <c r="BD19" i="16" s="1"/>
  <c r="AV19" i="16" a="1"/>
  <c r="AV19" i="16" s="1"/>
  <c r="BJ19" i="16" a="1"/>
  <c r="BJ19" i="16" s="1"/>
  <c r="BC19" i="16" a="1"/>
  <c r="BC19" i="16" s="1"/>
  <c r="AU19" i="16" a="1"/>
  <c r="AU19" i="16" s="1"/>
  <c r="AS19" i="13" a="1"/>
  <c r="AS19" i="13" s="1"/>
  <c r="AR19" i="13" a="1"/>
  <c r="AR19" i="13" s="1"/>
  <c r="BH19" i="16" a="1"/>
  <c r="BH19" i="16" s="1"/>
  <c r="BA19" i="16" a="1"/>
  <c r="BA19" i="16" s="1"/>
  <c r="AS19" i="16" a="1"/>
  <c r="AS19" i="16" s="1"/>
  <c r="AY19" i="16" a="1"/>
  <c r="AY19" i="16" s="1"/>
  <c r="BI19" i="14" a="1"/>
  <c r="BI19" i="14" s="1"/>
  <c r="BC19" i="14" a="1"/>
  <c r="BC19" i="14" s="1"/>
  <c r="BH19" i="14" a="1"/>
  <c r="BH19" i="14" s="1"/>
  <c r="AW19" i="14" a="1"/>
  <c r="AW19" i="14" s="1"/>
  <c r="AQ19" i="14" a="1"/>
  <c r="AQ19" i="14" s="1"/>
  <c r="BI19" i="16" a="1"/>
  <c r="BI19" i="16" s="1"/>
  <c r="AT19" i="16" a="1"/>
  <c r="AT19" i="16" s="1"/>
  <c r="BG19" i="14" a="1"/>
  <c r="BG19" i="14" s="1"/>
  <c r="BB19" i="14" a="1"/>
  <c r="BB19" i="14" s="1"/>
  <c r="AV19" i="14" a="1"/>
  <c r="AV19" i="14" s="1"/>
  <c r="BG19" i="16" a="1"/>
  <c r="BG19" i="16" s="1"/>
  <c r="AR19" i="16" a="1"/>
  <c r="AR19" i="16" s="1"/>
  <c r="AQ19" i="16" a="1"/>
  <c r="AQ19" i="16" s="1"/>
  <c r="BF19" i="14" a="1"/>
  <c r="BF19" i="14" s="1"/>
  <c r="AZ19" i="14" a="1"/>
  <c r="AZ19" i="14" s="1"/>
  <c r="AT19" i="14" a="1"/>
  <c r="AT19" i="14" s="1"/>
  <c r="BF19" i="16" a="1"/>
  <c r="BF19" i="16" s="1"/>
  <c r="AP19" i="16" a="1"/>
  <c r="AP19" i="16" s="1"/>
  <c r="BB19" i="16" a="1"/>
  <c r="BB19" i="16" s="1"/>
  <c r="AZ19" i="16" a="1"/>
  <c r="AZ19" i="16" s="1"/>
  <c r="BJ19" i="14" a="1"/>
  <c r="BJ19" i="14" s="1"/>
  <c r="BD19" i="14" a="1"/>
  <c r="BD19" i="14" s="1"/>
  <c r="AX19" i="14" a="1"/>
  <c r="AX19" i="14" s="1"/>
  <c r="AR19" i="14" a="1"/>
  <c r="AR19" i="14" s="1"/>
  <c r="AP19" i="14" a="1"/>
  <c r="AP19" i="14" s="1"/>
  <c r="BE19" i="14" a="1"/>
  <c r="BE19" i="14" s="1"/>
  <c r="BK19" i="14" a="1"/>
  <c r="BK19" i="14" s="1"/>
  <c r="BA19" i="14" a="1"/>
  <c r="BA19" i="14" s="1"/>
  <c r="AY19" i="14" a="1"/>
  <c r="AY19" i="14" s="1"/>
  <c r="AU19" i="14" a="1"/>
  <c r="AU19" i="14" s="1"/>
  <c r="AS19" i="14" a="1"/>
  <c r="AS19" i="14" s="1"/>
  <c r="BM23" i="12" a="1"/>
  <c r="BM23" i="12" s="1"/>
  <c r="BN23" i="12" a="1"/>
  <c r="BN23" i="12" s="1"/>
  <c r="BO23" i="12" a="1"/>
  <c r="BO23" i="12" s="1"/>
  <c r="BL23" i="12" a="1"/>
  <c r="BL23" i="12" s="1"/>
  <c r="BK23" i="12" a="1"/>
  <c r="BK23" i="12" s="1"/>
  <c r="BA23" i="12"/>
  <c r="BP23" i="12" a="1"/>
  <c r="BP23" i="12" s="1"/>
  <c r="BB23" i="12"/>
  <c r="BQ23" i="12" a="1"/>
  <c r="BQ23" i="12" s="1"/>
  <c r="BC23" i="12"/>
  <c r="BJ23" i="12" a="1"/>
  <c r="BJ23" i="12" s="1"/>
  <c r="BG23" i="12"/>
  <c r="BR23" i="12" a="1"/>
  <c r="BR23" i="12" s="1"/>
  <c r="BH23" i="12"/>
  <c r="BS23" i="12" a="1"/>
  <c r="BS23" i="12" s="1"/>
  <c r="AY23" i="12"/>
  <c r="BF23" i="12"/>
  <c r="BD23" i="12"/>
  <c r="AZ23" i="12"/>
  <c r="BE23" i="15" a="1"/>
  <c r="BE23" i="15" s="1"/>
  <c r="AW23" i="15" a="1"/>
  <c r="AW23" i="15" s="1"/>
  <c r="AQ23" i="15" a="1"/>
  <c r="AQ23" i="15" s="1"/>
  <c r="BK23" i="15" a="1"/>
  <c r="BK23" i="15" s="1"/>
  <c r="BD23" i="15" a="1"/>
  <c r="BD23" i="15" s="1"/>
  <c r="AP23" i="15" a="1"/>
  <c r="AP23" i="15" s="1"/>
  <c r="BJ23" i="15" a="1"/>
  <c r="BJ23" i="15" s="1"/>
  <c r="BC23" i="15" a="1"/>
  <c r="BC23" i="15" s="1"/>
  <c r="AV23" i="15" a="1"/>
  <c r="AV23" i="15" s="1"/>
  <c r="BE23" i="12"/>
  <c r="BF23" i="15" a="1"/>
  <c r="BF23" i="15" s="1"/>
  <c r="AX23" i="15" a="1"/>
  <c r="AX23" i="15" s="1"/>
  <c r="BA23" i="15" a="1"/>
  <c r="BA23" i="15" s="1"/>
  <c r="AZ23" i="15" a="1"/>
  <c r="AZ23" i="15" s="1"/>
  <c r="AY23" i="15" a="1"/>
  <c r="AY23" i="15" s="1"/>
  <c r="BI23" i="15" a="1"/>
  <c r="BI23" i="15" s="1"/>
  <c r="AU23" i="15" a="1"/>
  <c r="AU23" i="15" s="1"/>
  <c r="BH23" i="15" a="1"/>
  <c r="BH23" i="15" s="1"/>
  <c r="AT23" i="15" a="1"/>
  <c r="AT23" i="15" s="1"/>
  <c r="BE23" i="13" a="1"/>
  <c r="BE23" i="13" s="1"/>
  <c r="AY23" i="13" a="1"/>
  <c r="AY23" i="13" s="1"/>
  <c r="BG23" i="15" a="1"/>
  <c r="BG23" i="15" s="1"/>
  <c r="BD23" i="13" a="1"/>
  <c r="BD23" i="13" s="1"/>
  <c r="AX23" i="13" a="1"/>
  <c r="AX23" i="13" s="1"/>
  <c r="AR23" i="13" a="1"/>
  <c r="AR23" i="13" s="1"/>
  <c r="BB23" i="15" a="1"/>
  <c r="BB23" i="15" s="1"/>
  <c r="BK23" i="13" a="1"/>
  <c r="BK23" i="13" s="1"/>
  <c r="AQ23" i="13" a="1"/>
  <c r="AQ23" i="13" s="1"/>
  <c r="BF23" i="13" a="1"/>
  <c r="BF23" i="13" s="1"/>
  <c r="AZ23" i="13" a="1"/>
  <c r="AZ23" i="13" s="1"/>
  <c r="AS23" i="13" a="1"/>
  <c r="AS23" i="13" s="1"/>
  <c r="BG23" i="13" a="1"/>
  <c r="BG23" i="13" s="1"/>
  <c r="AT23" i="13" a="1"/>
  <c r="AT23" i="13" s="1"/>
  <c r="BC23" i="13" a="1"/>
  <c r="BC23" i="13" s="1"/>
  <c r="AP23" i="13" a="1"/>
  <c r="AP23" i="13" s="1"/>
  <c r="BB23" i="13" a="1"/>
  <c r="BB23" i="13" s="1"/>
  <c r="AS23" i="15" a="1"/>
  <c r="AS23" i="15" s="1"/>
  <c r="AR23" i="15" a="1"/>
  <c r="AR23" i="15" s="1"/>
  <c r="BI23" i="13" a="1"/>
  <c r="BI23" i="13" s="1"/>
  <c r="AV23" i="13" a="1"/>
  <c r="AV23" i="13" s="1"/>
  <c r="BH23" i="13" a="1"/>
  <c r="BH23" i="13" s="1"/>
  <c r="AU23" i="13" a="1"/>
  <c r="AU23" i="13" s="1"/>
  <c r="BE23" i="16" a="1"/>
  <c r="BE23" i="16" s="1"/>
  <c r="AX23" i="16" a="1"/>
  <c r="AX23" i="16" s="1"/>
  <c r="AQ23" i="16" a="1"/>
  <c r="AQ23" i="16" s="1"/>
  <c r="BJ23" i="16" a="1"/>
  <c r="BJ23" i="16" s="1"/>
  <c r="BC23" i="16" a="1"/>
  <c r="BC23" i="16" s="1"/>
  <c r="AV23" i="16" a="1"/>
  <c r="AV23" i="16" s="1"/>
  <c r="AP23" i="16" a="1"/>
  <c r="AP23" i="16" s="1"/>
  <c r="BJ23" i="13" a="1"/>
  <c r="BJ23" i="13" s="1"/>
  <c r="AU23" i="16" a="1"/>
  <c r="AU23" i="16" s="1"/>
  <c r="BD23" i="16" a="1"/>
  <c r="BD23" i="16" s="1"/>
  <c r="AT23" i="16" a="1"/>
  <c r="AT23" i="16" s="1"/>
  <c r="BA23" i="13" a="1"/>
  <c r="BA23" i="13" s="1"/>
  <c r="BB23" i="16" a="1"/>
  <c r="BB23" i="16" s="1"/>
  <c r="AS23" i="16" a="1"/>
  <c r="AS23" i="16" s="1"/>
  <c r="AW23" i="13" a="1"/>
  <c r="AW23" i="13" s="1"/>
  <c r="BI23" i="16" a="1"/>
  <c r="BI23" i="16" s="1"/>
  <c r="AZ23" i="16" a="1"/>
  <c r="AZ23" i="16" s="1"/>
  <c r="BG23" i="16" a="1"/>
  <c r="BG23" i="16" s="1"/>
  <c r="BI23" i="14" a="1"/>
  <c r="BI23" i="14" s="1"/>
  <c r="BB23" i="14" a="1"/>
  <c r="BB23" i="14" s="1"/>
  <c r="AU23" i="14" a="1"/>
  <c r="AU23" i="14" s="1"/>
  <c r="BF23" i="16" a="1"/>
  <c r="BF23" i="16" s="1"/>
  <c r="BH23" i="14" a="1"/>
  <c r="BH23" i="14" s="1"/>
  <c r="BA23" i="14" a="1"/>
  <c r="BA23" i="14" s="1"/>
  <c r="AT23" i="14" a="1"/>
  <c r="AT23" i="14" s="1"/>
  <c r="BA23" i="16" a="1"/>
  <c r="BA23" i="16" s="1"/>
  <c r="BG23" i="14" a="1"/>
  <c r="BG23" i="14" s="1"/>
  <c r="AZ23" i="14" a="1"/>
  <c r="AZ23" i="14" s="1"/>
  <c r="AS23" i="14" a="1"/>
  <c r="AS23" i="14" s="1"/>
  <c r="AY23" i="16" a="1"/>
  <c r="AY23" i="16" s="1"/>
  <c r="BF23" i="14" a="1"/>
  <c r="BF23" i="14" s="1"/>
  <c r="AX23" i="14" a="1"/>
  <c r="AX23" i="14" s="1"/>
  <c r="AQ23" i="14" a="1"/>
  <c r="AQ23" i="14" s="1"/>
  <c r="AW23" i="16" a="1"/>
  <c r="AW23" i="16" s="1"/>
  <c r="BK23" i="16" a="1"/>
  <c r="BK23" i="16" s="1"/>
  <c r="AR23" i="16" a="1"/>
  <c r="AR23" i="16" s="1"/>
  <c r="BH23" i="16" a="1"/>
  <c r="BH23" i="16" s="1"/>
  <c r="BJ23" i="14" a="1"/>
  <c r="BJ23" i="14" s="1"/>
  <c r="BC23" i="14" a="1"/>
  <c r="BC23" i="14" s="1"/>
  <c r="AP23" i="14" a="1"/>
  <c r="AP23" i="14" s="1"/>
  <c r="AY23" i="14" a="1"/>
  <c r="AY23" i="14" s="1"/>
  <c r="BE23" i="14" a="1"/>
  <c r="BE23" i="14" s="1"/>
  <c r="AR23" i="14" a="1"/>
  <c r="AR23" i="14" s="1"/>
  <c r="BD23" i="14" a="1"/>
  <c r="BD23" i="14" s="1"/>
  <c r="AW23" i="14" a="1"/>
  <c r="AW23" i="14" s="1"/>
  <c r="BK23" i="14" a="1"/>
  <c r="BK23" i="14" s="1"/>
  <c r="AV23" i="14" a="1"/>
  <c r="AV23" i="14" s="1"/>
  <c r="BJ27" i="12" a="1"/>
  <c r="BJ27" i="12" s="1"/>
  <c r="BR27" i="12" a="1"/>
  <c r="BR27" i="12" s="1"/>
  <c r="BK27" i="12" a="1"/>
  <c r="BK27" i="12" s="1"/>
  <c r="BS27" i="12" a="1"/>
  <c r="BS27" i="12" s="1"/>
  <c r="BL27" i="12" a="1"/>
  <c r="BL27" i="12" s="1"/>
  <c r="BQ27" i="12" a="1"/>
  <c r="BQ27" i="12" s="1"/>
  <c r="BP27" i="12" a="1"/>
  <c r="BP27" i="12" s="1"/>
  <c r="BA27" i="12"/>
  <c r="BB27" i="12"/>
  <c r="BC27" i="12"/>
  <c r="BF27" i="12"/>
  <c r="BG27" i="12"/>
  <c r="BH27" i="12"/>
  <c r="AY27" i="12"/>
  <c r="BM27" i="12" a="1"/>
  <c r="BM27" i="12" s="1"/>
  <c r="AZ27" i="12"/>
  <c r="BN27" i="12" a="1"/>
  <c r="BN27" i="12" s="1"/>
  <c r="BD27" i="12"/>
  <c r="BO27" i="12" a="1"/>
  <c r="BO27" i="12" s="1"/>
  <c r="BE27" i="12"/>
  <c r="BC27" i="15" a="1"/>
  <c r="BC27" i="15" s="1"/>
  <c r="AX27" i="15" a="1"/>
  <c r="AX27" i="15" s="1"/>
  <c r="BH27" i="15" a="1"/>
  <c r="BH27" i="15" s="1"/>
  <c r="AW27" i="15" a="1"/>
  <c r="AW27" i="15" s="1"/>
  <c r="AR27" i="15" a="1"/>
  <c r="AR27" i="15" s="1"/>
  <c r="BG27" i="15" a="1"/>
  <c r="BG27" i="15" s="1"/>
  <c r="BB27" i="15" a="1"/>
  <c r="BB27" i="15" s="1"/>
  <c r="AV27" i="15" a="1"/>
  <c r="AV27" i="15" s="1"/>
  <c r="AQ27" i="15" a="1"/>
  <c r="AQ27" i="15" s="1"/>
  <c r="BI27" i="15" a="1"/>
  <c r="BI27" i="15" s="1"/>
  <c r="BD27" i="15" a="1"/>
  <c r="BD27" i="15" s="1"/>
  <c r="AS27" i="15" a="1"/>
  <c r="AS27" i="15" s="1"/>
  <c r="BK27" i="15" a="1"/>
  <c r="BK27" i="15" s="1"/>
  <c r="AZ27" i="15" a="1"/>
  <c r="AZ27" i="15" s="1"/>
  <c r="AP27" i="15" a="1"/>
  <c r="AP27" i="15" s="1"/>
  <c r="BJ27" i="15" a="1"/>
  <c r="BJ27" i="15" s="1"/>
  <c r="AY27" i="15" a="1"/>
  <c r="AY27" i="15" s="1"/>
  <c r="BF27" i="15" a="1"/>
  <c r="BF27" i="15" s="1"/>
  <c r="AU27" i="15" a="1"/>
  <c r="AU27" i="15" s="1"/>
  <c r="AT27" i="15" a="1"/>
  <c r="AT27" i="15" s="1"/>
  <c r="BA27" i="15" a="1"/>
  <c r="BA27" i="15" s="1"/>
  <c r="BI27" i="13" a="1"/>
  <c r="BI27" i="13" s="1"/>
  <c r="BA27" i="13" a="1"/>
  <c r="BA27" i="13" s="1"/>
  <c r="AV27" i="13" a="1"/>
  <c r="AV27" i="13" s="1"/>
  <c r="BH27" i="13" a="1"/>
  <c r="BH27" i="13" s="1"/>
  <c r="AU27" i="13" a="1"/>
  <c r="AU27" i="13" s="1"/>
  <c r="BG27" i="13" a="1"/>
  <c r="BG27" i="13" s="1"/>
  <c r="AZ27" i="13" a="1"/>
  <c r="AZ27" i="13" s="1"/>
  <c r="AT27" i="13" a="1"/>
  <c r="AT27" i="13" s="1"/>
  <c r="BE27" i="15" a="1"/>
  <c r="BE27" i="15" s="1"/>
  <c r="BB27" i="13" a="1"/>
  <c r="BB27" i="13" s="1"/>
  <c r="AP27" i="13" a="1"/>
  <c r="AP27" i="13" s="1"/>
  <c r="BJ27" i="13" a="1"/>
  <c r="BJ27" i="13" s="1"/>
  <c r="AW27" i="13" a="1"/>
  <c r="AW27" i="13" s="1"/>
  <c r="BI27" i="16" a="1"/>
  <c r="BI27" i="16" s="1"/>
  <c r="BB27" i="16" a="1"/>
  <c r="BB27" i="16" s="1"/>
  <c r="AV27" i="16" a="1"/>
  <c r="AV27" i="16" s="1"/>
  <c r="BF27" i="13" a="1"/>
  <c r="BF27" i="13" s="1"/>
  <c r="AS27" i="13" a="1"/>
  <c r="AS27" i="13" s="1"/>
  <c r="BE27" i="13" a="1"/>
  <c r="BE27" i="13" s="1"/>
  <c r="AR27" i="13" a="1"/>
  <c r="AR27" i="13" s="1"/>
  <c r="AX27" i="13" a="1"/>
  <c r="AX27" i="13" s="1"/>
  <c r="BK27" i="13" a="1"/>
  <c r="BK27" i="13" s="1"/>
  <c r="BC27" i="13" a="1"/>
  <c r="BC27" i="13" s="1"/>
  <c r="BA27" i="16" a="1"/>
  <c r="BA27" i="16" s="1"/>
  <c r="AT27" i="16" a="1"/>
  <c r="AT27" i="16" s="1"/>
  <c r="AY27" i="13" a="1"/>
  <c r="AY27" i="13" s="1"/>
  <c r="AR27" i="16" a="1"/>
  <c r="AR27" i="16" s="1"/>
  <c r="AQ27" i="13" a="1"/>
  <c r="AQ27" i="13" s="1"/>
  <c r="BD27" i="13" a="1"/>
  <c r="BD27" i="13" s="1"/>
  <c r="BC27" i="16" a="1"/>
  <c r="BC27" i="16" s="1"/>
  <c r="AQ27" i="16" a="1"/>
  <c r="AQ27" i="16" s="1"/>
  <c r="BK27" i="16" a="1"/>
  <c r="BK27" i="16" s="1"/>
  <c r="AZ27" i="16" a="1"/>
  <c r="AZ27" i="16" s="1"/>
  <c r="BJ27" i="16" a="1"/>
  <c r="BJ27" i="16" s="1"/>
  <c r="AY27" i="16" a="1"/>
  <c r="AY27" i="16" s="1"/>
  <c r="AP27" i="16" a="1"/>
  <c r="AP27" i="16" s="1"/>
  <c r="BG27" i="16" a="1"/>
  <c r="BG27" i="16" s="1"/>
  <c r="AX27" i="16" a="1"/>
  <c r="AX27" i="16" s="1"/>
  <c r="AU27" i="16" a="1"/>
  <c r="AU27" i="16" s="1"/>
  <c r="BF27" i="14" a="1"/>
  <c r="BF27" i="14" s="1"/>
  <c r="AY27" i="14" a="1"/>
  <c r="AY27" i="14" s="1"/>
  <c r="AR27" i="14" a="1"/>
  <c r="AR27" i="14" s="1"/>
  <c r="AS27" i="16" a="1"/>
  <c r="AS27" i="16" s="1"/>
  <c r="BE27" i="14" a="1"/>
  <c r="BE27" i="14" s="1"/>
  <c r="AQ27" i="14" a="1"/>
  <c r="AQ27" i="14" s="1"/>
  <c r="BH27" i="16" a="1"/>
  <c r="BH27" i="16" s="1"/>
  <c r="BD27" i="14" a="1"/>
  <c r="BD27" i="14" s="1"/>
  <c r="AX27" i="14" a="1"/>
  <c r="AX27" i="14" s="1"/>
  <c r="AP27" i="14" a="1"/>
  <c r="AP27" i="14" s="1"/>
  <c r="BF27" i="16" a="1"/>
  <c r="BF27" i="16" s="1"/>
  <c r="BE27" i="16" a="1"/>
  <c r="BE27" i="16" s="1"/>
  <c r="BJ27" i="14" a="1"/>
  <c r="BJ27" i="14" s="1"/>
  <c r="BC27" i="14" a="1"/>
  <c r="BC27" i="14" s="1"/>
  <c r="AV27" i="14" a="1"/>
  <c r="AV27" i="14" s="1"/>
  <c r="BD27" i="16" a="1"/>
  <c r="BD27" i="16" s="1"/>
  <c r="AW27" i="16" a="1"/>
  <c r="AW27" i="16" s="1"/>
  <c r="BG27" i="14" a="1"/>
  <c r="BG27" i="14" s="1"/>
  <c r="AZ27" i="14" a="1"/>
  <c r="AZ27" i="14" s="1"/>
  <c r="AS27" i="14" a="1"/>
  <c r="AS27" i="14" s="1"/>
  <c r="AU27" i="14" a="1"/>
  <c r="AU27" i="14" s="1"/>
  <c r="BH27" i="14" a="1"/>
  <c r="BH27" i="14" s="1"/>
  <c r="BK27" i="14" a="1"/>
  <c r="BK27" i="14" s="1"/>
  <c r="AT27" i="14" a="1"/>
  <c r="AT27" i="14" s="1"/>
  <c r="BA27" i="14" a="1"/>
  <c r="BA27" i="14" s="1"/>
  <c r="BI27" i="14" a="1"/>
  <c r="BI27" i="14" s="1"/>
  <c r="AW27" i="14" a="1"/>
  <c r="AW27" i="14" s="1"/>
  <c r="BB27" i="14" a="1"/>
  <c r="BB27" i="14" s="1"/>
  <c r="BO31" i="12" a="1"/>
  <c r="BO31" i="12" s="1"/>
  <c r="BP31" i="12" a="1"/>
  <c r="BP31" i="12" s="1"/>
  <c r="BN31" i="12" a="1"/>
  <c r="BN31" i="12" s="1"/>
  <c r="BA31" i="12"/>
  <c r="BJ31" i="12" a="1"/>
  <c r="BJ31" i="12" s="1"/>
  <c r="BB31" i="12"/>
  <c r="BK31" i="12" a="1"/>
  <c r="BK31" i="12" s="1"/>
  <c r="BC31" i="12"/>
  <c r="BE31" i="12"/>
  <c r="BF31" i="12"/>
  <c r="BL31" i="12" a="1"/>
  <c r="BL31" i="12" s="1"/>
  <c r="BG31" i="12"/>
  <c r="BM31" i="12" a="1"/>
  <c r="BM31" i="12" s="1"/>
  <c r="BH31" i="12"/>
  <c r="BD31" i="12"/>
  <c r="BQ31" i="12" a="1"/>
  <c r="BQ31" i="12" s="1"/>
  <c r="BR31" i="12" a="1"/>
  <c r="BR31" i="12" s="1"/>
  <c r="AY31" i="12"/>
  <c r="AZ31" i="12"/>
  <c r="BK31" i="15" a="1"/>
  <c r="BK31" i="15" s="1"/>
  <c r="BF31" i="15" a="1"/>
  <c r="BF31" i="15" s="1"/>
  <c r="AZ31" i="15" a="1"/>
  <c r="AZ31" i="15" s="1"/>
  <c r="AT31" i="15" a="1"/>
  <c r="AT31" i="15" s="1"/>
  <c r="BE31" i="15" a="1"/>
  <c r="BE31" i="15" s="1"/>
  <c r="AY31" i="15" a="1"/>
  <c r="AY31" i="15" s="1"/>
  <c r="AS31" i="15" a="1"/>
  <c r="AS31" i="15" s="1"/>
  <c r="BS31" i="12" a="1"/>
  <c r="BS31" i="12" s="1"/>
  <c r="BG31" i="15" a="1"/>
  <c r="BG31" i="15" s="1"/>
  <c r="BA31" i="15" a="1"/>
  <c r="BA31" i="15" s="1"/>
  <c r="AU31" i="15" a="1"/>
  <c r="AU31" i="15" s="1"/>
  <c r="AP31" i="15" a="1"/>
  <c r="AP31" i="15" s="1"/>
  <c r="BC31" i="15" a="1"/>
  <c r="BC31" i="15" s="1"/>
  <c r="AR31" i="15" a="1"/>
  <c r="AR31" i="15" s="1"/>
  <c r="AQ31" i="15" a="1"/>
  <c r="AQ31" i="15" s="1"/>
  <c r="BB31" i="15" a="1"/>
  <c r="BB31" i="15" s="1"/>
  <c r="BJ31" i="15" a="1"/>
  <c r="BJ31" i="15" s="1"/>
  <c r="BI31" i="15" a="1"/>
  <c r="BI31" i="15" s="1"/>
  <c r="AX31" i="15" a="1"/>
  <c r="AX31" i="15" s="1"/>
  <c r="AW31" i="15" a="1"/>
  <c r="AW31" i="15" s="1"/>
  <c r="AV31" i="15" a="1"/>
  <c r="AV31" i="15" s="1"/>
  <c r="BD31" i="15" a="1"/>
  <c r="BD31" i="15" s="1"/>
  <c r="BH31" i="13" a="1"/>
  <c r="BH31" i="13" s="1"/>
  <c r="BB31" i="13" a="1"/>
  <c r="BB31" i="13" s="1"/>
  <c r="AP31" i="13" a="1"/>
  <c r="AP31" i="13" s="1"/>
  <c r="BG31" i="13" a="1"/>
  <c r="BG31" i="13" s="1"/>
  <c r="AV31" i="13" a="1"/>
  <c r="AV31" i="13" s="1"/>
  <c r="BF31" i="13" a="1"/>
  <c r="BF31" i="13" s="1"/>
  <c r="BA31" i="13" a="1"/>
  <c r="BA31" i="13" s="1"/>
  <c r="BC31" i="13" a="1"/>
  <c r="BC31" i="13" s="1"/>
  <c r="AW31" i="13" a="1"/>
  <c r="AW31" i="13" s="1"/>
  <c r="AQ31" i="13" a="1"/>
  <c r="AQ31" i="13" s="1"/>
  <c r="BI31" i="13" a="1"/>
  <c r="BI31" i="13" s="1"/>
  <c r="AX31" i="13" a="1"/>
  <c r="AX31" i="13" s="1"/>
  <c r="BA31" i="16" a="1"/>
  <c r="BA31" i="16" s="1"/>
  <c r="AU31" i="16" a="1"/>
  <c r="AU31" i="16" s="1"/>
  <c r="AU31" i="13" a="1"/>
  <c r="AU31" i="13" s="1"/>
  <c r="BH31" i="15" a="1"/>
  <c r="BH31" i="15" s="1"/>
  <c r="BE31" i="13" a="1"/>
  <c r="BE31" i="13" s="1"/>
  <c r="AT31" i="13" a="1"/>
  <c r="AT31" i="13" s="1"/>
  <c r="BK31" i="13" a="1"/>
  <c r="BK31" i="13" s="1"/>
  <c r="BJ31" i="13" a="1"/>
  <c r="BJ31" i="13" s="1"/>
  <c r="AY31" i="13" a="1"/>
  <c r="AY31" i="13" s="1"/>
  <c r="BF31" i="16" a="1"/>
  <c r="BF31" i="16" s="1"/>
  <c r="AX31" i="16" a="1"/>
  <c r="AX31" i="16" s="1"/>
  <c r="AP31" i="16" a="1"/>
  <c r="AP31" i="16" s="1"/>
  <c r="BK31" i="16" a="1"/>
  <c r="BK31" i="16" s="1"/>
  <c r="BD31" i="16" a="1"/>
  <c r="BD31" i="16" s="1"/>
  <c r="AW31" i="16" a="1"/>
  <c r="AW31" i="16" s="1"/>
  <c r="BD31" i="13" a="1"/>
  <c r="BD31" i="13" s="1"/>
  <c r="AV31" i="16" a="1"/>
  <c r="AV31" i="16" s="1"/>
  <c r="BE31" i="16" a="1"/>
  <c r="BE31" i="16" s="1"/>
  <c r="AT31" i="16" a="1"/>
  <c r="AT31" i="16" s="1"/>
  <c r="AZ31" i="13" a="1"/>
  <c r="AZ31" i="13" s="1"/>
  <c r="BC31" i="16" a="1"/>
  <c r="BC31" i="16" s="1"/>
  <c r="AS31" i="16" a="1"/>
  <c r="AS31" i="16" s="1"/>
  <c r="AS31" i="13" a="1"/>
  <c r="AS31" i="13" s="1"/>
  <c r="AR31" i="13" a="1"/>
  <c r="AR31" i="13" s="1"/>
  <c r="BJ31" i="16" a="1"/>
  <c r="BJ31" i="16" s="1"/>
  <c r="AZ31" i="16" a="1"/>
  <c r="AZ31" i="16" s="1"/>
  <c r="AQ31" i="16" a="1"/>
  <c r="AQ31" i="16" s="1"/>
  <c r="BH31" i="16" a="1"/>
  <c r="BH31" i="16" s="1"/>
  <c r="BK31" i="14" a="1"/>
  <c r="BK31" i="14" s="1"/>
  <c r="BD31" i="14" a="1"/>
  <c r="BD31" i="14" s="1"/>
  <c r="AV31" i="14" a="1"/>
  <c r="AV31" i="14" s="1"/>
  <c r="AP31" i="14" a="1"/>
  <c r="AP31" i="14" s="1"/>
  <c r="BG31" i="16" a="1"/>
  <c r="BG31" i="16" s="1"/>
  <c r="BJ31" i="14" a="1"/>
  <c r="BJ31" i="14" s="1"/>
  <c r="BC31" i="14" a="1"/>
  <c r="BC31" i="14" s="1"/>
  <c r="BB31" i="16" a="1"/>
  <c r="BB31" i="16" s="1"/>
  <c r="BI31" i="14" a="1"/>
  <c r="BI31" i="14" s="1"/>
  <c r="BB31" i="14" a="1"/>
  <c r="BB31" i="14" s="1"/>
  <c r="AU31" i="14" a="1"/>
  <c r="AU31" i="14" s="1"/>
  <c r="AY31" i="16" a="1"/>
  <c r="AY31" i="16" s="1"/>
  <c r="BG31" i="14" a="1"/>
  <c r="BG31" i="14" s="1"/>
  <c r="AZ31" i="14" a="1"/>
  <c r="AZ31" i="14" s="1"/>
  <c r="AS31" i="14" a="1"/>
  <c r="AS31" i="14" s="1"/>
  <c r="AR31" i="16" a="1"/>
  <c r="AR31" i="16" s="1"/>
  <c r="BI31" i="16" a="1"/>
  <c r="BI31" i="16" s="1"/>
  <c r="BE31" i="14" a="1"/>
  <c r="BE31" i="14" s="1"/>
  <c r="AW31" i="14" a="1"/>
  <c r="AW31" i="14" s="1"/>
  <c r="BA31" i="14" a="1"/>
  <c r="BA31" i="14" s="1"/>
  <c r="AY31" i="14" a="1"/>
  <c r="AY31" i="14" s="1"/>
  <c r="AR31" i="14" a="1"/>
  <c r="AR31" i="14" s="1"/>
  <c r="AX31" i="14" a="1"/>
  <c r="AX31" i="14" s="1"/>
  <c r="AT31" i="14" a="1"/>
  <c r="AT31" i="14" s="1"/>
  <c r="BH31" i="14" a="1"/>
  <c r="BH31" i="14" s="1"/>
  <c r="BF31" i="14" a="1"/>
  <c r="BF31" i="14" s="1"/>
  <c r="AQ31" i="14" a="1"/>
  <c r="AQ31" i="14" s="1"/>
  <c r="BS35" i="12" a="1"/>
  <c r="BS35" i="12" s="1"/>
  <c r="BL35" i="12" a="1"/>
  <c r="BL35" i="12" s="1"/>
  <c r="BM35" i="12" a="1"/>
  <c r="BM35" i="12" s="1"/>
  <c r="BK35" i="12" a="1"/>
  <c r="BK35" i="12" s="1"/>
  <c r="BR35" i="12" a="1"/>
  <c r="BR35" i="12" s="1"/>
  <c r="BN35" i="12" a="1"/>
  <c r="BN35" i="12" s="1"/>
  <c r="BO35" i="12" a="1"/>
  <c r="BO35" i="12" s="1"/>
  <c r="BJ35" i="12" a="1"/>
  <c r="BJ35" i="12" s="1"/>
  <c r="H35" i="1" s="1"/>
  <c r="BD35" i="12"/>
  <c r="BP35" i="12" a="1"/>
  <c r="BP35" i="12" s="1"/>
  <c r="BE35" i="12"/>
  <c r="BQ35" i="12" a="1"/>
  <c r="BQ35" i="12" s="1"/>
  <c r="BF35" i="12"/>
  <c r="AY35" i="12"/>
  <c r="BG35" i="12"/>
  <c r="BC35" i="12"/>
  <c r="BH35" i="12"/>
  <c r="BA35" i="12"/>
  <c r="BB35" i="12"/>
  <c r="AZ35" i="12"/>
  <c r="BE35" i="15" a="1"/>
  <c r="BE35" i="15" s="1"/>
  <c r="AY35" i="15" a="1"/>
  <c r="AY35" i="15" s="1"/>
  <c r="AS35" i="15" a="1"/>
  <c r="AS35" i="15" s="1"/>
  <c r="BB35" i="15" a="1"/>
  <c r="BB35" i="15" s="1"/>
  <c r="AU35" i="15" a="1"/>
  <c r="AU35" i="15" s="1"/>
  <c r="BH35" i="15" a="1"/>
  <c r="BH35" i="15" s="1"/>
  <c r="BA35" i="15" a="1"/>
  <c r="BA35" i="15" s="1"/>
  <c r="BG35" i="15" a="1"/>
  <c r="BG35" i="15" s="1"/>
  <c r="AT35" i="15" a="1"/>
  <c r="AT35" i="15" s="1"/>
  <c r="BI35" i="15" a="1"/>
  <c r="BI35" i="15" s="1"/>
  <c r="AV35" i="15" a="1"/>
  <c r="AV35" i="15" s="1"/>
  <c r="AP35" i="15" a="1"/>
  <c r="AP35" i="15" s="1"/>
  <c r="BF35" i="15" a="1"/>
  <c r="BF35" i="15" s="1"/>
  <c r="AR35" i="15" a="1"/>
  <c r="AR35" i="15" s="1"/>
  <c r="BD35" i="15" a="1"/>
  <c r="BD35" i="15" s="1"/>
  <c r="AQ35" i="15" a="1"/>
  <c r="AQ35" i="15" s="1"/>
  <c r="BC35" i="15" a="1"/>
  <c r="BC35" i="15" s="1"/>
  <c r="AZ35" i="15" a="1"/>
  <c r="AZ35" i="15" s="1"/>
  <c r="BK35" i="15" a="1"/>
  <c r="BK35" i="15" s="1"/>
  <c r="BJ35" i="15" a="1"/>
  <c r="BJ35" i="15" s="1"/>
  <c r="BB35" i="13" a="1"/>
  <c r="BB35" i="13" s="1"/>
  <c r="AU35" i="13" a="1"/>
  <c r="AU35" i="13" s="1"/>
  <c r="AX35" i="15" a="1"/>
  <c r="AX35" i="15" s="1"/>
  <c r="BG35" i="13" a="1"/>
  <c r="BG35" i="13" s="1"/>
  <c r="BA35" i="13" a="1"/>
  <c r="BA35" i="13" s="1"/>
  <c r="AT35" i="13" a="1"/>
  <c r="AT35" i="13" s="1"/>
  <c r="AW35" i="15" a="1"/>
  <c r="AW35" i="15" s="1"/>
  <c r="BF35" i="13" a="1"/>
  <c r="BF35" i="13" s="1"/>
  <c r="AZ35" i="13" a="1"/>
  <c r="AZ35" i="13" s="1"/>
  <c r="BH35" i="13" a="1"/>
  <c r="BH35" i="13" s="1"/>
  <c r="BC35" i="13" a="1"/>
  <c r="BC35" i="13" s="1"/>
  <c r="BI35" i="13" a="1"/>
  <c r="BI35" i="13" s="1"/>
  <c r="AV35" i="13" a="1"/>
  <c r="AV35" i="13" s="1"/>
  <c r="BH35" i="16" a="1"/>
  <c r="BH35" i="16" s="1"/>
  <c r="AV35" i="16" a="1"/>
  <c r="AV35" i="16" s="1"/>
  <c r="AP35" i="16" a="1"/>
  <c r="AP35" i="16" s="1"/>
  <c r="BE35" i="13" a="1"/>
  <c r="BE35" i="13" s="1"/>
  <c r="AS35" i="13" a="1"/>
  <c r="AS35" i="13" s="1"/>
  <c r="AR35" i="13" a="1"/>
  <c r="AR35" i="13" s="1"/>
  <c r="BK35" i="13" a="1"/>
  <c r="BK35" i="13" s="1"/>
  <c r="AX35" i="13" a="1"/>
  <c r="AX35" i="13" s="1"/>
  <c r="BJ35" i="13" a="1"/>
  <c r="BJ35" i="13" s="1"/>
  <c r="AW35" i="13" a="1"/>
  <c r="AW35" i="13" s="1"/>
  <c r="AQ35" i="13" a="1"/>
  <c r="AQ35" i="13" s="1"/>
  <c r="BE35" i="16" a="1"/>
  <c r="BE35" i="16" s="1"/>
  <c r="AQ35" i="16" a="1"/>
  <c r="AQ35" i="16" s="1"/>
  <c r="AP35" i="13" a="1"/>
  <c r="AP35" i="13" s="1"/>
  <c r="BJ35" i="16" a="1"/>
  <c r="BJ35" i="16" s="1"/>
  <c r="BC35" i="16" a="1"/>
  <c r="BC35" i="16" s="1"/>
  <c r="AU35" i="16" a="1"/>
  <c r="AU35" i="16" s="1"/>
  <c r="BI35" i="16" a="1"/>
  <c r="BI35" i="16" s="1"/>
  <c r="BB35" i="16" a="1"/>
  <c r="BB35" i="16" s="1"/>
  <c r="AT35" i="16" a="1"/>
  <c r="AT35" i="16" s="1"/>
  <c r="AY35" i="13" a="1"/>
  <c r="AY35" i="13" s="1"/>
  <c r="AZ35" i="16" a="1"/>
  <c r="AZ35" i="16" s="1"/>
  <c r="BK35" i="16" a="1"/>
  <c r="BK35" i="16" s="1"/>
  <c r="AY35" i="16" a="1"/>
  <c r="AY35" i="16" s="1"/>
  <c r="BD35" i="13" a="1"/>
  <c r="BD35" i="13" s="1"/>
  <c r="BG35" i="16" a="1"/>
  <c r="BG35" i="16" s="1"/>
  <c r="AX35" i="16" a="1"/>
  <c r="AX35" i="16" s="1"/>
  <c r="BF35" i="16" a="1"/>
  <c r="BF35" i="16" s="1"/>
  <c r="BD35" i="16" a="1"/>
  <c r="BD35" i="16" s="1"/>
  <c r="BH35" i="14" a="1"/>
  <c r="BH35" i="14" s="1"/>
  <c r="BB35" i="14" a="1"/>
  <c r="BB35" i="14" s="1"/>
  <c r="AV35" i="14" a="1"/>
  <c r="AV35" i="14" s="1"/>
  <c r="BA35" i="16" a="1"/>
  <c r="BA35" i="16" s="1"/>
  <c r="BG35" i="14" a="1"/>
  <c r="BG35" i="14" s="1"/>
  <c r="BA35" i="14" a="1"/>
  <c r="BA35" i="14" s="1"/>
  <c r="AW35" i="16" a="1"/>
  <c r="AW35" i="16" s="1"/>
  <c r="BF35" i="14" a="1"/>
  <c r="BF35" i="14" s="1"/>
  <c r="AZ35" i="14" a="1"/>
  <c r="AZ35" i="14" s="1"/>
  <c r="AU35" i="14" a="1"/>
  <c r="AU35" i="14" s="1"/>
  <c r="AS35" i="16" a="1"/>
  <c r="AS35" i="16" s="1"/>
  <c r="AR35" i="16" a="1"/>
  <c r="AR35" i="16" s="1"/>
  <c r="BE35" i="14" a="1"/>
  <c r="BE35" i="14" s="1"/>
  <c r="AX35" i="14" a="1"/>
  <c r="AX35" i="14" s="1"/>
  <c r="AS35" i="14" a="1"/>
  <c r="AS35" i="14" s="1"/>
  <c r="BI35" i="14" a="1"/>
  <c r="BI35" i="14" s="1"/>
  <c r="BC35" i="14" a="1"/>
  <c r="BC35" i="14" s="1"/>
  <c r="AP35" i="14" a="1"/>
  <c r="AP35" i="14" s="1"/>
  <c r="AW35" i="14" a="1"/>
  <c r="AW35" i="14" s="1"/>
  <c r="BK35" i="14" a="1"/>
  <c r="BK35" i="14" s="1"/>
  <c r="AT35" i="14" a="1"/>
  <c r="AT35" i="14" s="1"/>
  <c r="AQ35" i="14" a="1"/>
  <c r="AQ35" i="14" s="1"/>
  <c r="BJ35" i="14" a="1"/>
  <c r="BJ35" i="14" s="1"/>
  <c r="AR35" i="14" a="1"/>
  <c r="AR35" i="14" s="1"/>
  <c r="BD35" i="14" a="1"/>
  <c r="BD35" i="14" s="1"/>
  <c r="AY35" i="14" a="1"/>
  <c r="AY35" i="14" s="1"/>
  <c r="BQ39" i="12" a="1"/>
  <c r="BQ39" i="12" s="1"/>
  <c r="BJ39" i="12" a="1"/>
  <c r="BJ39" i="12" s="1"/>
  <c r="BK39" i="12" a="1"/>
  <c r="BK39" i="12" s="1"/>
  <c r="BR39" i="12" a="1"/>
  <c r="BR39" i="12" s="1"/>
  <c r="BP39" i="12" a="1"/>
  <c r="BP39" i="12" s="1"/>
  <c r="BO39" i="12" a="1"/>
  <c r="BO39" i="12" s="1"/>
  <c r="BS39" i="12" a="1"/>
  <c r="BS39" i="12" s="1"/>
  <c r="BD39" i="12"/>
  <c r="BE39" i="12"/>
  <c r="BF39" i="12"/>
  <c r="AY39" i="12"/>
  <c r="BG39" i="12"/>
  <c r="BN39" i="12" a="1"/>
  <c r="BN39" i="12" s="1"/>
  <c r="AZ39" i="12"/>
  <c r="BA39" i="12"/>
  <c r="BL39" i="12" a="1"/>
  <c r="BL39" i="12" s="1"/>
  <c r="BB39" i="12"/>
  <c r="BC39" i="12"/>
  <c r="BH39" i="12"/>
  <c r="BA39" i="15" a="1"/>
  <c r="BA39" i="15" s="1"/>
  <c r="AU39" i="15" a="1"/>
  <c r="AU39" i="15" s="1"/>
  <c r="BM39" i="12" a="1"/>
  <c r="BM39" i="12" s="1"/>
  <c r="BI39" i="15" a="1"/>
  <c r="BI39" i="15" s="1"/>
  <c r="BC39" i="15" a="1"/>
  <c r="BC39" i="15" s="1"/>
  <c r="AW39" i="15" a="1"/>
  <c r="AW39" i="15" s="1"/>
  <c r="AP39" i="15" a="1"/>
  <c r="AP39" i="15" s="1"/>
  <c r="AV39" i="15" a="1"/>
  <c r="AV39" i="15" s="1"/>
  <c r="BH39" i="15" a="1"/>
  <c r="BH39" i="15" s="1"/>
  <c r="BB39" i="15" a="1"/>
  <c r="BB39" i="15" s="1"/>
  <c r="BJ39" i="15" a="1"/>
  <c r="BJ39" i="15" s="1"/>
  <c r="BD39" i="15" a="1"/>
  <c r="BD39" i="15" s="1"/>
  <c r="AX39" i="15" a="1"/>
  <c r="AX39" i="15" s="1"/>
  <c r="AZ39" i="15" a="1"/>
  <c r="AZ39" i="15" s="1"/>
  <c r="BK39" i="15" a="1"/>
  <c r="BK39" i="15" s="1"/>
  <c r="AY39" i="15" a="1"/>
  <c r="AY39" i="15" s="1"/>
  <c r="BG39" i="15" a="1"/>
  <c r="BG39" i="15" s="1"/>
  <c r="AT39" i="15" a="1"/>
  <c r="AT39" i="15" s="1"/>
  <c r="BF39" i="15" a="1"/>
  <c r="BF39" i="15" s="1"/>
  <c r="AS39" i="15" a="1"/>
  <c r="AS39" i="15" s="1"/>
  <c r="AR39" i="15" a="1"/>
  <c r="AR39" i="15" s="1"/>
  <c r="AQ39" i="15" a="1"/>
  <c r="AQ39" i="15" s="1"/>
  <c r="BE39" i="15" a="1"/>
  <c r="BE39" i="15" s="1"/>
  <c r="BJ39" i="13" a="1"/>
  <c r="BJ39" i="13" s="1"/>
  <c r="BD39" i="13" a="1"/>
  <c r="BD39" i="13" s="1"/>
  <c r="AX39" i="13" a="1"/>
  <c r="AX39" i="13" s="1"/>
  <c r="AS39" i="13" a="1"/>
  <c r="AS39" i="13" s="1"/>
  <c r="BC39" i="13" a="1"/>
  <c r="BC39" i="13" s="1"/>
  <c r="BI39" i="13" a="1"/>
  <c r="BI39" i="13" s="1"/>
  <c r="BB39" i="13" a="1"/>
  <c r="BB39" i="13" s="1"/>
  <c r="AW39" i="13" a="1"/>
  <c r="AW39" i="13" s="1"/>
  <c r="AR39" i="13" a="1"/>
  <c r="AR39" i="13" s="1"/>
  <c r="BK39" i="13" a="1"/>
  <c r="BK39" i="13" s="1"/>
  <c r="BE39" i="13" a="1"/>
  <c r="BE39" i="13" s="1"/>
  <c r="AT39" i="13" a="1"/>
  <c r="AT39" i="13" s="1"/>
  <c r="BI39" i="16" a="1"/>
  <c r="BI39" i="16" s="1"/>
  <c r="AU39" i="16" a="1"/>
  <c r="AU39" i="16" s="1"/>
  <c r="AP39" i="16" a="1"/>
  <c r="AP39" i="16" s="1"/>
  <c r="AQ39" i="13" a="1"/>
  <c r="AQ39" i="13" s="1"/>
  <c r="BA39" i="13" a="1"/>
  <c r="BA39" i="13" s="1"/>
  <c r="AP39" i="13" a="1"/>
  <c r="AP39" i="13" s="1"/>
  <c r="BG39" i="13" a="1"/>
  <c r="BG39" i="13" s="1"/>
  <c r="AU39" i="13" a="1"/>
  <c r="AU39" i="13" s="1"/>
  <c r="BF39" i="13" a="1"/>
  <c r="BF39" i="13" s="1"/>
  <c r="BJ39" i="16" a="1"/>
  <c r="BJ39" i="16" s="1"/>
  <c r="BB39" i="16" a="1"/>
  <c r="BB39" i="16" s="1"/>
  <c r="AV39" i="16" a="1"/>
  <c r="AV39" i="16" s="1"/>
  <c r="AZ39" i="13" a="1"/>
  <c r="AZ39" i="13" s="1"/>
  <c r="BK39" i="16" a="1"/>
  <c r="BK39" i="16" s="1"/>
  <c r="BA39" i="16" a="1"/>
  <c r="BA39" i="16" s="1"/>
  <c r="AY39" i="13" a="1"/>
  <c r="AY39" i="13" s="1"/>
  <c r="AV39" i="13" a="1"/>
  <c r="AV39" i="13" s="1"/>
  <c r="BH39" i="16" a="1"/>
  <c r="BH39" i="16" s="1"/>
  <c r="AY39" i="16" a="1"/>
  <c r="AY39" i="16" s="1"/>
  <c r="AR39" i="16" a="1"/>
  <c r="AR39" i="16" s="1"/>
  <c r="BG39" i="16" a="1"/>
  <c r="BG39" i="16" s="1"/>
  <c r="AX39" i="16" a="1"/>
  <c r="AX39" i="16" s="1"/>
  <c r="AQ39" i="16" a="1"/>
  <c r="AQ39" i="16" s="1"/>
  <c r="BH39" i="13" a="1"/>
  <c r="BH39" i="13" s="1"/>
  <c r="BC39" i="16" a="1"/>
  <c r="BC39" i="16" s="1"/>
  <c r="AT39" i="16" a="1"/>
  <c r="AT39" i="16" s="1"/>
  <c r="AZ39" i="16" a="1"/>
  <c r="AZ39" i="16" s="1"/>
  <c r="AW39" i="16" a="1"/>
  <c r="AW39" i="16" s="1"/>
  <c r="AS39" i="16" a="1"/>
  <c r="AS39" i="16" s="1"/>
  <c r="BE39" i="14" a="1"/>
  <c r="BE39" i="14" s="1"/>
  <c r="AZ39" i="14" a="1"/>
  <c r="AZ39" i="14" s="1"/>
  <c r="AS39" i="14" a="1"/>
  <c r="AS39" i="14" s="1"/>
  <c r="BK39" i="14" a="1"/>
  <c r="BK39" i="14" s="1"/>
  <c r="AY39" i="14" a="1"/>
  <c r="AY39" i="14" s="1"/>
  <c r="AR39" i="14" a="1"/>
  <c r="AR39" i="14" s="1"/>
  <c r="BJ39" i="14" a="1"/>
  <c r="BJ39" i="14" s="1"/>
  <c r="BD39" i="14" a="1"/>
  <c r="BD39" i="14" s="1"/>
  <c r="AX39" i="14" a="1"/>
  <c r="AX39" i="14" s="1"/>
  <c r="AQ39" i="14" a="1"/>
  <c r="AQ39" i="14" s="1"/>
  <c r="BF39" i="16" a="1"/>
  <c r="BF39" i="16" s="1"/>
  <c r="BE39" i="16" a="1"/>
  <c r="BE39" i="16" s="1"/>
  <c r="BI39" i="14" a="1"/>
  <c r="BI39" i="14" s="1"/>
  <c r="BC39" i="14" a="1"/>
  <c r="BC39" i="14" s="1"/>
  <c r="AV39" i="14" a="1"/>
  <c r="AV39" i="14" s="1"/>
  <c r="BD39" i="16" a="1"/>
  <c r="BD39" i="16" s="1"/>
  <c r="BF39" i="14" a="1"/>
  <c r="BF39" i="14" s="1"/>
  <c r="BA39" i="14" a="1"/>
  <c r="BA39" i="14" s="1"/>
  <c r="AT39" i="14" a="1"/>
  <c r="AT39" i="14" s="1"/>
  <c r="BG39" i="14" a="1"/>
  <c r="BG39" i="14" s="1"/>
  <c r="BB39" i="14" a="1"/>
  <c r="BB39" i="14" s="1"/>
  <c r="AW39" i="14" a="1"/>
  <c r="AW39" i="14" s="1"/>
  <c r="BH39" i="14" a="1"/>
  <c r="BH39" i="14" s="1"/>
  <c r="AP39" i="14" a="1"/>
  <c r="AP39" i="14" s="1"/>
  <c r="AU39" i="14" a="1"/>
  <c r="AU39" i="14" s="1"/>
  <c r="BS43" i="12" a="1"/>
  <c r="BS43" i="12" s="1"/>
  <c r="BN43" i="12" a="1"/>
  <c r="BN43" i="12" s="1"/>
  <c r="BO43" i="12" a="1"/>
  <c r="BO43" i="12" s="1"/>
  <c r="BM43" i="12" a="1"/>
  <c r="BM43" i="12" s="1"/>
  <c r="BR43" i="12" a="1"/>
  <c r="BR43" i="12" s="1"/>
  <c r="BJ43" i="12" a="1"/>
  <c r="BJ43" i="12" s="1"/>
  <c r="BD43" i="12"/>
  <c r="BE43" i="12"/>
  <c r="BK43" i="12" a="1"/>
  <c r="BK43" i="12" s="1"/>
  <c r="BF43" i="12"/>
  <c r="BL43" i="12" a="1"/>
  <c r="BL43" i="12" s="1"/>
  <c r="AY43" i="12"/>
  <c r="BG43" i="12"/>
  <c r="BC43" i="12"/>
  <c r="BH43" i="12"/>
  <c r="BQ43" i="12" a="1"/>
  <c r="BQ43" i="12" s="1"/>
  <c r="BA43" i="12"/>
  <c r="AZ43" i="12"/>
  <c r="BI43" i="15" a="1"/>
  <c r="BI43" i="15" s="1"/>
  <c r="BC43" i="15" a="1"/>
  <c r="BC43" i="15" s="1"/>
  <c r="AW43" i="15" a="1"/>
  <c r="AW43" i="15" s="1"/>
  <c r="AQ43" i="15" a="1"/>
  <c r="AQ43" i="15" s="1"/>
  <c r="BB43" i="12"/>
  <c r="BH43" i="15" a="1"/>
  <c r="BH43" i="15" s="1"/>
  <c r="BB43" i="15" a="1"/>
  <c r="BB43" i="15" s="1"/>
  <c r="AV43" i="15" a="1"/>
  <c r="AV43" i="15" s="1"/>
  <c r="AP43" i="15" a="1"/>
  <c r="AP43" i="15" s="1"/>
  <c r="BA43" i="15" a="1"/>
  <c r="BA43" i="15" s="1"/>
  <c r="AU43" i="15" a="1"/>
  <c r="AU43" i="15" s="1"/>
  <c r="BF43" i="15" a="1"/>
  <c r="BF43" i="15" s="1"/>
  <c r="AX43" i="15" a="1"/>
  <c r="AX43" i="15" s="1"/>
  <c r="BE43" i="15" a="1"/>
  <c r="BE43" i="15" s="1"/>
  <c r="BD43" i="15" a="1"/>
  <c r="BD43" i="15" s="1"/>
  <c r="AT43" i="15" a="1"/>
  <c r="AT43" i="15" s="1"/>
  <c r="BP43" i="12" a="1"/>
  <c r="BP43" i="12" s="1"/>
  <c r="BG43" i="15" a="1"/>
  <c r="BG43" i="15" s="1"/>
  <c r="AR43" i="15" a="1"/>
  <c r="AR43" i="15" s="1"/>
  <c r="BK43" i="15" a="1"/>
  <c r="BK43" i="15" s="1"/>
  <c r="BJ43" i="15" a="1"/>
  <c r="BJ43" i="15" s="1"/>
  <c r="AY43" i="15" a="1"/>
  <c r="AY43" i="15" s="1"/>
  <c r="BJ43" i="13" a="1"/>
  <c r="BJ43" i="13" s="1"/>
  <c r="BE43" i="13" a="1"/>
  <c r="BE43" i="13" s="1"/>
  <c r="AS43" i="13" a="1"/>
  <c r="AS43" i="13" s="1"/>
  <c r="AS43" i="15" a="1"/>
  <c r="AS43" i="15" s="1"/>
  <c r="AZ43" i="15" a="1"/>
  <c r="AZ43" i="15" s="1"/>
  <c r="BG43" i="13" a="1"/>
  <c r="BG43" i="13" s="1"/>
  <c r="BA43" i="13" a="1"/>
  <c r="BA43" i="13" s="1"/>
  <c r="AT43" i="13" a="1"/>
  <c r="AT43" i="13" s="1"/>
  <c r="BF43" i="13" a="1"/>
  <c r="BF43" i="13" s="1"/>
  <c r="AZ43" i="13" a="1"/>
  <c r="AZ43" i="13" s="1"/>
  <c r="AR43" i="13" a="1"/>
  <c r="AR43" i="13" s="1"/>
  <c r="AY43" i="13" a="1"/>
  <c r="AY43" i="13" s="1"/>
  <c r="BB43" i="13" a="1"/>
  <c r="BB43" i="13" s="1"/>
  <c r="AU43" i="13" a="1"/>
  <c r="AU43" i="13" s="1"/>
  <c r="BH43" i="13" a="1"/>
  <c r="BH43" i="13" s="1"/>
  <c r="BH43" i="16" a="1"/>
  <c r="BH43" i="16" s="1"/>
  <c r="BB43" i="16" a="1"/>
  <c r="BB43" i="16" s="1"/>
  <c r="AV43" i="16" a="1"/>
  <c r="AV43" i="16" s="1"/>
  <c r="AP43" i="16" a="1"/>
  <c r="AP43" i="16" s="1"/>
  <c r="AQ43" i="13" a="1"/>
  <c r="AQ43" i="13" s="1"/>
  <c r="BD43" i="13" a="1"/>
  <c r="BD43" i="13" s="1"/>
  <c r="AP43" i="13" a="1"/>
  <c r="AP43" i="13" s="1"/>
  <c r="BI43" i="13" a="1"/>
  <c r="BI43" i="13" s="1"/>
  <c r="AW43" i="13" a="1"/>
  <c r="AW43" i="13" s="1"/>
  <c r="AV43" i="13" a="1"/>
  <c r="AV43" i="13" s="1"/>
  <c r="BC43" i="16" a="1"/>
  <c r="BC43" i="16" s="1"/>
  <c r="AW43" i="16" a="1"/>
  <c r="AW43" i="16" s="1"/>
  <c r="BF43" i="16" a="1"/>
  <c r="BF43" i="16" s="1"/>
  <c r="AY43" i="16" a="1"/>
  <c r="AY43" i="16" s="1"/>
  <c r="BK43" i="13" a="1"/>
  <c r="BK43" i="13" s="1"/>
  <c r="BK43" i="16" a="1"/>
  <c r="BK43" i="16" s="1"/>
  <c r="BD43" i="16" a="1"/>
  <c r="BD43" i="16" s="1"/>
  <c r="AU43" i="16" a="1"/>
  <c r="AU43" i="16" s="1"/>
  <c r="AQ43" i="16" a="1"/>
  <c r="AQ43" i="16" s="1"/>
  <c r="AX43" i="16" a="1"/>
  <c r="AX43" i="16" s="1"/>
  <c r="BJ43" i="16" a="1"/>
  <c r="BJ43" i="16" s="1"/>
  <c r="AT43" i="16" a="1"/>
  <c r="AT43" i="16" s="1"/>
  <c r="BC43" i="13" a="1"/>
  <c r="BC43" i="13" s="1"/>
  <c r="BI43" i="16" a="1"/>
  <c r="BI43" i="16" s="1"/>
  <c r="AS43" i="16" a="1"/>
  <c r="AS43" i="16" s="1"/>
  <c r="AX43" i="13" a="1"/>
  <c r="AX43" i="13" s="1"/>
  <c r="BE43" i="16" a="1"/>
  <c r="BE43" i="16" s="1"/>
  <c r="BH43" i="14" a="1"/>
  <c r="BH43" i="14" s="1"/>
  <c r="BA43" i="14" a="1"/>
  <c r="BA43" i="14" s="1"/>
  <c r="AT43" i="14" a="1"/>
  <c r="AT43" i="14" s="1"/>
  <c r="AZ43" i="16" a="1"/>
  <c r="AZ43" i="16" s="1"/>
  <c r="BG43" i="14" a="1"/>
  <c r="BG43" i="14" s="1"/>
  <c r="AZ43" i="14" a="1"/>
  <c r="AZ43" i="14" s="1"/>
  <c r="AR43" i="16" a="1"/>
  <c r="AR43" i="16" s="1"/>
  <c r="BF43" i="14" a="1"/>
  <c r="BF43" i="14" s="1"/>
  <c r="AY43" i="14" a="1"/>
  <c r="AY43" i="14" s="1"/>
  <c r="AS43" i="14" a="1"/>
  <c r="AS43" i="14" s="1"/>
  <c r="BK43" i="14" a="1"/>
  <c r="BK43" i="14" s="1"/>
  <c r="AW43" i="14" a="1"/>
  <c r="AW43" i="14" s="1"/>
  <c r="AQ43" i="14" a="1"/>
  <c r="AQ43" i="14" s="1"/>
  <c r="BG43" i="16" a="1"/>
  <c r="BG43" i="16" s="1"/>
  <c r="BA43" i="16" a="1"/>
  <c r="BA43" i="16" s="1"/>
  <c r="BI43" i="14" a="1"/>
  <c r="BI43" i="14" s="1"/>
  <c r="BB43" i="14" a="1"/>
  <c r="BB43" i="14" s="1"/>
  <c r="AU43" i="14" a="1"/>
  <c r="AU43" i="14" s="1"/>
  <c r="BJ43" i="14" a="1"/>
  <c r="BJ43" i="14" s="1"/>
  <c r="AR43" i="14" a="1"/>
  <c r="AR43" i="14" s="1"/>
  <c r="AP43" i="14" a="1"/>
  <c r="AP43" i="14" s="1"/>
  <c r="BD43" i="14" a="1"/>
  <c r="BD43" i="14" s="1"/>
  <c r="BC43" i="14" a="1"/>
  <c r="BC43" i="14" s="1"/>
  <c r="BE43" i="14" a="1"/>
  <c r="BE43" i="14" s="1"/>
  <c r="AX43" i="14" a="1"/>
  <c r="AX43" i="14" s="1"/>
  <c r="AV43" i="14" a="1"/>
  <c r="AV43" i="14" s="1"/>
  <c r="BJ47" i="12" a="1"/>
  <c r="BJ47" i="12" s="1"/>
  <c r="BP47" i="12" a="1"/>
  <c r="BP47" i="12" s="1"/>
  <c r="BQ47" i="12" a="1"/>
  <c r="BQ47" i="12" s="1"/>
  <c r="BK47" i="12" a="1"/>
  <c r="BK47" i="12" s="1"/>
  <c r="BR47" i="12" a="1"/>
  <c r="BR47" i="12" s="1"/>
  <c r="BO47" i="12" a="1"/>
  <c r="BO47" i="12" s="1"/>
  <c r="BN47" i="12" a="1"/>
  <c r="BN47" i="12" s="1"/>
  <c r="BS47" i="12" a="1"/>
  <c r="BS47" i="12" s="1"/>
  <c r="BD47" i="12"/>
  <c r="BE47" i="12"/>
  <c r="BF47" i="12"/>
  <c r="BL47" i="12" a="1"/>
  <c r="BL47" i="12" s="1"/>
  <c r="AY47" i="12"/>
  <c r="BG47" i="12"/>
  <c r="AZ47" i="12"/>
  <c r="BA47" i="12"/>
  <c r="BM47" i="12" a="1"/>
  <c r="BM47" i="12" s="1"/>
  <c r="BH47" i="12"/>
  <c r="BK47" i="15" a="1"/>
  <c r="BK47" i="15" s="1"/>
  <c r="BF47" i="15" a="1"/>
  <c r="BF47" i="15" s="1"/>
  <c r="AS47" i="15" a="1"/>
  <c r="AS47" i="15" s="1"/>
  <c r="BJ47" i="15" a="1"/>
  <c r="BJ47" i="15" s="1"/>
  <c r="BE47" i="15" a="1"/>
  <c r="BE47" i="15" s="1"/>
  <c r="AY47" i="15" a="1"/>
  <c r="AY47" i="15" s="1"/>
  <c r="BI47" i="15" a="1"/>
  <c r="BI47" i="15" s="1"/>
  <c r="BD47" i="15" a="1"/>
  <c r="BD47" i="15" s="1"/>
  <c r="AR47" i="15" a="1"/>
  <c r="AR47" i="15" s="1"/>
  <c r="BC47" i="12"/>
  <c r="AV47" i="15" a="1"/>
  <c r="AV47" i="15" s="1"/>
  <c r="BC47" i="15" a="1"/>
  <c r="BC47" i="15" s="1"/>
  <c r="AU47" i="15" a="1"/>
  <c r="AU47" i="15" s="1"/>
  <c r="AT47" i="15" a="1"/>
  <c r="AT47" i="15" s="1"/>
  <c r="BG47" i="15" a="1"/>
  <c r="BG47" i="15" s="1"/>
  <c r="AW47" i="15" a="1"/>
  <c r="AW47" i="15" s="1"/>
  <c r="BA47" i="15" a="1"/>
  <c r="BA47" i="15" s="1"/>
  <c r="AZ47" i="15" a="1"/>
  <c r="AZ47" i="15" s="1"/>
  <c r="AX47" i="15" a="1"/>
  <c r="AX47" i="15" s="1"/>
  <c r="AQ47" i="15" a="1"/>
  <c r="AQ47" i="15" s="1"/>
  <c r="BB47" i="12"/>
  <c r="BH47" i="15" a="1"/>
  <c r="BH47" i="15" s="1"/>
  <c r="BG47" i="13" a="1"/>
  <c r="BG47" i="13" s="1"/>
  <c r="AZ47" i="13" a="1"/>
  <c r="AZ47" i="13" s="1"/>
  <c r="AT47" i="13" a="1"/>
  <c r="AT47" i="13" s="1"/>
  <c r="BF47" i="13" a="1"/>
  <c r="BF47" i="13" s="1"/>
  <c r="BB47" i="15" a="1"/>
  <c r="BB47" i="15" s="1"/>
  <c r="BK47" i="13" a="1"/>
  <c r="BK47" i="13" s="1"/>
  <c r="BE47" i="13" a="1"/>
  <c r="BE47" i="13" s="1"/>
  <c r="AY47" i="13" a="1"/>
  <c r="AY47" i="13" s="1"/>
  <c r="AS47" i="13" a="1"/>
  <c r="AS47" i="13" s="1"/>
  <c r="AX47" i="13" a="1"/>
  <c r="AX47" i="13" s="1"/>
  <c r="AP47" i="13" a="1"/>
  <c r="AP47" i="13" s="1"/>
  <c r="AP47" i="15" a="1"/>
  <c r="AP47" i="15" s="1"/>
  <c r="BH47" i="13" a="1"/>
  <c r="BH47" i="13" s="1"/>
  <c r="AW47" i="13" a="1"/>
  <c r="AW47" i="13" s="1"/>
  <c r="AV47" i="13" a="1"/>
  <c r="AV47" i="13" s="1"/>
  <c r="BI47" i="13" a="1"/>
  <c r="BI47" i="13" s="1"/>
  <c r="BA47" i="13" a="1"/>
  <c r="BA47" i="13" s="1"/>
  <c r="AQ47" i="13" a="1"/>
  <c r="AQ47" i="13" s="1"/>
  <c r="BB47" i="13" a="1"/>
  <c r="BB47" i="13" s="1"/>
  <c r="BB47" i="16" a="1"/>
  <c r="BB47" i="16" s="1"/>
  <c r="AV47" i="16" a="1"/>
  <c r="AV47" i="16" s="1"/>
  <c r="AU47" i="13" a="1"/>
  <c r="AU47" i="13" s="1"/>
  <c r="BC47" i="13" a="1"/>
  <c r="BC47" i="13" s="1"/>
  <c r="BH47" i="16" a="1"/>
  <c r="BH47" i="16" s="1"/>
  <c r="BC47" i="16" a="1"/>
  <c r="BC47" i="16" s="1"/>
  <c r="AW47" i="16" a="1"/>
  <c r="AW47" i="16" s="1"/>
  <c r="AP47" i="16" a="1"/>
  <c r="AP47" i="16" s="1"/>
  <c r="BI47" i="16" a="1"/>
  <c r="BI47" i="16" s="1"/>
  <c r="BA47" i="16" a="1"/>
  <c r="BA47" i="16" s="1"/>
  <c r="AT47" i="16" a="1"/>
  <c r="AT47" i="16" s="1"/>
  <c r="BJ47" i="13" a="1"/>
  <c r="BJ47" i="13" s="1"/>
  <c r="BG47" i="16" a="1"/>
  <c r="BG47" i="16" s="1"/>
  <c r="AR47" i="16" a="1"/>
  <c r="AR47" i="16" s="1"/>
  <c r="BD47" i="13" a="1"/>
  <c r="BD47" i="13" s="1"/>
  <c r="BF47" i="16" a="1"/>
  <c r="BF47" i="16" s="1"/>
  <c r="AY47" i="16" a="1"/>
  <c r="AY47" i="16" s="1"/>
  <c r="AQ47" i="16" a="1"/>
  <c r="AQ47" i="16" s="1"/>
  <c r="AR47" i="13" a="1"/>
  <c r="AR47" i="13" s="1"/>
  <c r="BJ47" i="16" a="1"/>
  <c r="BJ47" i="16" s="1"/>
  <c r="AS47" i="16" a="1"/>
  <c r="AS47" i="16" s="1"/>
  <c r="BE47" i="16" a="1"/>
  <c r="BE47" i="16" s="1"/>
  <c r="AZ47" i="16" a="1"/>
  <c r="AZ47" i="16" s="1"/>
  <c r="BF47" i="14" a="1"/>
  <c r="BF47" i="14" s="1"/>
  <c r="AZ47" i="14" a="1"/>
  <c r="AZ47" i="14" s="1"/>
  <c r="AS47" i="14" a="1"/>
  <c r="AS47" i="14" s="1"/>
  <c r="BK47" i="16" a="1"/>
  <c r="BK47" i="16" s="1"/>
  <c r="BE47" i="14" a="1"/>
  <c r="BE47" i="14" s="1"/>
  <c r="AY47" i="14" a="1"/>
  <c r="AY47" i="14" s="1"/>
  <c r="AR47" i="14" a="1"/>
  <c r="AR47" i="14" s="1"/>
  <c r="BD47" i="16" a="1"/>
  <c r="BD47" i="16" s="1"/>
  <c r="BK47" i="14" a="1"/>
  <c r="BK47" i="14" s="1"/>
  <c r="AX47" i="14" a="1"/>
  <c r="AX47" i="14" s="1"/>
  <c r="AQ47" i="14" a="1"/>
  <c r="AQ47" i="14" s="1"/>
  <c r="BD47" i="14" a="1"/>
  <c r="BD47" i="14" s="1"/>
  <c r="AX47" i="16" a="1"/>
  <c r="AX47" i="16" s="1"/>
  <c r="BI47" i="14" a="1"/>
  <c r="BI47" i="14" s="1"/>
  <c r="BC47" i="14" a="1"/>
  <c r="BC47" i="14" s="1"/>
  <c r="AU47" i="16" a="1"/>
  <c r="AU47" i="16" s="1"/>
  <c r="BG47" i="14" a="1"/>
  <c r="BG47" i="14" s="1"/>
  <c r="BA47" i="14" a="1"/>
  <c r="BA47" i="14" s="1"/>
  <c r="AT47" i="14" a="1"/>
  <c r="AT47" i="14" s="1"/>
  <c r="AU47" i="14" a="1"/>
  <c r="AU47" i="14" s="1"/>
  <c r="BJ47" i="14" a="1"/>
  <c r="BJ47" i="14" s="1"/>
  <c r="AP47" i="14" a="1"/>
  <c r="AP47" i="14" s="1"/>
  <c r="BH47" i="14" a="1"/>
  <c r="BH47" i="14" s="1"/>
  <c r="AW47" i="14" a="1"/>
  <c r="AW47" i="14" s="1"/>
  <c r="AV47" i="14" a="1"/>
  <c r="AV47" i="14" s="1"/>
  <c r="BB47" i="14" a="1"/>
  <c r="BB47" i="14" s="1"/>
  <c r="BK51" i="12" a="1"/>
  <c r="BK51" i="12" s="1"/>
  <c r="BS51" i="12" a="1"/>
  <c r="BS51" i="12" s="1"/>
  <c r="BL51" i="12" a="1"/>
  <c r="BL51" i="12" s="1"/>
  <c r="BM51" i="12" a="1"/>
  <c r="BM51" i="12" s="1"/>
  <c r="BJ51" i="12" a="1"/>
  <c r="BJ51" i="12" s="1"/>
  <c r="BR51" i="12" a="1"/>
  <c r="BR51" i="12" s="1"/>
  <c r="BQ51" i="12" a="1"/>
  <c r="BQ51" i="12" s="1"/>
  <c r="BD51" i="12"/>
  <c r="BE51" i="12"/>
  <c r="BN51" i="12" a="1"/>
  <c r="BN51" i="12" s="1"/>
  <c r="BF51" i="12"/>
  <c r="BO51" i="12" a="1"/>
  <c r="BO51" i="12" s="1"/>
  <c r="AY51" i="12"/>
  <c r="BG51" i="12"/>
  <c r="BC51" i="12"/>
  <c r="BH51" i="12"/>
  <c r="BA51" i="12"/>
  <c r="BB51" i="12"/>
  <c r="AZ51" i="15" a="1"/>
  <c r="AZ51" i="15" s="1"/>
  <c r="AT51" i="15" a="1"/>
  <c r="AT51" i="15" s="1"/>
  <c r="BK51" i="15" a="1"/>
  <c r="BK51" i="15" s="1"/>
  <c r="BF51" i="15" a="1"/>
  <c r="BF51" i="15" s="1"/>
  <c r="AY51" i="15" a="1"/>
  <c r="AY51" i="15" s="1"/>
  <c r="AS51" i="15" a="1"/>
  <c r="AS51" i="15" s="1"/>
  <c r="BE51" i="15" a="1"/>
  <c r="BE51" i="15" s="1"/>
  <c r="AR51" i="15" a="1"/>
  <c r="AR51" i="15" s="1"/>
  <c r="BP51" i="12" a="1"/>
  <c r="BP51" i="12" s="1"/>
  <c r="BJ51" i="15" a="1"/>
  <c r="BJ51" i="15" s="1"/>
  <c r="BA51" i="15" a="1"/>
  <c r="BA51" i="15" s="1"/>
  <c r="AQ51" i="15" a="1"/>
  <c r="AQ51" i="15" s="1"/>
  <c r="BI51" i="15" a="1"/>
  <c r="BI51" i="15" s="1"/>
  <c r="AP51" i="15" a="1"/>
  <c r="AP51" i="15" s="1"/>
  <c r="BH51" i="15" a="1"/>
  <c r="BH51" i="15" s="1"/>
  <c r="AX51" i="15" a="1"/>
  <c r="AX51" i="15" s="1"/>
  <c r="BB51" i="15" a="1"/>
  <c r="BB51" i="15" s="1"/>
  <c r="AU51" i="15" a="1"/>
  <c r="AU51" i="15" s="1"/>
  <c r="BG51" i="15" a="1"/>
  <c r="BG51" i="15" s="1"/>
  <c r="AV51" i="15" a="1"/>
  <c r="AV51" i="15" s="1"/>
  <c r="BC51" i="15" a="1"/>
  <c r="BC51" i="15" s="1"/>
  <c r="AW51" i="15" a="1"/>
  <c r="AW51" i="15" s="1"/>
  <c r="BG51" i="13" a="1"/>
  <c r="BG51" i="13" s="1"/>
  <c r="BA51" i="13" a="1"/>
  <c r="BA51" i="13" s="1"/>
  <c r="AP51" i="13" a="1"/>
  <c r="AP51" i="13" s="1"/>
  <c r="BD51" i="15" a="1"/>
  <c r="BD51" i="15" s="1"/>
  <c r="BF51" i="13" a="1"/>
  <c r="BF51" i="13" s="1"/>
  <c r="AZ51" i="13" a="1"/>
  <c r="AZ51" i="13" s="1"/>
  <c r="AU51" i="13" a="1"/>
  <c r="AU51" i="13" s="1"/>
  <c r="BE51" i="13" a="1"/>
  <c r="BE51" i="13" s="1"/>
  <c r="AT51" i="13" a="1"/>
  <c r="AT51" i="13" s="1"/>
  <c r="AV51" i="13" a="1"/>
  <c r="AV51" i="13" s="1"/>
  <c r="AQ51" i="13" a="1"/>
  <c r="AQ51" i="13" s="1"/>
  <c r="BB51" i="13" a="1"/>
  <c r="BB51" i="13" s="1"/>
  <c r="BK51" i="13" a="1"/>
  <c r="BK51" i="13" s="1"/>
  <c r="AY51" i="13" a="1"/>
  <c r="AY51" i="13" s="1"/>
  <c r="BJ51" i="13" a="1"/>
  <c r="BJ51" i="13" s="1"/>
  <c r="AX51" i="13" a="1"/>
  <c r="AX51" i="13" s="1"/>
  <c r="BC51" i="13" a="1"/>
  <c r="BC51" i="13" s="1"/>
  <c r="AR51" i="13" a="1"/>
  <c r="AR51" i="13" s="1"/>
  <c r="BG51" i="16" a="1"/>
  <c r="BG51" i="16" s="1"/>
  <c r="BA51" i="16" a="1"/>
  <c r="BA51" i="16" s="1"/>
  <c r="AS51" i="16" a="1"/>
  <c r="AS51" i="16" s="1"/>
  <c r="AZ51" i="12"/>
  <c r="BI51" i="13" a="1"/>
  <c r="BI51" i="13" s="1"/>
  <c r="BH51" i="13" a="1"/>
  <c r="BH51" i="13" s="1"/>
  <c r="AW51" i="13" a="1"/>
  <c r="AW51" i="13" s="1"/>
  <c r="AS51" i="13" a="1"/>
  <c r="AS51" i="13" s="1"/>
  <c r="BH51" i="16" a="1"/>
  <c r="BH51" i="16" s="1"/>
  <c r="BB51" i="16" a="1"/>
  <c r="BB51" i="16" s="1"/>
  <c r="AT51" i="16" a="1"/>
  <c r="AT51" i="16" s="1"/>
  <c r="BE51" i="16" a="1"/>
  <c r="BE51" i="16" s="1"/>
  <c r="AV51" i="16" a="1"/>
  <c r="AV51" i="16" s="1"/>
  <c r="BC51" i="16" a="1"/>
  <c r="BC51" i="16" s="1"/>
  <c r="BK51" i="16" a="1"/>
  <c r="BK51" i="16" s="1"/>
  <c r="AR51" i="16" a="1"/>
  <c r="AR51" i="16" s="1"/>
  <c r="BF51" i="16" a="1"/>
  <c r="BF51" i="16" s="1"/>
  <c r="AW51" i="16" a="1"/>
  <c r="AW51" i="16" s="1"/>
  <c r="BD51" i="16" a="1"/>
  <c r="BD51" i="16" s="1"/>
  <c r="BD51" i="13" a="1"/>
  <c r="BD51" i="13" s="1"/>
  <c r="AZ51" i="16" a="1"/>
  <c r="AZ51" i="16" s="1"/>
  <c r="AY51" i="16" a="1"/>
  <c r="AY51" i="16" s="1"/>
  <c r="AU51" i="16" a="1"/>
  <c r="AU51" i="16" s="1"/>
  <c r="AP51" i="16" a="1"/>
  <c r="AP51" i="16" s="1"/>
  <c r="BC51" i="14" a="1"/>
  <c r="BC51" i="14" s="1"/>
  <c r="AV51" i="14" a="1"/>
  <c r="AV51" i="14" s="1"/>
  <c r="BI51" i="14" a="1"/>
  <c r="BI51" i="14" s="1"/>
  <c r="BB51" i="14" a="1"/>
  <c r="BB51" i="14" s="1"/>
  <c r="AU51" i="14" a="1"/>
  <c r="AU51" i="14" s="1"/>
  <c r="BH51" i="14" a="1"/>
  <c r="BH51" i="14" s="1"/>
  <c r="AT51" i="14" a="1"/>
  <c r="AT51" i="14" s="1"/>
  <c r="BJ51" i="16" a="1"/>
  <c r="BJ51" i="16" s="1"/>
  <c r="BG51" i="14" a="1"/>
  <c r="BG51" i="14" s="1"/>
  <c r="BA51" i="14" a="1"/>
  <c r="BA51" i="14" s="1"/>
  <c r="BI51" i="16" a="1"/>
  <c r="BI51" i="16" s="1"/>
  <c r="BF51" i="14" a="1"/>
  <c r="BF51" i="14" s="1"/>
  <c r="AZ51" i="14" a="1"/>
  <c r="AZ51" i="14" s="1"/>
  <c r="AS51" i="14" a="1"/>
  <c r="AS51" i="14" s="1"/>
  <c r="AX51" i="16" a="1"/>
  <c r="AX51" i="16" s="1"/>
  <c r="AQ51" i="16" a="1"/>
  <c r="AQ51" i="16" s="1"/>
  <c r="BJ51" i="14" a="1"/>
  <c r="BJ51" i="14" s="1"/>
  <c r="BD51" i="14" a="1"/>
  <c r="BD51" i="14" s="1"/>
  <c r="AW51" i="14" a="1"/>
  <c r="AW51" i="14" s="1"/>
  <c r="AP51" i="14" a="1"/>
  <c r="AP51" i="14" s="1"/>
  <c r="AY51" i="14" a="1"/>
  <c r="AY51" i="14" s="1"/>
  <c r="AQ51" i="14" a="1"/>
  <c r="AQ51" i="14" s="1"/>
  <c r="AX51" i="14" a="1"/>
  <c r="AX51" i="14" s="1"/>
  <c r="AR51" i="14" a="1"/>
  <c r="AR51" i="14" s="1"/>
  <c r="BK51" i="14" a="1"/>
  <c r="BK51" i="14" s="1"/>
  <c r="BE51" i="14" a="1"/>
  <c r="BE51" i="14" s="1"/>
  <c r="BL55" i="12" a="1"/>
  <c r="BL55" i="12" s="1"/>
  <c r="BM55" i="12" a="1"/>
  <c r="BM55" i="12" s="1"/>
  <c r="BN55" i="12" a="1"/>
  <c r="BN55" i="12" s="1"/>
  <c r="BS55" i="12" a="1"/>
  <c r="BS55" i="12" s="1"/>
  <c r="BR55" i="12" a="1"/>
  <c r="BR55" i="12" s="1"/>
  <c r="BK55" i="12" a="1"/>
  <c r="BK55" i="12" s="1"/>
  <c r="BD55" i="12"/>
  <c r="BO55" i="12" a="1"/>
  <c r="BO55" i="12" s="1"/>
  <c r="BE55" i="12"/>
  <c r="BP55" i="12" a="1"/>
  <c r="BP55" i="12" s="1"/>
  <c r="BF55" i="12"/>
  <c r="BQ55" i="12" a="1"/>
  <c r="BQ55" i="12" s="1"/>
  <c r="AY55" i="12"/>
  <c r="BG55" i="12"/>
  <c r="AZ55" i="12"/>
  <c r="BA55" i="12"/>
  <c r="BF55" i="15" a="1"/>
  <c r="BF55" i="15" s="1"/>
  <c r="AZ55" i="15" a="1"/>
  <c r="AZ55" i="15" s="1"/>
  <c r="AT55" i="15" a="1"/>
  <c r="AT55" i="15" s="1"/>
  <c r="BB55" i="12"/>
  <c r="BK55" i="15" a="1"/>
  <c r="BK55" i="15" s="1"/>
  <c r="BE55" i="15" a="1"/>
  <c r="BE55" i="15" s="1"/>
  <c r="AS55" i="15" a="1"/>
  <c r="AS55" i="15" s="1"/>
  <c r="BJ55" i="12" a="1"/>
  <c r="BJ55" i="12" s="1"/>
  <c r="BC55" i="12"/>
  <c r="BJ55" i="15" a="1"/>
  <c r="BJ55" i="15" s="1"/>
  <c r="AY55" i="15" a="1"/>
  <c r="AY55" i="15" s="1"/>
  <c r="BH55" i="12"/>
  <c r="BI55" i="15" a="1"/>
  <c r="BI55" i="15" s="1"/>
  <c r="BD55" i="15" a="1"/>
  <c r="BD55" i="15" s="1"/>
  <c r="AX55" i="15" a="1"/>
  <c r="AX55" i="15" s="1"/>
  <c r="AR55" i="15" a="1"/>
  <c r="AR55" i="15" s="1"/>
  <c r="AP55" i="15" a="1"/>
  <c r="AP55" i="15" s="1"/>
  <c r="AW55" i="15" a="1"/>
  <c r="AW55" i="15" s="1"/>
  <c r="BH55" i="15" a="1"/>
  <c r="BH55" i="15" s="1"/>
  <c r="AV55" i="15" a="1"/>
  <c r="AV55" i="15" s="1"/>
  <c r="BA55" i="15" a="1"/>
  <c r="BA55" i="15" s="1"/>
  <c r="AQ55" i="15" a="1"/>
  <c r="AQ55" i="15" s="1"/>
  <c r="BG55" i="15" a="1"/>
  <c r="BG55" i="15" s="1"/>
  <c r="BB55" i="15" a="1"/>
  <c r="BB55" i="15" s="1"/>
  <c r="AU55" i="15" a="1"/>
  <c r="AU55" i="15" s="1"/>
  <c r="BB55" i="13" a="1"/>
  <c r="BB55" i="13" s="1"/>
  <c r="AW55" i="13" a="1"/>
  <c r="AW55" i="13" s="1"/>
  <c r="BG55" i="13" a="1"/>
  <c r="BG55" i="13" s="1"/>
  <c r="BA55" i="13" a="1"/>
  <c r="BA55" i="13" s="1"/>
  <c r="AQ55" i="13" a="1"/>
  <c r="AQ55" i="13" s="1"/>
  <c r="BF55" i="13" a="1"/>
  <c r="BF55" i="13" s="1"/>
  <c r="AV55" i="13" a="1"/>
  <c r="AV55" i="13" s="1"/>
  <c r="AP55" i="13" a="1"/>
  <c r="AP55" i="13" s="1"/>
  <c r="BH55" i="13" a="1"/>
  <c r="BH55" i="13" s="1"/>
  <c r="BC55" i="13" a="1"/>
  <c r="BC55" i="13" s="1"/>
  <c r="AR55" i="13" a="1"/>
  <c r="AR55" i="13" s="1"/>
  <c r="AS55" i="13" a="1"/>
  <c r="AS55" i="13" s="1"/>
  <c r="BC55" i="15" a="1"/>
  <c r="BC55" i="15" s="1"/>
  <c r="BK55" i="13" a="1"/>
  <c r="BK55" i="13" s="1"/>
  <c r="AZ55" i="13" a="1"/>
  <c r="AZ55" i="13" s="1"/>
  <c r="BJ55" i="13" a="1"/>
  <c r="BJ55" i="13" s="1"/>
  <c r="BD55" i="13" a="1"/>
  <c r="BD55" i="13" s="1"/>
  <c r="AT55" i="13" a="1"/>
  <c r="AT55" i="13" s="1"/>
  <c r="AU55" i="13" a="1"/>
  <c r="AU55" i="13" s="1"/>
  <c r="BJ55" i="16" a="1"/>
  <c r="BJ55" i="16" s="1"/>
  <c r="BC55" i="16" a="1"/>
  <c r="BC55" i="16" s="1"/>
  <c r="AW55" i="16" a="1"/>
  <c r="AW55" i="16" s="1"/>
  <c r="AQ55" i="16" a="1"/>
  <c r="AQ55" i="16" s="1"/>
  <c r="BI55" i="13" a="1"/>
  <c r="BI55" i="13" s="1"/>
  <c r="BB55" i="16" a="1"/>
  <c r="BB55" i="16" s="1"/>
  <c r="AV55" i="16" a="1"/>
  <c r="AV55" i="16" s="1"/>
  <c r="AX55" i="13" a="1"/>
  <c r="AX55" i="13" s="1"/>
  <c r="BD55" i="16" a="1"/>
  <c r="BD55" i="16" s="1"/>
  <c r="AX55" i="16" a="1"/>
  <c r="AX55" i="16" s="1"/>
  <c r="BE55" i="16" a="1"/>
  <c r="BE55" i="16" s="1"/>
  <c r="AT55" i="16" a="1"/>
  <c r="AT55" i="16" s="1"/>
  <c r="BE55" i="13" a="1"/>
  <c r="BE55" i="13" s="1"/>
  <c r="BA55" i="16" a="1"/>
  <c r="BA55" i="16" s="1"/>
  <c r="AR55" i="16" a="1"/>
  <c r="AR55" i="16" s="1"/>
  <c r="AY55" i="13" a="1"/>
  <c r="AY55" i="13" s="1"/>
  <c r="BK55" i="16" a="1"/>
  <c r="BK55" i="16" s="1"/>
  <c r="AP55" i="16" a="1"/>
  <c r="AP55" i="16" s="1"/>
  <c r="BF55" i="16" a="1"/>
  <c r="BF55" i="16" s="1"/>
  <c r="AU55" i="16" a="1"/>
  <c r="AU55" i="16" s="1"/>
  <c r="AZ55" i="16" a="1"/>
  <c r="AZ55" i="16" s="1"/>
  <c r="AY55" i="16" a="1"/>
  <c r="AY55" i="16" s="1"/>
  <c r="AS55" i="16" a="1"/>
  <c r="AS55" i="16" s="1"/>
  <c r="BH55" i="16" a="1"/>
  <c r="BH55" i="16" s="1"/>
  <c r="BG55" i="16" a="1"/>
  <c r="BG55" i="16" s="1"/>
  <c r="BF55" i="14" a="1"/>
  <c r="BF55" i="14" s="1"/>
  <c r="AY55" i="14" a="1"/>
  <c r="AY55" i="14" s="1"/>
  <c r="AT55" i="14" a="1"/>
  <c r="AT55" i="14" s="1"/>
  <c r="BK55" i="14" a="1"/>
  <c r="BK55" i="14" s="1"/>
  <c r="BE55" i="14" a="1"/>
  <c r="BE55" i="14" s="1"/>
  <c r="BJ55" i="14" a="1"/>
  <c r="BJ55" i="14" s="1"/>
  <c r="BD55" i="14" a="1"/>
  <c r="BD55" i="14" s="1"/>
  <c r="AX55" i="14" a="1"/>
  <c r="AX55" i="14" s="1"/>
  <c r="AS55" i="14" a="1"/>
  <c r="AS55" i="14" s="1"/>
  <c r="BI55" i="14" a="1"/>
  <c r="BI55" i="14" s="1"/>
  <c r="BC55" i="14" a="1"/>
  <c r="BC55" i="14" s="1"/>
  <c r="AR55" i="14" a="1"/>
  <c r="AR55" i="14" s="1"/>
  <c r="BI55" i="16" a="1"/>
  <c r="BI55" i="16" s="1"/>
  <c r="BG55" i="14" a="1"/>
  <c r="BG55" i="14" s="1"/>
  <c r="AZ55" i="14" a="1"/>
  <c r="AZ55" i="14" s="1"/>
  <c r="AU55" i="14" a="1"/>
  <c r="AU55" i="14" s="1"/>
  <c r="BH55" i="14" a="1"/>
  <c r="BH55" i="14" s="1"/>
  <c r="BB55" i="14" a="1"/>
  <c r="BB55" i="14" s="1"/>
  <c r="BA55" i="14" a="1"/>
  <c r="BA55" i="14" s="1"/>
  <c r="AV55" i="14" a="1"/>
  <c r="AV55" i="14" s="1"/>
  <c r="AQ55" i="14" a="1"/>
  <c r="AQ55" i="14" s="1"/>
  <c r="AP55" i="14" a="1"/>
  <c r="AP55" i="14" s="1"/>
  <c r="AW55" i="14" a="1"/>
  <c r="AW55" i="14" s="1"/>
  <c r="BO59" i="12" a="1"/>
  <c r="BO59" i="12" s="1"/>
  <c r="BP59" i="12" a="1"/>
  <c r="BP59" i="12" s="1"/>
  <c r="BQ59" i="12" a="1"/>
  <c r="BQ59" i="12" s="1"/>
  <c r="BN59" i="12" a="1"/>
  <c r="BN59" i="12" s="1"/>
  <c r="BJ59" i="12" a="1"/>
  <c r="BJ59" i="12" s="1"/>
  <c r="BK59" i="12" a="1"/>
  <c r="BK59" i="12" s="1"/>
  <c r="BR59" i="12" a="1"/>
  <c r="BR59" i="12" s="1"/>
  <c r="BD59" i="12"/>
  <c r="BS59" i="12" a="1"/>
  <c r="BS59" i="12" s="1"/>
  <c r="BE59" i="12"/>
  <c r="BF59" i="12"/>
  <c r="BB59" i="12"/>
  <c r="BC59" i="12"/>
  <c r="BG59" i="12"/>
  <c r="AZ59" i="12"/>
  <c r="BK59" i="15" a="1"/>
  <c r="BK59" i="15" s="1"/>
  <c r="BE59" i="15" a="1"/>
  <c r="BE59" i="15" s="1"/>
  <c r="AT59" i="15" a="1"/>
  <c r="AT59" i="15" s="1"/>
  <c r="BJ59" i="15" a="1"/>
  <c r="BJ59" i="15" s="1"/>
  <c r="BD59" i="15" a="1"/>
  <c r="BD59" i="15" s="1"/>
  <c r="AY59" i="15" a="1"/>
  <c r="AY59" i="15" s="1"/>
  <c r="AS59" i="15" a="1"/>
  <c r="AS59" i="15" s="1"/>
  <c r="BI59" i="15" a="1"/>
  <c r="BI59" i="15" s="1"/>
  <c r="AR59" i="15" a="1"/>
  <c r="AR59" i="15" s="1"/>
  <c r="AY59" i="12"/>
  <c r="BC59" i="15" a="1"/>
  <c r="BC59" i="15" s="1"/>
  <c r="AX59" i="15" a="1"/>
  <c r="AX59" i="15" s="1"/>
  <c r="BF59" i="15" a="1"/>
  <c r="BF59" i="15" s="1"/>
  <c r="BB59" i="15" a="1"/>
  <c r="BB59" i="15" s="1"/>
  <c r="AQ59" i="15" a="1"/>
  <c r="AQ59" i="15" s="1"/>
  <c r="BL59" i="12" a="1"/>
  <c r="BL59" i="12" s="1"/>
  <c r="BA59" i="15" a="1"/>
  <c r="BA59" i="15" s="1"/>
  <c r="BG59" i="15" a="1"/>
  <c r="BG59" i="15" s="1"/>
  <c r="AU59" i="15" a="1"/>
  <c r="AU59" i="15" s="1"/>
  <c r="AV59" i="15" a="1"/>
  <c r="AV59" i="15" s="1"/>
  <c r="BM59" i="12" a="1"/>
  <c r="BM59" i="12" s="1"/>
  <c r="AP59" i="15" a="1"/>
  <c r="AP59" i="15" s="1"/>
  <c r="AW59" i="15" a="1"/>
  <c r="AW59" i="15" s="1"/>
  <c r="BH59" i="12"/>
  <c r="AZ59" i="15" a="1"/>
  <c r="AZ59" i="15" s="1"/>
  <c r="BD59" i="13" a="1"/>
  <c r="BD59" i="13" s="1"/>
  <c r="AY59" i="13" a="1"/>
  <c r="AY59" i="13" s="1"/>
  <c r="AR59" i="13" a="1"/>
  <c r="AR59" i="13" s="1"/>
  <c r="BH59" i="13" a="1"/>
  <c r="BH59" i="13" s="1"/>
  <c r="AX59" i="13" a="1"/>
  <c r="AX59" i="13" s="1"/>
  <c r="BC59" i="13" a="1"/>
  <c r="BC59" i="13" s="1"/>
  <c r="AW59" i="13" a="1"/>
  <c r="AW59" i="13" s="1"/>
  <c r="AQ59" i="13" a="1"/>
  <c r="AQ59" i="13" s="1"/>
  <c r="BI59" i="13" a="1"/>
  <c r="BI59" i="13" s="1"/>
  <c r="AS59" i="13" a="1"/>
  <c r="AS59" i="13" s="1"/>
  <c r="BE59" i="13" a="1"/>
  <c r="BE59" i="13" s="1"/>
  <c r="AT59" i="13" a="1"/>
  <c r="AT59" i="13" s="1"/>
  <c r="BB59" i="13" a="1"/>
  <c r="BB59" i="13" s="1"/>
  <c r="AP59" i="13" a="1"/>
  <c r="AP59" i="13" s="1"/>
  <c r="BK59" i="13" a="1"/>
  <c r="BK59" i="13" s="1"/>
  <c r="BA59" i="13" a="1"/>
  <c r="BA59" i="13" s="1"/>
  <c r="BH59" i="15" a="1"/>
  <c r="BH59" i="15" s="1"/>
  <c r="AU59" i="13" a="1"/>
  <c r="AU59" i="13" s="1"/>
  <c r="BB59" i="16" a="1"/>
  <c r="BB59" i="16" s="1"/>
  <c r="AP59" i="16" a="1"/>
  <c r="AP59" i="16" s="1"/>
  <c r="BJ59" i="13" a="1"/>
  <c r="BJ59" i="13" s="1"/>
  <c r="BA59" i="12"/>
  <c r="BG59" i="16" a="1"/>
  <c r="BG59" i="16" s="1"/>
  <c r="AZ59" i="16" a="1"/>
  <c r="AZ59" i="16" s="1"/>
  <c r="AT59" i="16" a="1"/>
  <c r="AT59" i="16" s="1"/>
  <c r="AZ59" i="13" a="1"/>
  <c r="AZ59" i="13" s="1"/>
  <c r="AV59" i="13" a="1"/>
  <c r="AV59" i="13" s="1"/>
  <c r="BI59" i="16" a="1"/>
  <c r="BI59" i="16" s="1"/>
  <c r="BC59" i="16" a="1"/>
  <c r="BC59" i="16" s="1"/>
  <c r="AV59" i="16" a="1"/>
  <c r="AV59" i="16" s="1"/>
  <c r="BE59" i="16" a="1"/>
  <c r="BE59" i="16" s="1"/>
  <c r="AU59" i="16" a="1"/>
  <c r="AU59" i="16" s="1"/>
  <c r="BD59" i="16" a="1"/>
  <c r="BD59" i="16" s="1"/>
  <c r="BK59" i="16" a="1"/>
  <c r="BK59" i="16" s="1"/>
  <c r="BA59" i="16" a="1"/>
  <c r="BA59" i="16" s="1"/>
  <c r="AR59" i="16" a="1"/>
  <c r="AR59" i="16" s="1"/>
  <c r="BF59" i="16" a="1"/>
  <c r="BF59" i="16" s="1"/>
  <c r="AW59" i="16" a="1"/>
  <c r="AW59" i="16" s="1"/>
  <c r="AS59" i="16" a="1"/>
  <c r="AS59" i="16" s="1"/>
  <c r="AQ59" i="16" a="1"/>
  <c r="AQ59" i="16" s="1"/>
  <c r="BJ59" i="16" a="1"/>
  <c r="BJ59" i="16" s="1"/>
  <c r="BG59" i="13" a="1"/>
  <c r="BG59" i="13" s="1"/>
  <c r="BF59" i="13" a="1"/>
  <c r="BF59" i="13" s="1"/>
  <c r="AY59" i="16" a="1"/>
  <c r="AY59" i="16" s="1"/>
  <c r="BC59" i="14" a="1"/>
  <c r="BC59" i="14" s="1"/>
  <c r="AW59" i="14" a="1"/>
  <c r="AW59" i="14" s="1"/>
  <c r="AP59" i="14" a="1"/>
  <c r="AP59" i="14" s="1"/>
  <c r="AX59" i="16" a="1"/>
  <c r="AX59" i="16" s="1"/>
  <c r="BI59" i="14" a="1"/>
  <c r="BI59" i="14" s="1"/>
  <c r="BB59" i="14" a="1"/>
  <c r="BB59" i="14" s="1"/>
  <c r="AV59" i="14" a="1"/>
  <c r="AV59" i="14" s="1"/>
  <c r="BH59" i="14" a="1"/>
  <c r="BH59" i="14" s="1"/>
  <c r="AU59" i="14" a="1"/>
  <c r="AU59" i="14" s="1"/>
  <c r="BG59" i="14" a="1"/>
  <c r="BG59" i="14" s="1"/>
  <c r="BA59" i="14" a="1"/>
  <c r="BA59" i="14" s="1"/>
  <c r="AT59" i="14" a="1"/>
  <c r="AT59" i="14" s="1"/>
  <c r="AZ59" i="14" a="1"/>
  <c r="AZ59" i="14" s="1"/>
  <c r="AS59" i="14" a="1"/>
  <c r="AS59" i="14" s="1"/>
  <c r="BH59" i="16" a="1"/>
  <c r="BH59" i="16" s="1"/>
  <c r="BJ59" i="14" a="1"/>
  <c r="BJ59" i="14" s="1"/>
  <c r="BD59" i="14" a="1"/>
  <c r="BD59" i="14" s="1"/>
  <c r="AX59" i="14" a="1"/>
  <c r="AX59" i="14" s="1"/>
  <c r="AY59" i="14" a="1"/>
  <c r="AY59" i="14" s="1"/>
  <c r="AR59" i="14" a="1"/>
  <c r="AR59" i="14" s="1"/>
  <c r="AQ59" i="14" a="1"/>
  <c r="AQ59" i="14" s="1"/>
  <c r="BK59" i="14" a="1"/>
  <c r="BK59" i="14" s="1"/>
  <c r="BF59" i="14" a="1"/>
  <c r="BF59" i="14" s="1"/>
  <c r="BE59" i="14" a="1"/>
  <c r="BE59" i="14" s="1"/>
  <c r="BK63" i="12" a="1"/>
  <c r="BK63" i="12" s="1"/>
  <c r="BS63" i="12" a="1"/>
  <c r="BS63" i="12" s="1"/>
  <c r="Q63" i="1" s="1"/>
  <c r="BL63" i="12" a="1"/>
  <c r="BL63" i="12" s="1"/>
  <c r="BM63" i="12" a="1"/>
  <c r="BM63" i="12" s="1"/>
  <c r="BJ63" i="12" a="1"/>
  <c r="BJ63" i="12" s="1"/>
  <c r="BR63" i="12" a="1"/>
  <c r="BR63" i="12" s="1"/>
  <c r="BN63" i="12" a="1"/>
  <c r="BN63" i="12" s="1"/>
  <c r="BO63" i="12" a="1"/>
  <c r="BO63" i="12" s="1"/>
  <c r="BD63" i="12"/>
  <c r="BE63" i="12"/>
  <c r="BF63" i="12"/>
  <c r="BA63" i="12"/>
  <c r="BB63" i="12"/>
  <c r="BP63" i="12" a="1"/>
  <c r="BP63" i="12" s="1"/>
  <c r="BC63" i="12"/>
  <c r="AY63" i="12"/>
  <c r="AZ63" i="12"/>
  <c r="AZ63" i="15" a="1"/>
  <c r="AZ63" i="15" s="1"/>
  <c r="AT63" i="15" a="1"/>
  <c r="AT63" i="15" s="1"/>
  <c r="BQ63" i="12" a="1"/>
  <c r="BQ63" i="12" s="1"/>
  <c r="BG63" i="12"/>
  <c r="BK63" i="15" a="1"/>
  <c r="BK63" i="15" s="1"/>
  <c r="BF63" i="15" a="1"/>
  <c r="BF63" i="15" s="1"/>
  <c r="AS63" i="15" a="1"/>
  <c r="AS63" i="15" s="1"/>
  <c r="BH63" i="12"/>
  <c r="BJ63" i="15" a="1"/>
  <c r="BJ63" i="15" s="1"/>
  <c r="BE63" i="15" a="1"/>
  <c r="BE63" i="15" s="1"/>
  <c r="AY63" i="15" a="1"/>
  <c r="AY63" i="15" s="1"/>
  <c r="BI63" i="15" a="1"/>
  <c r="BI63" i="15" s="1"/>
  <c r="BD63" i="15" a="1"/>
  <c r="BD63" i="15" s="1"/>
  <c r="AR63" i="15" a="1"/>
  <c r="AR63" i="15" s="1"/>
  <c r="BA63" i="15" a="1"/>
  <c r="BA63" i="15" s="1"/>
  <c r="AX63" i="15" a="1"/>
  <c r="AX63" i="15" s="1"/>
  <c r="BH63" i="15" a="1"/>
  <c r="BH63" i="15" s="1"/>
  <c r="AW63" i="15" a="1"/>
  <c r="AW63" i="15" s="1"/>
  <c r="BB63" i="15" a="1"/>
  <c r="BB63" i="15" s="1"/>
  <c r="AP63" i="15" a="1"/>
  <c r="AP63" i="15" s="1"/>
  <c r="AV63" i="15" a="1"/>
  <c r="AV63" i="15" s="1"/>
  <c r="AU63" i="15" a="1"/>
  <c r="AU63" i="15" s="1"/>
  <c r="BC63" i="15" a="1"/>
  <c r="BC63" i="15" s="1"/>
  <c r="BF63" i="13" a="1"/>
  <c r="BF63" i="13" s="1"/>
  <c r="AZ63" i="13" a="1"/>
  <c r="AZ63" i="13" s="1"/>
  <c r="AT63" i="13" a="1"/>
  <c r="AT63" i="13" s="1"/>
  <c r="BG63" i="15" a="1"/>
  <c r="BG63" i="15" s="1"/>
  <c r="AQ63" i="15" a="1"/>
  <c r="AQ63" i="15" s="1"/>
  <c r="BI63" i="13" a="1"/>
  <c r="BI63" i="13" s="1"/>
  <c r="BC63" i="13" a="1"/>
  <c r="BC63" i="13" s="1"/>
  <c r="BH63" i="13" a="1"/>
  <c r="BH63" i="13" s="1"/>
  <c r="BB63" i="13" a="1"/>
  <c r="BB63" i="13" s="1"/>
  <c r="AU63" i="13" a="1"/>
  <c r="AU63" i="13" s="1"/>
  <c r="BA63" i="13" a="1"/>
  <c r="BA63" i="13" s="1"/>
  <c r="AV63" i="13" a="1"/>
  <c r="AV63" i="13" s="1"/>
  <c r="AP63" i="13" a="1"/>
  <c r="AP63" i="13" s="1"/>
  <c r="BJ63" i="13" a="1"/>
  <c r="BJ63" i="13" s="1"/>
  <c r="AW63" i="13" a="1"/>
  <c r="AW63" i="13" s="1"/>
  <c r="BG63" i="13" a="1"/>
  <c r="BG63" i="13" s="1"/>
  <c r="AS63" i="13" a="1"/>
  <c r="AS63" i="13" s="1"/>
  <c r="BE63" i="13" a="1"/>
  <c r="BE63" i="13" s="1"/>
  <c r="AR63" i="13" a="1"/>
  <c r="AR63" i="13" s="1"/>
  <c r="BK63" i="13" a="1"/>
  <c r="BK63" i="13" s="1"/>
  <c r="AX63" i="13" a="1"/>
  <c r="AX63" i="13" s="1"/>
  <c r="AY63" i="13" a="1"/>
  <c r="AY63" i="13" s="1"/>
  <c r="BJ63" i="16" a="1"/>
  <c r="BJ63" i="16" s="1"/>
  <c r="AX63" i="16" a="1"/>
  <c r="AX63" i="16" s="1"/>
  <c r="AQ63" i="16" a="1"/>
  <c r="AQ63" i="16" s="1"/>
  <c r="AQ63" i="13" a="1"/>
  <c r="AQ63" i="13" s="1"/>
  <c r="BH63" i="16" a="1"/>
  <c r="BH63" i="16" s="1"/>
  <c r="BB63" i="16" a="1"/>
  <c r="BB63" i="16" s="1"/>
  <c r="AV63" i="16" a="1"/>
  <c r="AV63" i="16" s="1"/>
  <c r="BD63" i="13" a="1"/>
  <c r="BD63" i="13" s="1"/>
  <c r="BK63" i="16" a="1"/>
  <c r="BK63" i="16" s="1"/>
  <c r="BD63" i="16" a="1"/>
  <c r="BD63" i="16" s="1"/>
  <c r="AR63" i="16" a="1"/>
  <c r="AR63" i="16" s="1"/>
  <c r="BI63" i="16" a="1"/>
  <c r="BI63" i="16" s="1"/>
  <c r="AZ63" i="16" a="1"/>
  <c r="AZ63" i="16" s="1"/>
  <c r="BG63" i="16" a="1"/>
  <c r="BG63" i="16" s="1"/>
  <c r="AW63" i="16" a="1"/>
  <c r="AW63" i="16" s="1"/>
  <c r="BF63" i="16" a="1"/>
  <c r="BF63" i="16" s="1"/>
  <c r="AU63" i="16" a="1"/>
  <c r="AU63" i="16" s="1"/>
  <c r="AP63" i="16" a="1"/>
  <c r="AP63" i="16" s="1"/>
  <c r="BE63" i="16" a="1"/>
  <c r="BE63" i="16" s="1"/>
  <c r="BC63" i="16" a="1"/>
  <c r="BC63" i="16" s="1"/>
  <c r="AY63" i="16" a="1"/>
  <c r="AY63" i="16" s="1"/>
  <c r="AT63" i="16" a="1"/>
  <c r="AT63" i="16" s="1"/>
  <c r="BG63" i="14" a="1"/>
  <c r="BG63" i="14" s="1"/>
  <c r="AZ63" i="14" a="1"/>
  <c r="AZ63" i="14" s="1"/>
  <c r="AS63" i="16" a="1"/>
  <c r="AS63" i="16" s="1"/>
  <c r="BF63" i="14" a="1"/>
  <c r="BF63" i="14" s="1"/>
  <c r="AY63" i="14" a="1"/>
  <c r="AY63" i="14" s="1"/>
  <c r="AS63" i="14" a="1"/>
  <c r="AS63" i="14" s="1"/>
  <c r="AR63" i="14" a="1"/>
  <c r="AR63" i="14" s="1"/>
  <c r="BK63" i="14" a="1"/>
  <c r="BK63" i="14" s="1"/>
  <c r="BE63" i="14" a="1"/>
  <c r="BE63" i="14" s="1"/>
  <c r="AX63" i="14" a="1"/>
  <c r="AX63" i="14" s="1"/>
  <c r="AQ63" i="14" a="1"/>
  <c r="AQ63" i="14" s="1"/>
  <c r="BJ63" i="14" a="1"/>
  <c r="BJ63" i="14" s="1"/>
  <c r="BD63" i="14" a="1"/>
  <c r="BD63" i="14" s="1"/>
  <c r="AW63" i="14" a="1"/>
  <c r="AW63" i="14" s="1"/>
  <c r="AP63" i="14" a="1"/>
  <c r="AP63" i="14" s="1"/>
  <c r="BA63" i="16" a="1"/>
  <c r="BA63" i="16" s="1"/>
  <c r="BH63" i="14" a="1"/>
  <c r="BH63" i="14" s="1"/>
  <c r="BA63" i="14" a="1"/>
  <c r="BA63" i="14" s="1"/>
  <c r="AT63" i="14" a="1"/>
  <c r="AT63" i="14" s="1"/>
  <c r="BI63" i="14" a="1"/>
  <c r="BI63" i="14" s="1"/>
  <c r="BB63" i="14" a="1"/>
  <c r="BB63" i="14" s="1"/>
  <c r="AV63" i="14" a="1"/>
  <c r="AV63" i="14" s="1"/>
  <c r="AU63" i="14" a="1"/>
  <c r="AU63" i="14" s="1"/>
  <c r="BC63" i="14" a="1"/>
  <c r="BC63" i="14" s="1"/>
  <c r="BK67" i="12" a="1"/>
  <c r="BK67" i="12" s="1"/>
  <c r="BR67" i="12" a="1"/>
  <c r="BR67" i="12" s="1"/>
  <c r="BS67" i="12" a="1"/>
  <c r="BS67" i="12" s="1"/>
  <c r="BL67" i="12" a="1"/>
  <c r="BL67" i="12" s="1"/>
  <c r="BJ67" i="12" a="1"/>
  <c r="BJ67" i="12" s="1"/>
  <c r="BQ67" i="12" a="1"/>
  <c r="BQ67" i="12" s="1"/>
  <c r="BP67" i="12" a="1"/>
  <c r="BP67" i="12" s="1"/>
  <c r="BD67" i="12"/>
  <c r="BM67" i="12" a="1"/>
  <c r="BM67" i="12" s="1"/>
  <c r="BE67" i="12"/>
  <c r="BN67" i="12" a="1"/>
  <c r="BN67" i="12" s="1"/>
  <c r="BF67" i="12"/>
  <c r="BO67" i="12" a="1"/>
  <c r="BO67" i="12" s="1"/>
  <c r="AZ67" i="12"/>
  <c r="BA67" i="12"/>
  <c r="BB67" i="12"/>
  <c r="AX67" i="15" a="1"/>
  <c r="AX67" i="15" s="1"/>
  <c r="AR67" i="15" a="1"/>
  <c r="AR67" i="15" s="1"/>
  <c r="BI67" i="15" a="1"/>
  <c r="BI67" i="15" s="1"/>
  <c r="BD67" i="15" a="1"/>
  <c r="BD67" i="15" s="1"/>
  <c r="AW67" i="15" a="1"/>
  <c r="AW67" i="15" s="1"/>
  <c r="BH67" i="15" a="1"/>
  <c r="BH67" i="15" s="1"/>
  <c r="BC67" i="15" a="1"/>
  <c r="BC67" i="15" s="1"/>
  <c r="AQ67" i="15" a="1"/>
  <c r="AQ67" i="15" s="1"/>
  <c r="BB67" i="15" a="1"/>
  <c r="BB67" i="15" s="1"/>
  <c r="AV67" i="15" a="1"/>
  <c r="AV67" i="15" s="1"/>
  <c r="AP67" i="15" a="1"/>
  <c r="AP67" i="15" s="1"/>
  <c r="BE67" i="15" a="1"/>
  <c r="BE67" i="15" s="1"/>
  <c r="AS67" i="15" a="1"/>
  <c r="AS67" i="15" s="1"/>
  <c r="AY67" i="12"/>
  <c r="BA67" i="15" a="1"/>
  <c r="BA67" i="15" s="1"/>
  <c r="BC67" i="12"/>
  <c r="AZ67" i="15" a="1"/>
  <c r="AZ67" i="15" s="1"/>
  <c r="BF67" i="15" a="1"/>
  <c r="BF67" i="15" s="1"/>
  <c r="BG67" i="12"/>
  <c r="BH67" i="12"/>
  <c r="AY67" i="15" a="1"/>
  <c r="AY67" i="15" s="1"/>
  <c r="BG67" i="15" a="1"/>
  <c r="BG67" i="15" s="1"/>
  <c r="BH67" i="13" a="1"/>
  <c r="BH67" i="13" s="1"/>
  <c r="BB67" i="13" a="1"/>
  <c r="BB67" i="13" s="1"/>
  <c r="BK67" i="15" a="1"/>
  <c r="BK67" i="15" s="1"/>
  <c r="AV67" i="13" a="1"/>
  <c r="AV67" i="13" s="1"/>
  <c r="AQ67" i="13" a="1"/>
  <c r="AQ67" i="13" s="1"/>
  <c r="BJ67" i="15" a="1"/>
  <c r="BJ67" i="15" s="1"/>
  <c r="AU67" i="15" a="1"/>
  <c r="AU67" i="15" s="1"/>
  <c r="AT67" i="15" a="1"/>
  <c r="AT67" i="15" s="1"/>
  <c r="AZ67" i="13" a="1"/>
  <c r="AZ67" i="13" s="1"/>
  <c r="BG67" i="13" a="1"/>
  <c r="BG67" i="13" s="1"/>
  <c r="AS67" i="13" a="1"/>
  <c r="AS67" i="13" s="1"/>
  <c r="BF67" i="13" a="1"/>
  <c r="BF67" i="13" s="1"/>
  <c r="AY67" i="13" a="1"/>
  <c r="AY67" i="13" s="1"/>
  <c r="AR67" i="13" a="1"/>
  <c r="AR67" i="13" s="1"/>
  <c r="BI67" i="13" a="1"/>
  <c r="BI67" i="13" s="1"/>
  <c r="BA67" i="13" a="1"/>
  <c r="BA67" i="13" s="1"/>
  <c r="AT67" i="13" a="1"/>
  <c r="AT67" i="13" s="1"/>
  <c r="BC67" i="13" a="1"/>
  <c r="BC67" i="13" s="1"/>
  <c r="AX67" i="13" a="1"/>
  <c r="AX67" i="13" s="1"/>
  <c r="AW67" i="13" a="1"/>
  <c r="AW67" i="13" s="1"/>
  <c r="BD67" i="13" a="1"/>
  <c r="BD67" i="13" s="1"/>
  <c r="AR67" i="16" a="1"/>
  <c r="AR67" i="16" s="1"/>
  <c r="BK67" i="13" a="1"/>
  <c r="BK67" i="13" s="1"/>
  <c r="BJ67" i="13" a="1"/>
  <c r="BJ67" i="13" s="1"/>
  <c r="BB67" i="16" a="1"/>
  <c r="BB67" i="16" s="1"/>
  <c r="AV67" i="16" a="1"/>
  <c r="AV67" i="16" s="1"/>
  <c r="AQ67" i="16" a="1"/>
  <c r="AQ67" i="16" s="1"/>
  <c r="AU67" i="13" a="1"/>
  <c r="AU67" i="13" s="1"/>
  <c r="AP67" i="13" a="1"/>
  <c r="AP67" i="13" s="1"/>
  <c r="BI67" i="16" a="1"/>
  <c r="BI67" i="16" s="1"/>
  <c r="BD67" i="16" a="1"/>
  <c r="BD67" i="16" s="1"/>
  <c r="AX67" i="16" a="1"/>
  <c r="AX67" i="16" s="1"/>
  <c r="AS67" i="16" a="1"/>
  <c r="AS67" i="16" s="1"/>
  <c r="BE67" i="13" a="1"/>
  <c r="BE67" i="13" s="1"/>
  <c r="BE67" i="16" a="1"/>
  <c r="BE67" i="16" s="1"/>
  <c r="BC67" i="16" a="1"/>
  <c r="BC67" i="16" s="1"/>
  <c r="AT67" i="16" a="1"/>
  <c r="AT67" i="16" s="1"/>
  <c r="BK67" i="16" a="1"/>
  <c r="BK67" i="16" s="1"/>
  <c r="BA67" i="16" a="1"/>
  <c r="BA67" i="16" s="1"/>
  <c r="BF67" i="16" a="1"/>
  <c r="BF67" i="16" s="1"/>
  <c r="AW67" i="16" a="1"/>
  <c r="AW67" i="16" s="1"/>
  <c r="AU67" i="16" a="1"/>
  <c r="AU67" i="16" s="1"/>
  <c r="AY67" i="14" a="1"/>
  <c r="AY67" i="14" s="1"/>
  <c r="AR67" i="14" a="1"/>
  <c r="AR67" i="14" s="1"/>
  <c r="BJ67" i="16" a="1"/>
  <c r="BJ67" i="16" s="1"/>
  <c r="BK67" i="14" a="1"/>
  <c r="BK67" i="14" s="1"/>
  <c r="BE67" i="14" a="1"/>
  <c r="BE67" i="14" s="1"/>
  <c r="AX67" i="14" a="1"/>
  <c r="AX67" i="14" s="1"/>
  <c r="AQ67" i="14" a="1"/>
  <c r="AQ67" i="14" s="1"/>
  <c r="BH67" i="16" a="1"/>
  <c r="BH67" i="16" s="1"/>
  <c r="AP67" i="16" a="1"/>
  <c r="AP67" i="16" s="1"/>
  <c r="BJ67" i="14" a="1"/>
  <c r="BJ67" i="14" s="1"/>
  <c r="BD67" i="14" a="1"/>
  <c r="BD67" i="14" s="1"/>
  <c r="AW67" i="14" a="1"/>
  <c r="AW67" i="14" s="1"/>
  <c r="AP67" i="14" a="1"/>
  <c r="AP67" i="14" s="1"/>
  <c r="BG67" i="14" a="1"/>
  <c r="BG67" i="14" s="1"/>
  <c r="AV67" i="14" a="1"/>
  <c r="AV67" i="14" s="1"/>
  <c r="BG67" i="16" a="1"/>
  <c r="BG67" i="16" s="1"/>
  <c r="BF67" i="14" a="1"/>
  <c r="BF67" i="14" s="1"/>
  <c r="AU67" i="14" a="1"/>
  <c r="AU67" i="14" s="1"/>
  <c r="AZ67" i="16" a="1"/>
  <c r="AZ67" i="16" s="1"/>
  <c r="AT67" i="14" a="1"/>
  <c r="AT67" i="14" s="1"/>
  <c r="BC67" i="14" a="1"/>
  <c r="BC67" i="14" s="1"/>
  <c r="AS67" i="14" a="1"/>
  <c r="AS67" i="14" s="1"/>
  <c r="AY67" i="16" a="1"/>
  <c r="AY67" i="16" s="1"/>
  <c r="BH67" i="14" a="1"/>
  <c r="BH67" i="14" s="1"/>
  <c r="AZ67" i="14" a="1"/>
  <c r="AZ67" i="14" s="1"/>
  <c r="BA67" i="14" a="1"/>
  <c r="BA67" i="14" s="1"/>
  <c r="BI67" i="14" a="1"/>
  <c r="BI67" i="14" s="1"/>
  <c r="BB67" i="14" a="1"/>
  <c r="BB67" i="14" s="1"/>
  <c r="BO71" i="12" a="1"/>
  <c r="BO71" i="12" s="1"/>
  <c r="BP71" i="12" a="1"/>
  <c r="BP71" i="12" s="1"/>
  <c r="BJ71" i="12" a="1"/>
  <c r="BJ71" i="12" s="1"/>
  <c r="BN71" i="12" a="1"/>
  <c r="BN71" i="12" s="1"/>
  <c r="BK71" i="12" a="1"/>
  <c r="BK71" i="12" s="1"/>
  <c r="BL71" i="12" a="1"/>
  <c r="BL71" i="12" s="1"/>
  <c r="BQ71" i="12" a="1"/>
  <c r="BQ71" i="12" s="1"/>
  <c r="BD71" i="12"/>
  <c r="BR71" i="12" a="1"/>
  <c r="BR71" i="12" s="1"/>
  <c r="BE71" i="12"/>
  <c r="BS71" i="12" a="1"/>
  <c r="BS71" i="12" s="1"/>
  <c r="BF71" i="12"/>
  <c r="AY71" i="12"/>
  <c r="AZ71" i="12"/>
  <c r="BA71" i="12"/>
  <c r="BH71" i="12"/>
  <c r="BM71" i="12" a="1"/>
  <c r="BM71" i="12" s="1"/>
  <c r="BH71" i="15" a="1"/>
  <c r="BH71" i="15" s="1"/>
  <c r="AU71" i="15" a="1"/>
  <c r="AU71" i="15" s="1"/>
  <c r="BB71" i="12"/>
  <c r="BG71" i="15" a="1"/>
  <c r="BG71" i="15" s="1"/>
  <c r="BA71" i="15" a="1"/>
  <c r="BA71" i="15" s="1"/>
  <c r="AT71" i="15" a="1"/>
  <c r="AT71" i="15" s="1"/>
  <c r="BC71" i="12"/>
  <c r="BF71" i="15" a="1"/>
  <c r="BF71" i="15" s="1"/>
  <c r="AZ71" i="15" a="1"/>
  <c r="AZ71" i="15" s="1"/>
  <c r="BG71" i="12"/>
  <c r="BE71" i="15" a="1"/>
  <c r="BE71" i="15" s="1"/>
  <c r="AY71" i="15" a="1"/>
  <c r="AY71" i="15" s="1"/>
  <c r="AS71" i="15" a="1"/>
  <c r="AS71" i="15" s="1"/>
  <c r="BB71" i="15" a="1"/>
  <c r="BB71" i="15" s="1"/>
  <c r="AP71" i="15" a="1"/>
  <c r="AP71" i="15" s="1"/>
  <c r="BK71" i="15" a="1"/>
  <c r="BK71" i="15" s="1"/>
  <c r="AX71" i="15" a="1"/>
  <c r="AX71" i="15" s="1"/>
  <c r="BJ71" i="15" a="1"/>
  <c r="BJ71" i="15" s="1"/>
  <c r="AW71" i="15" a="1"/>
  <c r="AW71" i="15" s="1"/>
  <c r="BC71" i="15" a="1"/>
  <c r="BC71" i="15" s="1"/>
  <c r="AQ71" i="15" a="1"/>
  <c r="AQ71" i="15" s="1"/>
  <c r="AR71" i="15" a="1"/>
  <c r="AR71" i="15" s="1"/>
  <c r="BI71" i="15" a="1"/>
  <c r="BI71" i="15" s="1"/>
  <c r="BF71" i="13" a="1"/>
  <c r="BF71" i="13" s="1"/>
  <c r="AZ71" i="13" a="1"/>
  <c r="AZ71" i="13" s="1"/>
  <c r="AS71" i="13" a="1"/>
  <c r="AS71" i="13" s="1"/>
  <c r="BK71" i="13" a="1"/>
  <c r="BK71" i="13" s="1"/>
  <c r="BE71" i="13" a="1"/>
  <c r="BE71" i="13" s="1"/>
  <c r="AY71" i="13" a="1"/>
  <c r="AY71" i="13" s="1"/>
  <c r="BD71" i="15" a="1"/>
  <c r="BD71" i="15" s="1"/>
  <c r="BI71" i="13" a="1"/>
  <c r="BI71" i="13" s="1"/>
  <c r="BB71" i="13" a="1"/>
  <c r="BB71" i="13" s="1"/>
  <c r="AR71" i="13" a="1"/>
  <c r="AR71" i="13" s="1"/>
  <c r="BH71" i="13" a="1"/>
  <c r="BH71" i="13" s="1"/>
  <c r="BA71" i="13" a="1"/>
  <c r="BA71" i="13" s="1"/>
  <c r="AQ71" i="13" a="1"/>
  <c r="AQ71" i="13" s="1"/>
  <c r="BJ71" i="13" a="1"/>
  <c r="BJ71" i="13" s="1"/>
  <c r="BC71" i="13" a="1"/>
  <c r="BC71" i="13" s="1"/>
  <c r="AT71" i="13" a="1"/>
  <c r="AT71" i="13" s="1"/>
  <c r="AU71" i="13" a="1"/>
  <c r="AU71" i="13" s="1"/>
  <c r="AP71" i="13" a="1"/>
  <c r="AP71" i="13" s="1"/>
  <c r="BG71" i="13" a="1"/>
  <c r="BG71" i="13" s="1"/>
  <c r="AV71" i="13" a="1"/>
  <c r="AV71" i="13" s="1"/>
  <c r="AV71" i="15" a="1"/>
  <c r="AV71" i="15" s="1"/>
  <c r="AW71" i="13" a="1"/>
  <c r="AW71" i="13" s="1"/>
  <c r="AU71" i="16" a="1"/>
  <c r="AU71" i="16" s="1"/>
  <c r="BJ71" i="16" a="1"/>
  <c r="BJ71" i="16" s="1"/>
  <c r="BD71" i="16" a="1"/>
  <c r="BD71" i="16" s="1"/>
  <c r="AX71" i="16" a="1"/>
  <c r="AX71" i="16" s="1"/>
  <c r="AS71" i="16" a="1"/>
  <c r="AS71" i="16" s="1"/>
  <c r="BD71" i="13" a="1"/>
  <c r="BD71" i="13" s="1"/>
  <c r="AX71" i="13" a="1"/>
  <c r="AX71" i="13" s="1"/>
  <c r="BF71" i="16" a="1"/>
  <c r="BF71" i="16" s="1"/>
  <c r="AZ71" i="16" a="1"/>
  <c r="AZ71" i="16" s="1"/>
  <c r="AP71" i="16" a="1"/>
  <c r="AP71" i="16" s="1"/>
  <c r="BK71" i="16" a="1"/>
  <c r="BK71" i="16" s="1"/>
  <c r="BB71" i="16" a="1"/>
  <c r="BB71" i="16" s="1"/>
  <c r="BH71" i="16" a="1"/>
  <c r="BH71" i="16" s="1"/>
  <c r="AY71" i="16" a="1"/>
  <c r="AY71" i="16" s="1"/>
  <c r="AQ71" i="16" a="1"/>
  <c r="AQ71" i="16" s="1"/>
  <c r="BC71" i="16" a="1"/>
  <c r="BC71" i="16" s="1"/>
  <c r="AT71" i="16" a="1"/>
  <c r="AT71" i="16" s="1"/>
  <c r="BI71" i="16" a="1"/>
  <c r="BI71" i="16" s="1"/>
  <c r="AR71" i="16" a="1"/>
  <c r="AR71" i="16" s="1"/>
  <c r="BK71" i="14" a="1"/>
  <c r="BK71" i="14" s="1"/>
  <c r="AY71" i="14" a="1"/>
  <c r="AY71" i="14" s="1"/>
  <c r="AT71" i="14" a="1"/>
  <c r="AT71" i="14" s="1"/>
  <c r="BG71" i="16" a="1"/>
  <c r="BG71" i="16" s="1"/>
  <c r="BJ71" i="14" a="1"/>
  <c r="BJ71" i="14" s="1"/>
  <c r="BD71" i="14" a="1"/>
  <c r="BD71" i="14" s="1"/>
  <c r="AX71" i="14" a="1"/>
  <c r="AX71" i="14" s="1"/>
  <c r="AS71" i="14" a="1"/>
  <c r="AS71" i="14" s="1"/>
  <c r="BE71" i="16" a="1"/>
  <c r="BE71" i="16" s="1"/>
  <c r="BI71" i="14" a="1"/>
  <c r="BI71" i="14" s="1"/>
  <c r="BA71" i="16" a="1"/>
  <c r="BA71" i="16" s="1"/>
  <c r="BH71" i="14" a="1"/>
  <c r="BH71" i="14" s="1"/>
  <c r="BA71" i="14" a="1"/>
  <c r="BA71" i="14" s="1"/>
  <c r="AV71" i="16" a="1"/>
  <c r="AV71" i="16" s="1"/>
  <c r="BG71" i="14" a="1"/>
  <c r="BG71" i="14" s="1"/>
  <c r="AZ71" i="14" a="1"/>
  <c r="AZ71" i="14" s="1"/>
  <c r="AQ71" i="14" a="1"/>
  <c r="AQ71" i="14" s="1"/>
  <c r="BF71" i="14" a="1"/>
  <c r="BF71" i="14" s="1"/>
  <c r="AW71" i="14" a="1"/>
  <c r="AW71" i="14" s="1"/>
  <c r="AP71" i="14" a="1"/>
  <c r="AP71" i="14" s="1"/>
  <c r="BE71" i="14" a="1"/>
  <c r="BE71" i="14" s="1"/>
  <c r="AV71" i="14" a="1"/>
  <c r="AV71" i="14" s="1"/>
  <c r="AW71" i="16" a="1"/>
  <c r="AW71" i="16" s="1"/>
  <c r="AR71" i="14" a="1"/>
  <c r="AR71" i="14" s="1"/>
  <c r="BC71" i="14" a="1"/>
  <c r="BC71" i="14" s="1"/>
  <c r="BB71" i="14" a="1"/>
  <c r="BB71" i="14" s="1"/>
  <c r="AU71" i="14" a="1"/>
  <c r="AU71" i="14" s="1"/>
  <c r="BN75" i="12" a="1"/>
  <c r="BN75" i="12" s="1"/>
  <c r="BO75" i="12" a="1"/>
  <c r="BO75" i="12" s="1"/>
  <c r="BM75" i="12" a="1"/>
  <c r="BM75" i="12" s="1"/>
  <c r="BS75" i="12" a="1"/>
  <c r="BS75" i="12" s="1"/>
  <c r="BJ75" i="12" a="1"/>
  <c r="BJ75" i="12" s="1"/>
  <c r="BQ75" i="12" a="1"/>
  <c r="BQ75" i="12" s="1"/>
  <c r="BD75" i="12"/>
  <c r="BR75" i="12" a="1"/>
  <c r="BR75" i="12" s="1"/>
  <c r="BE75" i="12"/>
  <c r="BF75" i="12"/>
  <c r="BP75" i="12" a="1"/>
  <c r="BP75" i="12" s="1"/>
  <c r="AY75" i="12"/>
  <c r="AZ75" i="12"/>
  <c r="BK75" i="12" a="1"/>
  <c r="BK75" i="12" s="1"/>
  <c r="BG75" i="12"/>
  <c r="BH75" i="12"/>
  <c r="BB75" i="15" a="1"/>
  <c r="BB75" i="15" s="1"/>
  <c r="AP75" i="15" a="1"/>
  <c r="AP75" i="15" s="1"/>
  <c r="BH75" i="15" a="1"/>
  <c r="BH75" i="15" s="1"/>
  <c r="AV75" i="15" a="1"/>
  <c r="AV75" i="15" s="1"/>
  <c r="BA75" i="15" a="1"/>
  <c r="BA75" i="15" s="1"/>
  <c r="AU75" i="15" a="1"/>
  <c r="AU75" i="15" s="1"/>
  <c r="BG75" i="15" a="1"/>
  <c r="BG75" i="15" s="1"/>
  <c r="AT75" i="15" a="1"/>
  <c r="AT75" i="15" s="1"/>
  <c r="BC75" i="12"/>
  <c r="BC75" i="15" a="1"/>
  <c r="BC75" i="15" s="1"/>
  <c r="AQ75" i="15" a="1"/>
  <c r="AQ75" i="15" s="1"/>
  <c r="BL75" i="12" a="1"/>
  <c r="BL75" i="12" s="1"/>
  <c r="AZ75" i="15" a="1"/>
  <c r="AZ75" i="15" s="1"/>
  <c r="BK75" i="15" a="1"/>
  <c r="BK75" i="15" s="1"/>
  <c r="AY75" i="15" a="1"/>
  <c r="AY75" i="15" s="1"/>
  <c r="BB75" i="12"/>
  <c r="BD75" i="15" a="1"/>
  <c r="BD75" i="15" s="1"/>
  <c r="AR75" i="15" a="1"/>
  <c r="AR75" i="15" s="1"/>
  <c r="BA75" i="12"/>
  <c r="BE75" i="15" a="1"/>
  <c r="BE75" i="15" s="1"/>
  <c r="AX75" i="15" a="1"/>
  <c r="AX75" i="15" s="1"/>
  <c r="AW75" i="15" a="1"/>
  <c r="AW75" i="15" s="1"/>
  <c r="BF75" i="15" a="1"/>
  <c r="BF75" i="15" s="1"/>
  <c r="BH75" i="13" a="1"/>
  <c r="BH75" i="13" s="1"/>
  <c r="BB75" i="13" a="1"/>
  <c r="BB75" i="13" s="1"/>
  <c r="AW75" i="13" a="1"/>
  <c r="AW75" i="13" s="1"/>
  <c r="BG75" i="13" a="1"/>
  <c r="BG75" i="13" s="1"/>
  <c r="AV75" i="13" a="1"/>
  <c r="AV75" i="13" s="1"/>
  <c r="AQ75" i="13" a="1"/>
  <c r="AQ75" i="13" s="1"/>
  <c r="AS75" i="15" a="1"/>
  <c r="AS75" i="15" s="1"/>
  <c r="BD75" i="13" a="1"/>
  <c r="BD75" i="13" s="1"/>
  <c r="BK75" i="13" a="1"/>
  <c r="BK75" i="13" s="1"/>
  <c r="BJ75" i="13" a="1"/>
  <c r="BJ75" i="13" s="1"/>
  <c r="BC75" i="13" a="1"/>
  <c r="BC75" i="13" s="1"/>
  <c r="AU75" i="13" a="1"/>
  <c r="AU75" i="13" s="1"/>
  <c r="BI75" i="15" a="1"/>
  <c r="BI75" i="15" s="1"/>
  <c r="BE75" i="13" a="1"/>
  <c r="BE75" i="13" s="1"/>
  <c r="AX75" i="13" a="1"/>
  <c r="AX75" i="13" s="1"/>
  <c r="AP75" i="13" a="1"/>
  <c r="AP75" i="13" s="1"/>
  <c r="AY75" i="13" a="1"/>
  <c r="AY75" i="13" s="1"/>
  <c r="BI75" i="13" a="1"/>
  <c r="BI75" i="13" s="1"/>
  <c r="AT75" i="13" a="1"/>
  <c r="AT75" i="13" s="1"/>
  <c r="AS75" i="13" a="1"/>
  <c r="AS75" i="13" s="1"/>
  <c r="AZ75" i="13" a="1"/>
  <c r="AZ75" i="13" s="1"/>
  <c r="BE75" i="16" a="1"/>
  <c r="BE75" i="16" s="1"/>
  <c r="AT75" i="16" a="1"/>
  <c r="AT75" i="16" s="1"/>
  <c r="AR75" i="13" a="1"/>
  <c r="AR75" i="13" s="1"/>
  <c r="BJ75" i="16" a="1"/>
  <c r="BJ75" i="16" s="1"/>
  <c r="BD75" i="16" a="1"/>
  <c r="BD75" i="16" s="1"/>
  <c r="AX75" i="16" a="1"/>
  <c r="AX75" i="16" s="1"/>
  <c r="AS75" i="16" a="1"/>
  <c r="AS75" i="16" s="1"/>
  <c r="BJ75" i="15" a="1"/>
  <c r="BJ75" i="15" s="1"/>
  <c r="BF75" i="13" a="1"/>
  <c r="BF75" i="13" s="1"/>
  <c r="BA75" i="13" a="1"/>
  <c r="BA75" i="13" s="1"/>
  <c r="BF75" i="16" a="1"/>
  <c r="BF75" i="16" s="1"/>
  <c r="AZ75" i="16" a="1"/>
  <c r="AZ75" i="16" s="1"/>
  <c r="AU75" i="16" a="1"/>
  <c r="AU75" i="16" s="1"/>
  <c r="BK75" i="16" a="1"/>
  <c r="BK75" i="16" s="1"/>
  <c r="BB75" i="16" a="1"/>
  <c r="BB75" i="16" s="1"/>
  <c r="AR75" i="16" a="1"/>
  <c r="AR75" i="16" s="1"/>
  <c r="AY75" i="16" a="1"/>
  <c r="AY75" i="16" s="1"/>
  <c r="AQ75" i="16" a="1"/>
  <c r="AQ75" i="16" s="1"/>
  <c r="BH75" i="16" a="1"/>
  <c r="BH75" i="16" s="1"/>
  <c r="AP75" i="16" a="1"/>
  <c r="AP75" i="16" s="1"/>
  <c r="BC75" i="16" a="1"/>
  <c r="BC75" i="16" s="1"/>
  <c r="BI75" i="16" a="1"/>
  <c r="BI75" i="16" s="1"/>
  <c r="BJ75" i="14" a="1"/>
  <c r="BJ75" i="14" s="1"/>
  <c r="BD75" i="14" a="1"/>
  <c r="BD75" i="14" s="1"/>
  <c r="AY75" i="14" a="1"/>
  <c r="AY75" i="14" s="1"/>
  <c r="AS75" i="14" a="1"/>
  <c r="AS75" i="14" s="1"/>
  <c r="BG75" i="16" a="1"/>
  <c r="BG75" i="16" s="1"/>
  <c r="BI75" i="14" a="1"/>
  <c r="BI75" i="14" s="1"/>
  <c r="AX75" i="14" a="1"/>
  <c r="AX75" i="14" s="1"/>
  <c r="AR75" i="14" a="1"/>
  <c r="AR75" i="14" s="1"/>
  <c r="BC75" i="14" a="1"/>
  <c r="BC75" i="14" s="1"/>
  <c r="BA75" i="16" a="1"/>
  <c r="BA75" i="16" s="1"/>
  <c r="BF75" i="14" a="1"/>
  <c r="BF75" i="14" s="1"/>
  <c r="AV75" i="14" a="1"/>
  <c r="AV75" i="14" s="1"/>
  <c r="BE75" i="14" a="1"/>
  <c r="BE75" i="14" s="1"/>
  <c r="BB75" i="14" a="1"/>
  <c r="BB75" i="14" s="1"/>
  <c r="AU75" i="14" a="1"/>
  <c r="AU75" i="14" s="1"/>
  <c r="AW75" i="16" a="1"/>
  <c r="AW75" i="16" s="1"/>
  <c r="BK75" i="14" a="1"/>
  <c r="BK75" i="14" s="1"/>
  <c r="BA75" i="14" a="1"/>
  <c r="BA75" i="14" s="1"/>
  <c r="AT75" i="14" a="1"/>
  <c r="AT75" i="14" s="1"/>
  <c r="AV75" i="16" a="1"/>
  <c r="AV75" i="16" s="1"/>
  <c r="AQ75" i="14" a="1"/>
  <c r="AQ75" i="14" s="1"/>
  <c r="BH75" i="14" a="1"/>
  <c r="BH75" i="14" s="1"/>
  <c r="BG75" i="14" a="1"/>
  <c r="BG75" i="14" s="1"/>
  <c r="AW75" i="14" a="1"/>
  <c r="AW75" i="14" s="1"/>
  <c r="AP75" i="14" a="1"/>
  <c r="AP75" i="14" s="1"/>
  <c r="AZ75" i="14" a="1"/>
  <c r="AZ75" i="14" s="1"/>
  <c r="BL79" i="12" a="1"/>
  <c r="BL79" i="12" s="1"/>
  <c r="BR79" i="12" a="1"/>
  <c r="BR79" i="12" s="1"/>
  <c r="BS79" i="12" a="1"/>
  <c r="BS79" i="12" s="1"/>
  <c r="BM79" i="12" a="1"/>
  <c r="BM79" i="12" s="1"/>
  <c r="BP79" i="12" a="1"/>
  <c r="BP79" i="12" s="1"/>
  <c r="BD79" i="12"/>
  <c r="BQ79" i="12" a="1"/>
  <c r="BQ79" i="12" s="1"/>
  <c r="BE79" i="12"/>
  <c r="BF79" i="12"/>
  <c r="BH79" i="12"/>
  <c r="BG79" i="15" a="1"/>
  <c r="BG79" i="15" s="1"/>
  <c r="AZ79" i="15" a="1"/>
  <c r="AZ79" i="15" s="1"/>
  <c r="BJ79" i="12" a="1"/>
  <c r="BJ79" i="12" s="1"/>
  <c r="AT79" i="15" a="1"/>
  <c r="AT79" i="15" s="1"/>
  <c r="BK79" i="12" a="1"/>
  <c r="BK79" i="12" s="1"/>
  <c r="AY79" i="12"/>
  <c r="BF79" i="15" a="1"/>
  <c r="BF79" i="15" s="1"/>
  <c r="AY79" i="15" a="1"/>
  <c r="AY79" i="15" s="1"/>
  <c r="AS79" i="15" a="1"/>
  <c r="AS79" i="15" s="1"/>
  <c r="BC79" i="12"/>
  <c r="BC79" i="15" a="1"/>
  <c r="BC79" i="15" s="1"/>
  <c r="BN79" i="12" a="1"/>
  <c r="BN79" i="12" s="1"/>
  <c r="AZ79" i="12"/>
  <c r="BK79" i="15" a="1"/>
  <c r="BK79" i="15" s="1"/>
  <c r="BB79" i="15" a="1"/>
  <c r="BB79" i="15" s="1"/>
  <c r="AR79" i="15" a="1"/>
  <c r="AR79" i="15" s="1"/>
  <c r="BO79" i="12" a="1"/>
  <c r="BO79" i="12" s="1"/>
  <c r="BA79" i="12"/>
  <c r="BJ79" i="15" a="1"/>
  <c r="BJ79" i="15" s="1"/>
  <c r="BA79" i="15" a="1"/>
  <c r="BA79" i="15" s="1"/>
  <c r="AQ79" i="15" a="1"/>
  <c r="AQ79" i="15" s="1"/>
  <c r="BB79" i="12"/>
  <c r="BI79" i="15" a="1"/>
  <c r="BI79" i="15" s="1"/>
  <c r="AP79" i="15" a="1"/>
  <c r="AP79" i="15" s="1"/>
  <c r="BD79" i="15" a="1"/>
  <c r="BD79" i="15" s="1"/>
  <c r="AX79" i="15" a="1"/>
  <c r="AX79" i="15" s="1"/>
  <c r="AW79" i="15" a="1"/>
  <c r="AW79" i="15" s="1"/>
  <c r="BE79" i="15" a="1"/>
  <c r="BE79" i="15" s="1"/>
  <c r="AV79" i="15" a="1"/>
  <c r="AV79" i="15" s="1"/>
  <c r="AU79" i="15" a="1"/>
  <c r="AU79" i="15" s="1"/>
  <c r="BH79" i="15" a="1"/>
  <c r="BH79" i="15" s="1"/>
  <c r="BG79" i="13" a="1"/>
  <c r="BG79" i="13" s="1"/>
  <c r="BA79" i="13" a="1"/>
  <c r="BA79" i="13" s="1"/>
  <c r="AU79" i="13" a="1"/>
  <c r="AU79" i="13" s="1"/>
  <c r="BF79" i="13" a="1"/>
  <c r="BF79" i="13" s="1"/>
  <c r="AT79" i="13" a="1"/>
  <c r="AT79" i="13" s="1"/>
  <c r="AY79" i="13" a="1"/>
  <c r="AY79" i="13" s="1"/>
  <c r="AR79" i="13" a="1"/>
  <c r="AR79" i="13" s="1"/>
  <c r="BC79" i="13" a="1"/>
  <c r="BC79" i="13" s="1"/>
  <c r="AS79" i="13" a="1"/>
  <c r="AS79" i="13" s="1"/>
  <c r="BG79" i="12"/>
  <c r="AQ79" i="13" a="1"/>
  <c r="AQ79" i="13" s="1"/>
  <c r="BK79" i="13" a="1"/>
  <c r="BK79" i="13" s="1"/>
  <c r="BB79" i="13" a="1"/>
  <c r="BB79" i="13" s="1"/>
  <c r="BD79" i="13" a="1"/>
  <c r="BD79" i="13" s="1"/>
  <c r="BE79" i="13" a="1"/>
  <c r="BE79" i="13" s="1"/>
  <c r="AZ79" i="13" a="1"/>
  <c r="AZ79" i="13" s="1"/>
  <c r="AX79" i="13" a="1"/>
  <c r="AX79" i="13" s="1"/>
  <c r="BH79" i="13" a="1"/>
  <c r="BH79" i="13" s="1"/>
  <c r="BH79" i="16" a="1"/>
  <c r="BH79" i="16" s="1"/>
  <c r="AV79" i="16" a="1"/>
  <c r="AV79" i="16" s="1"/>
  <c r="BG79" i="16" a="1"/>
  <c r="BG79" i="16" s="1"/>
  <c r="BA79" i="16" a="1"/>
  <c r="BA79" i="16" s="1"/>
  <c r="AT79" i="16" a="1"/>
  <c r="AT79" i="16" s="1"/>
  <c r="BI79" i="13" a="1"/>
  <c r="BI79" i="13" s="1"/>
  <c r="AW79" i="13" a="1"/>
  <c r="AW79" i="13" s="1"/>
  <c r="AV79" i="13" a="1"/>
  <c r="AV79" i="13" s="1"/>
  <c r="AP79" i="13" a="1"/>
  <c r="AP79" i="13" s="1"/>
  <c r="BI79" i="16" a="1"/>
  <c r="BI79" i="16" s="1"/>
  <c r="BC79" i="16" a="1"/>
  <c r="BC79" i="16" s="1"/>
  <c r="AW79" i="16" a="1"/>
  <c r="AW79" i="16" s="1"/>
  <c r="AP79" i="16" a="1"/>
  <c r="AP79" i="16" s="1"/>
  <c r="BF79" i="16" a="1"/>
  <c r="BF79" i="16" s="1"/>
  <c r="AX79" i="16" a="1"/>
  <c r="AX79" i="16" s="1"/>
  <c r="BD79" i="16" a="1"/>
  <c r="BD79" i="16" s="1"/>
  <c r="AS79" i="16" a="1"/>
  <c r="AS79" i="16" s="1"/>
  <c r="AR79" i="16" a="1"/>
  <c r="AR79" i="16" s="1"/>
  <c r="BJ79" i="13" a="1"/>
  <c r="BJ79" i="13" s="1"/>
  <c r="BE79" i="16" a="1"/>
  <c r="BE79" i="16" s="1"/>
  <c r="BE79" i="14" a="1"/>
  <c r="BE79" i="14" s="1"/>
  <c r="AX79" i="14" a="1"/>
  <c r="AX79" i="14" s="1"/>
  <c r="AQ79" i="14" a="1"/>
  <c r="AQ79" i="14" s="1"/>
  <c r="BB79" i="16" a="1"/>
  <c r="BB79" i="16" s="1"/>
  <c r="BD79" i="14" a="1"/>
  <c r="BD79" i="14" s="1"/>
  <c r="AW79" i="14" a="1"/>
  <c r="AW79" i="14" s="1"/>
  <c r="AP79" i="14" a="1"/>
  <c r="AP79" i="14" s="1"/>
  <c r="AZ79" i="16" a="1"/>
  <c r="AZ79" i="16" s="1"/>
  <c r="BK79" i="14" a="1"/>
  <c r="BK79" i="14" s="1"/>
  <c r="BC79" i="14" a="1"/>
  <c r="BC79" i="14" s="1"/>
  <c r="AV79" i="14" a="1"/>
  <c r="AV79" i="14" s="1"/>
  <c r="AU79" i="16" a="1"/>
  <c r="AU79" i="16" s="1"/>
  <c r="BK79" i="16" a="1"/>
  <c r="BK79" i="16" s="1"/>
  <c r="BI79" i="14" a="1"/>
  <c r="BI79" i="14" s="1"/>
  <c r="AY79" i="14" a="1"/>
  <c r="AY79" i="14" s="1"/>
  <c r="BJ79" i="16" a="1"/>
  <c r="BJ79" i="16" s="1"/>
  <c r="BH79" i="14" a="1"/>
  <c r="BH79" i="14" s="1"/>
  <c r="AU79" i="14" a="1"/>
  <c r="AU79" i="14" s="1"/>
  <c r="AY79" i="16" a="1"/>
  <c r="AY79" i="16" s="1"/>
  <c r="BG79" i="14" a="1"/>
  <c r="BG79" i="14" s="1"/>
  <c r="AT79" i="14" a="1"/>
  <c r="AT79" i="14" s="1"/>
  <c r="AQ79" i="16" a="1"/>
  <c r="AQ79" i="16" s="1"/>
  <c r="BF79" i="14" a="1"/>
  <c r="BF79" i="14" s="1"/>
  <c r="AS79" i="14" a="1"/>
  <c r="AS79" i="14" s="1"/>
  <c r="BB79" i="14" a="1"/>
  <c r="BB79" i="14" s="1"/>
  <c r="AR79" i="14" a="1"/>
  <c r="AR79" i="14" s="1"/>
  <c r="BJ79" i="14" a="1"/>
  <c r="BJ79" i="14" s="1"/>
  <c r="AZ79" i="14" a="1"/>
  <c r="AZ79" i="14" s="1"/>
  <c r="BA79" i="14" a="1"/>
  <c r="BA79" i="14" s="1"/>
  <c r="BL83" i="12" a="1"/>
  <c r="BL83" i="12" s="1"/>
  <c r="BR83" i="12" a="1"/>
  <c r="BR83" i="12" s="1"/>
  <c r="BM83" i="12" a="1"/>
  <c r="BM83" i="12" s="1"/>
  <c r="BS83" i="12" a="1"/>
  <c r="BS83" i="12" s="1"/>
  <c r="BQ83" i="12" a="1"/>
  <c r="BQ83" i="12" s="1"/>
  <c r="BD83" i="12"/>
  <c r="BE83" i="12"/>
  <c r="BJ83" i="12" a="1"/>
  <c r="BJ83" i="12" s="1"/>
  <c r="H83" i="1" s="1"/>
  <c r="BF83" i="12"/>
  <c r="BK83" i="12" a="1"/>
  <c r="BK83" i="12" s="1"/>
  <c r="BG83" i="12"/>
  <c r="BJ83" i="15" a="1"/>
  <c r="BJ83" i="15" s="1"/>
  <c r="BC83" i="15" a="1"/>
  <c r="BC83" i="15" s="1"/>
  <c r="AV83" i="15" a="1"/>
  <c r="AV83" i="15" s="1"/>
  <c r="AP83" i="15" a="1"/>
  <c r="AP83" i="15" s="1"/>
  <c r="BN83" i="12" a="1"/>
  <c r="BN83" i="12" s="1"/>
  <c r="BH83" i="12"/>
  <c r="BI83" i="15" a="1"/>
  <c r="BI83" i="15" s="1"/>
  <c r="BB83" i="15" a="1"/>
  <c r="BB83" i="15" s="1"/>
  <c r="AU83" i="15" a="1"/>
  <c r="AU83" i="15" s="1"/>
  <c r="BO83" i="12" a="1"/>
  <c r="BO83" i="12" s="1"/>
  <c r="BH83" i="15" a="1"/>
  <c r="BH83" i="15" s="1"/>
  <c r="BA83" i="15" a="1"/>
  <c r="BA83" i="15" s="1"/>
  <c r="BB83" i="12"/>
  <c r="BC83" i="12"/>
  <c r="BG83" i="15" a="1"/>
  <c r="BG83" i="15" s="1"/>
  <c r="AW83" i="15" a="1"/>
  <c r="AW83" i="15" s="1"/>
  <c r="BP83" i="12" a="1"/>
  <c r="BP83" i="12" s="1"/>
  <c r="BF83" i="15" a="1"/>
  <c r="BF83" i="15" s="1"/>
  <c r="AT83" i="15" a="1"/>
  <c r="AT83" i="15" s="1"/>
  <c r="BE83" i="15" a="1"/>
  <c r="BE83" i="15" s="1"/>
  <c r="AS83" i="15" a="1"/>
  <c r="AS83" i="15" s="1"/>
  <c r="AX83" i="15" a="1"/>
  <c r="AX83" i="15" s="1"/>
  <c r="AY83" i="12"/>
  <c r="AR83" i="15" a="1"/>
  <c r="AR83" i="15" s="1"/>
  <c r="AY83" i="15" a="1"/>
  <c r="AY83" i="15" s="1"/>
  <c r="AZ83" i="15" a="1"/>
  <c r="AZ83" i="15" s="1"/>
  <c r="AQ83" i="15" a="1"/>
  <c r="AQ83" i="15" s="1"/>
  <c r="BD83" i="15" a="1"/>
  <c r="BD83" i="15" s="1"/>
  <c r="BK83" i="13" a="1"/>
  <c r="BK83" i="13" s="1"/>
  <c r="BF83" i="13" a="1"/>
  <c r="BF83" i="13" s="1"/>
  <c r="AZ83" i="13" a="1"/>
  <c r="AZ83" i="13" s="1"/>
  <c r="AT83" i="13" a="1"/>
  <c r="AT83" i="13" s="1"/>
  <c r="AZ83" i="12"/>
  <c r="BK83" i="15" a="1"/>
  <c r="BK83" i="15" s="1"/>
  <c r="BE83" i="13" a="1"/>
  <c r="BE83" i="13" s="1"/>
  <c r="AY83" i="13" a="1"/>
  <c r="AY83" i="13" s="1"/>
  <c r="AS83" i="13" a="1"/>
  <c r="AS83" i="13" s="1"/>
  <c r="BA83" i="12"/>
  <c r="BI83" i="13" a="1"/>
  <c r="BI83" i="13" s="1"/>
  <c r="AX83" i="13" a="1"/>
  <c r="AX83" i="13" s="1"/>
  <c r="BD83" i="13" a="1"/>
  <c r="BD83" i="13" s="1"/>
  <c r="AV83" i="13" a="1"/>
  <c r="AV83" i="13" s="1"/>
  <c r="BC83" i="13" a="1"/>
  <c r="BC83" i="13" s="1"/>
  <c r="AU83" i="13" a="1"/>
  <c r="AU83" i="13" s="1"/>
  <c r="BB83" i="13" a="1"/>
  <c r="BB83" i="13" s="1"/>
  <c r="AR83" i="13" a="1"/>
  <c r="AR83" i="13" s="1"/>
  <c r="AW83" i="13" a="1"/>
  <c r="AW83" i="13" s="1"/>
  <c r="BJ83" i="13" a="1"/>
  <c r="BJ83" i="13" s="1"/>
  <c r="AQ83" i="13" a="1"/>
  <c r="AQ83" i="13" s="1"/>
  <c r="AP83" i="13" a="1"/>
  <c r="AP83" i="13" s="1"/>
  <c r="BG83" i="16" a="1"/>
  <c r="BG83" i="16" s="1"/>
  <c r="BA83" i="16" a="1"/>
  <c r="BA83" i="16" s="1"/>
  <c r="AT83" i="16" a="1"/>
  <c r="AT83" i="16" s="1"/>
  <c r="BH83" i="13" a="1"/>
  <c r="BH83" i="13" s="1"/>
  <c r="BG83" i="13" a="1"/>
  <c r="BG83" i="13" s="1"/>
  <c r="BF83" i="16" a="1"/>
  <c r="BF83" i="16" s="1"/>
  <c r="AY83" i="16" a="1"/>
  <c r="AY83" i="16" s="1"/>
  <c r="BI83" i="16" a="1"/>
  <c r="BI83" i="16" s="1"/>
  <c r="BC83" i="16" a="1"/>
  <c r="BC83" i="16" s="1"/>
  <c r="AV83" i="16" a="1"/>
  <c r="AV83" i="16" s="1"/>
  <c r="BH83" i="16" a="1"/>
  <c r="BH83" i="16" s="1"/>
  <c r="BB83" i="16" a="1"/>
  <c r="BB83" i="16" s="1"/>
  <c r="AU83" i="16" a="1"/>
  <c r="AU83" i="16" s="1"/>
  <c r="BD83" i="16" a="1"/>
  <c r="BD83" i="16" s="1"/>
  <c r="AQ83" i="16" a="1"/>
  <c r="AQ83" i="16" s="1"/>
  <c r="BA83" i="13" a="1"/>
  <c r="BA83" i="13" s="1"/>
  <c r="AZ83" i="16" a="1"/>
  <c r="AZ83" i="16" s="1"/>
  <c r="BK83" i="16" a="1"/>
  <c r="BK83" i="16" s="1"/>
  <c r="AX83" i="16" a="1"/>
  <c r="AX83" i="16" s="1"/>
  <c r="BE83" i="16" a="1"/>
  <c r="BE83" i="16" s="1"/>
  <c r="AR83" i="16" a="1"/>
  <c r="AR83" i="16" s="1"/>
  <c r="AP83" i="16" a="1"/>
  <c r="AP83" i="16" s="1"/>
  <c r="BH83" i="14" a="1"/>
  <c r="BH83" i="14" s="1"/>
  <c r="AT83" i="14" a="1"/>
  <c r="AT83" i="14" s="1"/>
  <c r="BG83" i="14" a="1"/>
  <c r="BG83" i="14" s="1"/>
  <c r="AZ83" i="14" a="1"/>
  <c r="AZ83" i="14" s="1"/>
  <c r="AS83" i="14" a="1"/>
  <c r="AS83" i="14" s="1"/>
  <c r="BJ83" i="16" a="1"/>
  <c r="BJ83" i="16" s="1"/>
  <c r="BF83" i="14" a="1"/>
  <c r="BF83" i="14" s="1"/>
  <c r="AY83" i="14" a="1"/>
  <c r="AY83" i="14" s="1"/>
  <c r="AR83" i="14" a="1"/>
  <c r="AR83" i="14" s="1"/>
  <c r="BK83" i="14" a="1"/>
  <c r="BK83" i="14" s="1"/>
  <c r="BD83" i="14" a="1"/>
  <c r="BD83" i="14" s="1"/>
  <c r="AW83" i="14" a="1"/>
  <c r="AW83" i="14" s="1"/>
  <c r="AQ83" i="14" a="1"/>
  <c r="AQ83" i="14" s="1"/>
  <c r="AS83" i="16" a="1"/>
  <c r="AS83" i="16" s="1"/>
  <c r="BJ83" i="14" a="1"/>
  <c r="BJ83" i="14" s="1"/>
  <c r="AV83" i="14" a="1"/>
  <c r="AV83" i="14" s="1"/>
  <c r="BI83" i="14" a="1"/>
  <c r="BI83" i="14" s="1"/>
  <c r="AU83" i="14" a="1"/>
  <c r="AU83" i="14" s="1"/>
  <c r="BE83" i="14" a="1"/>
  <c r="BE83" i="14" s="1"/>
  <c r="BC83" i="14" a="1"/>
  <c r="BC83" i="14" s="1"/>
  <c r="AP83" i="14" a="1"/>
  <c r="AP83" i="14" s="1"/>
  <c r="BB83" i="14" a="1"/>
  <c r="BB83" i="14" s="1"/>
  <c r="BA83" i="14" a="1"/>
  <c r="BA83" i="14" s="1"/>
  <c r="AW83" i="16" a="1"/>
  <c r="AW83" i="16" s="1"/>
  <c r="AX83" i="14" a="1"/>
  <c r="AX83" i="14" s="1"/>
  <c r="BS87" i="12" a="1"/>
  <c r="BS87" i="12" s="1"/>
  <c r="BM87" i="12" a="1"/>
  <c r="BM87" i="12" s="1"/>
  <c r="BN87" i="12" a="1"/>
  <c r="BN87" i="12" s="1"/>
  <c r="BK87" i="12" a="1"/>
  <c r="BK87" i="12" s="1"/>
  <c r="BD87" i="12"/>
  <c r="BL87" i="12" a="1"/>
  <c r="BL87" i="12" s="1"/>
  <c r="BE87" i="12"/>
  <c r="BO87" i="12" a="1"/>
  <c r="BO87" i="12" s="1"/>
  <c r="BF87" i="12"/>
  <c r="BP87" i="12" a="1"/>
  <c r="BP87" i="12" s="1"/>
  <c r="BJ87" i="12" a="1"/>
  <c r="BJ87" i="12" s="1"/>
  <c r="BC87" i="12"/>
  <c r="BI87" i="15" a="1"/>
  <c r="BI87" i="15" s="1"/>
  <c r="BB87" i="15" a="1"/>
  <c r="BB87" i="15" s="1"/>
  <c r="AP87" i="15" a="1"/>
  <c r="AP87" i="15" s="1"/>
  <c r="BQ87" i="12" a="1"/>
  <c r="BQ87" i="12" s="1"/>
  <c r="BG87" i="12"/>
  <c r="BH87" i="15" a="1"/>
  <c r="BH87" i="15" s="1"/>
  <c r="BA87" i="15" a="1"/>
  <c r="BA87" i="15" s="1"/>
  <c r="AU87" i="15" a="1"/>
  <c r="AU87" i="15" s="1"/>
  <c r="BH87" i="12"/>
  <c r="BG87" i="15" a="1"/>
  <c r="BG87" i="15" s="1"/>
  <c r="AT87" i="15" a="1"/>
  <c r="AT87" i="15" s="1"/>
  <c r="BA87" i="12"/>
  <c r="BK87" i="15" a="1"/>
  <c r="BK87" i="15" s="1"/>
  <c r="BD87" i="15" a="1"/>
  <c r="BD87" i="15" s="1"/>
  <c r="AW87" i="15" a="1"/>
  <c r="AW87" i="15" s="1"/>
  <c r="BJ87" i="15" a="1"/>
  <c r="BJ87" i="15" s="1"/>
  <c r="AV87" i="15" a="1"/>
  <c r="AV87" i="15" s="1"/>
  <c r="BR87" i="12" a="1"/>
  <c r="BR87" i="12" s="1"/>
  <c r="BF87" i="15" a="1"/>
  <c r="BF87" i="15" s="1"/>
  <c r="AS87" i="15" a="1"/>
  <c r="AS87" i="15" s="1"/>
  <c r="AY87" i="12"/>
  <c r="BE87" i="15" a="1"/>
  <c r="BE87" i="15" s="1"/>
  <c r="AZ87" i="12"/>
  <c r="AR87" i="15" a="1"/>
  <c r="AR87" i="15" s="1"/>
  <c r="AX87" i="15" a="1"/>
  <c r="AX87" i="15" s="1"/>
  <c r="BB87" i="12"/>
  <c r="AQ87" i="15" a="1"/>
  <c r="AQ87" i="15" s="1"/>
  <c r="AY87" i="15" a="1"/>
  <c r="AY87" i="15" s="1"/>
  <c r="AZ87" i="15" a="1"/>
  <c r="AZ87" i="15" s="1"/>
  <c r="BH87" i="13" a="1"/>
  <c r="BH87" i="13" s="1"/>
  <c r="BB87" i="13" a="1"/>
  <c r="BB87" i="13" s="1"/>
  <c r="AP87" i="13" a="1"/>
  <c r="AP87" i="13" s="1"/>
  <c r="BG87" i="13" a="1"/>
  <c r="BG87" i="13" s="1"/>
  <c r="BA87" i="13" a="1"/>
  <c r="BA87" i="13" s="1"/>
  <c r="AU87" i="13" a="1"/>
  <c r="AU87" i="13" s="1"/>
  <c r="BC87" i="15" a="1"/>
  <c r="BC87" i="15" s="1"/>
  <c r="BK87" i="13" a="1"/>
  <c r="BK87" i="13" s="1"/>
  <c r="BC87" i="13" a="1"/>
  <c r="BC87" i="13" s="1"/>
  <c r="AS87" i="13" a="1"/>
  <c r="AS87" i="13" s="1"/>
  <c r="BJ87" i="13" a="1"/>
  <c r="BJ87" i="13" s="1"/>
  <c r="AY87" i="13" a="1"/>
  <c r="AY87" i="13" s="1"/>
  <c r="BF87" i="13" a="1"/>
  <c r="BF87" i="13" s="1"/>
  <c r="AX87" i="13" a="1"/>
  <c r="AX87" i="13" s="1"/>
  <c r="AW87" i="13" a="1"/>
  <c r="AW87" i="13" s="1"/>
  <c r="AV87" i="13" a="1"/>
  <c r="AV87" i="13" s="1"/>
  <c r="AZ87" i="13" a="1"/>
  <c r="AZ87" i="13" s="1"/>
  <c r="BI87" i="13" a="1"/>
  <c r="BI87" i="13" s="1"/>
  <c r="BE87" i="13" a="1"/>
  <c r="BE87" i="13" s="1"/>
  <c r="AQ87" i="13" a="1"/>
  <c r="AQ87" i="13" s="1"/>
  <c r="BK87" i="16" a="1"/>
  <c r="BK87" i="16" s="1"/>
  <c r="BD87" i="16" a="1"/>
  <c r="BD87" i="16" s="1"/>
  <c r="AW87" i="16" a="1"/>
  <c r="AW87" i="16" s="1"/>
  <c r="BD87" i="13" a="1"/>
  <c r="BD87" i="13" s="1"/>
  <c r="BI87" i="16" a="1"/>
  <c r="BI87" i="16" s="1"/>
  <c r="BB87" i="16" a="1"/>
  <c r="BB87" i="16" s="1"/>
  <c r="AP87" i="16" a="1"/>
  <c r="AP87" i="16" s="1"/>
  <c r="AR87" i="13" a="1"/>
  <c r="AR87" i="13" s="1"/>
  <c r="BE87" i="16" a="1"/>
  <c r="BE87" i="16" s="1"/>
  <c r="AY87" i="16" a="1"/>
  <c r="AY87" i="16" s="1"/>
  <c r="AX87" i="16" a="1"/>
  <c r="AX87" i="16" s="1"/>
  <c r="AR87" i="16" a="1"/>
  <c r="AR87" i="16" s="1"/>
  <c r="AT87" i="13" a="1"/>
  <c r="AT87" i="13" s="1"/>
  <c r="BJ87" i="16" a="1"/>
  <c r="BJ87" i="16" s="1"/>
  <c r="AV87" i="16" a="1"/>
  <c r="AV87" i="16" s="1"/>
  <c r="BH87" i="16" a="1"/>
  <c r="BH87" i="16" s="1"/>
  <c r="AU87" i="16" a="1"/>
  <c r="AU87" i="16" s="1"/>
  <c r="BA87" i="16" a="1"/>
  <c r="BA87" i="16" s="1"/>
  <c r="AZ87" i="16" a="1"/>
  <c r="AZ87" i="16" s="1"/>
  <c r="BI87" i="14" a="1"/>
  <c r="BI87" i="14" s="1"/>
  <c r="BC87" i="14" a="1"/>
  <c r="BC87" i="14" s="1"/>
  <c r="AT87" i="16" a="1"/>
  <c r="AT87" i="16" s="1"/>
  <c r="BB87" i="14" a="1"/>
  <c r="BB87" i="14" s="1"/>
  <c r="AV87" i="14" a="1"/>
  <c r="AV87" i="14" s="1"/>
  <c r="AP87" i="14" a="1"/>
  <c r="AP87" i="14" s="1"/>
  <c r="AS87" i="16" a="1"/>
  <c r="AS87" i="16" s="1"/>
  <c r="BH87" i="14" a="1"/>
  <c r="BH87" i="14" s="1"/>
  <c r="BA87" i="14" a="1"/>
  <c r="BA87" i="14" s="1"/>
  <c r="AQ87" i="16" a="1"/>
  <c r="AQ87" i="16" s="1"/>
  <c r="BF87" i="14" a="1"/>
  <c r="BF87" i="14" s="1"/>
  <c r="AT87" i="14" a="1"/>
  <c r="AT87" i="14" s="1"/>
  <c r="BK87" i="14" a="1"/>
  <c r="BK87" i="14" s="1"/>
  <c r="AX87" i="14" a="1"/>
  <c r="AX87" i="14" s="1"/>
  <c r="BJ87" i="14" a="1"/>
  <c r="BJ87" i="14" s="1"/>
  <c r="AW87" i="14" a="1"/>
  <c r="AW87" i="14" s="1"/>
  <c r="BG87" i="16" a="1"/>
  <c r="BG87" i="16" s="1"/>
  <c r="BG87" i="14" a="1"/>
  <c r="BG87" i="14" s="1"/>
  <c r="AU87" i="14" a="1"/>
  <c r="AU87" i="14" s="1"/>
  <c r="BF87" i="16" a="1"/>
  <c r="BF87" i="16" s="1"/>
  <c r="BE87" i="14" a="1"/>
  <c r="BE87" i="14" s="1"/>
  <c r="AS87" i="14" a="1"/>
  <c r="AS87" i="14" s="1"/>
  <c r="BC87" i="16" a="1"/>
  <c r="BC87" i="16" s="1"/>
  <c r="AR87" i="14" a="1"/>
  <c r="AR87" i="14" s="1"/>
  <c r="BD87" i="14" a="1"/>
  <c r="BD87" i="14" s="1"/>
  <c r="AQ87" i="14" a="1"/>
  <c r="AQ87" i="14" s="1"/>
  <c r="AZ87" i="14" a="1"/>
  <c r="AZ87" i="14" s="1"/>
  <c r="AY87" i="14" a="1"/>
  <c r="AY87" i="14" s="1"/>
  <c r="BK11" i="15" a="1"/>
  <c r="BK11" i="15" s="1"/>
  <c r="BD11" i="15" a="1"/>
  <c r="BD11" i="15" s="1"/>
  <c r="AW11" i="15" a="1"/>
  <c r="AW11" i="15" s="1"/>
  <c r="BJ11" i="15" a="1"/>
  <c r="BJ11" i="15" s="1"/>
  <c r="BC11" i="15" a="1"/>
  <c r="BC11" i="15" s="1"/>
  <c r="AV11" i="15" a="1"/>
  <c r="AV11" i="15" s="1"/>
  <c r="BI11" i="15" a="1"/>
  <c r="BI11" i="15" s="1"/>
  <c r="BB11" i="15" a="1"/>
  <c r="BB11" i="15" s="1"/>
  <c r="AU11" i="15" a="1"/>
  <c r="AU11" i="15" s="1"/>
  <c r="AX11" i="15" a="1"/>
  <c r="AX11" i="15" s="1"/>
  <c r="AP11" i="15" a="1"/>
  <c r="AP11" i="15" s="1"/>
  <c r="BG11" i="15" a="1"/>
  <c r="BG11" i="15" s="1"/>
  <c r="AS11" i="15" a="1"/>
  <c r="AS11" i="15" s="1"/>
  <c r="BF11" i="15" a="1"/>
  <c r="BF11" i="15" s="1"/>
  <c r="AR11" i="15" a="1"/>
  <c r="AR11" i="15" s="1"/>
  <c r="BE11" i="15" a="1"/>
  <c r="BE11" i="15" s="1"/>
  <c r="AQ11" i="15" a="1"/>
  <c r="AQ11" i="15" s="1"/>
  <c r="BA11" i="15" a="1"/>
  <c r="BA11" i="15" s="1"/>
  <c r="AZ11" i="15" a="1"/>
  <c r="AZ11" i="15" s="1"/>
  <c r="BH11" i="15" a="1"/>
  <c r="BH11" i="15" s="1"/>
  <c r="AY11" i="15" a="1"/>
  <c r="AY11" i="15" s="1"/>
  <c r="AT11" i="15" a="1"/>
  <c r="AT11" i="15" s="1"/>
  <c r="BF11" i="13" a="1"/>
  <c r="BF11" i="13" s="1"/>
  <c r="BI11" i="16" a="1"/>
  <c r="BI11" i="16" s="1"/>
  <c r="BB11" i="16" a="1"/>
  <c r="BB11" i="16" s="1"/>
  <c r="AV11" i="16" a="1"/>
  <c r="AV11" i="16" s="1"/>
  <c r="BF11" i="16" a="1"/>
  <c r="BF11" i="16" s="1"/>
  <c r="BE11" i="16" a="1"/>
  <c r="BE11" i="16" s="1"/>
  <c r="AX11" i="16" a="1"/>
  <c r="AX11" i="16" s="1"/>
  <c r="AP11" i="16" a="1"/>
  <c r="AP11" i="16" s="1"/>
  <c r="BD11" i="16" a="1"/>
  <c r="BD11" i="16" s="1"/>
  <c r="AW11" i="16" a="1"/>
  <c r="AW11" i="16" s="1"/>
  <c r="BJ11" i="16" a="1"/>
  <c r="BJ11" i="16" s="1"/>
  <c r="BA11" i="16" a="1"/>
  <c r="BA11" i="16" s="1"/>
  <c r="AT11" i="16" a="1"/>
  <c r="AT11" i="16" s="1"/>
  <c r="AR11" i="16" a="1"/>
  <c r="AR11" i="16" s="1"/>
  <c r="BE11" i="14" a="1"/>
  <c r="BE11" i="14" s="1"/>
  <c r="AW11" i="14" a="1"/>
  <c r="AW11" i="14" s="1"/>
  <c r="BG11" i="16" a="1"/>
  <c r="BG11" i="16" s="1"/>
  <c r="AQ11" i="16" a="1"/>
  <c r="AQ11" i="16" s="1"/>
  <c r="BD11" i="14" a="1"/>
  <c r="BD11" i="14" s="1"/>
  <c r="AV11" i="14" a="1"/>
  <c r="AV11" i="14" s="1"/>
  <c r="BC11" i="16" a="1"/>
  <c r="BC11" i="16" s="1"/>
  <c r="BK11" i="14" a="1"/>
  <c r="BK11" i="14" s="1"/>
  <c r="BC11" i="14" a="1"/>
  <c r="BC11" i="14" s="1"/>
  <c r="AU11" i="14" a="1"/>
  <c r="AU11" i="14" s="1"/>
  <c r="AZ11" i="16" a="1"/>
  <c r="AZ11" i="16" s="1"/>
  <c r="BI11" i="14" a="1"/>
  <c r="BI11" i="14" s="1"/>
  <c r="BA11" i="14" a="1"/>
  <c r="BA11" i="14" s="1"/>
  <c r="AS11" i="14" a="1"/>
  <c r="AS11" i="14" s="1"/>
  <c r="AY11" i="16" a="1"/>
  <c r="AY11" i="16" s="1"/>
  <c r="BK11" i="16" a="1"/>
  <c r="BK11" i="16" s="1"/>
  <c r="AU11" i="16" a="1"/>
  <c r="AU11" i="16" s="1"/>
  <c r="BH11" i="16" a="1"/>
  <c r="BH11" i="16" s="1"/>
  <c r="AS11" i="16" a="1"/>
  <c r="AS11" i="16" s="1"/>
  <c r="BF11" i="14" a="1"/>
  <c r="BF11" i="14" s="1"/>
  <c r="AX11" i="14" a="1"/>
  <c r="AX11" i="14" s="1"/>
  <c r="AP11" i="14" a="1"/>
  <c r="AP11" i="14" s="1"/>
  <c r="BJ11" i="14" a="1"/>
  <c r="BJ11" i="14" s="1"/>
  <c r="AQ11" i="14" a="1"/>
  <c r="AQ11" i="14" s="1"/>
  <c r="BB11" i="14" a="1"/>
  <c r="BB11" i="14" s="1"/>
  <c r="BH11" i="14" a="1"/>
  <c r="BH11" i="14" s="1"/>
  <c r="BG11" i="14" a="1"/>
  <c r="BG11" i="14" s="1"/>
  <c r="AZ11" i="14" a="1"/>
  <c r="AZ11" i="14" s="1"/>
  <c r="AY11" i="14" a="1"/>
  <c r="AY11" i="14" s="1"/>
  <c r="AT11" i="14" a="1"/>
  <c r="AT11" i="14" s="1"/>
  <c r="AR11" i="14" a="1"/>
  <c r="AR11" i="14" s="1"/>
  <c r="BP28" i="12" a="1"/>
  <c r="BP28" i="12" s="1"/>
  <c r="BQ28" i="12" a="1"/>
  <c r="BQ28" i="12" s="1"/>
  <c r="BJ28" i="12" a="1"/>
  <c r="BJ28" i="12" s="1"/>
  <c r="BR28" i="12" a="1"/>
  <c r="BR28" i="12" s="1"/>
  <c r="BO28" i="12" a="1"/>
  <c r="BO28" i="12" s="1"/>
  <c r="AY28" i="12"/>
  <c r="BG28" i="12"/>
  <c r="BK28" i="12" a="1"/>
  <c r="BK28" i="12" s="1"/>
  <c r="AZ28" i="12"/>
  <c r="BH28" i="12"/>
  <c r="BL28" i="12" a="1"/>
  <c r="BL28" i="12" s="1"/>
  <c r="BA28" i="12"/>
  <c r="BM28" i="12" a="1"/>
  <c r="BM28" i="12" s="1"/>
  <c r="BN28" i="12" a="1"/>
  <c r="BN28" i="12" s="1"/>
  <c r="BS28" i="12" a="1"/>
  <c r="BS28" i="12" s="1"/>
  <c r="BB28" i="12"/>
  <c r="BF28" i="12"/>
  <c r="BD28" i="12"/>
  <c r="BC28" i="12"/>
  <c r="BE28" i="12"/>
  <c r="BI28" i="15" a="1"/>
  <c r="BI28" i="15" s="1"/>
  <c r="BD28" i="15" a="1"/>
  <c r="BD28" i="15" s="1"/>
  <c r="AX28" i="15" a="1"/>
  <c r="AX28" i="15" s="1"/>
  <c r="BC28" i="15" a="1"/>
  <c r="BC28" i="15" s="1"/>
  <c r="AW28" i="15" a="1"/>
  <c r="AW28" i="15" s="1"/>
  <c r="AR28" i="15" a="1"/>
  <c r="AR28" i="15" s="1"/>
  <c r="BH28" i="15" a="1"/>
  <c r="BH28" i="15" s="1"/>
  <c r="AQ28" i="15" a="1"/>
  <c r="AQ28" i="15" s="1"/>
  <c r="AY28" i="15" a="1"/>
  <c r="AY28" i="15" s="1"/>
  <c r="AS28" i="15" a="1"/>
  <c r="AS28" i="15" s="1"/>
  <c r="BA28" i="15" a="1"/>
  <c r="BA28" i="15" s="1"/>
  <c r="BK28" i="15" a="1"/>
  <c r="BK28" i="15" s="1"/>
  <c r="BJ28" i="15" a="1"/>
  <c r="BJ28" i="15" s="1"/>
  <c r="AZ28" i="15" a="1"/>
  <c r="AZ28" i="15" s="1"/>
  <c r="BG28" i="15" a="1"/>
  <c r="BG28" i="15" s="1"/>
  <c r="AV28" i="15" a="1"/>
  <c r="AV28" i="15" s="1"/>
  <c r="BF28" i="15" a="1"/>
  <c r="BF28" i="15" s="1"/>
  <c r="AU28" i="15" a="1"/>
  <c r="AU28" i="15" s="1"/>
  <c r="BE28" i="15" a="1"/>
  <c r="BE28" i="15" s="1"/>
  <c r="BB28" i="15" a="1"/>
  <c r="BB28" i="15" s="1"/>
  <c r="AT28" i="15" a="1"/>
  <c r="AT28" i="15" s="1"/>
  <c r="BF28" i="13" a="1"/>
  <c r="BF28" i="13" s="1"/>
  <c r="AZ28" i="13" a="1"/>
  <c r="AZ28" i="13" s="1"/>
  <c r="AS28" i="13" a="1"/>
  <c r="AS28" i="13" s="1"/>
  <c r="BK28" i="13" a="1"/>
  <c r="BK28" i="13" s="1"/>
  <c r="BE28" i="13" a="1"/>
  <c r="BE28" i="13" s="1"/>
  <c r="AY28" i="13" a="1"/>
  <c r="AY28" i="13" s="1"/>
  <c r="AR28" i="13" a="1"/>
  <c r="AR28" i="13" s="1"/>
  <c r="BD28" i="13" a="1"/>
  <c r="BD28" i="13" s="1"/>
  <c r="AQ28" i="13" a="1"/>
  <c r="AQ28" i="13" s="1"/>
  <c r="BG28" i="13" a="1"/>
  <c r="BG28" i="13" s="1"/>
  <c r="BA28" i="13" a="1"/>
  <c r="BA28" i="13" s="1"/>
  <c r="AT28" i="13" a="1"/>
  <c r="AT28" i="13" s="1"/>
  <c r="AP28" i="15" a="1"/>
  <c r="AP28" i="15" s="1"/>
  <c r="BG28" i="16" a="1"/>
  <c r="BG28" i="16" s="1"/>
  <c r="AZ28" i="16" a="1"/>
  <c r="AZ28" i="16" s="1"/>
  <c r="AS28" i="16" a="1"/>
  <c r="AS28" i="16" s="1"/>
  <c r="BJ28" i="13" a="1"/>
  <c r="BJ28" i="13" s="1"/>
  <c r="AX28" i="13" a="1"/>
  <c r="AX28" i="13" s="1"/>
  <c r="BI28" i="13" a="1"/>
  <c r="BI28" i="13" s="1"/>
  <c r="AW28" i="13" a="1"/>
  <c r="AW28" i="13" s="1"/>
  <c r="BC28" i="13" a="1"/>
  <c r="BC28" i="13" s="1"/>
  <c r="BB28" i="13" a="1"/>
  <c r="BB28" i="13" s="1"/>
  <c r="BB28" i="16" a="1"/>
  <c r="BB28" i="16" s="1"/>
  <c r="AU28" i="16" a="1"/>
  <c r="AU28" i="16" s="1"/>
  <c r="BH28" i="13" a="1"/>
  <c r="BH28" i="13" s="1"/>
  <c r="AR28" i="16" a="1"/>
  <c r="AR28" i="16" s="1"/>
  <c r="AV28" i="13" a="1"/>
  <c r="AV28" i="13" s="1"/>
  <c r="BJ28" i="16" a="1"/>
  <c r="BJ28" i="16" s="1"/>
  <c r="AP28" i="16" a="1"/>
  <c r="AP28" i="16" s="1"/>
  <c r="AU28" i="13" a="1"/>
  <c r="AU28" i="13" s="1"/>
  <c r="BI28" i="16" a="1"/>
  <c r="BI28" i="16" s="1"/>
  <c r="AY28" i="16" a="1"/>
  <c r="AY28" i="16" s="1"/>
  <c r="AP28" i="13" a="1"/>
  <c r="AP28" i="13" s="1"/>
  <c r="BH28" i="16" a="1"/>
  <c r="BH28" i="16" s="1"/>
  <c r="AX28" i="16" a="1"/>
  <c r="AX28" i="16" s="1"/>
  <c r="BE28" i="16" a="1"/>
  <c r="BE28" i="16" s="1"/>
  <c r="AV28" i="16" a="1"/>
  <c r="AV28" i="16" s="1"/>
  <c r="BF28" i="14" a="1"/>
  <c r="BF28" i="14" s="1"/>
  <c r="AX28" i="14" a="1"/>
  <c r="AX28" i="14" s="1"/>
  <c r="AR28" i="14" a="1"/>
  <c r="AR28" i="14" s="1"/>
  <c r="BK28" i="16" a="1"/>
  <c r="BK28" i="16" s="1"/>
  <c r="AQ28" i="16" a="1"/>
  <c r="AQ28" i="16" s="1"/>
  <c r="BE28" i="14" a="1"/>
  <c r="BE28" i="14" s="1"/>
  <c r="AQ28" i="14" a="1"/>
  <c r="AQ28" i="14" s="1"/>
  <c r="BF28" i="16" a="1"/>
  <c r="BF28" i="16" s="1"/>
  <c r="BK28" i="14" a="1"/>
  <c r="BK28" i="14" s="1"/>
  <c r="BD28" i="14" a="1"/>
  <c r="BD28" i="14" s="1"/>
  <c r="AW28" i="14" a="1"/>
  <c r="AW28" i="14" s="1"/>
  <c r="AP28" i="14" a="1"/>
  <c r="AP28" i="14" s="1"/>
  <c r="BD28" i="16" a="1"/>
  <c r="BD28" i="16" s="1"/>
  <c r="BC28" i="16" a="1"/>
  <c r="BC28" i="16" s="1"/>
  <c r="BI28" i="14" a="1"/>
  <c r="BI28" i="14" s="1"/>
  <c r="BB28" i="14" a="1"/>
  <c r="BB28" i="14" s="1"/>
  <c r="AU28" i="14" a="1"/>
  <c r="AU28" i="14" s="1"/>
  <c r="BA28" i="16" a="1"/>
  <c r="BA28" i="16" s="1"/>
  <c r="AW28" i="16" a="1"/>
  <c r="AW28" i="16" s="1"/>
  <c r="AT28" i="16" a="1"/>
  <c r="AT28" i="16" s="1"/>
  <c r="BG28" i="14" a="1"/>
  <c r="BG28" i="14" s="1"/>
  <c r="AY28" i="14" a="1"/>
  <c r="AY28" i="14" s="1"/>
  <c r="BJ28" i="14" a="1"/>
  <c r="BJ28" i="14" s="1"/>
  <c r="AS28" i="14" a="1"/>
  <c r="AS28" i="14" s="1"/>
  <c r="BA28" i="14" a="1"/>
  <c r="BA28" i="14" s="1"/>
  <c r="BH28" i="14" a="1"/>
  <c r="BH28" i="14" s="1"/>
  <c r="BC28" i="14" a="1"/>
  <c r="BC28" i="14" s="1"/>
  <c r="AZ28" i="14" a="1"/>
  <c r="AZ28" i="14" s="1"/>
  <c r="AV28" i="14" a="1"/>
  <c r="AV28" i="14" s="1"/>
  <c r="AT28" i="14" a="1"/>
  <c r="AT28" i="14" s="1"/>
  <c r="BN40" i="12" a="1"/>
  <c r="BN40" i="12" s="1"/>
  <c r="BO40" i="12" a="1"/>
  <c r="BO40" i="12" s="1"/>
  <c r="BP40" i="12" a="1"/>
  <c r="BP40" i="12" s="1"/>
  <c r="BM40" i="12" a="1"/>
  <c r="BM40" i="12" s="1"/>
  <c r="BJ40" i="12" a="1"/>
  <c r="BJ40" i="12" s="1"/>
  <c r="BK40" i="12" a="1"/>
  <c r="BK40" i="12" s="1"/>
  <c r="BB40" i="12"/>
  <c r="BL40" i="12" a="1"/>
  <c r="BL40" i="12" s="1"/>
  <c r="BC40" i="12"/>
  <c r="BQ40" i="12" a="1"/>
  <c r="BQ40" i="12" s="1"/>
  <c r="BD40" i="12"/>
  <c r="BR40" i="12" a="1"/>
  <c r="BR40" i="12" s="1"/>
  <c r="BE40" i="12"/>
  <c r="BA40" i="12"/>
  <c r="BS40" i="12" a="1"/>
  <c r="BS40" i="12" s="1"/>
  <c r="Q40" i="1" s="1"/>
  <c r="BF40" i="12"/>
  <c r="BG40" i="12"/>
  <c r="AY40" i="12"/>
  <c r="BF40" i="15" a="1"/>
  <c r="BF40" i="15" s="1"/>
  <c r="AU40" i="15" a="1"/>
  <c r="AU40" i="15" s="1"/>
  <c r="AP40" i="15" a="1"/>
  <c r="AP40" i="15" s="1"/>
  <c r="BH40" i="12"/>
  <c r="AY40" i="15" a="1"/>
  <c r="AY40" i="15" s="1"/>
  <c r="AS40" i="15" a="1"/>
  <c r="AS40" i="15" s="1"/>
  <c r="BE40" i="15" a="1"/>
  <c r="BE40" i="15" s="1"/>
  <c r="BK40" i="15" a="1"/>
  <c r="BK40" i="15" s="1"/>
  <c r="BD40" i="15" a="1"/>
  <c r="BD40" i="15" s="1"/>
  <c r="AX40" i="15" a="1"/>
  <c r="AX40" i="15" s="1"/>
  <c r="AR40" i="15" a="1"/>
  <c r="AR40" i="15" s="1"/>
  <c r="AZ40" i="12"/>
  <c r="BG40" i="15" a="1"/>
  <c r="BG40" i="15" s="1"/>
  <c r="AZ40" i="15" a="1"/>
  <c r="AZ40" i="15" s="1"/>
  <c r="AT40" i="15" a="1"/>
  <c r="AT40" i="15" s="1"/>
  <c r="BB40" i="15" a="1"/>
  <c r="BB40" i="15" s="1"/>
  <c r="BA40" i="15" a="1"/>
  <c r="BA40" i="15" s="1"/>
  <c r="BJ40" i="15" a="1"/>
  <c r="BJ40" i="15" s="1"/>
  <c r="AW40" i="15" a="1"/>
  <c r="AW40" i="15" s="1"/>
  <c r="BI40" i="15" a="1"/>
  <c r="BI40" i="15" s="1"/>
  <c r="BH40" i="15" a="1"/>
  <c r="BH40" i="15" s="1"/>
  <c r="BC40" i="15" a="1"/>
  <c r="BC40" i="15" s="1"/>
  <c r="BI40" i="13" a="1"/>
  <c r="BI40" i="13" s="1"/>
  <c r="BB40" i="13" a="1"/>
  <c r="BB40" i="13" s="1"/>
  <c r="AU40" i="13" a="1"/>
  <c r="AU40" i="13" s="1"/>
  <c r="BH40" i="13" a="1"/>
  <c r="BH40" i="13" s="1"/>
  <c r="BA40" i="13" a="1"/>
  <c r="BA40" i="13" s="1"/>
  <c r="AT40" i="13" a="1"/>
  <c r="AT40" i="13" s="1"/>
  <c r="BG40" i="13" a="1"/>
  <c r="BG40" i="13" s="1"/>
  <c r="AZ40" i="13" a="1"/>
  <c r="AZ40" i="13" s="1"/>
  <c r="AS40" i="13" a="1"/>
  <c r="AS40" i="13" s="1"/>
  <c r="AQ40" i="15" a="1"/>
  <c r="AQ40" i="15" s="1"/>
  <c r="BJ40" i="13" a="1"/>
  <c r="BJ40" i="13" s="1"/>
  <c r="BC40" i="13" a="1"/>
  <c r="BC40" i="13" s="1"/>
  <c r="BK40" i="13" a="1"/>
  <c r="BK40" i="13" s="1"/>
  <c r="AV40" i="13" a="1"/>
  <c r="AV40" i="13" s="1"/>
  <c r="AZ40" i="16" a="1"/>
  <c r="AZ40" i="16" s="1"/>
  <c r="AS40" i="16" a="1"/>
  <c r="AS40" i="16" s="1"/>
  <c r="AR40" i="13" a="1"/>
  <c r="AR40" i="13" s="1"/>
  <c r="BF40" i="13" a="1"/>
  <c r="BF40" i="13" s="1"/>
  <c r="AQ40" i="13" a="1"/>
  <c r="AQ40" i="13" s="1"/>
  <c r="AX40" i="13" a="1"/>
  <c r="AX40" i="13" s="1"/>
  <c r="AV40" i="15" a="1"/>
  <c r="AV40" i="15" s="1"/>
  <c r="AW40" i="13" a="1"/>
  <c r="AW40" i="13" s="1"/>
  <c r="BG40" i="16" a="1"/>
  <c r="BG40" i="16" s="1"/>
  <c r="BA40" i="16" a="1"/>
  <c r="BA40" i="16" s="1"/>
  <c r="AT40" i="16" a="1"/>
  <c r="AT40" i="16" s="1"/>
  <c r="BF40" i="16" a="1"/>
  <c r="BF40" i="16" s="1"/>
  <c r="BE40" i="13" a="1"/>
  <c r="BE40" i="13" s="1"/>
  <c r="BD40" i="16" a="1"/>
  <c r="BD40" i="16" s="1"/>
  <c r="AV40" i="16" a="1"/>
  <c r="AV40" i="16" s="1"/>
  <c r="BD40" i="13" a="1"/>
  <c r="BD40" i="13" s="1"/>
  <c r="BK40" i="16" a="1"/>
  <c r="BK40" i="16" s="1"/>
  <c r="BC40" i="16" a="1"/>
  <c r="BC40" i="16" s="1"/>
  <c r="AU40" i="16" a="1"/>
  <c r="AU40" i="16" s="1"/>
  <c r="BH40" i="16" a="1"/>
  <c r="BH40" i="16" s="1"/>
  <c r="AX40" i="16" a="1"/>
  <c r="AX40" i="16" s="1"/>
  <c r="AP40" i="16" a="1"/>
  <c r="AP40" i="16" s="1"/>
  <c r="AY40" i="13" a="1"/>
  <c r="AY40" i="13" s="1"/>
  <c r="AW40" i="16" a="1"/>
  <c r="AW40" i="16" s="1"/>
  <c r="AP40" i="13" a="1"/>
  <c r="AP40" i="13" s="1"/>
  <c r="BJ40" i="16" a="1"/>
  <c r="BJ40" i="16" s="1"/>
  <c r="AR40" i="16" a="1"/>
  <c r="AR40" i="16" s="1"/>
  <c r="BE40" i="16" a="1"/>
  <c r="BE40" i="16" s="1"/>
  <c r="BI40" i="14" a="1"/>
  <c r="BI40" i="14" s="1"/>
  <c r="AU40" i="14" a="1"/>
  <c r="AU40" i="14" s="1"/>
  <c r="AP40" i="14" a="1"/>
  <c r="AP40" i="14" s="1"/>
  <c r="AY40" i="16" a="1"/>
  <c r="AY40" i="16" s="1"/>
  <c r="BH40" i="14" a="1"/>
  <c r="BH40" i="14" s="1"/>
  <c r="BB40" i="14" a="1"/>
  <c r="BB40" i="14" s="1"/>
  <c r="AT40" i="14" a="1"/>
  <c r="AT40" i="14" s="1"/>
  <c r="AQ40" i="16" a="1"/>
  <c r="AQ40" i="16" s="1"/>
  <c r="BG40" i="14" a="1"/>
  <c r="BG40" i="14" s="1"/>
  <c r="BA40" i="14" a="1"/>
  <c r="BA40" i="14" s="1"/>
  <c r="BE40" i="14" a="1"/>
  <c r="BE40" i="14" s="1"/>
  <c r="AY40" i="14" a="1"/>
  <c r="AY40" i="14" s="1"/>
  <c r="AR40" i="14" a="1"/>
  <c r="AR40" i="14" s="1"/>
  <c r="BI40" i="16" a="1"/>
  <c r="BI40" i="16" s="1"/>
  <c r="BB40" i="16" a="1"/>
  <c r="BB40" i="16" s="1"/>
  <c r="BJ40" i="14" a="1"/>
  <c r="BJ40" i="14" s="1"/>
  <c r="BC40" i="14" a="1"/>
  <c r="BC40" i="14" s="1"/>
  <c r="AV40" i="14" a="1"/>
  <c r="AV40" i="14" s="1"/>
  <c r="AZ40" i="14" a="1"/>
  <c r="AZ40" i="14" s="1"/>
  <c r="AS40" i="14" a="1"/>
  <c r="AS40" i="14" s="1"/>
  <c r="AX40" i="14" a="1"/>
  <c r="AX40" i="14" s="1"/>
  <c r="AW40" i="14" a="1"/>
  <c r="AW40" i="14" s="1"/>
  <c r="BD40" i="14" a="1"/>
  <c r="BD40" i="14" s="1"/>
  <c r="AQ40" i="14" a="1"/>
  <c r="AQ40" i="14" s="1"/>
  <c r="BK40" i="14" a="1"/>
  <c r="BK40" i="14" s="1"/>
  <c r="BF40" i="14" a="1"/>
  <c r="BF40" i="14" s="1"/>
  <c r="BO52" i="12" a="1"/>
  <c r="BO52" i="12" s="1"/>
  <c r="BJ52" i="12" a="1"/>
  <c r="BJ52" i="12" s="1"/>
  <c r="BP52" i="12" a="1"/>
  <c r="BP52" i="12" s="1"/>
  <c r="BQ52" i="12" a="1"/>
  <c r="BQ52" i="12" s="1"/>
  <c r="BN52" i="12" a="1"/>
  <c r="BN52" i="12" s="1"/>
  <c r="BK52" i="12" a="1"/>
  <c r="BK52" i="12" s="1"/>
  <c r="BL52" i="12" a="1"/>
  <c r="BL52" i="12" s="1"/>
  <c r="BS52" i="12" a="1"/>
  <c r="BS52" i="12" s="1"/>
  <c r="BB52" i="12"/>
  <c r="BC52" i="12"/>
  <c r="BD52" i="12"/>
  <c r="BE52" i="12"/>
  <c r="BR52" i="12" a="1"/>
  <c r="BR52" i="12" s="1"/>
  <c r="AY52" i="12"/>
  <c r="BM52" i="12" a="1"/>
  <c r="BM52" i="12" s="1"/>
  <c r="BG52" i="12"/>
  <c r="BH52" i="15" a="1"/>
  <c r="BH52" i="15" s="1"/>
  <c r="AU52" i="15" a="1"/>
  <c r="AU52" i="15" s="1"/>
  <c r="AP52" i="15" a="1"/>
  <c r="AP52" i="15" s="1"/>
  <c r="AZ52" i="12"/>
  <c r="BG52" i="15" a="1"/>
  <c r="BG52" i="15" s="1"/>
  <c r="BA52" i="15" a="1"/>
  <c r="BA52" i="15" s="1"/>
  <c r="BA52" i="12"/>
  <c r="AZ52" i="15" a="1"/>
  <c r="AZ52" i="15" s="1"/>
  <c r="AT52" i="15" a="1"/>
  <c r="AT52" i="15" s="1"/>
  <c r="BF52" i="12"/>
  <c r="BK52" i="15" a="1"/>
  <c r="BK52" i="15" s="1"/>
  <c r="BF52" i="15" a="1"/>
  <c r="BF52" i="15" s="1"/>
  <c r="AW52" i="15" a="1"/>
  <c r="AW52" i="15" s="1"/>
  <c r="BE52" i="15" a="1"/>
  <c r="BE52" i="15" s="1"/>
  <c r="AV52" i="15" a="1"/>
  <c r="AV52" i="15" s="1"/>
  <c r="BI52" i="15" a="1"/>
  <c r="BI52" i="15" s="1"/>
  <c r="AX52" i="15" a="1"/>
  <c r="AX52" i="15" s="1"/>
  <c r="AQ52" i="15" a="1"/>
  <c r="AQ52" i="15" s="1"/>
  <c r="BJ52" i="15" a="1"/>
  <c r="BJ52" i="15" s="1"/>
  <c r="AR52" i="15" a="1"/>
  <c r="AR52" i="15" s="1"/>
  <c r="BD52" i="15" a="1"/>
  <c r="BD52" i="15" s="1"/>
  <c r="BC52" i="15" a="1"/>
  <c r="BC52" i="15" s="1"/>
  <c r="BH52" i="12"/>
  <c r="BB52" i="15" a="1"/>
  <c r="BB52" i="15" s="1"/>
  <c r="AY52" i="15" a="1"/>
  <c r="AY52" i="15" s="1"/>
  <c r="AS52" i="15" a="1"/>
  <c r="AS52" i="15" s="1"/>
  <c r="BG52" i="13" a="1"/>
  <c r="BG52" i="13" s="1"/>
  <c r="AV52" i="13" a="1"/>
  <c r="AV52" i="13" s="1"/>
  <c r="BF52" i="13" a="1"/>
  <c r="BF52" i="13" s="1"/>
  <c r="BA52" i="13" a="1"/>
  <c r="BA52" i="13" s="1"/>
  <c r="AP52" i="13" a="1"/>
  <c r="AP52" i="13" s="1"/>
  <c r="BK52" i="13" a="1"/>
  <c r="BK52" i="13" s="1"/>
  <c r="AZ52" i="13" a="1"/>
  <c r="AZ52" i="13" s="1"/>
  <c r="AU52" i="13" a="1"/>
  <c r="AU52" i="13" s="1"/>
  <c r="BB52" i="13" a="1"/>
  <c r="BB52" i="13" s="1"/>
  <c r="AW52" i="13" a="1"/>
  <c r="AW52" i="13" s="1"/>
  <c r="AQ52" i="13" a="1"/>
  <c r="AQ52" i="13" s="1"/>
  <c r="AR52" i="13" a="1"/>
  <c r="AR52" i="13" s="1"/>
  <c r="BJ52" i="13" a="1"/>
  <c r="BJ52" i="13" s="1"/>
  <c r="AY52" i="13" a="1"/>
  <c r="AY52" i="13" s="1"/>
  <c r="BC52" i="13" a="1"/>
  <c r="BC52" i="13" s="1"/>
  <c r="AS52" i="13" a="1"/>
  <c r="AS52" i="13" s="1"/>
  <c r="BJ52" i="16" a="1"/>
  <c r="BJ52" i="16" s="1"/>
  <c r="AR52" i="16" a="1"/>
  <c r="AR52" i="16" s="1"/>
  <c r="BI52" i="13" a="1"/>
  <c r="BI52" i="13" s="1"/>
  <c r="BH52" i="13" a="1"/>
  <c r="BH52" i="13" s="1"/>
  <c r="AT52" i="13" a="1"/>
  <c r="AT52" i="13" s="1"/>
  <c r="BK52" i="16" a="1"/>
  <c r="BK52" i="16" s="1"/>
  <c r="BE52" i="16" a="1"/>
  <c r="BE52" i="16" s="1"/>
  <c r="AY52" i="16" a="1"/>
  <c r="AY52" i="16" s="1"/>
  <c r="AS52" i="16" a="1"/>
  <c r="AS52" i="16" s="1"/>
  <c r="BA52" i="16" a="1"/>
  <c r="BA52" i="16" s="1"/>
  <c r="AQ52" i="16" a="1"/>
  <c r="AQ52" i="16" s="1"/>
  <c r="BE52" i="13" a="1"/>
  <c r="BE52" i="13" s="1"/>
  <c r="BG52" i="16" a="1"/>
  <c r="BG52" i="16" s="1"/>
  <c r="AX52" i="16" a="1"/>
  <c r="AX52" i="16" s="1"/>
  <c r="BD52" i="13" a="1"/>
  <c r="BD52" i="13" s="1"/>
  <c r="BF52" i="16" a="1"/>
  <c r="BF52" i="16" s="1"/>
  <c r="AW52" i="16" a="1"/>
  <c r="AW52" i="16" s="1"/>
  <c r="AX52" i="13" a="1"/>
  <c r="AX52" i="13" s="1"/>
  <c r="BI52" i="16" a="1"/>
  <c r="BI52" i="16" s="1"/>
  <c r="BB52" i="16" a="1"/>
  <c r="BB52" i="16" s="1"/>
  <c r="AZ52" i="16" a="1"/>
  <c r="AZ52" i="16" s="1"/>
  <c r="AV52" i="16" a="1"/>
  <c r="AV52" i="16" s="1"/>
  <c r="AU52" i="16" a="1"/>
  <c r="AU52" i="16" s="1"/>
  <c r="BH52" i="16" a="1"/>
  <c r="BH52" i="16" s="1"/>
  <c r="AP52" i="16" a="1"/>
  <c r="AP52" i="16" s="1"/>
  <c r="BC52" i="16" a="1"/>
  <c r="BC52" i="16" s="1"/>
  <c r="BG52" i="14" a="1"/>
  <c r="BG52" i="14" s="1"/>
  <c r="BA52" i="14" a="1"/>
  <c r="BA52" i="14" s="1"/>
  <c r="AT52" i="14" a="1"/>
  <c r="AT52" i="14" s="1"/>
  <c r="AZ52" i="14" a="1"/>
  <c r="AZ52" i="14" s="1"/>
  <c r="AS52" i="14" a="1"/>
  <c r="AS52" i="14" s="1"/>
  <c r="AT52" i="16" a="1"/>
  <c r="AT52" i="16" s="1"/>
  <c r="BF52" i="14" a="1"/>
  <c r="BF52" i="14" s="1"/>
  <c r="AY52" i="14" a="1"/>
  <c r="AY52" i="14" s="1"/>
  <c r="AR52" i="14" a="1"/>
  <c r="AR52" i="14" s="1"/>
  <c r="BE52" i="14" a="1"/>
  <c r="BE52" i="14" s="1"/>
  <c r="AQ52" i="14" a="1"/>
  <c r="AQ52" i="14" s="1"/>
  <c r="BK52" i="14" a="1"/>
  <c r="BK52" i="14" s="1"/>
  <c r="BD52" i="14" a="1"/>
  <c r="BD52" i="14" s="1"/>
  <c r="AX52" i="14" a="1"/>
  <c r="AX52" i="14" s="1"/>
  <c r="BD52" i="16" a="1"/>
  <c r="BD52" i="16" s="1"/>
  <c r="BH52" i="14" a="1"/>
  <c r="BH52" i="14" s="1"/>
  <c r="BB52" i="14" a="1"/>
  <c r="BB52" i="14" s="1"/>
  <c r="AU52" i="14" a="1"/>
  <c r="AU52" i="14" s="1"/>
  <c r="BC52" i="14" a="1"/>
  <c r="BC52" i="14" s="1"/>
  <c r="AW52" i="14" a="1"/>
  <c r="AW52" i="14" s="1"/>
  <c r="AV52" i="14" a="1"/>
  <c r="AV52" i="14" s="1"/>
  <c r="AP52" i="14" a="1"/>
  <c r="AP52" i="14" s="1"/>
  <c r="BJ52" i="14" a="1"/>
  <c r="BJ52" i="14" s="1"/>
  <c r="BI52" i="14" a="1"/>
  <c r="BI52" i="14" s="1"/>
  <c r="BR72" i="12" a="1"/>
  <c r="BR72" i="12" s="1"/>
  <c r="BL72" i="12" a="1"/>
  <c r="BL72" i="12" s="1"/>
  <c r="BS72" i="12" a="1"/>
  <c r="BS72" i="12" s="1"/>
  <c r="BM72" i="12" a="1"/>
  <c r="BM72" i="12" s="1"/>
  <c r="BK72" i="12" a="1"/>
  <c r="BK72" i="12" s="1"/>
  <c r="BQ72" i="12" a="1"/>
  <c r="BQ72" i="12" s="1"/>
  <c r="BJ72" i="12" a="1"/>
  <c r="BJ72" i="12" s="1"/>
  <c r="BN72" i="12" a="1"/>
  <c r="BN72" i="12" s="1"/>
  <c r="BB72" i="12"/>
  <c r="BC72" i="12"/>
  <c r="BD72" i="12"/>
  <c r="BO72" i="12" a="1"/>
  <c r="BO72" i="12" s="1"/>
  <c r="AZ72" i="12"/>
  <c r="BP72" i="12" a="1"/>
  <c r="BP72" i="12" s="1"/>
  <c r="BA72" i="12"/>
  <c r="BE72" i="12"/>
  <c r="BK72" i="15" a="1"/>
  <c r="BK72" i="15" s="1"/>
  <c r="BE72" i="15" a="1"/>
  <c r="BE72" i="15" s="1"/>
  <c r="AX72" i="15" a="1"/>
  <c r="AX72" i="15" s="1"/>
  <c r="BJ72" i="15" a="1"/>
  <c r="BJ72" i="15" s="1"/>
  <c r="BD72" i="15" a="1"/>
  <c r="BD72" i="15" s="1"/>
  <c r="AW72" i="15" a="1"/>
  <c r="AW72" i="15" s="1"/>
  <c r="AQ72" i="15" a="1"/>
  <c r="AQ72" i="15" s="1"/>
  <c r="BC72" i="15" a="1"/>
  <c r="BC72" i="15" s="1"/>
  <c r="AV72" i="15" a="1"/>
  <c r="AV72" i="15" s="1"/>
  <c r="AP72" i="15" a="1"/>
  <c r="AP72" i="15" s="1"/>
  <c r="BI72" i="15" a="1"/>
  <c r="BI72" i="15" s="1"/>
  <c r="AU72" i="15" a="1"/>
  <c r="AU72" i="15" s="1"/>
  <c r="BF72" i="15" a="1"/>
  <c r="BF72" i="15" s="1"/>
  <c r="AR72" i="15" a="1"/>
  <c r="AR72" i="15" s="1"/>
  <c r="AY72" i="12"/>
  <c r="BB72" i="15" a="1"/>
  <c r="BB72" i="15" s="1"/>
  <c r="BF72" i="12"/>
  <c r="BA72" i="15" a="1"/>
  <c r="BA72" i="15" s="1"/>
  <c r="BG72" i="15" a="1"/>
  <c r="BG72" i="15" s="1"/>
  <c r="AS72" i="15" a="1"/>
  <c r="AS72" i="15" s="1"/>
  <c r="AT72" i="15" a="1"/>
  <c r="AT72" i="15" s="1"/>
  <c r="BF72" i="13" a="1"/>
  <c r="BF72" i="13" s="1"/>
  <c r="BA72" i="13" a="1"/>
  <c r="BA72" i="13" s="1"/>
  <c r="AU72" i="13" a="1"/>
  <c r="AU72" i="13" s="1"/>
  <c r="AP72" i="13" a="1"/>
  <c r="AP72" i="13" s="1"/>
  <c r="AZ72" i="15" a="1"/>
  <c r="AZ72" i="15" s="1"/>
  <c r="BE72" i="13" a="1"/>
  <c r="BE72" i="13" s="1"/>
  <c r="AZ72" i="13" a="1"/>
  <c r="AZ72" i="13" s="1"/>
  <c r="AY72" i="15" a="1"/>
  <c r="AY72" i="15" s="1"/>
  <c r="BH72" i="12"/>
  <c r="BJ72" i="13" a="1"/>
  <c r="BJ72" i="13" s="1"/>
  <c r="BB72" i="13" a="1"/>
  <c r="BB72" i="13" s="1"/>
  <c r="AT72" i="13" a="1"/>
  <c r="AT72" i="13" s="1"/>
  <c r="BI72" i="13" a="1"/>
  <c r="BI72" i="13" s="1"/>
  <c r="AS72" i="13" a="1"/>
  <c r="AS72" i="13" s="1"/>
  <c r="BG72" i="12"/>
  <c r="BK72" i="13" a="1"/>
  <c r="BK72" i="13" s="1"/>
  <c r="BC72" i="13" a="1"/>
  <c r="BC72" i="13" s="1"/>
  <c r="AV72" i="13" a="1"/>
  <c r="AV72" i="13" s="1"/>
  <c r="AY72" i="13" a="1"/>
  <c r="AY72" i="13" s="1"/>
  <c r="BD72" i="13" a="1"/>
  <c r="BD72" i="13" s="1"/>
  <c r="AQ72" i="13" a="1"/>
  <c r="AQ72" i="13" s="1"/>
  <c r="BG72" i="13" a="1"/>
  <c r="BG72" i="13" s="1"/>
  <c r="AV72" i="16" a="1"/>
  <c r="AV72" i="16" s="1"/>
  <c r="AX72" i="13" a="1"/>
  <c r="AX72" i="13" s="1"/>
  <c r="AW72" i="13" a="1"/>
  <c r="AW72" i="13" s="1"/>
  <c r="BJ72" i="16" a="1"/>
  <c r="BJ72" i="16" s="1"/>
  <c r="AZ72" i="16" a="1"/>
  <c r="AZ72" i="16" s="1"/>
  <c r="AT72" i="16" a="1"/>
  <c r="AT72" i="16" s="1"/>
  <c r="BH72" i="15" a="1"/>
  <c r="BH72" i="15" s="1"/>
  <c r="BH72" i="13" a="1"/>
  <c r="BH72" i="13" s="1"/>
  <c r="BG72" i="16" a="1"/>
  <c r="BG72" i="16" s="1"/>
  <c r="BB72" i="16" a="1"/>
  <c r="BB72" i="16" s="1"/>
  <c r="AW72" i="16" a="1"/>
  <c r="AW72" i="16" s="1"/>
  <c r="AP72" i="16" a="1"/>
  <c r="AP72" i="16" s="1"/>
  <c r="AR72" i="13" a="1"/>
  <c r="AR72" i="13" s="1"/>
  <c r="BE72" i="16" a="1"/>
  <c r="BE72" i="16" s="1"/>
  <c r="BD72" i="16" a="1"/>
  <c r="BD72" i="16" s="1"/>
  <c r="AU72" i="16" a="1"/>
  <c r="AU72" i="16" s="1"/>
  <c r="BH72" i="16" a="1"/>
  <c r="BH72" i="16" s="1"/>
  <c r="AY72" i="16" a="1"/>
  <c r="AY72" i="16" s="1"/>
  <c r="AQ72" i="16" a="1"/>
  <c r="AQ72" i="16" s="1"/>
  <c r="BF72" i="16" a="1"/>
  <c r="BF72" i="16" s="1"/>
  <c r="BG72" i="14" a="1"/>
  <c r="BG72" i="14" s="1"/>
  <c r="BA72" i="14" a="1"/>
  <c r="BA72" i="14" s="1"/>
  <c r="AT72" i="14" a="1"/>
  <c r="AT72" i="14" s="1"/>
  <c r="BC72" i="16" a="1"/>
  <c r="BC72" i="16" s="1"/>
  <c r="BF72" i="14" a="1"/>
  <c r="BF72" i="14" s="1"/>
  <c r="AZ72" i="14" a="1"/>
  <c r="AZ72" i="14" s="1"/>
  <c r="AS72" i="14" a="1"/>
  <c r="AS72" i="14" s="1"/>
  <c r="AR72" i="14" a="1"/>
  <c r="AR72" i="14" s="1"/>
  <c r="AX72" i="16" a="1"/>
  <c r="AX72" i="16" s="1"/>
  <c r="BH72" i="14" a="1"/>
  <c r="BH72" i="14" s="1"/>
  <c r="AW72" i="14" a="1"/>
  <c r="AW72" i="14" s="1"/>
  <c r="BI72" i="16" a="1"/>
  <c r="BI72" i="16" s="1"/>
  <c r="BE72" i="14" a="1"/>
  <c r="BE72" i="14" s="1"/>
  <c r="AV72" i="14" a="1"/>
  <c r="AV72" i="14" s="1"/>
  <c r="BA72" i="16" a="1"/>
  <c r="BA72" i="16" s="1"/>
  <c r="BD72" i="14" a="1"/>
  <c r="BD72" i="14" s="1"/>
  <c r="AU72" i="14" a="1"/>
  <c r="AU72" i="14" s="1"/>
  <c r="BC72" i="14" a="1"/>
  <c r="BC72" i="14" s="1"/>
  <c r="AS72" i="16" a="1"/>
  <c r="AS72" i="16" s="1"/>
  <c r="BK72" i="14" a="1"/>
  <c r="BK72" i="14" s="1"/>
  <c r="BB72" i="14" a="1"/>
  <c r="BB72" i="14" s="1"/>
  <c r="AQ72" i="14" a="1"/>
  <c r="AQ72" i="14" s="1"/>
  <c r="AR72" i="16" a="1"/>
  <c r="AR72" i="16" s="1"/>
  <c r="BK72" i="16" a="1"/>
  <c r="BK72" i="16" s="1"/>
  <c r="BI72" i="14" a="1"/>
  <c r="BI72" i="14" s="1"/>
  <c r="AX72" i="14" a="1"/>
  <c r="AX72" i="14" s="1"/>
  <c r="BJ72" i="14" a="1"/>
  <c r="BJ72" i="14" s="1"/>
  <c r="AY72" i="14" a="1"/>
  <c r="AY72" i="14" s="1"/>
  <c r="AP72" i="14" a="1"/>
  <c r="AP72" i="14" s="1"/>
  <c r="BO84" i="12" a="1"/>
  <c r="BO84" i="12" s="1"/>
  <c r="BJ84" i="12" a="1"/>
  <c r="BJ84" i="12" s="1"/>
  <c r="BP84" i="12" a="1"/>
  <c r="BP84" i="12" s="1"/>
  <c r="BS84" i="12" a="1"/>
  <c r="BS84" i="12" s="1"/>
  <c r="BB84" i="12"/>
  <c r="BK84" i="12" a="1"/>
  <c r="BK84" i="12" s="1"/>
  <c r="BC84" i="12"/>
  <c r="BD84" i="12"/>
  <c r="BL84" i="12" a="1"/>
  <c r="BL84" i="12" s="1"/>
  <c r="BR84" i="12" a="1"/>
  <c r="BR84" i="12" s="1"/>
  <c r="BH84" i="12"/>
  <c r="BF84" i="15" a="1"/>
  <c r="BF84" i="15" s="1"/>
  <c r="AY84" i="15" a="1"/>
  <c r="AY84" i="15" s="1"/>
  <c r="BE84" i="15" a="1"/>
  <c r="BE84" i="15" s="1"/>
  <c r="AX84" i="15" a="1"/>
  <c r="AX84" i="15" s="1"/>
  <c r="AS84" i="15" a="1"/>
  <c r="AS84" i="15" s="1"/>
  <c r="AY84" i="12"/>
  <c r="BK84" i="15" a="1"/>
  <c r="BK84" i="15" s="1"/>
  <c r="BD84" i="15" a="1"/>
  <c r="BD84" i="15" s="1"/>
  <c r="AR84" i="15" a="1"/>
  <c r="AR84" i="15" s="1"/>
  <c r="BN84" i="12" a="1"/>
  <c r="BN84" i="12" s="1"/>
  <c r="BF84" i="12"/>
  <c r="AU84" i="15" a="1"/>
  <c r="AU84" i="15" s="1"/>
  <c r="AZ84" i="12"/>
  <c r="BC84" i="15" a="1"/>
  <c r="BC84" i="15" s="1"/>
  <c r="BA84" i="12"/>
  <c r="AT84" i="15" a="1"/>
  <c r="AT84" i="15" s="1"/>
  <c r="BM84" i="12" a="1"/>
  <c r="BM84" i="12" s="1"/>
  <c r="BE84" i="12"/>
  <c r="BB84" i="15" a="1"/>
  <c r="BB84" i="15" s="1"/>
  <c r="AQ84" i="15" a="1"/>
  <c r="AQ84" i="15" s="1"/>
  <c r="AV84" i="15" a="1"/>
  <c r="AV84" i="15" s="1"/>
  <c r="BQ84" i="12" a="1"/>
  <c r="BQ84" i="12" s="1"/>
  <c r="BJ84" i="15" a="1"/>
  <c r="BJ84" i="15" s="1"/>
  <c r="AP84" i="15" a="1"/>
  <c r="AP84" i="15" s="1"/>
  <c r="BI84" i="15" a="1"/>
  <c r="BI84" i="15" s="1"/>
  <c r="AW84" i="15" a="1"/>
  <c r="AW84" i="15" s="1"/>
  <c r="BH84" i="15" a="1"/>
  <c r="BH84" i="15" s="1"/>
  <c r="BG84" i="15" a="1"/>
  <c r="BG84" i="15" s="1"/>
  <c r="BG84" i="12"/>
  <c r="AZ84" i="15" a="1"/>
  <c r="AZ84" i="15" s="1"/>
  <c r="BH84" i="13" a="1"/>
  <c r="BH84" i="13" s="1"/>
  <c r="BB84" i="13" a="1"/>
  <c r="BB84" i="13" s="1"/>
  <c r="AU84" i="13" a="1"/>
  <c r="AU84" i="13" s="1"/>
  <c r="BG84" i="13" a="1"/>
  <c r="BG84" i="13" s="1"/>
  <c r="BA84" i="13" a="1"/>
  <c r="BA84" i="13" s="1"/>
  <c r="BF84" i="13" a="1"/>
  <c r="BF84" i="13" s="1"/>
  <c r="AY84" i="13" a="1"/>
  <c r="AY84" i="13" s="1"/>
  <c r="AS84" i="13" a="1"/>
  <c r="AS84" i="13" s="1"/>
  <c r="BK84" i="13" a="1"/>
  <c r="BK84" i="13" s="1"/>
  <c r="BC84" i="13" a="1"/>
  <c r="BC84" i="13" s="1"/>
  <c r="AQ84" i="13" a="1"/>
  <c r="AQ84" i="13" s="1"/>
  <c r="BJ84" i="13" a="1"/>
  <c r="BJ84" i="13" s="1"/>
  <c r="AZ84" i="13" a="1"/>
  <c r="AZ84" i="13" s="1"/>
  <c r="AP84" i="13" a="1"/>
  <c r="AP84" i="13" s="1"/>
  <c r="AX84" i="13" a="1"/>
  <c r="AX84" i="13" s="1"/>
  <c r="BA84" i="15" a="1"/>
  <c r="BA84" i="15" s="1"/>
  <c r="BD84" i="13" a="1"/>
  <c r="BD84" i="13" s="1"/>
  <c r="AR84" i="13" a="1"/>
  <c r="AR84" i="13" s="1"/>
  <c r="AT84" i="13" a="1"/>
  <c r="AT84" i="13" s="1"/>
  <c r="BI84" i="13" a="1"/>
  <c r="BI84" i="13" s="1"/>
  <c r="AV84" i="13" a="1"/>
  <c r="AV84" i="13" s="1"/>
  <c r="AW84" i="13" a="1"/>
  <c r="AW84" i="13" s="1"/>
  <c r="BI84" i="16" a="1"/>
  <c r="BI84" i="16" s="1"/>
  <c r="BC84" i="16" a="1"/>
  <c r="BC84" i="16" s="1"/>
  <c r="AW84" i="16" a="1"/>
  <c r="AW84" i="16" s="1"/>
  <c r="AQ84" i="16" a="1"/>
  <c r="AQ84" i="16" s="1"/>
  <c r="BH84" i="16" a="1"/>
  <c r="BH84" i="16" s="1"/>
  <c r="BB84" i="16" a="1"/>
  <c r="BB84" i="16" s="1"/>
  <c r="AU84" i="16" a="1"/>
  <c r="AU84" i="16" s="1"/>
  <c r="BE84" i="13" a="1"/>
  <c r="BE84" i="13" s="1"/>
  <c r="BK84" i="16" a="1"/>
  <c r="BK84" i="16" s="1"/>
  <c r="BE84" i="16" a="1"/>
  <c r="BE84" i="16" s="1"/>
  <c r="AX84" i="16" a="1"/>
  <c r="AX84" i="16" s="1"/>
  <c r="AS84" i="16" a="1"/>
  <c r="AS84" i="16" s="1"/>
  <c r="BJ84" i="16" a="1"/>
  <c r="BJ84" i="16" s="1"/>
  <c r="BD84" i="16" a="1"/>
  <c r="BD84" i="16" s="1"/>
  <c r="AR84" i="16" a="1"/>
  <c r="AR84" i="16" s="1"/>
  <c r="AT84" i="16" a="1"/>
  <c r="AT84" i="16" s="1"/>
  <c r="AP84" i="16" a="1"/>
  <c r="AP84" i="16" s="1"/>
  <c r="BA84" i="16" a="1"/>
  <c r="BA84" i="16" s="1"/>
  <c r="BG84" i="16" a="1"/>
  <c r="BG84" i="16" s="1"/>
  <c r="BE84" i="14" a="1"/>
  <c r="BE84" i="14" s="1"/>
  <c r="AY84" i="14" a="1"/>
  <c r="AY84" i="14" s="1"/>
  <c r="BJ84" i="14" a="1"/>
  <c r="BJ84" i="14" s="1"/>
  <c r="BD84" i="14" a="1"/>
  <c r="BD84" i="14" s="1"/>
  <c r="AX84" i="14" a="1"/>
  <c r="AX84" i="14" s="1"/>
  <c r="AR84" i="14" a="1"/>
  <c r="AR84" i="14" s="1"/>
  <c r="BI84" i="14" a="1"/>
  <c r="BI84" i="14" s="1"/>
  <c r="BC84" i="14" a="1"/>
  <c r="BC84" i="14" s="1"/>
  <c r="AQ84" i="14" a="1"/>
  <c r="AQ84" i="14" s="1"/>
  <c r="BF84" i="16" a="1"/>
  <c r="BF84" i="16" s="1"/>
  <c r="BH84" i="14" a="1"/>
  <c r="BH84" i="14" s="1"/>
  <c r="BB84" i="14" a="1"/>
  <c r="BB84" i="14" s="1"/>
  <c r="AV84" i="14" a="1"/>
  <c r="AV84" i="14" s="1"/>
  <c r="BA84" i="14" a="1"/>
  <c r="BA84" i="14" s="1"/>
  <c r="BK84" i="14" a="1"/>
  <c r="BK84" i="14" s="1"/>
  <c r="AZ84" i="14" a="1"/>
  <c r="AZ84" i="14" s="1"/>
  <c r="AW84" i="14" a="1"/>
  <c r="AW84" i="14" s="1"/>
  <c r="AZ84" i="16" a="1"/>
  <c r="AZ84" i="16" s="1"/>
  <c r="BG84" i="14" a="1"/>
  <c r="BG84" i="14" s="1"/>
  <c r="AU84" i="14" a="1"/>
  <c r="AU84" i="14" s="1"/>
  <c r="AY84" i="16" a="1"/>
  <c r="AY84" i="16" s="1"/>
  <c r="AT84" i="14" a="1"/>
  <c r="AT84" i="14" s="1"/>
  <c r="AV84" i="16" a="1"/>
  <c r="AV84" i="16" s="1"/>
  <c r="BF84" i="14" a="1"/>
  <c r="BF84" i="14" s="1"/>
  <c r="AS84" i="14" a="1"/>
  <c r="AS84" i="14" s="1"/>
  <c r="AP84" i="14" a="1"/>
  <c r="AP84" i="14" s="1"/>
  <c r="BJ21" i="12" a="1"/>
  <c r="BJ21" i="12" s="1"/>
  <c r="H21" i="1" s="1"/>
  <c r="BR21" i="12" a="1"/>
  <c r="BR21" i="12" s="1"/>
  <c r="BK21" i="12" a="1"/>
  <c r="BK21" i="12" s="1"/>
  <c r="BS21" i="12" a="1"/>
  <c r="BS21" i="12" s="1"/>
  <c r="BL21" i="12" a="1"/>
  <c r="BL21" i="12" s="1"/>
  <c r="BQ21" i="12" a="1"/>
  <c r="BQ21" i="12" s="1"/>
  <c r="BP21" i="12" a="1"/>
  <c r="BP21" i="12" s="1"/>
  <c r="BE21" i="12"/>
  <c r="BF21" i="12"/>
  <c r="AY21" i="12"/>
  <c r="BG21" i="12"/>
  <c r="BB21" i="12"/>
  <c r="BM21" i="12" a="1"/>
  <c r="BM21" i="12" s="1"/>
  <c r="BC21" i="12"/>
  <c r="BN21" i="12" a="1"/>
  <c r="BN21" i="12" s="1"/>
  <c r="BD21" i="12"/>
  <c r="BO21" i="12" a="1"/>
  <c r="BO21" i="12" s="1"/>
  <c r="BH21" i="12"/>
  <c r="BA21" i="12"/>
  <c r="AZ21" i="12"/>
  <c r="BF21" i="15" a="1"/>
  <c r="BF21" i="15" s="1"/>
  <c r="AY21" i="15" a="1"/>
  <c r="AY21" i="15" s="1"/>
  <c r="AR21" i="15" a="1"/>
  <c r="AR21" i="15" s="1"/>
  <c r="BE21" i="15" a="1"/>
  <c r="BE21" i="15" s="1"/>
  <c r="AX21" i="15" a="1"/>
  <c r="AX21" i="15" s="1"/>
  <c r="AQ21" i="15" a="1"/>
  <c r="AQ21" i="15" s="1"/>
  <c r="BK21" i="15" a="1"/>
  <c r="BK21" i="15" s="1"/>
  <c r="BD21" i="15" a="1"/>
  <c r="BD21" i="15" s="1"/>
  <c r="AW21" i="15" a="1"/>
  <c r="AW21" i="15" s="1"/>
  <c r="AP21" i="15" a="1"/>
  <c r="AP21" i="15" s="1"/>
  <c r="BG21" i="15" a="1"/>
  <c r="BG21" i="15" s="1"/>
  <c r="AZ21" i="15" a="1"/>
  <c r="AZ21" i="15" s="1"/>
  <c r="BC21" i="15" a="1"/>
  <c r="BC21" i="15" s="1"/>
  <c r="BB21" i="15" a="1"/>
  <c r="BB21" i="15" s="1"/>
  <c r="BA21" i="15" a="1"/>
  <c r="BA21" i="15" s="1"/>
  <c r="BJ21" i="15" a="1"/>
  <c r="BJ21" i="15" s="1"/>
  <c r="AV21" i="15" a="1"/>
  <c r="AV21" i="15" s="1"/>
  <c r="BI21" i="15" a="1"/>
  <c r="BI21" i="15" s="1"/>
  <c r="AU21" i="15" a="1"/>
  <c r="AU21" i="15" s="1"/>
  <c r="AS21" i="15" a="1"/>
  <c r="AS21" i="15" s="1"/>
  <c r="AT21" i="15" a="1"/>
  <c r="AT21" i="15" s="1"/>
  <c r="BK21" i="13" a="1"/>
  <c r="BK21" i="13" s="1"/>
  <c r="BD21" i="13" a="1"/>
  <c r="BD21" i="13" s="1"/>
  <c r="AX21" i="13" a="1"/>
  <c r="AX21" i="13" s="1"/>
  <c r="AR21" i="13" a="1"/>
  <c r="AR21" i="13" s="1"/>
  <c r="BJ21" i="13" a="1"/>
  <c r="BJ21" i="13" s="1"/>
  <c r="BC21" i="13" a="1"/>
  <c r="BC21" i="13" s="1"/>
  <c r="AW21" i="13" a="1"/>
  <c r="AW21" i="13" s="1"/>
  <c r="AQ21" i="13" a="1"/>
  <c r="AQ21" i="13" s="1"/>
  <c r="BI21" i="13" a="1"/>
  <c r="BI21" i="13" s="1"/>
  <c r="BB21" i="13" a="1"/>
  <c r="BB21" i="13" s="1"/>
  <c r="AV21" i="13" a="1"/>
  <c r="AV21" i="13" s="1"/>
  <c r="AP21" i="13" a="1"/>
  <c r="AP21" i="13" s="1"/>
  <c r="AY21" i="13" a="1"/>
  <c r="AY21" i="13" s="1"/>
  <c r="BH21" i="15" a="1"/>
  <c r="BH21" i="15" s="1"/>
  <c r="AZ21" i="13" a="1"/>
  <c r="AZ21" i="13" s="1"/>
  <c r="BH21" i="13" a="1"/>
  <c r="BH21" i="13" s="1"/>
  <c r="BG21" i="13" a="1"/>
  <c r="BG21" i="13" s="1"/>
  <c r="AU21" i="13" a="1"/>
  <c r="AU21" i="13" s="1"/>
  <c r="BA21" i="13" a="1"/>
  <c r="BA21" i="13" s="1"/>
  <c r="AT21" i="13" a="1"/>
  <c r="AT21" i="13" s="1"/>
  <c r="BH21" i="16" a="1"/>
  <c r="BH21" i="16" s="1"/>
  <c r="BB21" i="16" a="1"/>
  <c r="BB21" i="16" s="1"/>
  <c r="AS21" i="13" a="1"/>
  <c r="AS21" i="13" s="1"/>
  <c r="BF21" i="16" a="1"/>
  <c r="BF21" i="16" s="1"/>
  <c r="AY21" i="16" a="1"/>
  <c r="AY21" i="16" s="1"/>
  <c r="AR21" i="16" a="1"/>
  <c r="AR21" i="16" s="1"/>
  <c r="BE21" i="16" a="1"/>
  <c r="BE21" i="16" s="1"/>
  <c r="AX21" i="16" a="1"/>
  <c r="AX21" i="16" s="1"/>
  <c r="AQ21" i="16" a="1"/>
  <c r="AQ21" i="16" s="1"/>
  <c r="BD21" i="16" a="1"/>
  <c r="BD21" i="16" s="1"/>
  <c r="AW21" i="16" a="1"/>
  <c r="AW21" i="16" s="1"/>
  <c r="AP21" i="16" a="1"/>
  <c r="AP21" i="16" s="1"/>
  <c r="BK21" i="16" a="1"/>
  <c r="BK21" i="16" s="1"/>
  <c r="BC21" i="16" a="1"/>
  <c r="BC21" i="16" s="1"/>
  <c r="AU21" i="16" a="1"/>
  <c r="AU21" i="16" s="1"/>
  <c r="BF21" i="13" a="1"/>
  <c r="BF21" i="13" s="1"/>
  <c r="BA21" i="16" a="1"/>
  <c r="BA21" i="16" s="1"/>
  <c r="BJ21" i="14" a="1"/>
  <c r="BJ21" i="14" s="1"/>
  <c r="BC21" i="14" a="1"/>
  <c r="BC21" i="14" s="1"/>
  <c r="AV21" i="14" a="1"/>
  <c r="AV21" i="14" s="1"/>
  <c r="BE21" i="13" a="1"/>
  <c r="BE21" i="13" s="1"/>
  <c r="AZ21" i="16" a="1"/>
  <c r="AZ21" i="16" s="1"/>
  <c r="BI21" i="14" a="1"/>
  <c r="BI21" i="14" s="1"/>
  <c r="AU21" i="14" a="1"/>
  <c r="AU21" i="14" s="1"/>
  <c r="AV21" i="16" a="1"/>
  <c r="AV21" i="16" s="1"/>
  <c r="BH21" i="14" a="1"/>
  <c r="BH21" i="14" s="1"/>
  <c r="BB21" i="14" a="1"/>
  <c r="BB21" i="14" s="1"/>
  <c r="AT21" i="14" a="1"/>
  <c r="AT21" i="14" s="1"/>
  <c r="BJ21" i="16" a="1"/>
  <c r="BJ21" i="16" s="1"/>
  <c r="AT21" i="16" a="1"/>
  <c r="AT21" i="16" s="1"/>
  <c r="BI21" i="16" a="1"/>
  <c r="BI21" i="16" s="1"/>
  <c r="BG21" i="14" a="1"/>
  <c r="BG21" i="14" s="1"/>
  <c r="AZ21" i="14" a="1"/>
  <c r="AZ21" i="14" s="1"/>
  <c r="AR21" i="14" a="1"/>
  <c r="AR21" i="14" s="1"/>
  <c r="BG21" i="16" a="1"/>
  <c r="BG21" i="16" s="1"/>
  <c r="AS21" i="16" a="1"/>
  <c r="AS21" i="16" s="1"/>
  <c r="BK21" i="14" a="1"/>
  <c r="BK21" i="14" s="1"/>
  <c r="BD21" i="14" a="1"/>
  <c r="BD21" i="14" s="1"/>
  <c r="AW21" i="14" a="1"/>
  <c r="AW21" i="14" s="1"/>
  <c r="AP21" i="14" a="1"/>
  <c r="AP21" i="14" s="1"/>
  <c r="AS21" i="14" a="1"/>
  <c r="AS21" i="14" s="1"/>
  <c r="BA21" i="14" a="1"/>
  <c r="BA21" i="14" s="1"/>
  <c r="AQ21" i="14" a="1"/>
  <c r="AQ21" i="14" s="1"/>
  <c r="BF21" i="14" a="1"/>
  <c r="BF21" i="14" s="1"/>
  <c r="BE21" i="14" a="1"/>
  <c r="BE21" i="14" s="1"/>
  <c r="AY21" i="14" a="1"/>
  <c r="AY21" i="14" s="1"/>
  <c r="AX21" i="14" a="1"/>
  <c r="AX21" i="14" s="1"/>
  <c r="BJ33" i="12" a="1"/>
  <c r="BJ33" i="12" s="1"/>
  <c r="BR33" i="12" a="1"/>
  <c r="BR33" i="12" s="1"/>
  <c r="BK33" i="12" a="1"/>
  <c r="BK33" i="12" s="1"/>
  <c r="BS33" i="12" a="1"/>
  <c r="BS33" i="12" s="1"/>
  <c r="BL33" i="12" a="1"/>
  <c r="BL33" i="12" s="1"/>
  <c r="BQ33" i="12" a="1"/>
  <c r="BQ33" i="12" s="1"/>
  <c r="BP33" i="12" a="1"/>
  <c r="BP33" i="12" s="1"/>
  <c r="AY33" i="12"/>
  <c r="BG33" i="12"/>
  <c r="BF33" i="12"/>
  <c r="BM33" i="12" a="1"/>
  <c r="BM33" i="12" s="1"/>
  <c r="BH33" i="12"/>
  <c r="BN33" i="12" a="1"/>
  <c r="BN33" i="12" s="1"/>
  <c r="AZ33" i="12"/>
  <c r="BO33" i="12" a="1"/>
  <c r="BO33" i="12" s="1"/>
  <c r="BA33" i="12"/>
  <c r="BE33" i="12"/>
  <c r="BC33" i="12"/>
  <c r="BB33" i="12"/>
  <c r="BH33" i="15" a="1"/>
  <c r="BH33" i="15" s="1"/>
  <c r="BF33" i="15" a="1"/>
  <c r="BF33" i="15" s="1"/>
  <c r="AY33" i="15" a="1"/>
  <c r="AY33" i="15" s="1"/>
  <c r="AS33" i="15" a="1"/>
  <c r="AS33" i="15" s="1"/>
  <c r="BE33" i="15" a="1"/>
  <c r="BE33" i="15" s="1"/>
  <c r="AR33" i="15" a="1"/>
  <c r="AR33" i="15" s="1"/>
  <c r="BK33" i="15" a="1"/>
  <c r="BK33" i="15" s="1"/>
  <c r="AX33" i="15" a="1"/>
  <c r="AX33" i="15" s="1"/>
  <c r="AQ33" i="15" a="1"/>
  <c r="AQ33" i="15" s="1"/>
  <c r="AZ33" i="15" a="1"/>
  <c r="AZ33" i="15" s="1"/>
  <c r="AT33" i="15" a="1"/>
  <c r="AT33" i="15" s="1"/>
  <c r="BJ33" i="15" a="1"/>
  <c r="BJ33" i="15" s="1"/>
  <c r="AV33" i="15" a="1"/>
  <c r="AV33" i="15" s="1"/>
  <c r="BI33" i="15" a="1"/>
  <c r="BI33" i="15" s="1"/>
  <c r="AU33" i="15" a="1"/>
  <c r="AU33" i="15" s="1"/>
  <c r="BG33" i="15" a="1"/>
  <c r="BG33" i="15" s="1"/>
  <c r="BD33" i="15" a="1"/>
  <c r="BD33" i="15" s="1"/>
  <c r="AP33" i="15" a="1"/>
  <c r="AP33" i="15" s="1"/>
  <c r="BC33" i="15" a="1"/>
  <c r="BC33" i="15" s="1"/>
  <c r="AW33" i="15" a="1"/>
  <c r="AW33" i="15" s="1"/>
  <c r="AU33" i="13" a="1"/>
  <c r="AU33" i="13" s="1"/>
  <c r="BD33" i="12"/>
  <c r="BG33" i="13" a="1"/>
  <c r="BG33" i="13" s="1"/>
  <c r="BA33" i="13" a="1"/>
  <c r="BA33" i="13" s="1"/>
  <c r="AT33" i="13" a="1"/>
  <c r="AT33" i="13" s="1"/>
  <c r="BF33" i="13" a="1"/>
  <c r="BF33" i="13" s="1"/>
  <c r="AZ33" i="13" a="1"/>
  <c r="AZ33" i="13" s="1"/>
  <c r="BA33" i="15" a="1"/>
  <c r="BA33" i="15" s="1"/>
  <c r="BH33" i="13" a="1"/>
  <c r="BH33" i="13" s="1"/>
  <c r="BB33" i="13" a="1"/>
  <c r="BB33" i="13" s="1"/>
  <c r="AV33" i="13" a="1"/>
  <c r="AV33" i="13" s="1"/>
  <c r="AP33" i="13" a="1"/>
  <c r="AP33" i="13" s="1"/>
  <c r="BB33" i="15" a="1"/>
  <c r="BB33" i="15" s="1"/>
  <c r="BC33" i="13" a="1"/>
  <c r="BC33" i="13" s="1"/>
  <c r="AQ33" i="13" a="1"/>
  <c r="AQ33" i="13" s="1"/>
  <c r="BI33" i="16" a="1"/>
  <c r="BI33" i="16" s="1"/>
  <c r="BC33" i="16" a="1"/>
  <c r="BC33" i="16" s="1"/>
  <c r="AP33" i="16" a="1"/>
  <c r="AP33" i="16" s="1"/>
  <c r="AY33" i="13" a="1"/>
  <c r="AY33" i="13" s="1"/>
  <c r="BK33" i="13" a="1"/>
  <c r="BK33" i="13" s="1"/>
  <c r="AX33" i="13" a="1"/>
  <c r="AX33" i="13" s="1"/>
  <c r="BE33" i="13" a="1"/>
  <c r="BE33" i="13" s="1"/>
  <c r="BD33" i="13" a="1"/>
  <c r="BD33" i="13" s="1"/>
  <c r="AR33" i="13" a="1"/>
  <c r="AR33" i="13" s="1"/>
  <c r="AX33" i="16" a="1"/>
  <c r="AX33" i="16" s="1"/>
  <c r="AW33" i="13" a="1"/>
  <c r="AW33" i="13" s="1"/>
  <c r="BK33" i="16" a="1"/>
  <c r="BK33" i="16" s="1"/>
  <c r="BD33" i="16" a="1"/>
  <c r="BD33" i="16" s="1"/>
  <c r="AV33" i="16" a="1"/>
  <c r="AV33" i="16" s="1"/>
  <c r="AS33" i="13" a="1"/>
  <c r="AS33" i="13" s="1"/>
  <c r="BI33" i="13" a="1"/>
  <c r="BI33" i="13" s="1"/>
  <c r="BJ33" i="16" a="1"/>
  <c r="BJ33" i="16" s="1"/>
  <c r="BA33" i="16" a="1"/>
  <c r="BA33" i="16" s="1"/>
  <c r="AR33" i="16" a="1"/>
  <c r="AR33" i="16" s="1"/>
  <c r="AZ33" i="16" a="1"/>
  <c r="AZ33" i="16" s="1"/>
  <c r="AQ33" i="16" a="1"/>
  <c r="AQ33" i="16" s="1"/>
  <c r="BH33" i="16" a="1"/>
  <c r="BH33" i="16" s="1"/>
  <c r="AY33" i="16" a="1"/>
  <c r="AY33" i="16" s="1"/>
  <c r="BF33" i="16" a="1"/>
  <c r="BF33" i="16" s="1"/>
  <c r="AU33" i="16" a="1"/>
  <c r="AU33" i="16" s="1"/>
  <c r="BJ33" i="13" a="1"/>
  <c r="BJ33" i="13" s="1"/>
  <c r="BH33" i="14" a="1"/>
  <c r="BH33" i="14" s="1"/>
  <c r="BC33" i="14" a="1"/>
  <c r="BC33" i="14" s="1"/>
  <c r="AW33" i="14" a="1"/>
  <c r="AW33" i="14" s="1"/>
  <c r="AQ33" i="14" a="1"/>
  <c r="AQ33" i="14" s="1"/>
  <c r="BB33" i="16" a="1"/>
  <c r="BB33" i="16" s="1"/>
  <c r="BB33" i="14" a="1"/>
  <c r="BB33" i="14" s="1"/>
  <c r="AV33" i="14" a="1"/>
  <c r="AV33" i="14" s="1"/>
  <c r="AP33" i="14" a="1"/>
  <c r="AP33" i="14" s="1"/>
  <c r="AW33" i="16" a="1"/>
  <c r="AW33" i="16" s="1"/>
  <c r="BG33" i="14" a="1"/>
  <c r="BG33" i="14" s="1"/>
  <c r="BA33" i="14" a="1"/>
  <c r="BA33" i="14" s="1"/>
  <c r="AT33" i="16" a="1"/>
  <c r="AT33" i="16" s="1"/>
  <c r="BK33" i="14" a="1"/>
  <c r="BK33" i="14" s="1"/>
  <c r="AZ33" i="14" a="1"/>
  <c r="AZ33" i="14" s="1"/>
  <c r="AT33" i="14" a="1"/>
  <c r="AT33" i="14" s="1"/>
  <c r="AS33" i="16" a="1"/>
  <c r="AS33" i="16" s="1"/>
  <c r="BG33" i="16" a="1"/>
  <c r="BG33" i="16" s="1"/>
  <c r="BE33" i="16" a="1"/>
  <c r="BE33" i="16" s="1"/>
  <c r="BD33" i="14" a="1"/>
  <c r="BD33" i="14" s="1"/>
  <c r="AX33" i="14" a="1"/>
  <c r="AX33" i="14" s="1"/>
  <c r="AR33" i="14" a="1"/>
  <c r="AR33" i="14" s="1"/>
  <c r="BF33" i="14" a="1"/>
  <c r="BF33" i="14" s="1"/>
  <c r="AS33" i="14" a="1"/>
  <c r="AS33" i="14" s="1"/>
  <c r="BE33" i="14" a="1"/>
  <c r="BE33" i="14" s="1"/>
  <c r="AY33" i="14" a="1"/>
  <c r="AY33" i="14" s="1"/>
  <c r="AU33" i="14" a="1"/>
  <c r="AU33" i="14" s="1"/>
  <c r="BJ33" i="14" a="1"/>
  <c r="BJ33" i="14" s="1"/>
  <c r="BI33" i="14" a="1"/>
  <c r="BI33" i="14" s="1"/>
  <c r="BQ49" i="12" a="1"/>
  <c r="BQ49" i="12" s="1"/>
  <c r="BJ49" i="12" a="1"/>
  <c r="BJ49" i="12" s="1"/>
  <c r="BR49" i="12" a="1"/>
  <c r="BR49" i="12" s="1"/>
  <c r="BK49" i="12" a="1"/>
  <c r="BK49" i="12" s="1"/>
  <c r="BP49" i="12" a="1"/>
  <c r="BP49" i="12" s="1"/>
  <c r="BL49" i="12" a="1"/>
  <c r="BL49" i="12" s="1"/>
  <c r="BM49" i="12" a="1"/>
  <c r="BM49" i="12" s="1"/>
  <c r="AZ49" i="12"/>
  <c r="BH49" i="12"/>
  <c r="BA49" i="12"/>
  <c r="BB49" i="12"/>
  <c r="BN49" i="12" a="1"/>
  <c r="BN49" i="12" s="1"/>
  <c r="BC49" i="12"/>
  <c r="BG49" i="12"/>
  <c r="BO49" i="12" a="1"/>
  <c r="BO49" i="12" s="1"/>
  <c r="BS49" i="12" a="1"/>
  <c r="BS49" i="12" s="1"/>
  <c r="BE49" i="12"/>
  <c r="BC49" i="15" a="1"/>
  <c r="BC49" i="15" s="1"/>
  <c r="AQ49" i="15" a="1"/>
  <c r="AQ49" i="15" s="1"/>
  <c r="BH49" i="15" a="1"/>
  <c r="BH49" i="15" s="1"/>
  <c r="BB49" i="15" a="1"/>
  <c r="BB49" i="15" s="1"/>
  <c r="AV49" i="15" a="1"/>
  <c r="AV49" i="15" s="1"/>
  <c r="AY49" i="12"/>
  <c r="BG49" i="15" a="1"/>
  <c r="BG49" i="15" s="1"/>
  <c r="BA49" i="15" a="1"/>
  <c r="BA49" i="15" s="1"/>
  <c r="AP49" i="15" a="1"/>
  <c r="AP49" i="15" s="1"/>
  <c r="BD49" i="12"/>
  <c r="BF49" i="15" a="1"/>
  <c r="BF49" i="15" s="1"/>
  <c r="AX49" i="15" a="1"/>
  <c r="AX49" i="15" s="1"/>
  <c r="BF49" i="12"/>
  <c r="BE49" i="15" a="1"/>
  <c r="BE49" i="15" s="1"/>
  <c r="AW49" i="15" a="1"/>
  <c r="AW49" i="15" s="1"/>
  <c r="AU49" i="15" a="1"/>
  <c r="AU49" i="15" s="1"/>
  <c r="BI49" i="15" a="1"/>
  <c r="BI49" i="15" s="1"/>
  <c r="AY49" i="15" a="1"/>
  <c r="AY49" i="15" s="1"/>
  <c r="BK49" i="15" a="1"/>
  <c r="BK49" i="15" s="1"/>
  <c r="AT49" i="15" a="1"/>
  <c r="AT49" i="15" s="1"/>
  <c r="AZ49" i="15" a="1"/>
  <c r="AZ49" i="15" s="1"/>
  <c r="BJ49" i="15" a="1"/>
  <c r="BJ49" i="15" s="1"/>
  <c r="BD49" i="15" a="1"/>
  <c r="BD49" i="15" s="1"/>
  <c r="AS49" i="15" a="1"/>
  <c r="AS49" i="15" s="1"/>
  <c r="AR49" i="15" a="1"/>
  <c r="AR49" i="15" s="1"/>
  <c r="BF49" i="13" a="1"/>
  <c r="BF49" i="13" s="1"/>
  <c r="BA49" i="13" a="1"/>
  <c r="BA49" i="13" s="1"/>
  <c r="BK49" i="13" a="1"/>
  <c r="BK49" i="13" s="1"/>
  <c r="BE49" i="13" a="1"/>
  <c r="BE49" i="13" s="1"/>
  <c r="AU49" i="13" a="1"/>
  <c r="AU49" i="13" s="1"/>
  <c r="BJ49" i="13" a="1"/>
  <c r="BJ49" i="13" s="1"/>
  <c r="AZ49" i="13" a="1"/>
  <c r="AZ49" i="13" s="1"/>
  <c r="AT49" i="13" a="1"/>
  <c r="AT49" i="13" s="1"/>
  <c r="BG49" i="13" a="1"/>
  <c r="BG49" i="13" s="1"/>
  <c r="AV49" i="13" a="1"/>
  <c r="AV49" i="13" s="1"/>
  <c r="BB49" i="13" a="1"/>
  <c r="BB49" i="13" s="1"/>
  <c r="AQ49" i="13" a="1"/>
  <c r="AQ49" i="13" s="1"/>
  <c r="AP49" i="13" a="1"/>
  <c r="AP49" i="13" s="1"/>
  <c r="BI49" i="13" a="1"/>
  <c r="BI49" i="13" s="1"/>
  <c r="AY49" i="13" a="1"/>
  <c r="AY49" i="13" s="1"/>
  <c r="BC49" i="13" a="1"/>
  <c r="BC49" i="13" s="1"/>
  <c r="AR49" i="13" a="1"/>
  <c r="AR49" i="13" s="1"/>
  <c r="BH49" i="16" a="1"/>
  <c r="BH49" i="16" s="1"/>
  <c r="BA49" i="16" a="1"/>
  <c r="BA49" i="16" s="1"/>
  <c r="AU49" i="16" a="1"/>
  <c r="AU49" i="16" s="1"/>
  <c r="BH49" i="13" a="1"/>
  <c r="BH49" i="13" s="1"/>
  <c r="AW49" i="13" a="1"/>
  <c r="AW49" i="13" s="1"/>
  <c r="AS49" i="13" a="1"/>
  <c r="AS49" i="13" s="1"/>
  <c r="BI49" i="16" a="1"/>
  <c r="BI49" i="16" s="1"/>
  <c r="BB49" i="16" a="1"/>
  <c r="BB49" i="16" s="1"/>
  <c r="BG49" i="16" a="1"/>
  <c r="BG49" i="16" s="1"/>
  <c r="AY49" i="16" a="1"/>
  <c r="AY49" i="16" s="1"/>
  <c r="AQ49" i="16" a="1"/>
  <c r="AQ49" i="16" s="1"/>
  <c r="BE49" i="16" a="1"/>
  <c r="BE49" i="16" s="1"/>
  <c r="AW49" i="16" a="1"/>
  <c r="AW49" i="16" s="1"/>
  <c r="BD49" i="13" a="1"/>
  <c r="BD49" i="13" s="1"/>
  <c r="AV49" i="16" a="1"/>
  <c r="AV49" i="16" s="1"/>
  <c r="BJ49" i="16" a="1"/>
  <c r="BJ49" i="16" s="1"/>
  <c r="AZ49" i="16" a="1"/>
  <c r="AZ49" i="16" s="1"/>
  <c r="AX49" i="16" a="1"/>
  <c r="AX49" i="16" s="1"/>
  <c r="AT49" i="16" a="1"/>
  <c r="AT49" i="16" s="1"/>
  <c r="BK49" i="16" a="1"/>
  <c r="BK49" i="16" s="1"/>
  <c r="AS49" i="16" a="1"/>
  <c r="AS49" i="16" s="1"/>
  <c r="AX49" i="13" a="1"/>
  <c r="AX49" i="13" s="1"/>
  <c r="BF49" i="16" a="1"/>
  <c r="BF49" i="16" s="1"/>
  <c r="AP49" i="16" a="1"/>
  <c r="AP49" i="16" s="1"/>
  <c r="BC49" i="16" a="1"/>
  <c r="BC49" i="16" s="1"/>
  <c r="BH49" i="14" a="1"/>
  <c r="BH49" i="14" s="1"/>
  <c r="BA49" i="14" a="1"/>
  <c r="BA49" i="14" s="1"/>
  <c r="AT49" i="14" a="1"/>
  <c r="AT49" i="14" s="1"/>
  <c r="BG49" i="14" a="1"/>
  <c r="BG49" i="14" s="1"/>
  <c r="AS49" i="14" a="1"/>
  <c r="AS49" i="14" s="1"/>
  <c r="AR49" i="16" a="1"/>
  <c r="AR49" i="16" s="1"/>
  <c r="BF49" i="14" a="1"/>
  <c r="BF49" i="14" s="1"/>
  <c r="AZ49" i="14" a="1"/>
  <c r="AZ49" i="14" s="1"/>
  <c r="AY49" i="14" a="1"/>
  <c r="AY49" i="14" s="1"/>
  <c r="AR49" i="14" a="1"/>
  <c r="AR49" i="14" s="1"/>
  <c r="BK49" i="14" a="1"/>
  <c r="BK49" i="14" s="1"/>
  <c r="BE49" i="14" a="1"/>
  <c r="BE49" i="14" s="1"/>
  <c r="AX49" i="14" a="1"/>
  <c r="AX49" i="14" s="1"/>
  <c r="AQ49" i="14" a="1"/>
  <c r="AQ49" i="14" s="1"/>
  <c r="BD49" i="16" a="1"/>
  <c r="BD49" i="16" s="1"/>
  <c r="BB49" i="14" a="1"/>
  <c r="BB49" i="14" s="1"/>
  <c r="AU49" i="14" a="1"/>
  <c r="AU49" i="14" s="1"/>
  <c r="AP49" i="14" a="1"/>
  <c r="AP49" i="14" s="1"/>
  <c r="BI49" i="14" a="1"/>
  <c r="BI49" i="14" s="1"/>
  <c r="BD49" i="14" a="1"/>
  <c r="BD49" i="14" s="1"/>
  <c r="BJ49" i="14" a="1"/>
  <c r="BJ49" i="14" s="1"/>
  <c r="BC49" i="14" a="1"/>
  <c r="BC49" i="14" s="1"/>
  <c r="AW49" i="14" a="1"/>
  <c r="AW49" i="14" s="1"/>
  <c r="AV49" i="14" a="1"/>
  <c r="AV49" i="14" s="1"/>
  <c r="BO65" i="12" a="1"/>
  <c r="BO65" i="12" s="1"/>
  <c r="BP65" i="12" a="1"/>
  <c r="BP65" i="12" s="1"/>
  <c r="BQ65" i="12" a="1"/>
  <c r="BQ65" i="12" s="1"/>
  <c r="BN65" i="12" a="1"/>
  <c r="BN65" i="12" s="1"/>
  <c r="BJ65" i="12" a="1"/>
  <c r="BJ65" i="12" s="1"/>
  <c r="BK65" i="12" a="1"/>
  <c r="BK65" i="12" s="1"/>
  <c r="AZ65" i="12"/>
  <c r="BH65" i="12"/>
  <c r="BA65" i="12"/>
  <c r="BL65" i="12" a="1"/>
  <c r="BL65" i="12" s="1"/>
  <c r="BB65" i="12"/>
  <c r="BM65" i="12" a="1"/>
  <c r="BM65" i="12" s="1"/>
  <c r="BF65" i="12"/>
  <c r="BG65" i="12"/>
  <c r="BS65" i="12" a="1"/>
  <c r="BS65" i="12" s="1"/>
  <c r="BD65" i="12"/>
  <c r="BE65" i="12"/>
  <c r="BK65" i="15" a="1"/>
  <c r="BK65" i="15" s="1"/>
  <c r="BF65" i="15" a="1"/>
  <c r="BF65" i="15" s="1"/>
  <c r="BA65" i="15" a="1"/>
  <c r="BA65" i="15" s="1"/>
  <c r="AV65" i="15" a="1"/>
  <c r="AV65" i="15" s="1"/>
  <c r="BE65" i="15" a="1"/>
  <c r="BE65" i="15" s="1"/>
  <c r="AZ65" i="15" a="1"/>
  <c r="AZ65" i="15" s="1"/>
  <c r="AP65" i="15" a="1"/>
  <c r="AP65" i="15" s="1"/>
  <c r="BJ65" i="15" a="1"/>
  <c r="BJ65" i="15" s="1"/>
  <c r="AU65" i="15" a="1"/>
  <c r="AU65" i="15" s="1"/>
  <c r="BR65" i="12" a="1"/>
  <c r="BR65" i="12" s="1"/>
  <c r="BI65" i="15" a="1"/>
  <c r="BI65" i="15" s="1"/>
  <c r="BD65" i="15" a="1"/>
  <c r="BD65" i="15" s="1"/>
  <c r="AY65" i="15" a="1"/>
  <c r="AY65" i="15" s="1"/>
  <c r="BC65" i="12"/>
  <c r="BB65" i="15" a="1"/>
  <c r="BB65" i="15" s="1"/>
  <c r="AQ65" i="15" a="1"/>
  <c r="AQ65" i="15" s="1"/>
  <c r="BH65" i="15" a="1"/>
  <c r="BH65" i="15" s="1"/>
  <c r="AX65" i="15" a="1"/>
  <c r="AX65" i="15" s="1"/>
  <c r="AY65" i="12"/>
  <c r="AR65" i="15" a="1"/>
  <c r="AR65" i="15" s="1"/>
  <c r="BC65" i="15" a="1"/>
  <c r="BC65" i="15" s="1"/>
  <c r="AW65" i="15" a="1"/>
  <c r="AW65" i="15" s="1"/>
  <c r="BK65" i="13" a="1"/>
  <c r="BK65" i="13" s="1"/>
  <c r="BA65" i="13" a="1"/>
  <c r="BA65" i="13" s="1"/>
  <c r="AV65" i="13" a="1"/>
  <c r="AV65" i="13" s="1"/>
  <c r="AP65" i="13" a="1"/>
  <c r="AP65" i="13" s="1"/>
  <c r="BG65" i="15" a="1"/>
  <c r="BG65" i="15" s="1"/>
  <c r="AT65" i="15" a="1"/>
  <c r="AT65" i="15" s="1"/>
  <c r="AS65" i="15" a="1"/>
  <c r="AS65" i="15" s="1"/>
  <c r="BH65" i="13" a="1"/>
  <c r="BH65" i="13" s="1"/>
  <c r="BC65" i="13" a="1"/>
  <c r="BC65" i="13" s="1"/>
  <c r="AW65" i="13" a="1"/>
  <c r="AW65" i="13" s="1"/>
  <c r="AQ65" i="13" a="1"/>
  <c r="AQ65" i="13" s="1"/>
  <c r="BB65" i="13" a="1"/>
  <c r="BB65" i="13" s="1"/>
  <c r="BG65" i="13" a="1"/>
  <c r="BG65" i="13" s="1"/>
  <c r="BI65" i="13" a="1"/>
  <c r="BI65" i="13" s="1"/>
  <c r="AX65" i="13" a="1"/>
  <c r="AX65" i="13" s="1"/>
  <c r="BD65" i="13" a="1"/>
  <c r="BD65" i="13" s="1"/>
  <c r="AR65" i="13" a="1"/>
  <c r="AR65" i="13" s="1"/>
  <c r="AZ65" i="13" a="1"/>
  <c r="AZ65" i="13" s="1"/>
  <c r="AS65" i="13" a="1"/>
  <c r="AS65" i="13" s="1"/>
  <c r="BE65" i="13" a="1"/>
  <c r="BE65" i="13" s="1"/>
  <c r="BC65" i="16" a="1"/>
  <c r="BC65" i="16" s="1"/>
  <c r="AW65" i="16" a="1"/>
  <c r="AW65" i="16" s="1"/>
  <c r="AR65" i="16" a="1"/>
  <c r="AR65" i="16" s="1"/>
  <c r="AY65" i="13" a="1"/>
  <c r="AY65" i="13" s="1"/>
  <c r="BA65" i="16" a="1"/>
  <c r="BA65" i="16" s="1"/>
  <c r="AV65" i="16" a="1"/>
  <c r="AV65" i="16" s="1"/>
  <c r="AQ65" i="16" a="1"/>
  <c r="AQ65" i="16" s="1"/>
  <c r="BF65" i="13" a="1"/>
  <c r="BF65" i="13" s="1"/>
  <c r="BH65" i="16" a="1"/>
  <c r="BH65" i="16" s="1"/>
  <c r="AX65" i="16" a="1"/>
  <c r="AX65" i="16" s="1"/>
  <c r="BK65" i="16" a="1"/>
  <c r="BK65" i="16" s="1"/>
  <c r="BB65" i="16" a="1"/>
  <c r="BB65" i="16" s="1"/>
  <c r="AT65" i="16" a="1"/>
  <c r="AT65" i="16" s="1"/>
  <c r="BJ65" i="16" a="1"/>
  <c r="BJ65" i="16" s="1"/>
  <c r="AS65" i="16" a="1"/>
  <c r="AS65" i="16" s="1"/>
  <c r="AT65" i="13" a="1"/>
  <c r="AT65" i="13" s="1"/>
  <c r="BE65" i="16" a="1"/>
  <c r="BE65" i="16" s="1"/>
  <c r="AU65" i="13" a="1"/>
  <c r="AU65" i="13" s="1"/>
  <c r="BD65" i="16" a="1"/>
  <c r="BD65" i="16" s="1"/>
  <c r="BI65" i="14" a="1"/>
  <c r="BI65" i="14" s="1"/>
  <c r="AV65" i="14" a="1"/>
  <c r="AV65" i="14" s="1"/>
  <c r="AZ65" i="16" a="1"/>
  <c r="AZ65" i="16" s="1"/>
  <c r="BH65" i="14" a="1"/>
  <c r="BH65" i="14" s="1"/>
  <c r="BB65" i="14" a="1"/>
  <c r="BB65" i="14" s="1"/>
  <c r="AU65" i="14" a="1"/>
  <c r="AU65" i="14" s="1"/>
  <c r="BG65" i="14" a="1"/>
  <c r="BG65" i="14" s="1"/>
  <c r="BA65" i="14" a="1"/>
  <c r="BA65" i="14" s="1"/>
  <c r="AU65" i="16" a="1"/>
  <c r="AU65" i="16" s="1"/>
  <c r="BJ65" i="13" a="1"/>
  <c r="BJ65" i="13" s="1"/>
  <c r="AP65" i="16" a="1"/>
  <c r="AP65" i="16" s="1"/>
  <c r="BJ65" i="14" a="1"/>
  <c r="BJ65" i="14" s="1"/>
  <c r="AX65" i="14" a="1"/>
  <c r="AX65" i="14" s="1"/>
  <c r="BF65" i="14" a="1"/>
  <c r="BF65" i="14" s="1"/>
  <c r="AW65" i="14" a="1"/>
  <c r="AW65" i="14" s="1"/>
  <c r="BI65" i="16" a="1"/>
  <c r="BI65" i="16" s="1"/>
  <c r="BE65" i="14" a="1"/>
  <c r="BE65" i="14" s="1"/>
  <c r="AT65" i="14" a="1"/>
  <c r="AT65" i="14" s="1"/>
  <c r="BG65" i="16" a="1"/>
  <c r="BG65" i="16" s="1"/>
  <c r="BD65" i="14" a="1"/>
  <c r="BD65" i="14" s="1"/>
  <c r="AS65" i="14" a="1"/>
  <c r="AS65" i="14" s="1"/>
  <c r="BF65" i="16" a="1"/>
  <c r="BF65" i="16" s="1"/>
  <c r="AY65" i="16" a="1"/>
  <c r="AY65" i="16" s="1"/>
  <c r="BK65" i="14" a="1"/>
  <c r="BK65" i="14" s="1"/>
  <c r="AY65" i="14" a="1"/>
  <c r="AY65" i="14" s="1"/>
  <c r="AP65" i="14" a="1"/>
  <c r="AP65" i="14" s="1"/>
  <c r="AR65" i="14" a="1"/>
  <c r="AR65" i="14" s="1"/>
  <c r="BC65" i="14" a="1"/>
  <c r="BC65" i="14" s="1"/>
  <c r="AZ65" i="14" a="1"/>
  <c r="AZ65" i="14" s="1"/>
  <c r="AQ65" i="14" a="1"/>
  <c r="AQ65" i="14" s="1"/>
  <c r="I16" i="12" a="1"/>
  <c r="BK24" i="12" a="1"/>
  <c r="BK24" i="12" s="1"/>
  <c r="BS24" i="12" a="1"/>
  <c r="BS24" i="12" s="1"/>
  <c r="BL24" i="12" a="1"/>
  <c r="BL24" i="12" s="1"/>
  <c r="BM24" i="12" a="1"/>
  <c r="BM24" i="12" s="1"/>
  <c r="BJ24" i="12" a="1"/>
  <c r="BJ24" i="12" s="1"/>
  <c r="BR24" i="12" a="1"/>
  <c r="BR24" i="12" s="1"/>
  <c r="BQ24" i="12" a="1"/>
  <c r="BQ24" i="12" s="1"/>
  <c r="AY24" i="12"/>
  <c r="BG24" i="12"/>
  <c r="AZ24" i="12"/>
  <c r="BH24" i="12"/>
  <c r="BA24" i="12"/>
  <c r="BB24" i="12"/>
  <c r="BN24" i="12" a="1"/>
  <c r="BN24" i="12" s="1"/>
  <c r="BC24" i="12"/>
  <c r="BD24" i="12"/>
  <c r="BE24" i="12"/>
  <c r="BP24" i="12" a="1"/>
  <c r="BP24" i="12" s="1"/>
  <c r="BF24" i="12"/>
  <c r="BJ24" i="15" a="1"/>
  <c r="BJ24" i="15" s="1"/>
  <c r="BD24" i="15" a="1"/>
  <c r="BD24" i="15" s="1"/>
  <c r="AW24" i="15" a="1"/>
  <c r="AW24" i="15" s="1"/>
  <c r="AP24" i="15" a="1"/>
  <c r="AP24" i="15" s="1"/>
  <c r="BC24" i="15" a="1"/>
  <c r="BC24" i="15" s="1"/>
  <c r="AV24" i="15" a="1"/>
  <c r="AV24" i="15" s="1"/>
  <c r="BO24" i="12" a="1"/>
  <c r="BO24" i="12" s="1"/>
  <c r="BI24" i="15" a="1"/>
  <c r="BI24" i="15" s="1"/>
  <c r="BB24" i="15" a="1"/>
  <c r="BB24" i="15" s="1"/>
  <c r="AU24" i="15" a="1"/>
  <c r="AU24" i="15" s="1"/>
  <c r="BK24" i="15" a="1"/>
  <c r="BK24" i="15" s="1"/>
  <c r="BE24" i="15" a="1"/>
  <c r="BE24" i="15" s="1"/>
  <c r="AX24" i="15" a="1"/>
  <c r="AX24" i="15" s="1"/>
  <c r="BG24" i="15" a="1"/>
  <c r="BG24" i="15" s="1"/>
  <c r="AS24" i="15" a="1"/>
  <c r="AS24" i="15" s="1"/>
  <c r="AR24" i="15" a="1"/>
  <c r="AR24" i="15" s="1"/>
  <c r="BF24" i="15" a="1"/>
  <c r="BF24" i="15" s="1"/>
  <c r="AQ24" i="15" a="1"/>
  <c r="AQ24" i="15" s="1"/>
  <c r="BA24" i="15" a="1"/>
  <c r="BA24" i="15" s="1"/>
  <c r="AY24" i="15" a="1"/>
  <c r="AY24" i="15" s="1"/>
  <c r="AT24" i="15" a="1"/>
  <c r="AT24" i="15" s="1"/>
  <c r="AZ24" i="15" a="1"/>
  <c r="AZ24" i="15" s="1"/>
  <c r="BH24" i="15" a="1"/>
  <c r="BH24" i="15" s="1"/>
  <c r="BJ24" i="13" a="1"/>
  <c r="BJ24" i="13" s="1"/>
  <c r="AW24" i="13" a="1"/>
  <c r="AW24" i="13" s="1"/>
  <c r="BI24" i="13" a="1"/>
  <c r="BI24" i="13" s="1"/>
  <c r="BB24" i="13" a="1"/>
  <c r="BB24" i="13" s="1"/>
  <c r="AV24" i="13" a="1"/>
  <c r="AV24" i="13" s="1"/>
  <c r="AP24" i="13" a="1"/>
  <c r="AP24" i="13" s="1"/>
  <c r="BH24" i="13" a="1"/>
  <c r="BH24" i="13" s="1"/>
  <c r="BA24" i="13" a="1"/>
  <c r="BA24" i="13" s="1"/>
  <c r="AU24" i="13" a="1"/>
  <c r="AU24" i="13" s="1"/>
  <c r="BK24" i="13" a="1"/>
  <c r="BK24" i="13" s="1"/>
  <c r="BC24" i="13" a="1"/>
  <c r="BC24" i="13" s="1"/>
  <c r="AX24" i="13" a="1"/>
  <c r="AX24" i="13" s="1"/>
  <c r="AQ24" i="13" a="1"/>
  <c r="AQ24" i="13" s="1"/>
  <c r="BG24" i="13" a="1"/>
  <c r="BG24" i="13" s="1"/>
  <c r="AT24" i="13" a="1"/>
  <c r="AT24" i="13" s="1"/>
  <c r="BF24" i="13" a="1"/>
  <c r="BF24" i="13" s="1"/>
  <c r="AY24" i="13" a="1"/>
  <c r="AY24" i="13" s="1"/>
  <c r="AZ24" i="13" a="1"/>
  <c r="AZ24" i="13" s="1"/>
  <c r="BB24" i="16" a="1"/>
  <c r="BB24" i="16" s="1"/>
  <c r="AV24" i="16" a="1"/>
  <c r="AV24" i="16" s="1"/>
  <c r="AP24" i="16" a="1"/>
  <c r="AP24" i="16" s="1"/>
  <c r="AS24" i="13" a="1"/>
  <c r="AS24" i="13" s="1"/>
  <c r="AR24" i="13" a="1"/>
  <c r="AR24" i="13" s="1"/>
  <c r="BH24" i="16" a="1"/>
  <c r="BH24" i="16" s="1"/>
  <c r="BA24" i="16" a="1"/>
  <c r="BA24" i="16" s="1"/>
  <c r="AT24" i="16" a="1"/>
  <c r="AT24" i="16" s="1"/>
  <c r="BD24" i="13" a="1"/>
  <c r="BD24" i="13" s="1"/>
  <c r="BE24" i="13" a="1"/>
  <c r="BE24" i="13" s="1"/>
  <c r="BJ24" i="16" a="1"/>
  <c r="BJ24" i="16" s="1"/>
  <c r="AR24" i="16" a="1"/>
  <c r="AR24" i="16" s="1"/>
  <c r="BI24" i="16" a="1"/>
  <c r="BI24" i="16" s="1"/>
  <c r="AZ24" i="16" a="1"/>
  <c r="AZ24" i="16" s="1"/>
  <c r="BG24" i="16" a="1"/>
  <c r="BG24" i="16" s="1"/>
  <c r="AY24" i="16" a="1"/>
  <c r="AY24" i="16" s="1"/>
  <c r="AQ24" i="16" a="1"/>
  <c r="AQ24" i="16" s="1"/>
  <c r="BE24" i="16" a="1"/>
  <c r="BE24" i="16" s="1"/>
  <c r="AW24" i="16" a="1"/>
  <c r="AW24" i="16" s="1"/>
  <c r="BC24" i="16" a="1"/>
  <c r="BC24" i="16" s="1"/>
  <c r="BH24" i="14" a="1"/>
  <c r="BH24" i="14" s="1"/>
  <c r="BA24" i="14" a="1"/>
  <c r="BA24" i="14" s="1"/>
  <c r="AT24" i="14" a="1"/>
  <c r="AT24" i="14" s="1"/>
  <c r="BG24" i="14" a="1"/>
  <c r="BG24" i="14" s="1"/>
  <c r="AS24" i="14" a="1"/>
  <c r="AS24" i="14" s="1"/>
  <c r="AX24" i="16" a="1"/>
  <c r="AX24" i="16" s="1"/>
  <c r="BF24" i="14" a="1"/>
  <c r="BF24" i="14" s="1"/>
  <c r="AZ24" i="14" a="1"/>
  <c r="AZ24" i="14" s="1"/>
  <c r="AR24" i="14" a="1"/>
  <c r="AR24" i="14" s="1"/>
  <c r="AU24" i="16" a="1"/>
  <c r="AU24" i="16" s="1"/>
  <c r="AS24" i="16" a="1"/>
  <c r="AS24" i="16" s="1"/>
  <c r="BE24" i="14" a="1"/>
  <c r="BE24" i="14" s="1"/>
  <c r="AX24" i="14" a="1"/>
  <c r="AX24" i="14" s="1"/>
  <c r="AP24" i="14" a="1"/>
  <c r="AP24" i="14" s="1"/>
  <c r="BK24" i="16" a="1"/>
  <c r="BK24" i="16" s="1"/>
  <c r="BF24" i="16" a="1"/>
  <c r="BF24" i="16" s="1"/>
  <c r="BD24" i="16" a="1"/>
  <c r="BD24" i="16" s="1"/>
  <c r="BI24" i="14" a="1"/>
  <c r="BI24" i="14" s="1"/>
  <c r="BB24" i="14" a="1"/>
  <c r="BB24" i="14" s="1"/>
  <c r="AU24" i="14" a="1"/>
  <c r="AU24" i="14" s="1"/>
  <c r="BD24" i="14" a="1"/>
  <c r="BD24" i="14" s="1"/>
  <c r="BC24" i="14" a="1"/>
  <c r="BC24" i="14" s="1"/>
  <c r="AW24" i="14" a="1"/>
  <c r="AW24" i="14" s="1"/>
  <c r="BK24" i="14" a="1"/>
  <c r="BK24" i="14" s="1"/>
  <c r="AY24" i="14" a="1"/>
  <c r="AY24" i="14" s="1"/>
  <c r="AQ24" i="14" a="1"/>
  <c r="AQ24" i="14" s="1"/>
  <c r="AV24" i="14" a="1"/>
  <c r="AV24" i="14" s="1"/>
  <c r="BJ24" i="14" a="1"/>
  <c r="BJ24" i="14" s="1"/>
  <c r="BP56" i="12" a="1"/>
  <c r="BP56" i="12" s="1"/>
  <c r="BJ56" i="12" a="1"/>
  <c r="BJ56" i="12" s="1"/>
  <c r="BQ56" i="12" a="1"/>
  <c r="BQ56" i="12" s="1"/>
  <c r="BK56" i="12" a="1"/>
  <c r="BK56" i="12" s="1"/>
  <c r="BR56" i="12" a="1"/>
  <c r="BR56" i="12" s="1"/>
  <c r="BO56" i="12" a="1"/>
  <c r="BO56" i="12" s="1"/>
  <c r="BL56" i="12" a="1"/>
  <c r="BL56" i="12" s="1"/>
  <c r="BM56" i="12" a="1"/>
  <c r="BM56" i="12" s="1"/>
  <c r="BB56" i="12"/>
  <c r="BC56" i="12"/>
  <c r="BD56" i="12"/>
  <c r="BE56" i="12"/>
  <c r="BS56" i="12" a="1"/>
  <c r="BS56" i="12" s="1"/>
  <c r="BA56" i="12"/>
  <c r="BF56" i="12"/>
  <c r="BG56" i="12"/>
  <c r="AY56" i="12"/>
  <c r="BG56" i="15" a="1"/>
  <c r="BG56" i="15" s="1"/>
  <c r="AV56" i="15" a="1"/>
  <c r="AV56" i="15" s="1"/>
  <c r="AP56" i="15" a="1"/>
  <c r="AP56" i="15" s="1"/>
  <c r="BF56" i="15" a="1"/>
  <c r="BF56" i="15" s="1"/>
  <c r="BA56" i="15" a="1"/>
  <c r="BA56" i="15" s="1"/>
  <c r="AU56" i="15" a="1"/>
  <c r="AU56" i="15" s="1"/>
  <c r="BK56" i="15" a="1"/>
  <c r="BK56" i="15" s="1"/>
  <c r="AT56" i="15" a="1"/>
  <c r="AT56" i="15" s="1"/>
  <c r="BN56" i="12" a="1"/>
  <c r="BN56" i="12" s="1"/>
  <c r="BE56" i="15" a="1"/>
  <c r="BE56" i="15" s="1"/>
  <c r="AZ56" i="15" a="1"/>
  <c r="AZ56" i="15" s="1"/>
  <c r="BB56" i="15" a="1"/>
  <c r="BB56" i="15" s="1"/>
  <c r="AQ56" i="15" a="1"/>
  <c r="AQ56" i="15" s="1"/>
  <c r="AZ56" i="12"/>
  <c r="BJ56" i="15" a="1"/>
  <c r="BJ56" i="15" s="1"/>
  <c r="AY56" i="15" a="1"/>
  <c r="AY56" i="15" s="1"/>
  <c r="BH56" i="12"/>
  <c r="AX56" i="15" a="1"/>
  <c r="AX56" i="15" s="1"/>
  <c r="AR56" i="15" a="1"/>
  <c r="AR56" i="15" s="1"/>
  <c r="BI56" i="15" a="1"/>
  <c r="BI56" i="15" s="1"/>
  <c r="BH56" i="15" a="1"/>
  <c r="BH56" i="15" s="1"/>
  <c r="AS56" i="15" a="1"/>
  <c r="AS56" i="15" s="1"/>
  <c r="BD56" i="15" a="1"/>
  <c r="BD56" i="15" s="1"/>
  <c r="BC56" i="15" a="1"/>
  <c r="BC56" i="15" s="1"/>
  <c r="BH56" i="13" a="1"/>
  <c r="BH56" i="13" s="1"/>
  <c r="BC56" i="13" a="1"/>
  <c r="BC56" i="13" s="1"/>
  <c r="AW56" i="13" a="1"/>
  <c r="AW56" i="13" s="1"/>
  <c r="AQ56" i="13" a="1"/>
  <c r="AQ56" i="13" s="1"/>
  <c r="AW56" i="15" a="1"/>
  <c r="AW56" i="15" s="1"/>
  <c r="BB56" i="13" a="1"/>
  <c r="BB56" i="13" s="1"/>
  <c r="AV56" i="13" a="1"/>
  <c r="AV56" i="13" s="1"/>
  <c r="AP56" i="13" a="1"/>
  <c r="AP56" i="13" s="1"/>
  <c r="BG56" i="13" a="1"/>
  <c r="BG56" i="13" s="1"/>
  <c r="AU56" i="13" a="1"/>
  <c r="AU56" i="13" s="1"/>
  <c r="BI56" i="13" a="1"/>
  <c r="BI56" i="13" s="1"/>
  <c r="BD56" i="13" a="1"/>
  <c r="BD56" i="13" s="1"/>
  <c r="AR56" i="13" a="1"/>
  <c r="AR56" i="13" s="1"/>
  <c r="BE56" i="13" a="1"/>
  <c r="BE56" i="13" s="1"/>
  <c r="AS56" i="13" a="1"/>
  <c r="AS56" i="13" s="1"/>
  <c r="BK56" i="13" a="1"/>
  <c r="BK56" i="13" s="1"/>
  <c r="BA56" i="13" a="1"/>
  <c r="BA56" i="13" s="1"/>
  <c r="AZ56" i="13" a="1"/>
  <c r="AZ56" i="13" s="1"/>
  <c r="AT56" i="13" a="1"/>
  <c r="AT56" i="13" s="1"/>
  <c r="BE56" i="16" a="1"/>
  <c r="BE56" i="16" s="1"/>
  <c r="AY56" i="16" a="1"/>
  <c r="AY56" i="16" s="1"/>
  <c r="AS56" i="16" a="1"/>
  <c r="AS56" i="16" s="1"/>
  <c r="BJ56" i="13" a="1"/>
  <c r="BJ56" i="13" s="1"/>
  <c r="BC56" i="16" a="1"/>
  <c r="BC56" i="16" s="1"/>
  <c r="AR56" i="16" a="1"/>
  <c r="AR56" i="16" s="1"/>
  <c r="AX56" i="13" a="1"/>
  <c r="AX56" i="13" s="1"/>
  <c r="BK56" i="16" a="1"/>
  <c r="BK56" i="16" s="1"/>
  <c r="BF56" i="16" a="1"/>
  <c r="BF56" i="16" s="1"/>
  <c r="AZ56" i="16" a="1"/>
  <c r="AZ56" i="16" s="1"/>
  <c r="AT56" i="16" a="1"/>
  <c r="AT56" i="16" s="1"/>
  <c r="AY56" i="13" a="1"/>
  <c r="AY56" i="13" s="1"/>
  <c r="BJ56" i="16" a="1"/>
  <c r="BJ56" i="16" s="1"/>
  <c r="BA56" i="16" a="1"/>
  <c r="BA56" i="16" s="1"/>
  <c r="AQ56" i="16" a="1"/>
  <c r="AQ56" i="16" s="1"/>
  <c r="BH56" i="16" a="1"/>
  <c r="BH56" i="16" s="1"/>
  <c r="AX56" i="16" a="1"/>
  <c r="AX56" i="16" s="1"/>
  <c r="BG56" i="16" a="1"/>
  <c r="BG56" i="16" s="1"/>
  <c r="AW56" i="16" a="1"/>
  <c r="AW56" i="16" s="1"/>
  <c r="BF56" i="13" a="1"/>
  <c r="BF56" i="13" s="1"/>
  <c r="AV56" i="16" a="1"/>
  <c r="AV56" i="16" s="1"/>
  <c r="AU56" i="16" a="1"/>
  <c r="AU56" i="16" s="1"/>
  <c r="BI56" i="16" a="1"/>
  <c r="BI56" i="16" s="1"/>
  <c r="AP56" i="16" a="1"/>
  <c r="AP56" i="16" s="1"/>
  <c r="BE56" i="14" a="1"/>
  <c r="BE56" i="14" s="1"/>
  <c r="AX56" i="14" a="1"/>
  <c r="AX56" i="14" s="1"/>
  <c r="AQ56" i="14" a="1"/>
  <c r="AQ56" i="14" s="1"/>
  <c r="BK56" i="14" a="1"/>
  <c r="BK56" i="14" s="1"/>
  <c r="BD56" i="14" a="1"/>
  <c r="BD56" i="14" s="1"/>
  <c r="AW56" i="14" a="1"/>
  <c r="AW56" i="14" s="1"/>
  <c r="AP56" i="14" a="1"/>
  <c r="AP56" i="14" s="1"/>
  <c r="BJ56" i="14" a="1"/>
  <c r="BJ56" i="14" s="1"/>
  <c r="BC56" i="14" a="1"/>
  <c r="BC56" i="14" s="1"/>
  <c r="AV56" i="14" a="1"/>
  <c r="AV56" i="14" s="1"/>
  <c r="BI56" i="14" a="1"/>
  <c r="BI56" i="14" s="1"/>
  <c r="BB56" i="14" a="1"/>
  <c r="BB56" i="14" s="1"/>
  <c r="AU56" i="14" a="1"/>
  <c r="AU56" i="14" s="1"/>
  <c r="BD56" i="16" a="1"/>
  <c r="BD56" i="16" s="1"/>
  <c r="BA56" i="14" a="1"/>
  <c r="BA56" i="14" s="1"/>
  <c r="AT56" i="14" a="1"/>
  <c r="AT56" i="14" s="1"/>
  <c r="BB56" i="16" a="1"/>
  <c r="BB56" i="16" s="1"/>
  <c r="BF56" i="14" a="1"/>
  <c r="BF56" i="14" s="1"/>
  <c r="AY56" i="14" a="1"/>
  <c r="AY56" i="14" s="1"/>
  <c r="AR56" i="14" a="1"/>
  <c r="AR56" i="14" s="1"/>
  <c r="BG56" i="14" a="1"/>
  <c r="BG56" i="14" s="1"/>
  <c r="BH56" i="14" a="1"/>
  <c r="BH56" i="14" s="1"/>
  <c r="AZ56" i="14" a="1"/>
  <c r="AZ56" i="14" s="1"/>
  <c r="AS56" i="14" a="1"/>
  <c r="AS56" i="14" s="1"/>
  <c r="BK45" i="12" a="1"/>
  <c r="BK45" i="12" s="1"/>
  <c r="BR45" i="12" a="1"/>
  <c r="BR45" i="12" s="1"/>
  <c r="BL45" i="12" a="1"/>
  <c r="BL45" i="12" s="1"/>
  <c r="BS45" i="12" a="1"/>
  <c r="BS45" i="12" s="1"/>
  <c r="BQ45" i="12" a="1"/>
  <c r="BQ45" i="12" s="1"/>
  <c r="BJ45" i="12" a="1"/>
  <c r="BJ45" i="12" s="1"/>
  <c r="BM45" i="12" a="1"/>
  <c r="BM45" i="12" s="1"/>
  <c r="BN45" i="12" a="1"/>
  <c r="BN45" i="12" s="1"/>
  <c r="AZ45" i="12"/>
  <c r="BH45" i="12"/>
  <c r="BA45" i="12"/>
  <c r="BB45" i="12"/>
  <c r="BC45" i="12"/>
  <c r="AY45" i="12"/>
  <c r="BO45" i="12" a="1"/>
  <c r="BO45" i="12" s="1"/>
  <c r="BD45" i="12"/>
  <c r="BP45" i="12" a="1"/>
  <c r="BP45" i="12" s="1"/>
  <c r="BE45" i="12"/>
  <c r="BF45" i="12"/>
  <c r="BG45" i="12"/>
  <c r="BI45" i="15" a="1"/>
  <c r="BI45" i="15" s="1"/>
  <c r="AV45" i="15" a="1"/>
  <c r="AV45" i="15" s="1"/>
  <c r="AP45" i="15" a="1"/>
  <c r="AP45" i="15" s="1"/>
  <c r="BH45" i="15" a="1"/>
  <c r="BH45" i="15" s="1"/>
  <c r="BB45" i="15" a="1"/>
  <c r="BB45" i="15" s="1"/>
  <c r="BG45" i="15" a="1"/>
  <c r="BG45" i="15" s="1"/>
  <c r="BA45" i="15" a="1"/>
  <c r="BA45" i="15" s="1"/>
  <c r="AU45" i="15" a="1"/>
  <c r="AU45" i="15" s="1"/>
  <c r="BC45" i="15" a="1"/>
  <c r="BC45" i="15" s="1"/>
  <c r="AR45" i="15" a="1"/>
  <c r="AR45" i="15" s="1"/>
  <c r="BK45" i="15" a="1"/>
  <c r="BK45" i="15" s="1"/>
  <c r="AZ45" i="15" a="1"/>
  <c r="AZ45" i="15" s="1"/>
  <c r="AQ45" i="15" a="1"/>
  <c r="AQ45" i="15" s="1"/>
  <c r="BD45" i="15" a="1"/>
  <c r="BD45" i="15" s="1"/>
  <c r="AS45" i="15" a="1"/>
  <c r="AS45" i="15" s="1"/>
  <c r="BF45" i="15" a="1"/>
  <c r="BF45" i="15" s="1"/>
  <c r="BE45" i="15" a="1"/>
  <c r="BE45" i="15" s="1"/>
  <c r="AY45" i="15" a="1"/>
  <c r="AY45" i="15" s="1"/>
  <c r="AX45" i="15" a="1"/>
  <c r="AX45" i="15" s="1"/>
  <c r="BJ45" i="15" a="1"/>
  <c r="BJ45" i="15" s="1"/>
  <c r="BK45" i="13" a="1"/>
  <c r="BK45" i="13" s="1"/>
  <c r="BE45" i="13" a="1"/>
  <c r="BE45" i="13" s="1"/>
  <c r="AT45" i="13" a="1"/>
  <c r="AT45" i="13" s="1"/>
  <c r="AW45" i="15" a="1"/>
  <c r="AW45" i="15" s="1"/>
  <c r="BJ45" i="13" a="1"/>
  <c r="BJ45" i="13" s="1"/>
  <c r="BD45" i="13" a="1"/>
  <c r="BD45" i="13" s="1"/>
  <c r="AY45" i="13" a="1"/>
  <c r="AY45" i="13" s="1"/>
  <c r="AT45" i="15" a="1"/>
  <c r="AT45" i="15" s="1"/>
  <c r="BI45" i="13" a="1"/>
  <c r="BI45" i="13" s="1"/>
  <c r="AX45" i="13" a="1"/>
  <c r="AX45" i="13" s="1"/>
  <c r="AS45" i="13" a="1"/>
  <c r="AS45" i="13" s="1"/>
  <c r="BG45" i="13" a="1"/>
  <c r="BG45" i="13" s="1"/>
  <c r="AW45" i="13" a="1"/>
  <c r="AW45" i="13" s="1"/>
  <c r="AQ45" i="13" a="1"/>
  <c r="AQ45" i="13" s="1"/>
  <c r="BF45" i="13" a="1"/>
  <c r="BF45" i="13" s="1"/>
  <c r="AP45" i="13" a="1"/>
  <c r="AP45" i="13" s="1"/>
  <c r="AV45" i="13" a="1"/>
  <c r="AV45" i="13" s="1"/>
  <c r="AZ45" i="13" a="1"/>
  <c r="AZ45" i="13" s="1"/>
  <c r="BH45" i="13" a="1"/>
  <c r="BH45" i="13" s="1"/>
  <c r="AR45" i="13" a="1"/>
  <c r="AR45" i="13" s="1"/>
  <c r="BH45" i="16" a="1"/>
  <c r="BH45" i="16" s="1"/>
  <c r="BA45" i="16" a="1"/>
  <c r="BA45" i="16" s="1"/>
  <c r="AU45" i="16" a="1"/>
  <c r="AU45" i="16" s="1"/>
  <c r="BC45" i="13" a="1"/>
  <c r="BC45" i="13" s="1"/>
  <c r="BB45" i="13" a="1"/>
  <c r="BB45" i="13" s="1"/>
  <c r="AU45" i="13" a="1"/>
  <c r="AU45" i="13" s="1"/>
  <c r="BI45" i="16" a="1"/>
  <c r="BI45" i="16" s="1"/>
  <c r="BB45" i="16" a="1"/>
  <c r="BB45" i="16" s="1"/>
  <c r="AV45" i="16" a="1"/>
  <c r="AV45" i="16" s="1"/>
  <c r="AP45" i="16" a="1"/>
  <c r="AP45" i="16" s="1"/>
  <c r="BD45" i="16" a="1"/>
  <c r="BD45" i="16" s="1"/>
  <c r="AZ45" i="16" a="1"/>
  <c r="AZ45" i="16" s="1"/>
  <c r="AS45" i="16" a="1"/>
  <c r="AS45" i="16" s="1"/>
  <c r="BA45" i="13" a="1"/>
  <c r="BA45" i="13" s="1"/>
  <c r="BJ45" i="16" a="1"/>
  <c r="BJ45" i="16" s="1"/>
  <c r="AY45" i="16" a="1"/>
  <c r="AY45" i="16" s="1"/>
  <c r="BE45" i="16" a="1"/>
  <c r="BE45" i="16" s="1"/>
  <c r="BC45" i="16" a="1"/>
  <c r="BC45" i="16" s="1"/>
  <c r="AX45" i="16" a="1"/>
  <c r="AX45" i="16" s="1"/>
  <c r="BK45" i="16" a="1"/>
  <c r="BK45" i="16" s="1"/>
  <c r="AT45" i="16" a="1"/>
  <c r="AT45" i="16" s="1"/>
  <c r="AQ45" i="16" a="1"/>
  <c r="AQ45" i="16" s="1"/>
  <c r="BJ45" i="14" a="1"/>
  <c r="BJ45" i="14" s="1"/>
  <c r="BD45" i="14" a="1"/>
  <c r="BD45" i="14" s="1"/>
  <c r="AW45" i="14" a="1"/>
  <c r="AW45" i="14" s="1"/>
  <c r="AQ45" i="14" a="1"/>
  <c r="AQ45" i="14" s="1"/>
  <c r="BI45" i="14" a="1"/>
  <c r="BI45" i="14" s="1"/>
  <c r="BC45" i="14" a="1"/>
  <c r="BC45" i="14" s="1"/>
  <c r="AV45" i="14" a="1"/>
  <c r="AV45" i="14" s="1"/>
  <c r="AP45" i="14" a="1"/>
  <c r="AP45" i="14" s="1"/>
  <c r="BB45" i="14" a="1"/>
  <c r="BB45" i="14" s="1"/>
  <c r="AU45" i="14" a="1"/>
  <c r="AU45" i="14" s="1"/>
  <c r="BG45" i="16" a="1"/>
  <c r="BG45" i="16" s="1"/>
  <c r="BG45" i="14" a="1"/>
  <c r="BG45" i="14" s="1"/>
  <c r="AZ45" i="14" a="1"/>
  <c r="AZ45" i="14" s="1"/>
  <c r="BF45" i="16" a="1"/>
  <c r="BF45" i="16" s="1"/>
  <c r="AW45" i="16" a="1"/>
  <c r="AW45" i="16" s="1"/>
  <c r="AR45" i="16" a="1"/>
  <c r="AR45" i="16" s="1"/>
  <c r="BK45" i="14" a="1"/>
  <c r="BK45" i="14" s="1"/>
  <c r="BE45" i="14" a="1"/>
  <c r="BE45" i="14" s="1"/>
  <c r="AR45" i="14" a="1"/>
  <c r="AR45" i="14" s="1"/>
  <c r="BA45" i="14" a="1"/>
  <c r="BA45" i="14" s="1"/>
  <c r="AY45" i="14" a="1"/>
  <c r="AY45" i="14" s="1"/>
  <c r="AX45" i="14" a="1"/>
  <c r="AX45" i="14" s="1"/>
  <c r="AT45" i="14" a="1"/>
  <c r="AT45" i="14" s="1"/>
  <c r="AS45" i="14" a="1"/>
  <c r="AS45" i="14" s="1"/>
  <c r="BH45" i="14" a="1"/>
  <c r="BH45" i="14" s="1"/>
  <c r="BF45" i="14" a="1"/>
  <c r="BF45" i="14" s="1"/>
  <c r="BN20" i="12" a="1"/>
  <c r="BN20" i="12" s="1"/>
  <c r="BO20" i="12" a="1"/>
  <c r="BO20" i="12" s="1"/>
  <c r="BM20" i="12" a="1"/>
  <c r="BM20" i="12" s="1"/>
  <c r="BS20" i="12" a="1"/>
  <c r="BS20" i="12" s="1"/>
  <c r="BL20" i="12" a="1"/>
  <c r="BL20" i="12" s="1"/>
  <c r="AY20" i="12"/>
  <c r="BG20" i="12"/>
  <c r="BP20" i="12" a="1"/>
  <c r="BP20" i="12" s="1"/>
  <c r="AZ20" i="12"/>
  <c r="BH20" i="12"/>
  <c r="BA20" i="12"/>
  <c r="BR20" i="12" a="1"/>
  <c r="BR20" i="12" s="1"/>
  <c r="BB20" i="12"/>
  <c r="BC20" i="12"/>
  <c r="BD20" i="12"/>
  <c r="BQ20" i="12" a="1"/>
  <c r="BQ20" i="12" s="1"/>
  <c r="BJ20" i="12" a="1"/>
  <c r="BJ20" i="12" s="1"/>
  <c r="BF20" i="12"/>
  <c r="BK20" i="12" a="1"/>
  <c r="BK20" i="12" s="1"/>
  <c r="BG20" i="15" a="1"/>
  <c r="BG20" i="15" s="1"/>
  <c r="AY20" i="15" a="1"/>
  <c r="AY20" i="15" s="1"/>
  <c r="AS20" i="15" a="1"/>
  <c r="AS20" i="15" s="1"/>
  <c r="BF20" i="15" a="1"/>
  <c r="BF20" i="15" s="1"/>
  <c r="AR20" i="15" a="1"/>
  <c r="AR20" i="15" s="1"/>
  <c r="BE20" i="15" a="1"/>
  <c r="BE20" i="15" s="1"/>
  <c r="AX20" i="15" a="1"/>
  <c r="AX20" i="15" s="1"/>
  <c r="AQ20" i="15" a="1"/>
  <c r="AQ20" i="15" s="1"/>
  <c r="BH20" i="15" a="1"/>
  <c r="BH20" i="15" s="1"/>
  <c r="AZ20" i="15" a="1"/>
  <c r="AZ20" i="15" s="1"/>
  <c r="BJ20" i="15" a="1"/>
  <c r="BJ20" i="15" s="1"/>
  <c r="AV20" i="15" a="1"/>
  <c r="AV20" i="15" s="1"/>
  <c r="AU20" i="15" a="1"/>
  <c r="AU20" i="15" s="1"/>
  <c r="BI20" i="15" a="1"/>
  <c r="BI20" i="15" s="1"/>
  <c r="AT20" i="15" a="1"/>
  <c r="AT20" i="15" s="1"/>
  <c r="BD20" i="15" a="1"/>
  <c r="BD20" i="15" s="1"/>
  <c r="AP20" i="15" a="1"/>
  <c r="AP20" i="15" s="1"/>
  <c r="BC20" i="15" a="1"/>
  <c r="BC20" i="15" s="1"/>
  <c r="BK20" i="15" a="1"/>
  <c r="BK20" i="15" s="1"/>
  <c r="BB20" i="15" a="1"/>
  <c r="BB20" i="15" s="1"/>
  <c r="BE20" i="12"/>
  <c r="BA20" i="15" a="1"/>
  <c r="BA20" i="15" s="1"/>
  <c r="BF20" i="13" a="1"/>
  <c r="BF20" i="13" s="1"/>
  <c r="AZ20" i="13" a="1"/>
  <c r="AZ20" i="13" s="1"/>
  <c r="AT20" i="13" a="1"/>
  <c r="AT20" i="13" s="1"/>
  <c r="AW20" i="15" a="1"/>
  <c r="AW20" i="15" s="1"/>
  <c r="AS20" i="13" a="1"/>
  <c r="AS20" i="13" s="1"/>
  <c r="BE20" i="13" a="1"/>
  <c r="BE20" i="13" s="1"/>
  <c r="AY20" i="13" a="1"/>
  <c r="AY20" i="13" s="1"/>
  <c r="AR20" i="13" a="1"/>
  <c r="AR20" i="13" s="1"/>
  <c r="BG20" i="13" a="1"/>
  <c r="BG20" i="13" s="1"/>
  <c r="BH20" i="13" a="1"/>
  <c r="BH20" i="13" s="1"/>
  <c r="AV20" i="13" a="1"/>
  <c r="AV20" i="13" s="1"/>
  <c r="BD20" i="13" a="1"/>
  <c r="BD20" i="13" s="1"/>
  <c r="AU20" i="13" a="1"/>
  <c r="AU20" i="13" s="1"/>
  <c r="BJ20" i="13" a="1"/>
  <c r="BJ20" i="13" s="1"/>
  <c r="AX20" i="13" a="1"/>
  <c r="AX20" i="13" s="1"/>
  <c r="BI20" i="13" a="1"/>
  <c r="BI20" i="13" s="1"/>
  <c r="AW20" i="13" a="1"/>
  <c r="AW20" i="13" s="1"/>
  <c r="AP20" i="13" a="1"/>
  <c r="AP20" i="13" s="1"/>
  <c r="BJ20" i="16" a="1"/>
  <c r="BJ20" i="16" s="1"/>
  <c r="BC20" i="16" a="1"/>
  <c r="BC20" i="16" s="1"/>
  <c r="AV20" i="16" a="1"/>
  <c r="AV20" i="16" s="1"/>
  <c r="AP20" i="16" a="1"/>
  <c r="AP20" i="16" s="1"/>
  <c r="BK20" i="13" a="1"/>
  <c r="BK20" i="13" s="1"/>
  <c r="BC20" i="13" a="1"/>
  <c r="BC20" i="13" s="1"/>
  <c r="AQ20" i="13" a="1"/>
  <c r="AQ20" i="13" s="1"/>
  <c r="BA20" i="13" a="1"/>
  <c r="BA20" i="13" s="1"/>
  <c r="BF20" i="16" a="1"/>
  <c r="BF20" i="16" s="1"/>
  <c r="AX20" i="16" a="1"/>
  <c r="AX20" i="16" s="1"/>
  <c r="AQ20" i="16" a="1"/>
  <c r="AQ20" i="16" s="1"/>
  <c r="BE20" i="16" a="1"/>
  <c r="BE20" i="16" s="1"/>
  <c r="AW20" i="16" a="1"/>
  <c r="AW20" i="16" s="1"/>
  <c r="BD20" i="16" a="1"/>
  <c r="BD20" i="16" s="1"/>
  <c r="AU20" i="16" a="1"/>
  <c r="AU20" i="16" s="1"/>
  <c r="BI20" i="16" a="1"/>
  <c r="BI20" i="16" s="1"/>
  <c r="BK20" i="14" a="1"/>
  <c r="BK20" i="14" s="1"/>
  <c r="BD20" i="14" a="1"/>
  <c r="BD20" i="14" s="1"/>
  <c r="AY20" i="14" a="1"/>
  <c r="AY20" i="14" s="1"/>
  <c r="BG20" i="16" a="1"/>
  <c r="BG20" i="16" s="1"/>
  <c r="AR20" i="16" a="1"/>
  <c r="AR20" i="16" s="1"/>
  <c r="BJ20" i="14" a="1"/>
  <c r="BJ20" i="14" s="1"/>
  <c r="AX20" i="14" a="1"/>
  <c r="AX20" i="14" s="1"/>
  <c r="AR20" i="14" a="1"/>
  <c r="AR20" i="14" s="1"/>
  <c r="BB20" i="13" a="1"/>
  <c r="BB20" i="13" s="1"/>
  <c r="BB20" i="16" a="1"/>
  <c r="BB20" i="16" s="1"/>
  <c r="BI20" i="14" a="1"/>
  <c r="BI20" i="14" s="1"/>
  <c r="BC20" i="14" a="1"/>
  <c r="BC20" i="14" s="1"/>
  <c r="AW20" i="14" a="1"/>
  <c r="AW20" i="14" s="1"/>
  <c r="BA20" i="16" a="1"/>
  <c r="BA20" i="16" s="1"/>
  <c r="AZ20" i="16" a="1"/>
  <c r="AZ20" i="16" s="1"/>
  <c r="BH20" i="14" a="1"/>
  <c r="BH20" i="14" s="1"/>
  <c r="AU20" i="14" a="1"/>
  <c r="AU20" i="14" s="1"/>
  <c r="AP20" i="14" a="1"/>
  <c r="AP20" i="14" s="1"/>
  <c r="AY20" i="16" a="1"/>
  <c r="AY20" i="16" s="1"/>
  <c r="BK20" i="16" a="1"/>
  <c r="BK20" i="16" s="1"/>
  <c r="AT20" i="16" a="1"/>
  <c r="AT20" i="16" s="1"/>
  <c r="BH20" i="16" a="1"/>
  <c r="BH20" i="16" s="1"/>
  <c r="AS20" i="16" a="1"/>
  <c r="AS20" i="16" s="1"/>
  <c r="BE20" i="14" a="1"/>
  <c r="BE20" i="14" s="1"/>
  <c r="AZ20" i="14" a="1"/>
  <c r="AZ20" i="14" s="1"/>
  <c r="AS20" i="14" a="1"/>
  <c r="AS20" i="14" s="1"/>
  <c r="AV20" i="14" a="1"/>
  <c r="AV20" i="14" s="1"/>
  <c r="AQ20" i="14" a="1"/>
  <c r="AQ20" i="14" s="1"/>
  <c r="AT20" i="14" a="1"/>
  <c r="AT20" i="14" s="1"/>
  <c r="BF20" i="14" a="1"/>
  <c r="BF20" i="14" s="1"/>
  <c r="BB20" i="14" a="1"/>
  <c r="BB20" i="14" s="1"/>
  <c r="BA20" i="14" a="1"/>
  <c r="BA20" i="14" s="1"/>
  <c r="BG20" i="14" a="1"/>
  <c r="BG20" i="14" s="1"/>
  <c r="BQ36" i="12" a="1"/>
  <c r="BQ36" i="12" s="1"/>
  <c r="BJ36" i="12" a="1"/>
  <c r="BJ36" i="12" s="1"/>
  <c r="BR36" i="12" a="1"/>
  <c r="BR36" i="12" s="1"/>
  <c r="BK36" i="12" a="1"/>
  <c r="BK36" i="12" s="1"/>
  <c r="BS36" i="12" a="1"/>
  <c r="BS36" i="12" s="1"/>
  <c r="BP36" i="12" a="1"/>
  <c r="BP36" i="12" s="1"/>
  <c r="BO36" i="12" a="1"/>
  <c r="BO36" i="12" s="1"/>
  <c r="BB36" i="12"/>
  <c r="BC36" i="12"/>
  <c r="BD36" i="12"/>
  <c r="BL36" i="12" a="1"/>
  <c r="BL36" i="12" s="1"/>
  <c r="BE36" i="12"/>
  <c r="BM36" i="12" a="1"/>
  <c r="BM36" i="12" s="1"/>
  <c r="BN36" i="12" a="1"/>
  <c r="BN36" i="12" s="1"/>
  <c r="AY36" i="12"/>
  <c r="BG36" i="12"/>
  <c r="AZ36" i="12"/>
  <c r="BA36" i="12"/>
  <c r="BF36" i="12"/>
  <c r="BF36" i="15" a="1"/>
  <c r="BF36" i="15" s="1"/>
  <c r="BH36" i="12"/>
  <c r="BG36" i="15" a="1"/>
  <c r="BG36" i="15" s="1"/>
  <c r="AZ36" i="15" a="1"/>
  <c r="AZ36" i="15" s="1"/>
  <c r="AS36" i="15" a="1"/>
  <c r="AS36" i="15" s="1"/>
  <c r="BE36" i="15" a="1"/>
  <c r="BE36" i="15" s="1"/>
  <c r="AY36" i="15" a="1"/>
  <c r="AY36" i="15" s="1"/>
  <c r="AX36" i="15" a="1"/>
  <c r="AX36" i="15" s="1"/>
  <c r="AR36" i="15" a="1"/>
  <c r="AR36" i="15" s="1"/>
  <c r="BH36" i="15" a="1"/>
  <c r="BH36" i="15" s="1"/>
  <c r="BA36" i="15" a="1"/>
  <c r="BA36" i="15" s="1"/>
  <c r="AT36" i="15" a="1"/>
  <c r="AT36" i="15" s="1"/>
  <c r="BJ36" i="15" a="1"/>
  <c r="BJ36" i="15" s="1"/>
  <c r="BI36" i="15" a="1"/>
  <c r="BI36" i="15" s="1"/>
  <c r="AV36" i="15" a="1"/>
  <c r="AV36" i="15" s="1"/>
  <c r="AU36" i="15" a="1"/>
  <c r="AU36" i="15" s="1"/>
  <c r="BD36" i="15" a="1"/>
  <c r="BD36" i="15" s="1"/>
  <c r="AQ36" i="15" a="1"/>
  <c r="AQ36" i="15" s="1"/>
  <c r="BC36" i="15" a="1"/>
  <c r="BC36" i="15" s="1"/>
  <c r="AP36" i="15" a="1"/>
  <c r="AP36" i="15" s="1"/>
  <c r="AW36" i="15" a="1"/>
  <c r="AW36" i="15" s="1"/>
  <c r="BB36" i="15" a="1"/>
  <c r="BB36" i="15" s="1"/>
  <c r="BK36" i="13" a="1"/>
  <c r="BK36" i="13" s="1"/>
  <c r="BD36" i="13" a="1"/>
  <c r="BD36" i="13" s="1"/>
  <c r="AX36" i="13" a="1"/>
  <c r="AX36" i="13" s="1"/>
  <c r="BJ36" i="13" a="1"/>
  <c r="BJ36" i="13" s="1"/>
  <c r="AW36" i="13" a="1"/>
  <c r="AW36" i="13" s="1"/>
  <c r="AQ36" i="13" a="1"/>
  <c r="AQ36" i="13" s="1"/>
  <c r="BI36" i="13" a="1"/>
  <c r="BI36" i="13" s="1"/>
  <c r="BC36" i="13" a="1"/>
  <c r="BC36" i="13" s="1"/>
  <c r="AV36" i="13" a="1"/>
  <c r="AV36" i="13" s="1"/>
  <c r="BE36" i="13" a="1"/>
  <c r="BE36" i="13" s="1"/>
  <c r="AY36" i="13" a="1"/>
  <c r="AY36" i="13" s="1"/>
  <c r="AR36" i="13" a="1"/>
  <c r="AR36" i="13" s="1"/>
  <c r="BE36" i="16" a="1"/>
  <c r="BE36" i="16" s="1"/>
  <c r="AY36" i="16" a="1"/>
  <c r="AY36" i="16" s="1"/>
  <c r="BH36" i="13" a="1"/>
  <c r="BH36" i="13" s="1"/>
  <c r="AU36" i="13" a="1"/>
  <c r="AU36" i="13" s="1"/>
  <c r="BG36" i="13" a="1"/>
  <c r="BG36" i="13" s="1"/>
  <c r="BK36" i="15" a="1"/>
  <c r="BK36" i="15" s="1"/>
  <c r="BA36" i="13" a="1"/>
  <c r="BA36" i="13" s="1"/>
  <c r="AZ36" i="13" a="1"/>
  <c r="AZ36" i="13" s="1"/>
  <c r="BK36" i="16" a="1"/>
  <c r="BK36" i="16" s="1"/>
  <c r="AV36" i="16" a="1"/>
  <c r="AV36" i="16" s="1"/>
  <c r="BB36" i="13" a="1"/>
  <c r="BB36" i="13" s="1"/>
  <c r="AT36" i="13" a="1"/>
  <c r="AT36" i="13" s="1"/>
  <c r="BI36" i="16" a="1"/>
  <c r="BI36" i="16" s="1"/>
  <c r="BB36" i="16" a="1"/>
  <c r="BB36" i="16" s="1"/>
  <c r="AT36" i="16" a="1"/>
  <c r="AT36" i="16" s="1"/>
  <c r="AS36" i="13" a="1"/>
  <c r="AS36" i="13" s="1"/>
  <c r="BH36" i="16" a="1"/>
  <c r="BH36" i="16" s="1"/>
  <c r="BF36" i="13" a="1"/>
  <c r="BF36" i="13" s="1"/>
  <c r="BA36" i="16" a="1"/>
  <c r="BA36" i="16" s="1"/>
  <c r="AP36" i="16" a="1"/>
  <c r="AP36" i="16" s="1"/>
  <c r="AP36" i="13" a="1"/>
  <c r="AP36" i="13" s="1"/>
  <c r="AZ36" i="16" a="1"/>
  <c r="AZ36" i="16" s="1"/>
  <c r="BJ36" i="16" a="1"/>
  <c r="BJ36" i="16" s="1"/>
  <c r="AX36" i="16" a="1"/>
  <c r="AX36" i="16" s="1"/>
  <c r="BG36" i="16" a="1"/>
  <c r="BG36" i="16" s="1"/>
  <c r="AU36" i="16" a="1"/>
  <c r="AU36" i="16" s="1"/>
  <c r="BD36" i="16" a="1"/>
  <c r="BD36" i="16" s="1"/>
  <c r="BJ36" i="14" a="1"/>
  <c r="BJ36" i="14" s="1"/>
  <c r="BD36" i="14" a="1"/>
  <c r="BD36" i="14" s="1"/>
  <c r="AX36" i="14" a="1"/>
  <c r="AX36" i="14" s="1"/>
  <c r="AR36" i="14" a="1"/>
  <c r="AR36" i="14" s="1"/>
  <c r="BC36" i="16" a="1"/>
  <c r="BC36" i="16" s="1"/>
  <c r="BI36" i="14" a="1"/>
  <c r="BI36" i="14" s="1"/>
  <c r="AW36" i="16" a="1"/>
  <c r="AW36" i="16" s="1"/>
  <c r="BH36" i="14" a="1"/>
  <c r="BH36" i="14" s="1"/>
  <c r="BC36" i="14" a="1"/>
  <c r="BC36" i="14" s="1"/>
  <c r="AW36" i="14" a="1"/>
  <c r="AW36" i="14" s="1"/>
  <c r="AQ36" i="14" a="1"/>
  <c r="AQ36" i="14" s="1"/>
  <c r="AS36" i="16" a="1"/>
  <c r="AS36" i="16" s="1"/>
  <c r="AR36" i="16" a="1"/>
  <c r="AR36" i="16" s="1"/>
  <c r="BB36" i="14" a="1"/>
  <c r="BB36" i="14" s="1"/>
  <c r="AU36" i="14" a="1"/>
  <c r="AU36" i="14" s="1"/>
  <c r="AQ36" i="16" a="1"/>
  <c r="AQ36" i="16" s="1"/>
  <c r="BF36" i="16" a="1"/>
  <c r="BF36" i="16" s="1"/>
  <c r="BK36" i="14" a="1"/>
  <c r="BK36" i="14" s="1"/>
  <c r="BE36" i="14" a="1"/>
  <c r="BE36" i="14" s="1"/>
  <c r="AY36" i="14" a="1"/>
  <c r="AY36" i="14" s="1"/>
  <c r="AS36" i="14" a="1"/>
  <c r="AS36" i="14" s="1"/>
  <c r="BF36" i="14" a="1"/>
  <c r="BF36" i="14" s="1"/>
  <c r="AP36" i="14" a="1"/>
  <c r="AP36" i="14" s="1"/>
  <c r="AZ36" i="14" a="1"/>
  <c r="AZ36" i="14" s="1"/>
  <c r="BA36" i="14" a="1"/>
  <c r="BA36" i="14" s="1"/>
  <c r="AV36" i="14" a="1"/>
  <c r="AV36" i="14" s="1"/>
  <c r="BG36" i="14" a="1"/>
  <c r="BG36" i="14" s="1"/>
  <c r="AT36" i="14" a="1"/>
  <c r="AT36" i="14" s="1"/>
  <c r="BS48" i="12" a="1"/>
  <c r="BS48" i="12" s="1"/>
  <c r="BN48" i="12" a="1"/>
  <c r="BN48" i="12" s="1"/>
  <c r="BO48" i="12" a="1"/>
  <c r="BO48" i="12" s="1"/>
  <c r="BM48" i="12" a="1"/>
  <c r="BM48" i="12" s="1"/>
  <c r="BR48" i="12" a="1"/>
  <c r="BR48" i="12" s="1"/>
  <c r="BJ48" i="12" a="1"/>
  <c r="BJ48" i="12" s="1"/>
  <c r="BP48" i="12" a="1"/>
  <c r="BP48" i="12" s="1"/>
  <c r="BB48" i="12"/>
  <c r="BC48" i="12"/>
  <c r="BQ48" i="12" a="1"/>
  <c r="BQ48" i="12" s="1"/>
  <c r="BD48" i="12"/>
  <c r="BE48" i="12"/>
  <c r="BL48" i="12" a="1"/>
  <c r="BL48" i="12" s="1"/>
  <c r="BA48" i="12"/>
  <c r="BF48" i="12"/>
  <c r="BG48" i="12"/>
  <c r="AY48" i="12"/>
  <c r="AZ48" i="12"/>
  <c r="BH48" i="15" a="1"/>
  <c r="BH48" i="15" s="1"/>
  <c r="BH48" i="12"/>
  <c r="BG48" i="15" a="1"/>
  <c r="BG48" i="15" s="1"/>
  <c r="BF48" i="15" a="1"/>
  <c r="BF48" i="15" s="1"/>
  <c r="BJ48" i="15" a="1"/>
  <c r="BJ48" i="15" s="1"/>
  <c r="BB48" i="15" a="1"/>
  <c r="BB48" i="15" s="1"/>
  <c r="AU48" i="15" a="1"/>
  <c r="AU48" i="15" s="1"/>
  <c r="BA48" i="15" a="1"/>
  <c r="BA48" i="15" s="1"/>
  <c r="AT48" i="15" a="1"/>
  <c r="AT48" i="15" s="1"/>
  <c r="BI48" i="15" a="1"/>
  <c r="BI48" i="15" s="1"/>
  <c r="AZ48" i="15" a="1"/>
  <c r="AZ48" i="15" s="1"/>
  <c r="BK48" i="15" a="1"/>
  <c r="BK48" i="15" s="1"/>
  <c r="BC48" i="15" a="1"/>
  <c r="BC48" i="15" s="1"/>
  <c r="AR48" i="15" a="1"/>
  <c r="AR48" i="15" s="1"/>
  <c r="AQ48" i="15" a="1"/>
  <c r="AQ48" i="15" s="1"/>
  <c r="AY48" i="15" a="1"/>
  <c r="AY48" i="15" s="1"/>
  <c r="AP48" i="15" a="1"/>
  <c r="AP48" i="15" s="1"/>
  <c r="BK48" i="12" a="1"/>
  <c r="BK48" i="12" s="1"/>
  <c r="BD48" i="15" a="1"/>
  <c r="BD48" i="15" s="1"/>
  <c r="AS48" i="15" a="1"/>
  <c r="AS48" i="15" s="1"/>
  <c r="AX48" i="15" a="1"/>
  <c r="AX48" i="15" s="1"/>
  <c r="AW48" i="15" a="1"/>
  <c r="AW48" i="15" s="1"/>
  <c r="AV48" i="15" a="1"/>
  <c r="AV48" i="15" s="1"/>
  <c r="BK48" i="13" a="1"/>
  <c r="BK48" i="13" s="1"/>
  <c r="BE48" i="13" a="1"/>
  <c r="BE48" i="13" s="1"/>
  <c r="AP48" i="13" a="1"/>
  <c r="AP48" i="13" s="1"/>
  <c r="BJ48" i="13" a="1"/>
  <c r="BJ48" i="13" s="1"/>
  <c r="BD48" i="13" a="1"/>
  <c r="BD48" i="13" s="1"/>
  <c r="AY48" i="13" a="1"/>
  <c r="AY48" i="13" s="1"/>
  <c r="AT48" i="13" a="1"/>
  <c r="AT48" i="13" s="1"/>
  <c r="AX48" i="13" a="1"/>
  <c r="AX48" i="13" s="1"/>
  <c r="BE48" i="15" a="1"/>
  <c r="BE48" i="15" s="1"/>
  <c r="BB48" i="13" a="1"/>
  <c r="BB48" i="13" s="1"/>
  <c r="AU48" i="13" a="1"/>
  <c r="AU48" i="13" s="1"/>
  <c r="AS48" i="13" a="1"/>
  <c r="AS48" i="13" s="1"/>
  <c r="BI48" i="13" a="1"/>
  <c r="BI48" i="13" s="1"/>
  <c r="BA48" i="13" a="1"/>
  <c r="BA48" i="13" s="1"/>
  <c r="AR48" i="13" a="1"/>
  <c r="AR48" i="13" s="1"/>
  <c r="BC48" i="13" a="1"/>
  <c r="BC48" i="13" s="1"/>
  <c r="AV48" i="13" a="1"/>
  <c r="AV48" i="13" s="1"/>
  <c r="AW48" i="16" a="1"/>
  <c r="AW48" i="16" s="1"/>
  <c r="AQ48" i="16" a="1"/>
  <c r="AQ48" i="16" s="1"/>
  <c r="BH48" i="13" a="1"/>
  <c r="BH48" i="13" s="1"/>
  <c r="BG48" i="13" a="1"/>
  <c r="BG48" i="13" s="1"/>
  <c r="AQ48" i="13" a="1"/>
  <c r="AQ48" i="13" s="1"/>
  <c r="AW48" i="13" a="1"/>
  <c r="AW48" i="13" s="1"/>
  <c r="BK48" i="16" a="1"/>
  <c r="BK48" i="16" s="1"/>
  <c r="BE48" i="16" a="1"/>
  <c r="BE48" i="16" s="1"/>
  <c r="AX48" i="16" a="1"/>
  <c r="AX48" i="16" s="1"/>
  <c r="AR48" i="16" a="1"/>
  <c r="AR48" i="16" s="1"/>
  <c r="AZ48" i="13" a="1"/>
  <c r="AZ48" i="13" s="1"/>
  <c r="BD48" i="16" a="1"/>
  <c r="BD48" i="16" s="1"/>
  <c r="BJ48" i="16" a="1"/>
  <c r="BJ48" i="16" s="1"/>
  <c r="BB48" i="16" a="1"/>
  <c r="BB48" i="16" s="1"/>
  <c r="AS48" i="16" a="1"/>
  <c r="AS48" i="16" s="1"/>
  <c r="BI48" i="16" a="1"/>
  <c r="BI48" i="16" s="1"/>
  <c r="BA48" i="16" a="1"/>
  <c r="BA48" i="16" s="1"/>
  <c r="BF48" i="16" a="1"/>
  <c r="BF48" i="16" s="1"/>
  <c r="AU48" i="16" a="1"/>
  <c r="AU48" i="16" s="1"/>
  <c r="BC48" i="16" a="1"/>
  <c r="BC48" i="16" s="1"/>
  <c r="AZ48" i="16" a="1"/>
  <c r="AZ48" i="16" s="1"/>
  <c r="AY48" i="16" a="1"/>
  <c r="AY48" i="16" s="1"/>
  <c r="BF48" i="13" a="1"/>
  <c r="BF48" i="13" s="1"/>
  <c r="AT48" i="16" a="1"/>
  <c r="AT48" i="16" s="1"/>
  <c r="AP48" i="16" a="1"/>
  <c r="AP48" i="16" s="1"/>
  <c r="BJ48" i="14" a="1"/>
  <c r="BJ48" i="14" s="1"/>
  <c r="AV48" i="14" a="1"/>
  <c r="AV48" i="14" s="1"/>
  <c r="BI48" i="14" a="1"/>
  <c r="BI48" i="14" s="1"/>
  <c r="BC48" i="14" a="1"/>
  <c r="BC48" i="14" s="1"/>
  <c r="AP48" i="14" a="1"/>
  <c r="AP48" i="14" s="1"/>
  <c r="BH48" i="14" a="1"/>
  <c r="BH48" i="14" s="1"/>
  <c r="BB48" i="14" a="1"/>
  <c r="BB48" i="14" s="1"/>
  <c r="AU48" i="14" a="1"/>
  <c r="AU48" i="14" s="1"/>
  <c r="BG48" i="14" a="1"/>
  <c r="BG48" i="14" s="1"/>
  <c r="BA48" i="14" a="1"/>
  <c r="BA48" i="14" s="1"/>
  <c r="BH48" i="16" a="1"/>
  <c r="BH48" i="16" s="1"/>
  <c r="AZ48" i="14" a="1"/>
  <c r="AZ48" i="14" s="1"/>
  <c r="AS48" i="14" a="1"/>
  <c r="AS48" i="14" s="1"/>
  <c r="BG48" i="16" a="1"/>
  <c r="BG48" i="16" s="1"/>
  <c r="AV48" i="16" a="1"/>
  <c r="AV48" i="16" s="1"/>
  <c r="BK48" i="14" a="1"/>
  <c r="BK48" i="14" s="1"/>
  <c r="BD48" i="14" a="1"/>
  <c r="BD48" i="14" s="1"/>
  <c r="AW48" i="14" a="1"/>
  <c r="AW48" i="14" s="1"/>
  <c r="AQ48" i="14" a="1"/>
  <c r="AQ48" i="14" s="1"/>
  <c r="BF48" i="14" a="1"/>
  <c r="BF48" i="14" s="1"/>
  <c r="BE48" i="14" a="1"/>
  <c r="BE48" i="14" s="1"/>
  <c r="AY48" i="14" a="1"/>
  <c r="AY48" i="14" s="1"/>
  <c r="AX48" i="14" a="1"/>
  <c r="AX48" i="14" s="1"/>
  <c r="AT48" i="14" a="1"/>
  <c r="AT48" i="14" s="1"/>
  <c r="AR48" i="14" a="1"/>
  <c r="AR48" i="14" s="1"/>
  <c r="BL60" i="12" a="1"/>
  <c r="BL60" i="12" s="1"/>
  <c r="BS60" i="12" a="1"/>
  <c r="BS60" i="12" s="1"/>
  <c r="BM60" i="12" a="1"/>
  <c r="BM60" i="12" s="1"/>
  <c r="BK60" i="12" a="1"/>
  <c r="BK60" i="12" s="1"/>
  <c r="BR60" i="12" a="1"/>
  <c r="BR60" i="12" s="1"/>
  <c r="BN60" i="12" a="1"/>
  <c r="BN60" i="12" s="1"/>
  <c r="BO60" i="12" a="1"/>
  <c r="BO60" i="12" s="1"/>
  <c r="BB60" i="12"/>
  <c r="BC60" i="12"/>
  <c r="BJ60" i="12" a="1"/>
  <c r="BJ60" i="12" s="1"/>
  <c r="BD60" i="12"/>
  <c r="BP60" i="12" a="1"/>
  <c r="BP60" i="12" s="1"/>
  <c r="BF60" i="12"/>
  <c r="BG60" i="12"/>
  <c r="BH60" i="12"/>
  <c r="BA60" i="12"/>
  <c r="BE60" i="12"/>
  <c r="BG60" i="15" a="1"/>
  <c r="BG60" i="15" s="1"/>
  <c r="BA60" i="15" a="1"/>
  <c r="BA60" i="15" s="1"/>
  <c r="BF60" i="15" a="1"/>
  <c r="BF60" i="15" s="1"/>
  <c r="AT60" i="15" a="1"/>
  <c r="AT60" i="15" s="1"/>
  <c r="BK60" i="15" a="1"/>
  <c r="BK60" i="15" s="1"/>
  <c r="BE60" i="15" a="1"/>
  <c r="BE60" i="15" s="1"/>
  <c r="AZ60" i="15" a="1"/>
  <c r="AZ60" i="15" s="1"/>
  <c r="AS60" i="15" a="1"/>
  <c r="AS60" i="15" s="1"/>
  <c r="AY60" i="15" a="1"/>
  <c r="AY60" i="15" s="1"/>
  <c r="AZ60" i="12"/>
  <c r="BH60" i="15" a="1"/>
  <c r="BH60" i="15" s="1"/>
  <c r="AU60" i="15" a="1"/>
  <c r="AU60" i="15" s="1"/>
  <c r="BD60" i="15" a="1"/>
  <c r="BD60" i="15" s="1"/>
  <c r="AR60" i="15" a="1"/>
  <c r="AR60" i="15" s="1"/>
  <c r="BC60" i="15" a="1"/>
  <c r="BC60" i="15" s="1"/>
  <c r="AQ60" i="15" a="1"/>
  <c r="AQ60" i="15" s="1"/>
  <c r="AY60" i="12"/>
  <c r="AV60" i="15" a="1"/>
  <c r="AV60" i="15" s="1"/>
  <c r="AW60" i="15" a="1"/>
  <c r="AW60" i="15" s="1"/>
  <c r="BQ60" i="12" a="1"/>
  <c r="BQ60" i="12" s="1"/>
  <c r="AP60" i="15" a="1"/>
  <c r="AP60" i="15" s="1"/>
  <c r="AX60" i="15" a="1"/>
  <c r="AX60" i="15" s="1"/>
  <c r="BJ60" i="15" a="1"/>
  <c r="BJ60" i="15" s="1"/>
  <c r="BI60" i="15" a="1"/>
  <c r="BI60" i="15" s="1"/>
  <c r="BC60" i="13" a="1"/>
  <c r="BC60" i="13" s="1"/>
  <c r="AW60" i="13" a="1"/>
  <c r="AW60" i="13" s="1"/>
  <c r="BI60" i="13" a="1"/>
  <c r="BI60" i="13" s="1"/>
  <c r="BB60" i="13" a="1"/>
  <c r="BB60" i="13" s="1"/>
  <c r="AV60" i="13" a="1"/>
  <c r="AV60" i="13" s="1"/>
  <c r="AQ60" i="13" a="1"/>
  <c r="AQ60" i="13" s="1"/>
  <c r="BH60" i="13" a="1"/>
  <c r="BH60" i="13" s="1"/>
  <c r="AP60" i="13" a="1"/>
  <c r="AP60" i="13" s="1"/>
  <c r="BJ60" i="13" a="1"/>
  <c r="BJ60" i="13" s="1"/>
  <c r="BD60" i="13" a="1"/>
  <c r="BD60" i="13" s="1"/>
  <c r="AR60" i="13" a="1"/>
  <c r="AR60" i="13" s="1"/>
  <c r="BE60" i="13" a="1"/>
  <c r="BE60" i="13" s="1"/>
  <c r="AS60" i="13" a="1"/>
  <c r="AS60" i="13" s="1"/>
  <c r="BA60" i="13" a="1"/>
  <c r="BA60" i="13" s="1"/>
  <c r="AZ60" i="13" a="1"/>
  <c r="AZ60" i="13" s="1"/>
  <c r="AT60" i="13" a="1"/>
  <c r="AT60" i="13" s="1"/>
  <c r="BF60" i="16" a="1"/>
  <c r="BF60" i="16" s="1"/>
  <c r="AZ60" i="16" a="1"/>
  <c r="AZ60" i="16" s="1"/>
  <c r="AS60" i="16" a="1"/>
  <c r="AS60" i="16" s="1"/>
  <c r="BK60" i="13" a="1"/>
  <c r="BK60" i="13" s="1"/>
  <c r="BK60" i="16" a="1"/>
  <c r="BK60" i="16" s="1"/>
  <c r="BE60" i="16" a="1"/>
  <c r="BE60" i="16" s="1"/>
  <c r="AX60" i="16" a="1"/>
  <c r="AX60" i="16" s="1"/>
  <c r="AQ60" i="16" a="1"/>
  <c r="AQ60" i="16" s="1"/>
  <c r="AX60" i="13" a="1"/>
  <c r="AX60" i="13" s="1"/>
  <c r="AU60" i="13" a="1"/>
  <c r="AU60" i="13" s="1"/>
  <c r="BG60" i="16" a="1"/>
  <c r="BG60" i="16" s="1"/>
  <c r="AT60" i="16" a="1"/>
  <c r="AT60" i="16" s="1"/>
  <c r="BD60" i="16" a="1"/>
  <c r="BD60" i="16" s="1"/>
  <c r="AU60" i="16" a="1"/>
  <c r="AU60" i="16" s="1"/>
  <c r="BB60" i="15" a="1"/>
  <c r="BB60" i="15" s="1"/>
  <c r="BG60" i="13" a="1"/>
  <c r="BG60" i="13" s="1"/>
  <c r="BB60" i="16" a="1"/>
  <c r="BB60" i="16" s="1"/>
  <c r="AP60" i="16" a="1"/>
  <c r="AP60" i="16" s="1"/>
  <c r="BF60" i="13" a="1"/>
  <c r="BF60" i="13" s="1"/>
  <c r="BJ60" i="16" a="1"/>
  <c r="BJ60" i="16" s="1"/>
  <c r="BA60" i="16" a="1"/>
  <c r="BA60" i="16" s="1"/>
  <c r="AY60" i="13" a="1"/>
  <c r="AY60" i="13" s="1"/>
  <c r="AV60" i="16" a="1"/>
  <c r="AV60" i="16" s="1"/>
  <c r="AR60" i="16" a="1"/>
  <c r="AR60" i="16" s="1"/>
  <c r="BI60" i="16" a="1"/>
  <c r="BI60" i="16" s="1"/>
  <c r="BC60" i="16" a="1"/>
  <c r="BC60" i="16" s="1"/>
  <c r="BI60" i="14" a="1"/>
  <c r="BI60" i="14" s="1"/>
  <c r="BA60" i="14" a="1"/>
  <c r="BA60" i="14" s="1"/>
  <c r="AU60" i="14" a="1"/>
  <c r="AU60" i="14" s="1"/>
  <c r="BH60" i="14" a="1"/>
  <c r="BH60" i="14" s="1"/>
  <c r="AT60" i="14" a="1"/>
  <c r="AT60" i="14" s="1"/>
  <c r="BH60" i="16" a="1"/>
  <c r="BH60" i="16" s="1"/>
  <c r="BG60" i="14" a="1"/>
  <c r="BG60" i="14" s="1"/>
  <c r="AZ60" i="14" a="1"/>
  <c r="AZ60" i="14" s="1"/>
  <c r="AS60" i="14" a="1"/>
  <c r="AS60" i="14" s="1"/>
  <c r="AY60" i="16" a="1"/>
  <c r="AY60" i="16" s="1"/>
  <c r="BF60" i="14" a="1"/>
  <c r="BF60" i="14" s="1"/>
  <c r="AY60" i="14" a="1"/>
  <c r="AY60" i="14" s="1"/>
  <c r="AR60" i="14" a="1"/>
  <c r="AR60" i="14" s="1"/>
  <c r="AW60" i="16" a="1"/>
  <c r="AW60" i="16" s="1"/>
  <c r="BE60" i="14" a="1"/>
  <c r="BE60" i="14" s="1"/>
  <c r="AX60" i="14" a="1"/>
  <c r="AX60" i="14" s="1"/>
  <c r="AQ60" i="14" a="1"/>
  <c r="AQ60" i="14" s="1"/>
  <c r="BJ60" i="14" a="1"/>
  <c r="BJ60" i="14" s="1"/>
  <c r="BB60" i="14" a="1"/>
  <c r="BB60" i="14" s="1"/>
  <c r="BD60" i="14" a="1"/>
  <c r="BD60" i="14" s="1"/>
  <c r="BC60" i="14" a="1"/>
  <c r="BC60" i="14" s="1"/>
  <c r="AV60" i="14" a="1"/>
  <c r="AV60" i="14" s="1"/>
  <c r="AW60" i="14" a="1"/>
  <c r="AW60" i="14" s="1"/>
  <c r="AP60" i="14" a="1"/>
  <c r="AP60" i="14" s="1"/>
  <c r="BK60" i="14" a="1"/>
  <c r="BK60" i="14" s="1"/>
  <c r="BP68" i="12" a="1"/>
  <c r="BP68" i="12" s="1"/>
  <c r="BQ68" i="12" a="1"/>
  <c r="BQ68" i="12" s="1"/>
  <c r="BJ68" i="12" a="1"/>
  <c r="BJ68" i="12" s="1"/>
  <c r="BR68" i="12" a="1"/>
  <c r="BR68" i="12" s="1"/>
  <c r="BO68" i="12" a="1"/>
  <c r="BO68" i="12" s="1"/>
  <c r="BK68" i="12" a="1"/>
  <c r="BK68" i="12" s="1"/>
  <c r="BL68" i="12" a="1"/>
  <c r="BL68" i="12" s="1"/>
  <c r="BB68" i="12"/>
  <c r="BC68" i="12"/>
  <c r="BD68" i="12"/>
  <c r="BA68" i="12"/>
  <c r="BM68" i="12" a="1"/>
  <c r="BM68" i="12" s="1"/>
  <c r="BE68" i="12"/>
  <c r="BN68" i="12" a="1"/>
  <c r="BN68" i="12" s="1"/>
  <c r="BF68" i="12"/>
  <c r="AY68" i="12"/>
  <c r="AZ68" i="12"/>
  <c r="BG68" i="15" a="1"/>
  <c r="BG68" i="15" s="1"/>
  <c r="BA68" i="15" a="1"/>
  <c r="BA68" i="15" s="1"/>
  <c r="BG68" i="12"/>
  <c r="BF68" i="15" a="1"/>
  <c r="BF68" i="15" s="1"/>
  <c r="AZ68" i="15" a="1"/>
  <c r="AZ68" i="15" s="1"/>
  <c r="AT68" i="15" a="1"/>
  <c r="AT68" i="15" s="1"/>
  <c r="BH68" i="12"/>
  <c r="AY68" i="15" a="1"/>
  <c r="AY68" i="15" s="1"/>
  <c r="AS68" i="15" a="1"/>
  <c r="AS68" i="15" s="1"/>
  <c r="BK68" i="15" a="1"/>
  <c r="BK68" i="15" s="1"/>
  <c r="BE68" i="15" a="1"/>
  <c r="BE68" i="15" s="1"/>
  <c r="AX68" i="15" a="1"/>
  <c r="AX68" i="15" s="1"/>
  <c r="AR68" i="15" a="1"/>
  <c r="AR68" i="15" s="1"/>
  <c r="BH68" i="15" a="1"/>
  <c r="BH68" i="15" s="1"/>
  <c r="AU68" i="15" a="1"/>
  <c r="AU68" i="15" s="1"/>
  <c r="BD68" i="15" a="1"/>
  <c r="BD68" i="15" s="1"/>
  <c r="AQ68" i="15" a="1"/>
  <c r="AQ68" i="15" s="1"/>
  <c r="AP68" i="15" a="1"/>
  <c r="AP68" i="15" s="1"/>
  <c r="BI68" i="15" a="1"/>
  <c r="BI68" i="15" s="1"/>
  <c r="AV68" i="15" a="1"/>
  <c r="AV68" i="15" s="1"/>
  <c r="BJ68" i="15" a="1"/>
  <c r="BJ68" i="15" s="1"/>
  <c r="BC68" i="15" a="1"/>
  <c r="BC68" i="15" s="1"/>
  <c r="BB68" i="15" a="1"/>
  <c r="BB68" i="15" s="1"/>
  <c r="AW68" i="15" a="1"/>
  <c r="AW68" i="15" s="1"/>
  <c r="BE68" i="13" a="1"/>
  <c r="BE68" i="13" s="1"/>
  <c r="AX68" i="13" a="1"/>
  <c r="AX68" i="13" s="1"/>
  <c r="AR68" i="13" a="1"/>
  <c r="AR68" i="13" s="1"/>
  <c r="BJ68" i="13" a="1"/>
  <c r="BJ68" i="13" s="1"/>
  <c r="BD68" i="13" a="1"/>
  <c r="BD68" i="13" s="1"/>
  <c r="AW68" i="13" a="1"/>
  <c r="AW68" i="13" s="1"/>
  <c r="BS68" i="12" a="1"/>
  <c r="BS68" i="12" s="1"/>
  <c r="BK68" i="13" a="1"/>
  <c r="BK68" i="13" s="1"/>
  <c r="BB68" i="13" a="1"/>
  <c r="BB68" i="13" s="1"/>
  <c r="AT68" i="13" a="1"/>
  <c r="AT68" i="13" s="1"/>
  <c r="BI68" i="13" a="1"/>
  <c r="BI68" i="13" s="1"/>
  <c r="BA68" i="13" a="1"/>
  <c r="BA68" i="13" s="1"/>
  <c r="AS68" i="13" a="1"/>
  <c r="AS68" i="13" s="1"/>
  <c r="BC68" i="13" a="1"/>
  <c r="BC68" i="13" s="1"/>
  <c r="AU68" i="13" a="1"/>
  <c r="AU68" i="13" s="1"/>
  <c r="BH68" i="13" a="1"/>
  <c r="BH68" i="13" s="1"/>
  <c r="AQ68" i="13" a="1"/>
  <c r="AQ68" i="13" s="1"/>
  <c r="BG68" i="13" a="1"/>
  <c r="BG68" i="13" s="1"/>
  <c r="AP68" i="13" a="1"/>
  <c r="AP68" i="13" s="1"/>
  <c r="AV68" i="13" a="1"/>
  <c r="AV68" i="13" s="1"/>
  <c r="AY68" i="13" a="1"/>
  <c r="AY68" i="13" s="1"/>
  <c r="AW68" i="16" a="1"/>
  <c r="AW68" i="16" s="1"/>
  <c r="BK68" i="16" a="1"/>
  <c r="BK68" i="16" s="1"/>
  <c r="BF68" i="16" a="1"/>
  <c r="BF68" i="16" s="1"/>
  <c r="AZ68" i="16" a="1"/>
  <c r="AZ68" i="16" s="1"/>
  <c r="AZ68" i="13" a="1"/>
  <c r="AZ68" i="13" s="1"/>
  <c r="BH68" i="16" a="1"/>
  <c r="BH68" i="16" s="1"/>
  <c r="BB68" i="16" a="1"/>
  <c r="BB68" i="16" s="1"/>
  <c r="AR68" i="16" a="1"/>
  <c r="AR68" i="16" s="1"/>
  <c r="BI68" i="16" a="1"/>
  <c r="BI68" i="16" s="1"/>
  <c r="AY68" i="16" a="1"/>
  <c r="AY68" i="16" s="1"/>
  <c r="AQ68" i="16" a="1"/>
  <c r="AQ68" i="16" s="1"/>
  <c r="AX68" i="16" a="1"/>
  <c r="AX68" i="16" s="1"/>
  <c r="BE68" i="16" a="1"/>
  <c r="BE68" i="16" s="1"/>
  <c r="AV68" i="16" a="1"/>
  <c r="AV68" i="16" s="1"/>
  <c r="BF68" i="13" a="1"/>
  <c r="BF68" i="13" s="1"/>
  <c r="AS68" i="16" a="1"/>
  <c r="AS68" i="16" s="1"/>
  <c r="BG68" i="16" a="1"/>
  <c r="BG68" i="16" s="1"/>
  <c r="AP68" i="16" a="1"/>
  <c r="AP68" i="16" s="1"/>
  <c r="BI68" i="14" a="1"/>
  <c r="BI68" i="14" s="1"/>
  <c r="BC68" i="14" a="1"/>
  <c r="BC68" i="14" s="1"/>
  <c r="AW68" i="14" a="1"/>
  <c r="AW68" i="14" s="1"/>
  <c r="AP68" i="14" a="1"/>
  <c r="AP68" i="14" s="1"/>
  <c r="BD68" i="16" a="1"/>
  <c r="BD68" i="16" s="1"/>
  <c r="BH68" i="14" a="1"/>
  <c r="BH68" i="14" s="1"/>
  <c r="AV68" i="14" a="1"/>
  <c r="AV68" i="14" s="1"/>
  <c r="BC68" i="16" a="1"/>
  <c r="BC68" i="16" s="1"/>
  <c r="BB68" i="14" a="1"/>
  <c r="BB68" i="14" s="1"/>
  <c r="AU68" i="14" a="1"/>
  <c r="AU68" i="14" s="1"/>
  <c r="AT68" i="16" a="1"/>
  <c r="AT68" i="16" s="1"/>
  <c r="BF68" i="14" a="1"/>
  <c r="BF68" i="14" s="1"/>
  <c r="AT68" i="14" a="1"/>
  <c r="AT68" i="14" s="1"/>
  <c r="BE68" i="14" a="1"/>
  <c r="BE68" i="14" s="1"/>
  <c r="BD68" i="14" a="1"/>
  <c r="BD68" i="14" s="1"/>
  <c r="AS68" i="14" a="1"/>
  <c r="AS68" i="14" s="1"/>
  <c r="BA68" i="14" a="1"/>
  <c r="BA68" i="14" s="1"/>
  <c r="AR68" i="14" a="1"/>
  <c r="AR68" i="14" s="1"/>
  <c r="BJ68" i="16" a="1"/>
  <c r="BJ68" i="16" s="1"/>
  <c r="BA68" i="16" a="1"/>
  <c r="BA68" i="16" s="1"/>
  <c r="AU68" i="16" a="1"/>
  <c r="AU68" i="16" s="1"/>
  <c r="BG68" i="14" a="1"/>
  <c r="BG68" i="14" s="1"/>
  <c r="AX68" i="14" a="1"/>
  <c r="AX68" i="14" s="1"/>
  <c r="AQ68" i="14" a="1"/>
  <c r="AQ68" i="14" s="1"/>
  <c r="BK68" i="14" a="1"/>
  <c r="BK68" i="14" s="1"/>
  <c r="BJ68" i="14" a="1"/>
  <c r="BJ68" i="14" s="1"/>
  <c r="AZ68" i="14" a="1"/>
  <c r="AZ68" i="14" s="1"/>
  <c r="AY68" i="14" a="1"/>
  <c r="AY68" i="14" s="1"/>
  <c r="BK76" i="12" a="1"/>
  <c r="BK76" i="12" s="1"/>
  <c r="BR76" i="12" a="1"/>
  <c r="BR76" i="12" s="1"/>
  <c r="BL76" i="12" a="1"/>
  <c r="BL76" i="12" s="1"/>
  <c r="BM76" i="12" a="1"/>
  <c r="BM76" i="12" s="1"/>
  <c r="BJ76" i="12" a="1"/>
  <c r="BJ76" i="12" s="1"/>
  <c r="BQ76" i="12" a="1"/>
  <c r="BQ76" i="12" s="1"/>
  <c r="BN76" i="12" a="1"/>
  <c r="BN76" i="12" s="1"/>
  <c r="BB76" i="12"/>
  <c r="BC76" i="12"/>
  <c r="BO76" i="12" a="1"/>
  <c r="BO76" i="12" s="1"/>
  <c r="BD76" i="12"/>
  <c r="BP76" i="12" a="1"/>
  <c r="BP76" i="12" s="1"/>
  <c r="AY76" i="12"/>
  <c r="BE76" i="15" a="1"/>
  <c r="BE76" i="15" s="1"/>
  <c r="BS76" i="12" a="1"/>
  <c r="BS76" i="12" s="1"/>
  <c r="AZ76" i="12"/>
  <c r="BA76" i="12"/>
  <c r="BH76" i="12"/>
  <c r="BG76" i="15" a="1"/>
  <c r="BG76" i="15" s="1"/>
  <c r="AY76" i="15" a="1"/>
  <c r="AY76" i="15" s="1"/>
  <c r="AS76" i="15" a="1"/>
  <c r="AS76" i="15" s="1"/>
  <c r="BE76" i="12"/>
  <c r="BF76" i="15" a="1"/>
  <c r="BF76" i="15" s="1"/>
  <c r="AX76" i="15" a="1"/>
  <c r="AX76" i="15" s="1"/>
  <c r="BF76" i="12"/>
  <c r="BK76" i="15" a="1"/>
  <c r="BK76" i="15" s="1"/>
  <c r="BD76" i="15" a="1"/>
  <c r="BD76" i="15" s="1"/>
  <c r="AR76" i="15" a="1"/>
  <c r="AR76" i="15" s="1"/>
  <c r="BG76" i="12"/>
  <c r="BJ76" i="15" a="1"/>
  <c r="BJ76" i="15" s="1"/>
  <c r="BC76" i="15" a="1"/>
  <c r="BC76" i="15" s="1"/>
  <c r="AW76" i="15" a="1"/>
  <c r="AW76" i="15" s="1"/>
  <c r="AQ76" i="15" a="1"/>
  <c r="AQ76" i="15" s="1"/>
  <c r="BH76" i="15" a="1"/>
  <c r="BH76" i="15" s="1"/>
  <c r="AT76" i="15" a="1"/>
  <c r="AT76" i="15" s="1"/>
  <c r="BB76" i="15" a="1"/>
  <c r="BB76" i="15" s="1"/>
  <c r="AP76" i="15" a="1"/>
  <c r="AP76" i="15" s="1"/>
  <c r="BA76" i="15" a="1"/>
  <c r="BA76" i="15" s="1"/>
  <c r="BI76" i="15" a="1"/>
  <c r="BI76" i="15" s="1"/>
  <c r="AZ76" i="15" a="1"/>
  <c r="AZ76" i="15" s="1"/>
  <c r="BC76" i="13" a="1"/>
  <c r="BC76" i="13" s="1"/>
  <c r="AR76" i="13" a="1"/>
  <c r="AR76" i="13" s="1"/>
  <c r="BI76" i="13" a="1"/>
  <c r="BI76" i="13" s="1"/>
  <c r="BB76" i="13" a="1"/>
  <c r="BB76" i="13" s="1"/>
  <c r="AV76" i="13" a="1"/>
  <c r="AV76" i="13" s="1"/>
  <c r="AQ76" i="13" a="1"/>
  <c r="AQ76" i="13" s="1"/>
  <c r="AV76" i="15" a="1"/>
  <c r="AV76" i="15" s="1"/>
  <c r="BG76" i="13" a="1"/>
  <c r="BG76" i="13" s="1"/>
  <c r="AU76" i="15" a="1"/>
  <c r="AU76" i="15" s="1"/>
  <c r="BH76" i="13" a="1"/>
  <c r="BH76" i="13" s="1"/>
  <c r="AX76" i="13" a="1"/>
  <c r="AX76" i="13" s="1"/>
  <c r="AP76" i="13" a="1"/>
  <c r="AP76" i="13" s="1"/>
  <c r="BF76" i="13" a="1"/>
  <c r="BF76" i="13" s="1"/>
  <c r="AW76" i="13" a="1"/>
  <c r="AW76" i="13" s="1"/>
  <c r="BE76" i="13" a="1"/>
  <c r="BE76" i="13" s="1"/>
  <c r="AU76" i="13" a="1"/>
  <c r="AU76" i="13" s="1"/>
  <c r="BJ76" i="13" a="1"/>
  <c r="BJ76" i="13" s="1"/>
  <c r="AY76" i="13" a="1"/>
  <c r="AY76" i="13" s="1"/>
  <c r="BK76" i="13" a="1"/>
  <c r="BK76" i="13" s="1"/>
  <c r="BD76" i="13" a="1"/>
  <c r="BD76" i="13" s="1"/>
  <c r="AS76" i="13" a="1"/>
  <c r="AS76" i="13" s="1"/>
  <c r="BK76" i="16" a="1"/>
  <c r="BK76" i="16" s="1"/>
  <c r="BD76" i="16" a="1"/>
  <c r="BD76" i="16" s="1"/>
  <c r="AP76" i="16" a="1"/>
  <c r="AP76" i="16" s="1"/>
  <c r="BA76" i="13" a="1"/>
  <c r="BA76" i="13" s="1"/>
  <c r="AZ76" i="13" a="1"/>
  <c r="AZ76" i="13" s="1"/>
  <c r="BI76" i="16" a="1"/>
  <c r="BI76" i="16" s="1"/>
  <c r="BB76" i="16" a="1"/>
  <c r="BB76" i="16" s="1"/>
  <c r="AU76" i="16" a="1"/>
  <c r="AU76" i="16" s="1"/>
  <c r="AW76" i="16" a="1"/>
  <c r="AW76" i="16" s="1"/>
  <c r="AZ76" i="16" a="1"/>
  <c r="AZ76" i="16" s="1"/>
  <c r="BH76" i="16" a="1"/>
  <c r="BH76" i="16" s="1"/>
  <c r="AX76" i="16" a="1"/>
  <c r="AX76" i="16" s="1"/>
  <c r="BG76" i="16" a="1"/>
  <c r="BG76" i="16" s="1"/>
  <c r="AV76" i="16" a="1"/>
  <c r="AV76" i="16" s="1"/>
  <c r="BA76" i="16" a="1"/>
  <c r="BA76" i="16" s="1"/>
  <c r="AQ76" i="16" a="1"/>
  <c r="AQ76" i="16" s="1"/>
  <c r="BJ76" i="16" a="1"/>
  <c r="BJ76" i="16" s="1"/>
  <c r="BH76" i="14" a="1"/>
  <c r="BH76" i="14" s="1"/>
  <c r="BA76" i="14" a="1"/>
  <c r="BA76" i="14" s="1"/>
  <c r="AT76" i="14" a="1"/>
  <c r="AT76" i="14" s="1"/>
  <c r="BF76" i="16" a="1"/>
  <c r="BF76" i="16" s="1"/>
  <c r="BG76" i="14" a="1"/>
  <c r="BG76" i="14" s="1"/>
  <c r="AZ76" i="14" a="1"/>
  <c r="AZ76" i="14" s="1"/>
  <c r="AS76" i="14" a="1"/>
  <c r="AS76" i="14" s="1"/>
  <c r="BE76" i="16" a="1"/>
  <c r="BE76" i="16" s="1"/>
  <c r="BK76" i="14" a="1"/>
  <c r="BK76" i="14" s="1"/>
  <c r="BF76" i="14" a="1"/>
  <c r="BF76" i="14" s="1"/>
  <c r="AY76" i="14" a="1"/>
  <c r="AY76" i="14" s="1"/>
  <c r="AR76" i="14" a="1"/>
  <c r="AR76" i="14" s="1"/>
  <c r="AT76" i="13" a="1"/>
  <c r="AT76" i="13" s="1"/>
  <c r="AY76" i="16" a="1"/>
  <c r="AY76" i="16" s="1"/>
  <c r="AS76" i="16" a="1"/>
  <c r="AS76" i="16" s="1"/>
  <c r="BD76" i="14" a="1"/>
  <c r="BD76" i="14" s="1"/>
  <c r="AQ76" i="14" a="1"/>
  <c r="AQ76" i="14" s="1"/>
  <c r="AR76" i="16" a="1"/>
  <c r="AR76" i="16" s="1"/>
  <c r="BC76" i="14" a="1"/>
  <c r="BC76" i="14" s="1"/>
  <c r="BJ76" i="14" a="1"/>
  <c r="BJ76" i="14" s="1"/>
  <c r="BB76" i="14" a="1"/>
  <c r="BB76" i="14" s="1"/>
  <c r="AP76" i="14" a="1"/>
  <c r="AP76" i="14" s="1"/>
  <c r="AX76" i="14" a="1"/>
  <c r="AX76" i="14" s="1"/>
  <c r="BI76" i="14" a="1"/>
  <c r="BI76" i="14" s="1"/>
  <c r="AW76" i="14" a="1"/>
  <c r="AW76" i="14" s="1"/>
  <c r="AV76" i="14" a="1"/>
  <c r="AV76" i="14" s="1"/>
  <c r="BC76" i="16" a="1"/>
  <c r="BC76" i="16" s="1"/>
  <c r="AT76" i="16" a="1"/>
  <c r="AT76" i="16" s="1"/>
  <c r="BE76" i="14" a="1"/>
  <c r="BE76" i="14" s="1"/>
  <c r="AU76" i="14" a="1"/>
  <c r="AU76" i="14" s="1"/>
  <c r="BJ88" i="12" a="1"/>
  <c r="BJ88" i="12" s="1"/>
  <c r="BP88" i="12" a="1"/>
  <c r="BP88" i="12" s="1"/>
  <c r="BQ88" i="12" a="1"/>
  <c r="BQ88" i="12" s="1"/>
  <c r="BL88" i="12" a="1"/>
  <c r="BL88" i="12" s="1"/>
  <c r="BB88" i="12"/>
  <c r="BM88" i="12" a="1"/>
  <c r="BM88" i="12" s="1"/>
  <c r="BC88" i="12"/>
  <c r="BN88" i="12" a="1"/>
  <c r="BN88" i="12" s="1"/>
  <c r="BD88" i="12"/>
  <c r="BO88" i="12" a="1"/>
  <c r="BO88" i="12" s="1"/>
  <c r="BG88" i="12"/>
  <c r="BF88" i="15" a="1"/>
  <c r="BF88" i="15" s="1"/>
  <c r="AZ88" i="15" a="1"/>
  <c r="AZ88" i="15" s="1"/>
  <c r="AS88" i="15" a="1"/>
  <c r="AS88" i="15" s="1"/>
  <c r="BH88" i="12"/>
  <c r="AY88" i="15" a="1"/>
  <c r="AY88" i="15" s="1"/>
  <c r="BK88" i="15" a="1"/>
  <c r="BK88" i="15" s="1"/>
  <c r="BE88" i="15" a="1"/>
  <c r="BE88" i="15" s="1"/>
  <c r="AX88" i="15" a="1"/>
  <c r="AX88" i="15" s="1"/>
  <c r="AR88" i="15" a="1"/>
  <c r="AR88" i="15" s="1"/>
  <c r="BE88" i="12"/>
  <c r="BH88" i="15" a="1"/>
  <c r="BH88" i="15" s="1"/>
  <c r="AU88" i="15" a="1"/>
  <c r="AU88" i="15" s="1"/>
  <c r="BF88" i="12"/>
  <c r="BA88" i="15" a="1"/>
  <c r="BA88" i="15" s="1"/>
  <c r="AW88" i="15" a="1"/>
  <c r="AW88" i="15" s="1"/>
  <c r="BK88" i="12" a="1"/>
  <c r="BK88" i="12" s="1"/>
  <c r="BJ88" i="15" a="1"/>
  <c r="BJ88" i="15" s="1"/>
  <c r="BR88" i="12" a="1"/>
  <c r="BR88" i="12" s="1"/>
  <c r="BI88" i="15" a="1"/>
  <c r="BI88" i="15" s="1"/>
  <c r="AV88" i="15" a="1"/>
  <c r="AV88" i="15" s="1"/>
  <c r="BB88" i="15" a="1"/>
  <c r="BB88" i="15" s="1"/>
  <c r="AT88" i="15" a="1"/>
  <c r="AT88" i="15" s="1"/>
  <c r="AY88" i="12"/>
  <c r="AQ88" i="15" a="1"/>
  <c r="AQ88" i="15" s="1"/>
  <c r="BC88" i="15" a="1"/>
  <c r="BC88" i="15" s="1"/>
  <c r="BF88" i="13" a="1"/>
  <c r="BF88" i="13" s="1"/>
  <c r="AZ88" i="13" a="1"/>
  <c r="AZ88" i="13" s="1"/>
  <c r="AS88" i="13" a="1"/>
  <c r="AS88" i="13" s="1"/>
  <c r="AZ88" i="12"/>
  <c r="BK88" i="13" a="1"/>
  <c r="BK88" i="13" s="1"/>
  <c r="AY88" i="13" a="1"/>
  <c r="AY88" i="13" s="1"/>
  <c r="BA88" i="12"/>
  <c r="BD88" i="15" a="1"/>
  <c r="BD88" i="15" s="1"/>
  <c r="AW88" i="13" a="1"/>
  <c r="AW88" i="13" s="1"/>
  <c r="AP88" i="15" a="1"/>
  <c r="AP88" i="15" s="1"/>
  <c r="BE88" i="13" a="1"/>
  <c r="BE88" i="13" s="1"/>
  <c r="BC88" i="13" a="1"/>
  <c r="BC88" i="13" s="1"/>
  <c r="AU88" i="13" a="1"/>
  <c r="AU88" i="13" s="1"/>
  <c r="BS88" i="12" a="1"/>
  <c r="BS88" i="12" s="1"/>
  <c r="BJ88" i="13" a="1"/>
  <c r="BJ88" i="13" s="1"/>
  <c r="BB88" i="13" a="1"/>
  <c r="BB88" i="13" s="1"/>
  <c r="AT88" i="13" a="1"/>
  <c r="AT88" i="13" s="1"/>
  <c r="BI88" i="13" a="1"/>
  <c r="BI88" i="13" s="1"/>
  <c r="AR88" i="13" a="1"/>
  <c r="AR88" i="13" s="1"/>
  <c r="BH88" i="13" a="1"/>
  <c r="BH88" i="13" s="1"/>
  <c r="AQ88" i="13" a="1"/>
  <c r="AQ88" i="13" s="1"/>
  <c r="BG88" i="13" a="1"/>
  <c r="BG88" i="13" s="1"/>
  <c r="AP88" i="13" a="1"/>
  <c r="AP88" i="13" s="1"/>
  <c r="AV88" i="13" a="1"/>
  <c r="AV88" i="13" s="1"/>
  <c r="AX88" i="13" a="1"/>
  <c r="AX88" i="13" s="1"/>
  <c r="BA88" i="13" a="1"/>
  <c r="BA88" i="13" s="1"/>
  <c r="BI88" i="16" a="1"/>
  <c r="BI88" i="16" s="1"/>
  <c r="BB88" i="16" a="1"/>
  <c r="BB88" i="16" s="1"/>
  <c r="AV88" i="16" a="1"/>
  <c r="AV88" i="16" s="1"/>
  <c r="BG88" i="16" a="1"/>
  <c r="BG88" i="16" s="1"/>
  <c r="BA88" i="16" a="1"/>
  <c r="BA88" i="16" s="1"/>
  <c r="AT88" i="16" a="1"/>
  <c r="AT88" i="16" s="1"/>
  <c r="BG88" i="15" a="1"/>
  <c r="BG88" i="15" s="1"/>
  <c r="BD88" i="16" a="1"/>
  <c r="BD88" i="16" s="1"/>
  <c r="AW88" i="16" a="1"/>
  <c r="AW88" i="16" s="1"/>
  <c r="AQ88" i="16" a="1"/>
  <c r="AQ88" i="16" s="1"/>
  <c r="BD88" i="13" a="1"/>
  <c r="BD88" i="13" s="1"/>
  <c r="BJ88" i="16" a="1"/>
  <c r="BJ88" i="16" s="1"/>
  <c r="BC88" i="16" a="1"/>
  <c r="BC88" i="16" s="1"/>
  <c r="AP88" i="16" a="1"/>
  <c r="AP88" i="16" s="1"/>
  <c r="BJ88" i="14" a="1"/>
  <c r="BJ88" i="14" s="1"/>
  <c r="AZ88" i="16" a="1"/>
  <c r="AZ88" i="16" s="1"/>
  <c r="BF88" i="16" a="1"/>
  <c r="BF88" i="16" s="1"/>
  <c r="AS88" i="16" a="1"/>
  <c r="AS88" i="16" s="1"/>
  <c r="BE88" i="16" a="1"/>
  <c r="BE88" i="16" s="1"/>
  <c r="AZ88" i="14" a="1"/>
  <c r="AZ88" i="14" s="1"/>
  <c r="AT88" i="14" a="1"/>
  <c r="AT88" i="14" s="1"/>
  <c r="AY88" i="16" a="1"/>
  <c r="AY88" i="16" s="1"/>
  <c r="BK88" i="14" a="1"/>
  <c r="BK88" i="14" s="1"/>
  <c r="BE88" i="14" a="1"/>
  <c r="BE88" i="14" s="1"/>
  <c r="AY88" i="14" a="1"/>
  <c r="AY88" i="14" s="1"/>
  <c r="AS88" i="14" a="1"/>
  <c r="AS88" i="14" s="1"/>
  <c r="AX88" i="16" a="1"/>
  <c r="AX88" i="16" s="1"/>
  <c r="BD88" i="14" a="1"/>
  <c r="BD88" i="14" s="1"/>
  <c r="AX88" i="14" a="1"/>
  <c r="AX88" i="14" s="1"/>
  <c r="AU88" i="16" a="1"/>
  <c r="AU88" i="16" s="1"/>
  <c r="AR88" i="16" a="1"/>
  <c r="AR88" i="16" s="1"/>
  <c r="BI88" i="14" a="1"/>
  <c r="BI88" i="14" s="1"/>
  <c r="AW88" i="14" a="1"/>
  <c r="AW88" i="14" s="1"/>
  <c r="AQ88" i="14" a="1"/>
  <c r="AQ88" i="14" s="1"/>
  <c r="BK88" i="16" a="1"/>
  <c r="BK88" i="16" s="1"/>
  <c r="BA88" i="14" a="1"/>
  <c r="BA88" i="14" s="1"/>
  <c r="BH88" i="16" a="1"/>
  <c r="BH88" i="16" s="1"/>
  <c r="BH88" i="14" a="1"/>
  <c r="BH88" i="14" s="1"/>
  <c r="BG88" i="14" a="1"/>
  <c r="BG88" i="14" s="1"/>
  <c r="AV88" i="14" a="1"/>
  <c r="AV88" i="14" s="1"/>
  <c r="BF88" i="14" a="1"/>
  <c r="BF88" i="14" s="1"/>
  <c r="AU88" i="14" a="1"/>
  <c r="AU88" i="14" s="1"/>
  <c r="BC88" i="14" a="1"/>
  <c r="BC88" i="14" s="1"/>
  <c r="AR88" i="14" a="1"/>
  <c r="AR88" i="14" s="1"/>
  <c r="BB88" i="14" a="1"/>
  <c r="BB88" i="14" s="1"/>
  <c r="AP88" i="14" a="1"/>
  <c r="AP88" i="14" s="1"/>
  <c r="BJ12" i="15" a="1"/>
  <c r="BJ12" i="15" s="1"/>
  <c r="BC12" i="15" a="1"/>
  <c r="BC12" i="15" s="1"/>
  <c r="AV12" i="15" a="1"/>
  <c r="AV12" i="15" s="1"/>
  <c r="BB12" i="15" a="1"/>
  <c r="BB12" i="15" s="1"/>
  <c r="AU12" i="15" a="1"/>
  <c r="AU12" i="15" s="1"/>
  <c r="BI12" i="15" a="1"/>
  <c r="BI12" i="15" s="1"/>
  <c r="BA12" i="15" a="1"/>
  <c r="BA12" i="15" s="1"/>
  <c r="AT12" i="15" a="1"/>
  <c r="AT12" i="15" s="1"/>
  <c r="BK12" i="15" a="1"/>
  <c r="BK12" i="15" s="1"/>
  <c r="BD12" i="15" a="1"/>
  <c r="BD12" i="15" s="1"/>
  <c r="AW12" i="15" a="1"/>
  <c r="AW12" i="15" s="1"/>
  <c r="AP12" i="15" a="1"/>
  <c r="AP12" i="15" s="1"/>
  <c r="AY12" i="15" a="1"/>
  <c r="AY12" i="15" s="1"/>
  <c r="AX12" i="15" a="1"/>
  <c r="AX12" i="15" s="1"/>
  <c r="BH12" i="15" a="1"/>
  <c r="BH12" i="15" s="1"/>
  <c r="BG12" i="15" a="1"/>
  <c r="BG12" i="15" s="1"/>
  <c r="AS12" i="15" a="1"/>
  <c r="AS12" i="15" s="1"/>
  <c r="AQ12" i="15" a="1"/>
  <c r="AQ12" i="15" s="1"/>
  <c r="AR12" i="15" a="1"/>
  <c r="AR12" i="15" s="1"/>
  <c r="AZ12" i="15" a="1"/>
  <c r="AZ12" i="15" s="1"/>
  <c r="BE12" i="15" a="1"/>
  <c r="BE12" i="15" s="1"/>
  <c r="BF12" i="15" a="1"/>
  <c r="BF12" i="15" s="1"/>
  <c r="BH12" i="16" a="1"/>
  <c r="BH12" i="16" s="1"/>
  <c r="AT12" i="16" a="1"/>
  <c r="AT12" i="16" s="1"/>
  <c r="BE12" i="13" a="1"/>
  <c r="BE12" i="13" s="1"/>
  <c r="BG12" i="16" a="1"/>
  <c r="BG12" i="16" s="1"/>
  <c r="BF12" i="16" a="1"/>
  <c r="BF12" i="16" s="1"/>
  <c r="AY12" i="16" a="1"/>
  <c r="AY12" i="16" s="1"/>
  <c r="AQ12" i="16" a="1"/>
  <c r="AQ12" i="16" s="1"/>
  <c r="BE12" i="16" a="1"/>
  <c r="BE12" i="16" s="1"/>
  <c r="AX12" i="16" a="1"/>
  <c r="AX12" i="16" s="1"/>
  <c r="AP12" i="16" a="1"/>
  <c r="AP12" i="16" s="1"/>
  <c r="BJ12" i="16" a="1"/>
  <c r="BJ12" i="16" s="1"/>
  <c r="BC12" i="16" a="1"/>
  <c r="BC12" i="16" s="1"/>
  <c r="AV12" i="16" a="1"/>
  <c r="AV12" i="16" s="1"/>
  <c r="BA12" i="16" a="1"/>
  <c r="BA12" i="16" s="1"/>
  <c r="BG12" i="14" a="1"/>
  <c r="BG12" i="14" s="1"/>
  <c r="AY12" i="14" a="1"/>
  <c r="AY12" i="14" s="1"/>
  <c r="AQ12" i="14" a="1"/>
  <c r="AQ12" i="14" s="1"/>
  <c r="AZ12" i="16" a="1"/>
  <c r="AZ12" i="16" s="1"/>
  <c r="BF12" i="14" a="1"/>
  <c r="BF12" i="14" s="1"/>
  <c r="AX12" i="14" a="1"/>
  <c r="AX12" i="14" s="1"/>
  <c r="AP12" i="14" a="1"/>
  <c r="AP12" i="14" s="1"/>
  <c r="BK12" i="16" a="1"/>
  <c r="BK12" i="16" s="1"/>
  <c r="AW12" i="16" a="1"/>
  <c r="AW12" i="16" s="1"/>
  <c r="BE12" i="14" a="1"/>
  <c r="BE12" i="14" s="1"/>
  <c r="AW12" i="14" a="1"/>
  <c r="AW12" i="14" s="1"/>
  <c r="AU12" i="16" a="1"/>
  <c r="AU12" i="16" s="1"/>
  <c r="BI12" i="16" a="1"/>
  <c r="BI12" i="16" s="1"/>
  <c r="AS12" i="16" a="1"/>
  <c r="AS12" i="16" s="1"/>
  <c r="BK12" i="14" a="1"/>
  <c r="BK12" i="14" s="1"/>
  <c r="BC12" i="14" a="1"/>
  <c r="BC12" i="14" s="1"/>
  <c r="AU12" i="14" a="1"/>
  <c r="AU12" i="14" s="1"/>
  <c r="AR12" i="16" a="1"/>
  <c r="AR12" i="16" s="1"/>
  <c r="BD12" i="16" a="1"/>
  <c r="BD12" i="16" s="1"/>
  <c r="BB12" i="16" a="1"/>
  <c r="BB12" i="16" s="1"/>
  <c r="BH12" i="14" a="1"/>
  <c r="BH12" i="14" s="1"/>
  <c r="AZ12" i="14" a="1"/>
  <c r="AZ12" i="14" s="1"/>
  <c r="AR12" i="14" a="1"/>
  <c r="AR12" i="14" s="1"/>
  <c r="BJ12" i="14" a="1"/>
  <c r="BJ12" i="14" s="1"/>
  <c r="BI12" i="14" a="1"/>
  <c r="BI12" i="14" s="1"/>
  <c r="BB12" i="14" a="1"/>
  <c r="BB12" i="14" s="1"/>
  <c r="AV12" i="14" a="1"/>
  <c r="AV12" i="14" s="1"/>
  <c r="BD12" i="14" a="1"/>
  <c r="BD12" i="14" s="1"/>
  <c r="AT12" i="14" a="1"/>
  <c r="AT12" i="14" s="1"/>
  <c r="AS12" i="14" a="1"/>
  <c r="AS12" i="14" s="1"/>
  <c r="BA12" i="14" a="1"/>
  <c r="BA12" i="14" s="1"/>
  <c r="BN17" i="12" a="1"/>
  <c r="BN17" i="12" s="1"/>
  <c r="BM17" i="12" a="1"/>
  <c r="BM17" i="12" s="1"/>
  <c r="BS17" i="12" a="1"/>
  <c r="BS17" i="12" s="1"/>
  <c r="BL17" i="12" a="1"/>
  <c r="BL17" i="12" s="1"/>
  <c r="BE17" i="12"/>
  <c r="BO17" i="12" a="1"/>
  <c r="BO17" i="12" s="1"/>
  <c r="BF17" i="12"/>
  <c r="BP17" i="12" a="1"/>
  <c r="BP17" i="12" s="1"/>
  <c r="AY17" i="12"/>
  <c r="BG17" i="12"/>
  <c r="BC17" i="12"/>
  <c r="BD17" i="12"/>
  <c r="BH17" i="12"/>
  <c r="BJ17" i="12" a="1"/>
  <c r="BJ17" i="12" s="1"/>
  <c r="BK17" i="12" a="1"/>
  <c r="BK17" i="12" s="1"/>
  <c r="BQ17" i="12" a="1"/>
  <c r="BQ17" i="12" s="1"/>
  <c r="AZ17" i="12"/>
  <c r="BR17" i="12" a="1"/>
  <c r="BR17" i="12" s="1"/>
  <c r="BA17" i="12"/>
  <c r="BB17" i="12"/>
  <c r="BI17" i="15" a="1"/>
  <c r="BI17" i="15" s="1"/>
  <c r="BA17" i="15" a="1"/>
  <c r="BA17" i="15" s="1"/>
  <c r="AU17" i="15" a="1"/>
  <c r="AU17" i="15" s="1"/>
  <c r="BH17" i="15" a="1"/>
  <c r="BH17" i="15" s="1"/>
  <c r="AT17" i="15" a="1"/>
  <c r="AT17" i="15" s="1"/>
  <c r="BG17" i="15" a="1"/>
  <c r="BG17" i="15" s="1"/>
  <c r="AZ17" i="15" a="1"/>
  <c r="AZ17" i="15" s="1"/>
  <c r="AS17" i="15" a="1"/>
  <c r="AS17" i="15" s="1"/>
  <c r="BJ17" i="15" a="1"/>
  <c r="BJ17" i="15" s="1"/>
  <c r="BB17" i="15" a="1"/>
  <c r="BB17" i="15" s="1"/>
  <c r="BE17" i="15" a="1"/>
  <c r="BE17" i="15" s="1"/>
  <c r="AQ17" i="15" a="1"/>
  <c r="AQ17" i="15" s="1"/>
  <c r="BD17" i="15" a="1"/>
  <c r="BD17" i="15" s="1"/>
  <c r="AP17" i="15" a="1"/>
  <c r="AP17" i="15" s="1"/>
  <c r="BC17" i="15" a="1"/>
  <c r="BC17" i="15" s="1"/>
  <c r="AY17" i="15" a="1"/>
  <c r="AY17" i="15" s="1"/>
  <c r="AX17" i="15" a="1"/>
  <c r="AX17" i="15" s="1"/>
  <c r="AW17" i="15" a="1"/>
  <c r="AW17" i="15" s="1"/>
  <c r="AV17" i="15" a="1"/>
  <c r="AV17" i="15" s="1"/>
  <c r="AR17" i="15" a="1"/>
  <c r="AR17" i="15" s="1"/>
  <c r="BF17" i="15" a="1"/>
  <c r="BF17" i="15" s="1"/>
  <c r="BK17" i="15" a="1"/>
  <c r="BK17" i="15" s="1"/>
  <c r="AU17" i="13" a="1"/>
  <c r="AU17" i="13" s="1"/>
  <c r="BI17" i="13" a="1"/>
  <c r="BI17" i="13" s="1"/>
  <c r="BB17" i="13" a="1"/>
  <c r="BB17" i="13" s="1"/>
  <c r="AT17" i="13" a="1"/>
  <c r="AT17" i="13" s="1"/>
  <c r="BH17" i="13" a="1"/>
  <c r="BH17" i="13" s="1"/>
  <c r="BA17" i="13" a="1"/>
  <c r="BA17" i="13" s="1"/>
  <c r="BG17" i="13" a="1"/>
  <c r="BG17" i="13" s="1"/>
  <c r="AZ17" i="13" a="1"/>
  <c r="AZ17" i="13" s="1"/>
  <c r="AS17" i="13" a="1"/>
  <c r="AS17" i="13" s="1"/>
  <c r="BK17" i="13" a="1"/>
  <c r="BK17" i="13" s="1"/>
  <c r="BD17" i="13" a="1"/>
  <c r="BD17" i="13" s="1"/>
  <c r="BJ17" i="13" a="1"/>
  <c r="BJ17" i="13" s="1"/>
  <c r="BC17" i="13" a="1"/>
  <c r="BC17" i="13" s="1"/>
  <c r="AV17" i="13" a="1"/>
  <c r="AV17" i="13" s="1"/>
  <c r="BF17" i="13" a="1"/>
  <c r="BF17" i="13" s="1"/>
  <c r="AP17" i="13" a="1"/>
  <c r="AP17" i="13" s="1"/>
  <c r="BI17" i="16" a="1"/>
  <c r="BI17" i="16" s="1"/>
  <c r="BB17" i="16" a="1"/>
  <c r="BB17" i="16" s="1"/>
  <c r="AU17" i="16" a="1"/>
  <c r="AU17" i="16" s="1"/>
  <c r="BE17" i="13" a="1"/>
  <c r="BE17" i="13" s="1"/>
  <c r="AY17" i="13" a="1"/>
  <c r="AY17" i="13" s="1"/>
  <c r="AQ17" i="13" a="1"/>
  <c r="AQ17" i="13" s="1"/>
  <c r="AX17" i="13" a="1"/>
  <c r="AX17" i="13" s="1"/>
  <c r="BJ17" i="16" a="1"/>
  <c r="BJ17" i="16" s="1"/>
  <c r="BC17" i="16" a="1"/>
  <c r="BC17" i="16" s="1"/>
  <c r="AW17" i="13" a="1"/>
  <c r="AW17" i="13" s="1"/>
  <c r="BA17" i="16" a="1"/>
  <c r="BA17" i="16" s="1"/>
  <c r="AT17" i="16" a="1"/>
  <c r="AT17" i="16" s="1"/>
  <c r="AR17" i="13" a="1"/>
  <c r="AR17" i="13" s="1"/>
  <c r="BH17" i="16" a="1"/>
  <c r="BH17" i="16" s="1"/>
  <c r="AZ17" i="16" a="1"/>
  <c r="AZ17" i="16" s="1"/>
  <c r="AS17" i="16" a="1"/>
  <c r="AS17" i="16" s="1"/>
  <c r="BF17" i="16" a="1"/>
  <c r="BF17" i="16" s="1"/>
  <c r="AX17" i="16" a="1"/>
  <c r="AX17" i="16" s="1"/>
  <c r="AQ17" i="16" a="1"/>
  <c r="AQ17" i="16" s="1"/>
  <c r="AV17" i="16" a="1"/>
  <c r="AV17" i="16" s="1"/>
  <c r="BF17" i="14" a="1"/>
  <c r="BF17" i="14" s="1"/>
  <c r="BA17" i="14" a="1"/>
  <c r="BA17" i="14" s="1"/>
  <c r="BK17" i="16" a="1"/>
  <c r="BK17" i="16" s="1"/>
  <c r="AZ17" i="14" a="1"/>
  <c r="AZ17" i="14" s="1"/>
  <c r="AT17" i="14" a="1"/>
  <c r="AT17" i="14" s="1"/>
  <c r="BG17" i="16" a="1"/>
  <c r="BG17" i="16" s="1"/>
  <c r="AR17" i="16" a="1"/>
  <c r="AR17" i="16" s="1"/>
  <c r="BK17" i="14" a="1"/>
  <c r="BK17" i="14" s="1"/>
  <c r="BE17" i="14" a="1"/>
  <c r="BE17" i="14" s="1"/>
  <c r="AY17" i="14" a="1"/>
  <c r="AY17" i="14" s="1"/>
  <c r="BE17" i="16" a="1"/>
  <c r="BE17" i="16" s="1"/>
  <c r="AP17" i="16" a="1"/>
  <c r="AP17" i="16" s="1"/>
  <c r="BD17" i="16" a="1"/>
  <c r="BD17" i="16" s="1"/>
  <c r="AW17" i="14" a="1"/>
  <c r="AW17" i="14" s="1"/>
  <c r="AR17" i="14" a="1"/>
  <c r="AR17" i="14" s="1"/>
  <c r="AY17" i="16" a="1"/>
  <c r="AY17" i="16" s="1"/>
  <c r="AW17" i="16" a="1"/>
  <c r="AW17" i="16" s="1"/>
  <c r="BG17" i="14" a="1"/>
  <c r="BG17" i="14" s="1"/>
  <c r="BB17" i="14" a="1"/>
  <c r="BB17" i="14" s="1"/>
  <c r="AU17" i="14" a="1"/>
  <c r="AU17" i="14" s="1"/>
  <c r="AP17" i="14" a="1"/>
  <c r="AP17" i="14" s="1"/>
  <c r="BC17" i="14" a="1"/>
  <c r="BC17" i="14" s="1"/>
  <c r="BI17" i="14" a="1"/>
  <c r="BI17" i="14" s="1"/>
  <c r="AX17" i="14" a="1"/>
  <c r="AX17" i="14" s="1"/>
  <c r="AV17" i="14" a="1"/>
  <c r="AV17" i="14" s="1"/>
  <c r="AS17" i="14" a="1"/>
  <c r="AS17" i="14" s="1"/>
  <c r="BH17" i="14" a="1"/>
  <c r="BH17" i="14" s="1"/>
  <c r="BD17" i="14" a="1"/>
  <c r="BD17" i="14" s="1"/>
  <c r="AQ17" i="14" a="1"/>
  <c r="AQ17" i="14" s="1"/>
  <c r="BJ17" i="14" a="1"/>
  <c r="BJ17" i="14" s="1"/>
  <c r="BN29" i="12" a="1"/>
  <c r="BN29" i="12" s="1"/>
  <c r="BO29" i="12" a="1"/>
  <c r="BO29" i="12" s="1"/>
  <c r="BM29" i="12" a="1"/>
  <c r="BM29" i="12" s="1"/>
  <c r="BL29" i="12" a="1"/>
  <c r="BL29" i="12" s="1"/>
  <c r="BE29" i="12"/>
  <c r="BP29" i="12" a="1"/>
  <c r="BP29" i="12" s="1"/>
  <c r="BF29" i="12"/>
  <c r="BQ29" i="12" a="1"/>
  <c r="BQ29" i="12" s="1"/>
  <c r="AY29" i="12"/>
  <c r="BG29" i="12"/>
  <c r="AZ29" i="12"/>
  <c r="BA29" i="12"/>
  <c r="BB29" i="12"/>
  <c r="BJ29" i="12" a="1"/>
  <c r="BJ29" i="12" s="1"/>
  <c r="BC29" i="12"/>
  <c r="BD29" i="12"/>
  <c r="BH29" i="12"/>
  <c r="BR29" i="12" a="1"/>
  <c r="BR29" i="12" s="1"/>
  <c r="BK29" i="12" a="1"/>
  <c r="BK29" i="12" s="1"/>
  <c r="BJ29" i="15" a="1"/>
  <c r="BJ29" i="15" s="1"/>
  <c r="BD29" i="15" a="1"/>
  <c r="BD29" i="15" s="1"/>
  <c r="AX29" i="15" a="1"/>
  <c r="AX29" i="15" s="1"/>
  <c r="BI29" i="15" a="1"/>
  <c r="BI29" i="15" s="1"/>
  <c r="BC29" i="15" a="1"/>
  <c r="BC29" i="15" s="1"/>
  <c r="AW29" i="15" a="1"/>
  <c r="AW29" i="15" s="1"/>
  <c r="AR29" i="15" a="1"/>
  <c r="AR29" i="15" s="1"/>
  <c r="BH29" i="15" a="1"/>
  <c r="BH29" i="15" s="1"/>
  <c r="AQ29" i="15" a="1"/>
  <c r="AQ29" i="15" s="1"/>
  <c r="BS29" i="12" a="1"/>
  <c r="BS29" i="12" s="1"/>
  <c r="AS29" i="15" a="1"/>
  <c r="AS29" i="15" s="1"/>
  <c r="BA29" i="15" a="1"/>
  <c r="BA29" i="15" s="1"/>
  <c r="AP29" i="15" a="1"/>
  <c r="AP29" i="15" s="1"/>
  <c r="AZ29" i="15" a="1"/>
  <c r="AZ29" i="15" s="1"/>
  <c r="BK29" i="15" a="1"/>
  <c r="BK29" i="15" s="1"/>
  <c r="AY29" i="15" a="1"/>
  <c r="AY29" i="15" s="1"/>
  <c r="BG29" i="15" a="1"/>
  <c r="BG29" i="15" s="1"/>
  <c r="AV29" i="15" a="1"/>
  <c r="AV29" i="15" s="1"/>
  <c r="AU29" i="15" a="1"/>
  <c r="AU29" i="15" s="1"/>
  <c r="BF29" i="15" a="1"/>
  <c r="BF29" i="15" s="1"/>
  <c r="BE29" i="15" a="1"/>
  <c r="BE29" i="15" s="1"/>
  <c r="BI29" i="13" a="1"/>
  <c r="BI29" i="13" s="1"/>
  <c r="BC29" i="13" a="1"/>
  <c r="BC29" i="13" s="1"/>
  <c r="AW29" i="13" a="1"/>
  <c r="AW29" i="13" s="1"/>
  <c r="AP29" i="13" a="1"/>
  <c r="AP29" i="13" s="1"/>
  <c r="BB29" i="15" a="1"/>
  <c r="BB29" i="15" s="1"/>
  <c r="BB29" i="13" a="1"/>
  <c r="BB29" i="13" s="1"/>
  <c r="AV29" i="13" a="1"/>
  <c r="AV29" i="13" s="1"/>
  <c r="BH29" i="13" a="1"/>
  <c r="BH29" i="13" s="1"/>
  <c r="BA29" i="13" a="1"/>
  <c r="BA29" i="13" s="1"/>
  <c r="AU29" i="13" a="1"/>
  <c r="AU29" i="13" s="1"/>
  <c r="BJ29" i="13" a="1"/>
  <c r="BJ29" i="13" s="1"/>
  <c r="BD29" i="13" a="1"/>
  <c r="BD29" i="13" s="1"/>
  <c r="AQ29" i="13" a="1"/>
  <c r="AQ29" i="13" s="1"/>
  <c r="BE29" i="13" a="1"/>
  <c r="BE29" i="13" s="1"/>
  <c r="AR29" i="13" a="1"/>
  <c r="AR29" i="13" s="1"/>
  <c r="BK29" i="16" a="1"/>
  <c r="BK29" i="16" s="1"/>
  <c r="BE29" i="16" a="1"/>
  <c r="BE29" i="16" s="1"/>
  <c r="AX29" i="16" a="1"/>
  <c r="AX29" i="16" s="1"/>
  <c r="AQ29" i="16" a="1"/>
  <c r="AQ29" i="16" s="1"/>
  <c r="AZ29" i="13" a="1"/>
  <c r="AZ29" i="13" s="1"/>
  <c r="AT29" i="15" a="1"/>
  <c r="AT29" i="15" s="1"/>
  <c r="BG29" i="13" a="1"/>
  <c r="BG29" i="13" s="1"/>
  <c r="BF29" i="13" a="1"/>
  <c r="BF29" i="13" s="1"/>
  <c r="AS29" i="13" a="1"/>
  <c r="AS29" i="13" s="1"/>
  <c r="AT29" i="13" a="1"/>
  <c r="AT29" i="13" s="1"/>
  <c r="BC29" i="16" a="1"/>
  <c r="BC29" i="16" s="1"/>
  <c r="AT29" i="16" a="1"/>
  <c r="AT29" i="16" s="1"/>
  <c r="AX29" i="13" a="1"/>
  <c r="AX29" i="13" s="1"/>
  <c r="BI29" i="16" a="1"/>
  <c r="BI29" i="16" s="1"/>
  <c r="AY29" i="16" a="1"/>
  <c r="AY29" i="16" s="1"/>
  <c r="BH29" i="16" a="1"/>
  <c r="BH29" i="16" s="1"/>
  <c r="AW29" i="16" a="1"/>
  <c r="AW29" i="16" s="1"/>
  <c r="BG29" i="16" a="1"/>
  <c r="BG29" i="16" s="1"/>
  <c r="AV29" i="16" a="1"/>
  <c r="AV29" i="16" s="1"/>
  <c r="BD29" i="16" a="1"/>
  <c r="BD29" i="16" s="1"/>
  <c r="AS29" i="16" a="1"/>
  <c r="AS29" i="16" s="1"/>
  <c r="AP29" i="16" a="1"/>
  <c r="AP29" i="16" s="1"/>
  <c r="BE29" i="14" a="1"/>
  <c r="BE29" i="14" s="1"/>
  <c r="AX29" i="14" a="1"/>
  <c r="AX29" i="14" s="1"/>
  <c r="AQ29" i="14" a="1"/>
  <c r="AQ29" i="14" s="1"/>
  <c r="BJ29" i="16" a="1"/>
  <c r="BJ29" i="16" s="1"/>
  <c r="BK29" i="14" a="1"/>
  <c r="BK29" i="14" s="1"/>
  <c r="BD29" i="14" a="1"/>
  <c r="BD29" i="14" s="1"/>
  <c r="AW29" i="14" a="1"/>
  <c r="AW29" i="14" s="1"/>
  <c r="AP29" i="14" a="1"/>
  <c r="AP29" i="14" s="1"/>
  <c r="BK29" i="13" a="1"/>
  <c r="BK29" i="13" s="1"/>
  <c r="BF29" i="16" a="1"/>
  <c r="BF29" i="16" s="1"/>
  <c r="BJ29" i="14" a="1"/>
  <c r="BJ29" i="14" s="1"/>
  <c r="BC29" i="14" a="1"/>
  <c r="BC29" i="14" s="1"/>
  <c r="AV29" i="14" a="1"/>
  <c r="AV29" i="14" s="1"/>
  <c r="BB29" i="16" a="1"/>
  <c r="BB29" i="16" s="1"/>
  <c r="AY29" i="13" a="1"/>
  <c r="AY29" i="13" s="1"/>
  <c r="BA29" i="16" a="1"/>
  <c r="BA29" i="16" s="1"/>
  <c r="BH29" i="14" a="1"/>
  <c r="BH29" i="14" s="1"/>
  <c r="BB29" i="14" a="1"/>
  <c r="BB29" i="14" s="1"/>
  <c r="AT29" i="14" a="1"/>
  <c r="AT29" i="14" s="1"/>
  <c r="AZ29" i="16" a="1"/>
  <c r="AZ29" i="16" s="1"/>
  <c r="AU29" i="16" a="1"/>
  <c r="AU29" i="16" s="1"/>
  <c r="AR29" i="16" a="1"/>
  <c r="AR29" i="16" s="1"/>
  <c r="BF29" i="14" a="1"/>
  <c r="BF29" i="14" s="1"/>
  <c r="AY29" i="14" a="1"/>
  <c r="AY29" i="14" s="1"/>
  <c r="BG29" i="14" a="1"/>
  <c r="BG29" i="14" s="1"/>
  <c r="BA29" i="14" a="1"/>
  <c r="BA29" i="14" s="1"/>
  <c r="AU29" i="14" a="1"/>
  <c r="AU29" i="14" s="1"/>
  <c r="AS29" i="14" a="1"/>
  <c r="AS29" i="14" s="1"/>
  <c r="BI29" i="14" a="1"/>
  <c r="BI29" i="14" s="1"/>
  <c r="AR29" i="14" a="1"/>
  <c r="AR29" i="14" s="1"/>
  <c r="AZ29" i="14" a="1"/>
  <c r="AZ29" i="14" s="1"/>
  <c r="BK41" i="12" a="1"/>
  <c r="BK41" i="12" s="1"/>
  <c r="BR41" i="12" a="1"/>
  <c r="BR41" i="12" s="1"/>
  <c r="BL41" i="12" a="1"/>
  <c r="BL41" i="12" s="1"/>
  <c r="BS41" i="12" a="1"/>
  <c r="BS41" i="12" s="1"/>
  <c r="BM41" i="12" a="1"/>
  <c r="BM41" i="12" s="1"/>
  <c r="BQ41" i="12" a="1"/>
  <c r="BQ41" i="12" s="1"/>
  <c r="BJ41" i="12" a="1"/>
  <c r="BJ41" i="12" s="1"/>
  <c r="BN41" i="12" a="1"/>
  <c r="BN41" i="12" s="1"/>
  <c r="BO41" i="12" a="1"/>
  <c r="BO41" i="12" s="1"/>
  <c r="AZ41" i="12"/>
  <c r="BH41" i="12"/>
  <c r="BA41" i="12"/>
  <c r="BB41" i="12"/>
  <c r="BC41" i="12"/>
  <c r="BG41" i="12"/>
  <c r="BE41" i="12"/>
  <c r="BF41" i="12"/>
  <c r="BD41" i="12"/>
  <c r="BJ41" i="15" a="1"/>
  <c r="BJ41" i="15" s="1"/>
  <c r="AQ41" i="15" a="1"/>
  <c r="AQ41" i="15" s="1"/>
  <c r="BI41" i="15" a="1"/>
  <c r="BI41" i="15" s="1"/>
  <c r="BC41" i="15" a="1"/>
  <c r="BC41" i="15" s="1"/>
  <c r="AV41" i="15" a="1"/>
  <c r="AV41" i="15" s="1"/>
  <c r="BP41" i="12" a="1"/>
  <c r="BP41" i="12" s="1"/>
  <c r="BH41" i="15" a="1"/>
  <c r="BH41" i="15" s="1"/>
  <c r="BB41" i="15" a="1"/>
  <c r="BB41" i="15" s="1"/>
  <c r="AU41" i="15" a="1"/>
  <c r="AU41" i="15" s="1"/>
  <c r="AY41" i="12"/>
  <c r="BK41" i="15" a="1"/>
  <c r="BK41" i="15" s="1"/>
  <c r="AZ41" i="15" a="1"/>
  <c r="AZ41" i="15" s="1"/>
  <c r="AR41" i="15" a="1"/>
  <c r="AR41" i="15" s="1"/>
  <c r="AY41" i="15" a="1"/>
  <c r="AY41" i="15" s="1"/>
  <c r="AP41" i="15" a="1"/>
  <c r="AP41" i="15" s="1"/>
  <c r="BG41" i="15" a="1"/>
  <c r="BG41" i="15" s="1"/>
  <c r="AX41" i="15" a="1"/>
  <c r="AX41" i="15" s="1"/>
  <c r="BA41" i="15" a="1"/>
  <c r="BA41" i="15" s="1"/>
  <c r="AT41" i="15" a="1"/>
  <c r="AT41" i="15" s="1"/>
  <c r="AS41" i="15" a="1"/>
  <c r="AS41" i="15" s="1"/>
  <c r="BF41" i="15" a="1"/>
  <c r="BF41" i="15" s="1"/>
  <c r="AW41" i="15" a="1"/>
  <c r="AW41" i="15" s="1"/>
  <c r="BG41" i="13" a="1"/>
  <c r="BG41" i="13" s="1"/>
  <c r="AS41" i="13" a="1"/>
  <c r="AS41" i="13" s="1"/>
  <c r="BF41" i="13" a="1"/>
  <c r="BF41" i="13" s="1"/>
  <c r="AZ41" i="13" a="1"/>
  <c r="AZ41" i="13" s="1"/>
  <c r="AY41" i="13" a="1"/>
  <c r="AY41" i="13" s="1"/>
  <c r="AR41" i="13" a="1"/>
  <c r="AR41" i="13" s="1"/>
  <c r="BH41" i="13" a="1"/>
  <c r="BH41" i="13" s="1"/>
  <c r="BA41" i="13" a="1"/>
  <c r="BA41" i="13" s="1"/>
  <c r="AT41" i="13" a="1"/>
  <c r="AT41" i="13" s="1"/>
  <c r="BB41" i="13" a="1"/>
  <c r="BB41" i="13" s="1"/>
  <c r="BB41" i="16" a="1"/>
  <c r="BB41" i="16" s="1"/>
  <c r="AV41" i="16" a="1"/>
  <c r="AV41" i="16" s="1"/>
  <c r="BK41" i="13" a="1"/>
  <c r="BK41" i="13" s="1"/>
  <c r="AX41" i="13" a="1"/>
  <c r="AX41" i="13" s="1"/>
  <c r="BJ41" i="13" a="1"/>
  <c r="BJ41" i="13" s="1"/>
  <c r="AW41" i="13" a="1"/>
  <c r="AW41" i="13" s="1"/>
  <c r="BE41" i="15" a="1"/>
  <c r="BE41" i="15" s="1"/>
  <c r="BD41" i="15" a="1"/>
  <c r="BD41" i="15" s="1"/>
  <c r="BD41" i="13" a="1"/>
  <c r="BD41" i="13" s="1"/>
  <c r="AP41" i="13" a="1"/>
  <c r="AP41" i="13" s="1"/>
  <c r="BC41" i="13" a="1"/>
  <c r="BC41" i="13" s="1"/>
  <c r="BH41" i="16" a="1"/>
  <c r="BH41" i="16" s="1"/>
  <c r="AW41" i="16" a="1"/>
  <c r="AW41" i="16" s="1"/>
  <c r="AQ41" i="16" a="1"/>
  <c r="AQ41" i="16" s="1"/>
  <c r="AU41" i="13" a="1"/>
  <c r="AU41" i="13" s="1"/>
  <c r="BG41" i="16" a="1"/>
  <c r="BG41" i="16" s="1"/>
  <c r="AS41" i="16" a="1"/>
  <c r="AS41" i="16" s="1"/>
  <c r="AQ41" i="13" a="1"/>
  <c r="AQ41" i="13" s="1"/>
  <c r="BE41" i="16" a="1"/>
  <c r="BE41" i="16" s="1"/>
  <c r="AP41" i="16" a="1"/>
  <c r="AP41" i="16" s="1"/>
  <c r="AX41" i="16" a="1"/>
  <c r="AX41" i="16" s="1"/>
  <c r="AV41" i="13" a="1"/>
  <c r="AV41" i="13" s="1"/>
  <c r="BI41" i="16" a="1"/>
  <c r="BI41" i="16" s="1"/>
  <c r="AZ41" i="16" a="1"/>
  <c r="AZ41" i="16" s="1"/>
  <c r="AT41" i="16" a="1"/>
  <c r="AT41" i="16" s="1"/>
  <c r="BF41" i="16" a="1"/>
  <c r="BF41" i="16" s="1"/>
  <c r="AR41" i="16" a="1"/>
  <c r="AR41" i="16" s="1"/>
  <c r="BD41" i="16" a="1"/>
  <c r="BD41" i="16" s="1"/>
  <c r="BC41" i="16" a="1"/>
  <c r="BC41" i="16" s="1"/>
  <c r="AY41" i="16" a="1"/>
  <c r="AY41" i="16" s="1"/>
  <c r="BK41" i="16" a="1"/>
  <c r="BK41" i="16" s="1"/>
  <c r="BJ41" i="14" a="1"/>
  <c r="BJ41" i="14" s="1"/>
  <c r="BB41" i="14" a="1"/>
  <c r="BB41" i="14" s="1"/>
  <c r="AU41" i="14" a="1"/>
  <c r="AU41" i="14" s="1"/>
  <c r="BI41" i="13" a="1"/>
  <c r="BI41" i="13" s="1"/>
  <c r="BJ41" i="16" a="1"/>
  <c r="BJ41" i="16" s="1"/>
  <c r="BI41" i="14" a="1"/>
  <c r="BI41" i="14" s="1"/>
  <c r="BA41" i="14" a="1"/>
  <c r="BA41" i="14" s="1"/>
  <c r="AT41" i="14" a="1"/>
  <c r="AT41" i="14" s="1"/>
  <c r="BA41" i="16" a="1"/>
  <c r="BA41" i="16" s="1"/>
  <c r="BH41" i="14" a="1"/>
  <c r="BH41" i="14" s="1"/>
  <c r="AZ41" i="14" a="1"/>
  <c r="AZ41" i="14" s="1"/>
  <c r="AS41" i="14" a="1"/>
  <c r="AS41" i="14" s="1"/>
  <c r="BE41" i="13" a="1"/>
  <c r="BE41" i="13" s="1"/>
  <c r="AU41" i="16" a="1"/>
  <c r="AU41" i="16" s="1"/>
  <c r="BF41" i="14" a="1"/>
  <c r="BF41" i="14" s="1"/>
  <c r="AX41" i="14" a="1"/>
  <c r="AX41" i="14" s="1"/>
  <c r="AQ41" i="14" a="1"/>
  <c r="AQ41" i="14" s="1"/>
  <c r="BK41" i="14" a="1"/>
  <c r="BK41" i="14" s="1"/>
  <c r="BC41" i="14" a="1"/>
  <c r="BC41" i="14" s="1"/>
  <c r="AV41" i="14" a="1"/>
  <c r="AV41" i="14" s="1"/>
  <c r="AW41" i="14" a="1"/>
  <c r="AW41" i="14" s="1"/>
  <c r="AP41" i="14" a="1"/>
  <c r="AP41" i="14" s="1"/>
  <c r="BD41" i="14" a="1"/>
  <c r="BD41" i="14" s="1"/>
  <c r="AR41" i="14" a="1"/>
  <c r="AR41" i="14" s="1"/>
  <c r="BG41" i="14" a="1"/>
  <c r="BG41" i="14" s="1"/>
  <c r="BE41" i="14" a="1"/>
  <c r="BE41" i="14" s="1"/>
  <c r="AY41" i="14" a="1"/>
  <c r="AY41" i="14" s="1"/>
  <c r="BL57" i="12" a="1"/>
  <c r="BL57" i="12" s="1"/>
  <c r="BS57" i="12" a="1"/>
  <c r="BS57" i="12" s="1"/>
  <c r="BM57" i="12" a="1"/>
  <c r="BM57" i="12" s="1"/>
  <c r="BN57" i="12" a="1"/>
  <c r="BN57" i="12" s="1"/>
  <c r="BR57" i="12" a="1"/>
  <c r="BR57" i="12" s="1"/>
  <c r="BK57" i="12" a="1"/>
  <c r="BK57" i="12" s="1"/>
  <c r="BO57" i="12" a="1"/>
  <c r="BO57" i="12" s="1"/>
  <c r="BP57" i="12" a="1"/>
  <c r="BP57" i="12" s="1"/>
  <c r="BJ57" i="12" a="1"/>
  <c r="BJ57" i="12" s="1"/>
  <c r="H57" i="1" s="1"/>
  <c r="AZ57" i="12"/>
  <c r="BH57" i="12"/>
  <c r="BA57" i="12"/>
  <c r="BQ57" i="12" a="1"/>
  <c r="BQ57" i="12" s="1"/>
  <c r="BB57" i="12"/>
  <c r="BC57" i="12"/>
  <c r="BG57" i="12"/>
  <c r="BE57" i="12"/>
  <c r="BF57" i="12"/>
  <c r="BI57" i="15" a="1"/>
  <c r="BI57" i="15" s="1"/>
  <c r="BC57" i="15" a="1"/>
  <c r="BC57" i="15" s="1"/>
  <c r="AQ57" i="15" a="1"/>
  <c r="AQ57" i="15" s="1"/>
  <c r="BH57" i="15" a="1"/>
  <c r="BH57" i="15" s="1"/>
  <c r="AV57" i="15" a="1"/>
  <c r="AV57" i="15" s="1"/>
  <c r="AP57" i="15" a="1"/>
  <c r="AP57" i="15" s="1"/>
  <c r="BG57" i="15" a="1"/>
  <c r="BG57" i="15" s="1"/>
  <c r="BB57" i="15" a="1"/>
  <c r="BB57" i="15" s="1"/>
  <c r="AU57" i="15" a="1"/>
  <c r="AU57" i="15" s="1"/>
  <c r="BA57" i="15" a="1"/>
  <c r="BA57" i="15" s="1"/>
  <c r="AR57" i="15" a="1"/>
  <c r="AR57" i="15" s="1"/>
  <c r="AZ57" i="15" a="1"/>
  <c r="AZ57" i="15" s="1"/>
  <c r="BK57" i="15" a="1"/>
  <c r="BK57" i="15" s="1"/>
  <c r="AY57" i="15" a="1"/>
  <c r="AY57" i="15" s="1"/>
  <c r="BD57" i="15" a="1"/>
  <c r="BD57" i="15" s="1"/>
  <c r="AS57" i="15" a="1"/>
  <c r="AS57" i="15" s="1"/>
  <c r="AY57" i="12"/>
  <c r="BD57" i="12"/>
  <c r="BJ57" i="15" a="1"/>
  <c r="BJ57" i="15" s="1"/>
  <c r="AT57" i="15" a="1"/>
  <c r="AT57" i="15" s="1"/>
  <c r="BE57" i="15" a="1"/>
  <c r="BE57" i="15" s="1"/>
  <c r="AX57" i="15" a="1"/>
  <c r="AX57" i="15" s="1"/>
  <c r="AW57" i="15" a="1"/>
  <c r="AW57" i="15" s="1"/>
  <c r="BF57" i="15" a="1"/>
  <c r="BF57" i="15" s="1"/>
  <c r="BC57" i="13" a="1"/>
  <c r="BC57" i="13" s="1"/>
  <c r="AW57" i="13" a="1"/>
  <c r="AW57" i="13" s="1"/>
  <c r="BH57" i="13" a="1"/>
  <c r="BH57" i="13" s="1"/>
  <c r="BB57" i="13" a="1"/>
  <c r="BB57" i="13" s="1"/>
  <c r="AV57" i="13" a="1"/>
  <c r="AV57" i="13" s="1"/>
  <c r="AQ57" i="13" a="1"/>
  <c r="AQ57" i="13" s="1"/>
  <c r="BA57" i="13" a="1"/>
  <c r="BA57" i="13" s="1"/>
  <c r="AP57" i="13" a="1"/>
  <c r="AP57" i="13" s="1"/>
  <c r="BI57" i="13" a="1"/>
  <c r="BI57" i="13" s="1"/>
  <c r="AR57" i="13" a="1"/>
  <c r="AR57" i="13" s="1"/>
  <c r="BD57" i="13" a="1"/>
  <c r="BD57" i="13" s="1"/>
  <c r="AS57" i="13" a="1"/>
  <c r="AS57" i="13" s="1"/>
  <c r="AZ57" i="13" a="1"/>
  <c r="AZ57" i="13" s="1"/>
  <c r="BE57" i="13" a="1"/>
  <c r="BE57" i="13" s="1"/>
  <c r="AT57" i="13" a="1"/>
  <c r="AT57" i="13" s="1"/>
  <c r="BI57" i="16" a="1"/>
  <c r="BI57" i="16" s="1"/>
  <c r="AV57" i="16" a="1"/>
  <c r="AV57" i="16" s="1"/>
  <c r="BK57" i="13" a="1"/>
  <c r="BK57" i="13" s="1"/>
  <c r="BJ57" i="13" a="1"/>
  <c r="BJ57" i="13" s="1"/>
  <c r="BA57" i="16" a="1"/>
  <c r="BA57" i="16" s="1"/>
  <c r="AT57" i="16" a="1"/>
  <c r="AT57" i="16" s="1"/>
  <c r="AX57" i="13" a="1"/>
  <c r="AX57" i="13" s="1"/>
  <c r="AU57" i="13" a="1"/>
  <c r="AU57" i="13" s="1"/>
  <c r="BJ57" i="16" a="1"/>
  <c r="BJ57" i="16" s="1"/>
  <c r="BC57" i="16" a="1"/>
  <c r="BC57" i="16" s="1"/>
  <c r="AW57" i="16" a="1"/>
  <c r="AW57" i="16" s="1"/>
  <c r="BK57" i="16" a="1"/>
  <c r="BK57" i="16" s="1"/>
  <c r="AY57" i="16" a="1"/>
  <c r="AY57" i="16" s="1"/>
  <c r="BG57" i="16" a="1"/>
  <c r="BG57" i="16" s="1"/>
  <c r="AX57" i="16" a="1"/>
  <c r="AX57" i="16" s="1"/>
  <c r="BG57" i="13" a="1"/>
  <c r="BG57" i="13" s="1"/>
  <c r="BF57" i="16" a="1"/>
  <c r="BF57" i="16" s="1"/>
  <c r="AU57" i="16" a="1"/>
  <c r="AU57" i="16" s="1"/>
  <c r="BF57" i="13" a="1"/>
  <c r="BF57" i="13" s="1"/>
  <c r="AZ57" i="16" a="1"/>
  <c r="AZ57" i="16" s="1"/>
  <c r="AP57" i="16" a="1"/>
  <c r="AP57" i="16" s="1"/>
  <c r="AS57" i="16" a="1"/>
  <c r="AS57" i="16" s="1"/>
  <c r="AR57" i="16" a="1"/>
  <c r="AR57" i="16" s="1"/>
  <c r="BH57" i="16" a="1"/>
  <c r="BH57" i="16" s="1"/>
  <c r="BD57" i="16" a="1"/>
  <c r="BD57" i="16" s="1"/>
  <c r="BJ57" i="14" a="1"/>
  <c r="BJ57" i="14" s="1"/>
  <c r="BC57" i="14" a="1"/>
  <c r="BC57" i="14" s="1"/>
  <c r="AW57" i="14" a="1"/>
  <c r="AW57" i="14" s="1"/>
  <c r="BB57" i="16" a="1"/>
  <c r="BB57" i="16" s="1"/>
  <c r="AV57" i="14" a="1"/>
  <c r="AV57" i="14" s="1"/>
  <c r="AQ57" i="16" a="1"/>
  <c r="AQ57" i="16" s="1"/>
  <c r="BI57" i="14" a="1"/>
  <c r="BI57" i="14" s="1"/>
  <c r="BB57" i="14" a="1"/>
  <c r="BB57" i="14" s="1"/>
  <c r="AU57" i="14" a="1"/>
  <c r="AU57" i="14" s="1"/>
  <c r="AY57" i="13" a="1"/>
  <c r="AY57" i="13" s="1"/>
  <c r="BH57" i="14" a="1"/>
  <c r="BH57" i="14" s="1"/>
  <c r="BA57" i="14" a="1"/>
  <c r="BA57" i="14" s="1"/>
  <c r="AT57" i="14" a="1"/>
  <c r="AT57" i="14" s="1"/>
  <c r="BG57" i="14" a="1"/>
  <c r="BG57" i="14" s="1"/>
  <c r="AZ57" i="14" a="1"/>
  <c r="AZ57" i="14" s="1"/>
  <c r="AS57" i="14" a="1"/>
  <c r="AS57" i="14" s="1"/>
  <c r="BE57" i="16" a="1"/>
  <c r="BE57" i="16" s="1"/>
  <c r="BK57" i="14" a="1"/>
  <c r="BK57" i="14" s="1"/>
  <c r="BD57" i="14" a="1"/>
  <c r="BD57" i="14" s="1"/>
  <c r="AP57" i="14" a="1"/>
  <c r="AP57" i="14" s="1"/>
  <c r="AR57" i="14" a="1"/>
  <c r="AR57" i="14" s="1"/>
  <c r="AQ57" i="14" a="1"/>
  <c r="AQ57" i="14" s="1"/>
  <c r="BF57" i="14" a="1"/>
  <c r="BF57" i="14" s="1"/>
  <c r="BE57" i="14" a="1"/>
  <c r="BE57" i="14" s="1"/>
  <c r="AY57" i="14" a="1"/>
  <c r="AY57" i="14" s="1"/>
  <c r="AX57" i="14" a="1"/>
  <c r="AX57" i="14" s="1"/>
  <c r="BN69" i="12" a="1"/>
  <c r="BN69" i="12" s="1"/>
  <c r="BO69" i="12" a="1"/>
  <c r="BO69" i="12" s="1"/>
  <c r="BP69" i="12" a="1"/>
  <c r="BP69" i="12" s="1"/>
  <c r="BM69" i="12" a="1"/>
  <c r="BM69" i="12" s="1"/>
  <c r="BL69" i="12" a="1"/>
  <c r="BL69" i="12" s="1"/>
  <c r="BQ69" i="12" a="1"/>
  <c r="BQ69" i="12" s="1"/>
  <c r="BR69" i="12" a="1"/>
  <c r="BR69" i="12" s="1"/>
  <c r="BK69" i="12" a="1"/>
  <c r="BK69" i="12" s="1"/>
  <c r="AZ69" i="12"/>
  <c r="BH69" i="12"/>
  <c r="BS69" i="12" a="1"/>
  <c r="BS69" i="12" s="1"/>
  <c r="BA69" i="12"/>
  <c r="BB69" i="12"/>
  <c r="BE69" i="12"/>
  <c r="BF69" i="12"/>
  <c r="BG69" i="12"/>
  <c r="BC69" i="12"/>
  <c r="BI69" i="15" a="1"/>
  <c r="BI69" i="15" s="1"/>
  <c r="BB69" i="15" a="1"/>
  <c r="BB69" i="15" s="1"/>
  <c r="AV69" i="15" a="1"/>
  <c r="AV69" i="15" s="1"/>
  <c r="BH69" i="15" a="1"/>
  <c r="BH69" i="15" s="1"/>
  <c r="AQ69" i="15" a="1"/>
  <c r="AQ69" i="15" s="1"/>
  <c r="BG69" i="15" a="1"/>
  <c r="BG69" i="15" s="1"/>
  <c r="BA69" i="15" a="1"/>
  <c r="BA69" i="15" s="1"/>
  <c r="AU69" i="15" a="1"/>
  <c r="AU69" i="15" s="1"/>
  <c r="AP69" i="15" a="1"/>
  <c r="AP69" i="15" s="1"/>
  <c r="AY69" i="12"/>
  <c r="BF69" i="15" a="1"/>
  <c r="BF69" i="15" s="1"/>
  <c r="AZ69" i="15" a="1"/>
  <c r="AZ69" i="15" s="1"/>
  <c r="AT69" i="15" a="1"/>
  <c r="AT69" i="15" s="1"/>
  <c r="BJ69" i="15" a="1"/>
  <c r="BJ69" i="15" s="1"/>
  <c r="BE69" i="15" a="1"/>
  <c r="BE69" i="15" s="1"/>
  <c r="AS69" i="15" a="1"/>
  <c r="AS69" i="15" s="1"/>
  <c r="BJ69" i="12" a="1"/>
  <c r="BJ69" i="12" s="1"/>
  <c r="BK69" i="15" a="1"/>
  <c r="BK69" i="15" s="1"/>
  <c r="AW69" i="15" a="1"/>
  <c r="AW69" i="15" s="1"/>
  <c r="BD69" i="15" a="1"/>
  <c r="BD69" i="15" s="1"/>
  <c r="BC69" i="15" a="1"/>
  <c r="BC69" i="15" s="1"/>
  <c r="AZ69" i="13" a="1"/>
  <c r="AZ69" i="13" s="1"/>
  <c r="AT69" i="13" a="1"/>
  <c r="AT69" i="13" s="1"/>
  <c r="BE69" i="13" a="1"/>
  <c r="BE69" i="13" s="1"/>
  <c r="AY69" i="13" a="1"/>
  <c r="AY69" i="13" s="1"/>
  <c r="BD69" i="12"/>
  <c r="AY69" i="15" a="1"/>
  <c r="AY69" i="15" s="1"/>
  <c r="AX69" i="15" a="1"/>
  <c r="AX69" i="15" s="1"/>
  <c r="AR69" i="15" a="1"/>
  <c r="AR69" i="15" s="1"/>
  <c r="BD69" i="13" a="1"/>
  <c r="BD69" i="13" s="1"/>
  <c r="AV69" i="13" a="1"/>
  <c r="AV69" i="13" s="1"/>
  <c r="BK69" i="13" a="1"/>
  <c r="BK69" i="13" s="1"/>
  <c r="BC69" i="13" a="1"/>
  <c r="BC69" i="13" s="1"/>
  <c r="BJ69" i="13" a="1"/>
  <c r="BJ69" i="13" s="1"/>
  <c r="BB69" i="13" a="1"/>
  <c r="BB69" i="13" s="1"/>
  <c r="AU69" i="13" a="1"/>
  <c r="AU69" i="13" s="1"/>
  <c r="AP69" i="13" a="1"/>
  <c r="AP69" i="13" s="1"/>
  <c r="BF69" i="13" a="1"/>
  <c r="BF69" i="13" s="1"/>
  <c r="AQ69" i="13" a="1"/>
  <c r="AQ69" i="13" s="1"/>
  <c r="BA69" i="13" a="1"/>
  <c r="BA69" i="13" s="1"/>
  <c r="BG69" i="13" a="1"/>
  <c r="BG69" i="13" s="1"/>
  <c r="AR69" i="13" a="1"/>
  <c r="AR69" i="13" s="1"/>
  <c r="BH69" i="13" a="1"/>
  <c r="BH69" i="13" s="1"/>
  <c r="BG69" i="16" a="1"/>
  <c r="BG69" i="16" s="1"/>
  <c r="BA69" i="16" a="1"/>
  <c r="BA69" i="16" s="1"/>
  <c r="AQ69" i="16" a="1"/>
  <c r="AQ69" i="16" s="1"/>
  <c r="AX69" i="13" a="1"/>
  <c r="AX69" i="13" s="1"/>
  <c r="AW69" i="13" a="1"/>
  <c r="AW69" i="13" s="1"/>
  <c r="BK69" i="16" a="1"/>
  <c r="BK69" i="16" s="1"/>
  <c r="BE69" i="16" a="1"/>
  <c r="BE69" i="16" s="1"/>
  <c r="AT69" i="16" a="1"/>
  <c r="AT69" i="16" s="1"/>
  <c r="BI69" i="13" a="1"/>
  <c r="BI69" i="13" s="1"/>
  <c r="AV69" i="16" a="1"/>
  <c r="AV69" i="16" s="1"/>
  <c r="BC69" i="16" a="1"/>
  <c r="BC69" i="16" s="1"/>
  <c r="BI69" i="16" a="1"/>
  <c r="BI69" i="16" s="1"/>
  <c r="AZ69" i="16" a="1"/>
  <c r="AZ69" i="16" s="1"/>
  <c r="AY69" i="16" a="1"/>
  <c r="AY69" i="16" s="1"/>
  <c r="AR69" i="16" a="1"/>
  <c r="AR69" i="16" s="1"/>
  <c r="AU69" i="16" a="1"/>
  <c r="AU69" i="16" s="1"/>
  <c r="BB69" i="16" a="1"/>
  <c r="BB69" i="16" s="1"/>
  <c r="BA69" i="14" a="1"/>
  <c r="BA69" i="14" s="1"/>
  <c r="AX69" i="16" a="1"/>
  <c r="AX69" i="16" s="1"/>
  <c r="BG69" i="14" a="1"/>
  <c r="BG69" i="14" s="1"/>
  <c r="AZ69" i="14" a="1"/>
  <c r="AZ69" i="14" s="1"/>
  <c r="AS69" i="14" a="1"/>
  <c r="AS69" i="14" s="1"/>
  <c r="BF69" i="14" a="1"/>
  <c r="BF69" i="14" s="1"/>
  <c r="AY69" i="14" a="1"/>
  <c r="AY69" i="14" s="1"/>
  <c r="AR69" i="14" a="1"/>
  <c r="AR69" i="14" s="1"/>
  <c r="BJ69" i="16" a="1"/>
  <c r="BJ69" i="16" s="1"/>
  <c r="AS69" i="16" a="1"/>
  <c r="AS69" i="16" s="1"/>
  <c r="BF69" i="16" a="1"/>
  <c r="BF69" i="16" s="1"/>
  <c r="BE69" i="14" a="1"/>
  <c r="BE69" i="14" s="1"/>
  <c r="AU69" i="14" a="1"/>
  <c r="AU69" i="14" s="1"/>
  <c r="AS69" i="13" a="1"/>
  <c r="AS69" i="13" s="1"/>
  <c r="BD69" i="16" a="1"/>
  <c r="BD69" i="16" s="1"/>
  <c r="AT69" i="14" a="1"/>
  <c r="AT69" i="14" s="1"/>
  <c r="AW69" i="16" a="1"/>
  <c r="AW69" i="16" s="1"/>
  <c r="BD69" i="14" a="1"/>
  <c r="BD69" i="14" s="1"/>
  <c r="AP69" i="16" a="1"/>
  <c r="AP69" i="16" s="1"/>
  <c r="BK69" i="14" a="1"/>
  <c r="BK69" i="14" s="1"/>
  <c r="BC69" i="14" a="1"/>
  <c r="BC69" i="14" s="1"/>
  <c r="AQ69" i="14" a="1"/>
  <c r="AQ69" i="14" s="1"/>
  <c r="BJ69" i="14" a="1"/>
  <c r="BJ69" i="14" s="1"/>
  <c r="BB69" i="14" a="1"/>
  <c r="BB69" i="14" s="1"/>
  <c r="AP69" i="14" a="1"/>
  <c r="AP69" i="14" s="1"/>
  <c r="BH69" i="16" a="1"/>
  <c r="BH69" i="16" s="1"/>
  <c r="BH69" i="14" a="1"/>
  <c r="BH69" i="14" s="1"/>
  <c r="AV69" i="14" a="1"/>
  <c r="AV69" i="14" s="1"/>
  <c r="BI69" i="14" a="1"/>
  <c r="BI69" i="14" s="1"/>
  <c r="AW69" i="14" a="1"/>
  <c r="AW69" i="14" s="1"/>
  <c r="AX69" i="14" a="1"/>
  <c r="AX69" i="14" s="1"/>
  <c r="BL77" i="12" a="1"/>
  <c r="BL77" i="12" s="1"/>
  <c r="BR77" i="12" a="1"/>
  <c r="BR77" i="12" s="1"/>
  <c r="BM77" i="12" a="1"/>
  <c r="BM77" i="12" s="1"/>
  <c r="BS77" i="12" a="1"/>
  <c r="BS77" i="12" s="1"/>
  <c r="BO77" i="12" a="1"/>
  <c r="BO77" i="12" s="1"/>
  <c r="AZ77" i="12"/>
  <c r="BH77" i="12"/>
  <c r="BP77" i="12" a="1"/>
  <c r="BP77" i="12" s="1"/>
  <c r="BA77" i="12"/>
  <c r="BB77" i="12"/>
  <c r="BQ77" i="12" a="1"/>
  <c r="BQ77" i="12" s="1"/>
  <c r="BC77" i="12"/>
  <c r="BG77" i="15" a="1"/>
  <c r="BG77" i="15" s="1"/>
  <c r="BA77" i="15" a="1"/>
  <c r="BA77" i="15" s="1"/>
  <c r="AU77" i="15" a="1"/>
  <c r="AU77" i="15" s="1"/>
  <c r="BD77" i="12"/>
  <c r="BJ77" i="12" a="1"/>
  <c r="BJ77" i="12" s="1"/>
  <c r="H77" i="1" s="1"/>
  <c r="BE77" i="12"/>
  <c r="BE77" i="15" a="1"/>
  <c r="BE77" i="15" s="1"/>
  <c r="AW77" i="15" a="1"/>
  <c r="AW77" i="15" s="1"/>
  <c r="AQ77" i="15" a="1"/>
  <c r="AQ77" i="15" s="1"/>
  <c r="BK77" i="15" a="1"/>
  <c r="BK77" i="15" s="1"/>
  <c r="AP77" i="15" a="1"/>
  <c r="AP77" i="15" s="1"/>
  <c r="BD77" i="15" a="1"/>
  <c r="BD77" i="15" s="1"/>
  <c r="AV77" i="15" a="1"/>
  <c r="AV77" i="15" s="1"/>
  <c r="BJ77" i="15" a="1"/>
  <c r="BJ77" i="15" s="1"/>
  <c r="BC77" i="15" a="1"/>
  <c r="BC77" i="15" s="1"/>
  <c r="AX77" i="15" a="1"/>
  <c r="AX77" i="15" s="1"/>
  <c r="AY77" i="12"/>
  <c r="BI77" i="15" a="1"/>
  <c r="BI77" i="15" s="1"/>
  <c r="AT77" i="15" a="1"/>
  <c r="AT77" i="15" s="1"/>
  <c r="BK77" i="12" a="1"/>
  <c r="BK77" i="12" s="1"/>
  <c r="BF77" i="12"/>
  <c r="BH77" i="15" a="1"/>
  <c r="BH77" i="15" s="1"/>
  <c r="AS77" i="15" a="1"/>
  <c r="AS77" i="15" s="1"/>
  <c r="AY77" i="15" a="1"/>
  <c r="AY77" i="15" s="1"/>
  <c r="BG77" i="12"/>
  <c r="BF77" i="15" a="1"/>
  <c r="BF77" i="15" s="1"/>
  <c r="BN77" i="12" a="1"/>
  <c r="BN77" i="12" s="1"/>
  <c r="AZ77" i="15" a="1"/>
  <c r="AZ77" i="15" s="1"/>
  <c r="BE77" i="13" a="1"/>
  <c r="BE77" i="13" s="1"/>
  <c r="AY77" i="13" a="1"/>
  <c r="AY77" i="13" s="1"/>
  <c r="AS77" i="13" a="1"/>
  <c r="AS77" i="13" s="1"/>
  <c r="BD77" i="13" a="1"/>
  <c r="BD77" i="13" s="1"/>
  <c r="AR77" i="15" a="1"/>
  <c r="AR77" i="15" s="1"/>
  <c r="BJ77" i="13" a="1"/>
  <c r="BJ77" i="13" s="1"/>
  <c r="BC77" i="13" a="1"/>
  <c r="BC77" i="13" s="1"/>
  <c r="AW77" i="13" a="1"/>
  <c r="AW77" i="13" s="1"/>
  <c r="BF77" i="13" a="1"/>
  <c r="BF77" i="13" s="1"/>
  <c r="AV77" i="13" a="1"/>
  <c r="AV77" i="13" s="1"/>
  <c r="AU77" i="13" a="1"/>
  <c r="AU77" i="13" s="1"/>
  <c r="BB77" i="13" a="1"/>
  <c r="BB77" i="13" s="1"/>
  <c r="AT77" i="13" a="1"/>
  <c r="AT77" i="13" s="1"/>
  <c r="BG77" i="13" a="1"/>
  <c r="BG77" i="13" s="1"/>
  <c r="BH77" i="13" a="1"/>
  <c r="BH77" i="13" s="1"/>
  <c r="BA77" i="13" a="1"/>
  <c r="BA77" i="13" s="1"/>
  <c r="BI77" i="13" a="1"/>
  <c r="BI77" i="13" s="1"/>
  <c r="AP77" i="13" a="1"/>
  <c r="AP77" i="13" s="1"/>
  <c r="AQ77" i="13" a="1"/>
  <c r="AQ77" i="13" s="1"/>
  <c r="AU77" i="16" a="1"/>
  <c r="AU77" i="16" s="1"/>
  <c r="BF77" i="16" a="1"/>
  <c r="BF77" i="16" s="1"/>
  <c r="AY77" i="16" a="1"/>
  <c r="AY77" i="16" s="1"/>
  <c r="AS77" i="16" a="1"/>
  <c r="AS77" i="16" s="1"/>
  <c r="BK77" i="13" a="1"/>
  <c r="BK77" i="13" s="1"/>
  <c r="BB77" i="15" a="1"/>
  <c r="BB77" i="15" s="1"/>
  <c r="AZ77" i="13" a="1"/>
  <c r="AZ77" i="13" s="1"/>
  <c r="AX77" i="13" a="1"/>
  <c r="AX77" i="13" s="1"/>
  <c r="AR77" i="13" a="1"/>
  <c r="AR77" i="13" s="1"/>
  <c r="BH77" i="16" a="1"/>
  <c r="BH77" i="16" s="1"/>
  <c r="BA77" i="16" a="1"/>
  <c r="BA77" i="16" s="1"/>
  <c r="AV77" i="16" a="1"/>
  <c r="AV77" i="16" s="1"/>
  <c r="AP77" i="16" a="1"/>
  <c r="AP77" i="16" s="1"/>
  <c r="BJ77" i="16" a="1"/>
  <c r="BJ77" i="16" s="1"/>
  <c r="AQ77" i="16" a="1"/>
  <c r="AQ77" i="16" s="1"/>
  <c r="BG77" i="16" a="1"/>
  <c r="BG77" i="16" s="1"/>
  <c r="AW77" i="16" a="1"/>
  <c r="AW77" i="16" s="1"/>
  <c r="BE77" i="16" a="1"/>
  <c r="BE77" i="16" s="1"/>
  <c r="AZ77" i="16" a="1"/>
  <c r="AZ77" i="16" s="1"/>
  <c r="BI77" i="16" a="1"/>
  <c r="BI77" i="16" s="1"/>
  <c r="BI77" i="14" a="1"/>
  <c r="BI77" i="14" s="1"/>
  <c r="BC77" i="14" a="1"/>
  <c r="BC77" i="14" s="1"/>
  <c r="AV77" i="14" a="1"/>
  <c r="AV77" i="14" s="1"/>
  <c r="AQ77" i="14" a="1"/>
  <c r="AQ77" i="14" s="1"/>
  <c r="BD77" i="16" a="1"/>
  <c r="BD77" i="16" s="1"/>
  <c r="BH77" i="14" a="1"/>
  <c r="BH77" i="14" s="1"/>
  <c r="BB77" i="14" a="1"/>
  <c r="BB77" i="14" s="1"/>
  <c r="AP77" i="14" a="1"/>
  <c r="AP77" i="14" s="1"/>
  <c r="BC77" i="16" a="1"/>
  <c r="BC77" i="16" s="1"/>
  <c r="BG77" i="14" a="1"/>
  <c r="BG77" i="14" s="1"/>
  <c r="BA77" i="14" a="1"/>
  <c r="BA77" i="14" s="1"/>
  <c r="AU77" i="14" a="1"/>
  <c r="AU77" i="14" s="1"/>
  <c r="AX77" i="16" a="1"/>
  <c r="AX77" i="16" s="1"/>
  <c r="BK77" i="14" a="1"/>
  <c r="BK77" i="14" s="1"/>
  <c r="AZ77" i="14" a="1"/>
  <c r="AZ77" i="14" s="1"/>
  <c r="BK77" i="16" a="1"/>
  <c r="BK77" i="16" s="1"/>
  <c r="BJ77" i="14" a="1"/>
  <c r="BJ77" i="14" s="1"/>
  <c r="AY77" i="14" a="1"/>
  <c r="AY77" i="14" s="1"/>
  <c r="BB77" i="16" a="1"/>
  <c r="BB77" i="16" s="1"/>
  <c r="AX77" i="14" a="1"/>
  <c r="AX77" i="14" s="1"/>
  <c r="AT77" i="16" a="1"/>
  <c r="AT77" i="16" s="1"/>
  <c r="BF77" i="14" a="1"/>
  <c r="BF77" i="14" s="1"/>
  <c r="AW77" i="14" a="1"/>
  <c r="AW77" i="14" s="1"/>
  <c r="BE77" i="14" a="1"/>
  <c r="BE77" i="14" s="1"/>
  <c r="AT77" i="14" a="1"/>
  <c r="AT77" i="14" s="1"/>
  <c r="AS77" i="14" a="1"/>
  <c r="AS77" i="14" s="1"/>
  <c r="AR77" i="16" a="1"/>
  <c r="AR77" i="16" s="1"/>
  <c r="AR77" i="14" a="1"/>
  <c r="AR77" i="14" s="1"/>
  <c r="BD77" i="14" a="1"/>
  <c r="BD77" i="14" s="1"/>
  <c r="BL89" i="12" a="1"/>
  <c r="BL89" i="12" s="1"/>
  <c r="BR89" i="12" a="1"/>
  <c r="BR89" i="12" s="1"/>
  <c r="BM89" i="12" a="1"/>
  <c r="BM89" i="12" s="1"/>
  <c r="BS89" i="12" a="1"/>
  <c r="BS89" i="12" s="1"/>
  <c r="BK89" i="12" a="1"/>
  <c r="BK89" i="12" s="1"/>
  <c r="AZ89" i="12"/>
  <c r="BH89" i="12"/>
  <c r="BN89" i="12" a="1"/>
  <c r="BN89" i="12" s="1"/>
  <c r="BA89" i="12"/>
  <c r="BO89" i="12" a="1"/>
  <c r="BO89" i="12" s="1"/>
  <c r="BB89" i="12"/>
  <c r="BP89" i="12" a="1"/>
  <c r="BP89" i="12" s="1"/>
  <c r="BJ89" i="12" a="1"/>
  <c r="BJ89" i="12" s="1"/>
  <c r="H89" i="1" s="1"/>
  <c r="BK89" i="15" a="1"/>
  <c r="BK89" i="15" s="1"/>
  <c r="BD89" i="15" a="1"/>
  <c r="BD89" i="15" s="1"/>
  <c r="AW89" i="15" a="1"/>
  <c r="AW89" i="15" s="1"/>
  <c r="AQ89" i="15" a="1"/>
  <c r="AQ89" i="15" s="1"/>
  <c r="BJ89" i="15" a="1"/>
  <c r="BJ89" i="15" s="1"/>
  <c r="BC89" i="15" a="1"/>
  <c r="BC89" i="15" s="1"/>
  <c r="AV89" i="15" a="1"/>
  <c r="AV89" i="15" s="1"/>
  <c r="AP89" i="15" a="1"/>
  <c r="AP89" i="15" s="1"/>
  <c r="BQ89" i="12" a="1"/>
  <c r="BQ89" i="12" s="1"/>
  <c r="AY89" i="12"/>
  <c r="BI89" i="15" a="1"/>
  <c r="BI89" i="15" s="1"/>
  <c r="AU89" i="15" a="1"/>
  <c r="AU89" i="15" s="1"/>
  <c r="BF89" i="12"/>
  <c r="BF89" i="15" a="1"/>
  <c r="BF89" i="15" s="1"/>
  <c r="AY89" i="15" a="1"/>
  <c r="AY89" i="15" s="1"/>
  <c r="BE89" i="15" a="1"/>
  <c r="BE89" i="15" s="1"/>
  <c r="AR89" i="15" a="1"/>
  <c r="AR89" i="15" s="1"/>
  <c r="BC89" i="12"/>
  <c r="BB89" i="15" a="1"/>
  <c r="BB89" i="15" s="1"/>
  <c r="BD89" i="12"/>
  <c r="BA89" i="15" a="1"/>
  <c r="BA89" i="15" s="1"/>
  <c r="BE89" i="12"/>
  <c r="AZ89" i="15" a="1"/>
  <c r="AZ89" i="15" s="1"/>
  <c r="AX89" i="15" a="1"/>
  <c r="AX89" i="15" s="1"/>
  <c r="BG89" i="15" a="1"/>
  <c r="BG89" i="15" s="1"/>
  <c r="BH89" i="15" a="1"/>
  <c r="BH89" i="15" s="1"/>
  <c r="BH89" i="13" a="1"/>
  <c r="BH89" i="13" s="1"/>
  <c r="AV89" i="13" a="1"/>
  <c r="AV89" i="13" s="1"/>
  <c r="AP89" i="13" a="1"/>
  <c r="AP89" i="13" s="1"/>
  <c r="AT89" i="15" a="1"/>
  <c r="AT89" i="15" s="1"/>
  <c r="BG89" i="13" a="1"/>
  <c r="BG89" i="13" s="1"/>
  <c r="BB89" i="13" a="1"/>
  <c r="BB89" i="13" s="1"/>
  <c r="AU89" i="13" a="1"/>
  <c r="AU89" i="13" s="1"/>
  <c r="AS89" i="15" a="1"/>
  <c r="AS89" i="15" s="1"/>
  <c r="AZ89" i="13" a="1"/>
  <c r="AZ89" i="13" s="1"/>
  <c r="AR89" i="13" a="1"/>
  <c r="AR89" i="13" s="1"/>
  <c r="AY89" i="13" a="1"/>
  <c r="AY89" i="13" s="1"/>
  <c r="AQ89" i="13" a="1"/>
  <c r="AQ89" i="13" s="1"/>
  <c r="BG89" i="12"/>
  <c r="BE89" i="13" a="1"/>
  <c r="BE89" i="13" s="1"/>
  <c r="AX89" i="13" a="1"/>
  <c r="AX89" i="13" s="1"/>
  <c r="BD89" i="13" a="1"/>
  <c r="BD89" i="13" s="1"/>
  <c r="AW89" i="13" a="1"/>
  <c r="AW89" i="13" s="1"/>
  <c r="BC89" i="13" a="1"/>
  <c r="BC89" i="13" s="1"/>
  <c r="BA89" i="13" a="1"/>
  <c r="BA89" i="13" s="1"/>
  <c r="BF89" i="13" a="1"/>
  <c r="BF89" i="13" s="1"/>
  <c r="BI89" i="13" a="1"/>
  <c r="BI89" i="13" s="1"/>
  <c r="AT89" i="13" a="1"/>
  <c r="AT89" i="13" s="1"/>
  <c r="BJ89" i="13" a="1"/>
  <c r="BJ89" i="13" s="1"/>
  <c r="BF89" i="16" a="1"/>
  <c r="BF89" i="16" s="1"/>
  <c r="AS89" i="16" a="1"/>
  <c r="AS89" i="16" s="1"/>
  <c r="BK89" i="16" a="1"/>
  <c r="BK89" i="16" s="1"/>
  <c r="BD89" i="16" a="1"/>
  <c r="BD89" i="16" s="1"/>
  <c r="AX89" i="16" a="1"/>
  <c r="AX89" i="16" s="1"/>
  <c r="AR89" i="16" a="1"/>
  <c r="AR89" i="16" s="1"/>
  <c r="BK89" i="13" a="1"/>
  <c r="BK89" i="13" s="1"/>
  <c r="AS89" i="13" a="1"/>
  <c r="AS89" i="13" s="1"/>
  <c r="BG89" i="16" a="1"/>
  <c r="BG89" i="16" s="1"/>
  <c r="BA89" i="16" a="1"/>
  <c r="BA89" i="16" s="1"/>
  <c r="AZ89" i="16" a="1"/>
  <c r="AZ89" i="16" s="1"/>
  <c r="AT89" i="16" a="1"/>
  <c r="AT89" i="16" s="1"/>
  <c r="BI89" i="16" a="1"/>
  <c r="BI89" i="16" s="1"/>
  <c r="AV89" i="16" a="1"/>
  <c r="AV89" i="16" s="1"/>
  <c r="BG89" i="14" a="1"/>
  <c r="BG89" i="14" s="1"/>
  <c r="AZ89" i="14" a="1"/>
  <c r="AZ89" i="14" s="1"/>
  <c r="AT89" i="14" a="1"/>
  <c r="AT89" i="14" s="1"/>
  <c r="BE89" i="16" a="1"/>
  <c r="BE89" i="16" s="1"/>
  <c r="BC89" i="16" a="1"/>
  <c r="BC89" i="16" s="1"/>
  <c r="AQ89" i="16" a="1"/>
  <c r="AQ89" i="16" s="1"/>
  <c r="BJ89" i="16" a="1"/>
  <c r="BJ89" i="16" s="1"/>
  <c r="AW89" i="16" a="1"/>
  <c r="AW89" i="16" s="1"/>
  <c r="BH89" i="16" a="1"/>
  <c r="BH89" i="16" s="1"/>
  <c r="BE89" i="14" a="1"/>
  <c r="BE89" i="14" s="1"/>
  <c r="AP89" i="14" a="1"/>
  <c r="AP89" i="14" s="1"/>
  <c r="BK89" i="14" a="1"/>
  <c r="BK89" i="14" s="1"/>
  <c r="BD89" i="14" a="1"/>
  <c r="BD89" i="14" s="1"/>
  <c r="AV89" i="14" a="1"/>
  <c r="AV89" i="14" s="1"/>
  <c r="BB89" i="16" a="1"/>
  <c r="BB89" i="16" s="1"/>
  <c r="BC89" i="14" a="1"/>
  <c r="BC89" i="14" s="1"/>
  <c r="AU89" i="14" a="1"/>
  <c r="AU89" i="14" s="1"/>
  <c r="AY89" i="16" a="1"/>
  <c r="AY89" i="16" s="1"/>
  <c r="AU89" i="16" a="1"/>
  <c r="AU89" i="16" s="1"/>
  <c r="BI89" i="14" a="1"/>
  <c r="BI89" i="14" s="1"/>
  <c r="BA89" i="14" a="1"/>
  <c r="BA89" i="14" s="1"/>
  <c r="AS89" i="14" a="1"/>
  <c r="AS89" i="14" s="1"/>
  <c r="AR89" i="14" a="1"/>
  <c r="AR89" i="14" s="1"/>
  <c r="BF89" i="14" a="1"/>
  <c r="BF89" i="14" s="1"/>
  <c r="AQ89" i="14" a="1"/>
  <c r="AQ89" i="14" s="1"/>
  <c r="BB89" i="14" a="1"/>
  <c r="BB89" i="14" s="1"/>
  <c r="AY89" i="14" a="1"/>
  <c r="AY89" i="14" s="1"/>
  <c r="AX89" i="14" a="1"/>
  <c r="AX89" i="14" s="1"/>
  <c r="AW89" i="14" a="1"/>
  <c r="AW89" i="14" s="1"/>
  <c r="BJ89" i="14" a="1"/>
  <c r="BJ89" i="14" s="1"/>
  <c r="AP89" i="16" a="1"/>
  <c r="AP89" i="16" s="1"/>
  <c r="BH89" i="14" a="1"/>
  <c r="BH89" i="14" s="1"/>
  <c r="BI13" i="15" a="1"/>
  <c r="BI13" i="15" s="1"/>
  <c r="BC13" i="15" a="1"/>
  <c r="BC13" i="15" s="1"/>
  <c r="AU13" i="15" a="1"/>
  <c r="AU13" i="15" s="1"/>
  <c r="BB13" i="15" a="1"/>
  <c r="BB13" i="15" s="1"/>
  <c r="AT13" i="15" a="1"/>
  <c r="AT13" i="15" s="1"/>
  <c r="BH13" i="15" a="1"/>
  <c r="BH13" i="15" s="1"/>
  <c r="BA13" i="15" a="1"/>
  <c r="BA13" i="15" s="1"/>
  <c r="AS13" i="15" a="1"/>
  <c r="AS13" i="15" s="1"/>
  <c r="BJ13" i="15" a="1"/>
  <c r="BJ13" i="15" s="1"/>
  <c r="AV13" i="15" a="1"/>
  <c r="AV13" i="15" s="1"/>
  <c r="BF13" i="15" a="1"/>
  <c r="BF13" i="15" s="1"/>
  <c r="AR13" i="15" a="1"/>
  <c r="AR13" i="15" s="1"/>
  <c r="BE13" i="15" a="1"/>
  <c r="BE13" i="15" s="1"/>
  <c r="AQ13" i="15" a="1"/>
  <c r="AQ13" i="15" s="1"/>
  <c r="BD13" i="15" a="1"/>
  <c r="BD13" i="15" s="1"/>
  <c r="AP13" i="15" a="1"/>
  <c r="AP13" i="15" s="1"/>
  <c r="AZ13" i="15" a="1"/>
  <c r="AZ13" i="15" s="1"/>
  <c r="AY13" i="15" a="1"/>
  <c r="AY13" i="15" s="1"/>
  <c r="BG13" i="15" a="1"/>
  <c r="BG13" i="15" s="1"/>
  <c r="AX13" i="15" a="1"/>
  <c r="AX13" i="15" s="1"/>
  <c r="AW13" i="15" a="1"/>
  <c r="AW13" i="15" s="1"/>
  <c r="BK13" i="15" a="1"/>
  <c r="BK13" i="15" s="1"/>
  <c r="BD13" i="13" a="1"/>
  <c r="BD13" i="13" s="1"/>
  <c r="BF13" i="16" a="1"/>
  <c r="BF13" i="16" s="1"/>
  <c r="AY13" i="16" a="1"/>
  <c r="AY13" i="16" s="1"/>
  <c r="AR13" i="16" a="1"/>
  <c r="AR13" i="16" s="1"/>
  <c r="BI13" i="16" a="1"/>
  <c r="BI13" i="16" s="1"/>
  <c r="BA13" i="16" a="1"/>
  <c r="BA13" i="16" s="1"/>
  <c r="AS13" i="16" a="1"/>
  <c r="AS13" i="16" s="1"/>
  <c r="BH13" i="16" a="1"/>
  <c r="BH13" i="16" s="1"/>
  <c r="AZ13" i="16" a="1"/>
  <c r="AZ13" i="16" s="1"/>
  <c r="AQ13" i="16" a="1"/>
  <c r="AQ13" i="16" s="1"/>
  <c r="BG13" i="16" a="1"/>
  <c r="BG13" i="16" s="1"/>
  <c r="AX13" i="16" a="1"/>
  <c r="AX13" i="16" s="1"/>
  <c r="AP13" i="16" a="1"/>
  <c r="AP13" i="16" s="1"/>
  <c r="BK13" i="16" a="1"/>
  <c r="BK13" i="16" s="1"/>
  <c r="BD13" i="16" a="1"/>
  <c r="BD13" i="16" s="1"/>
  <c r="AV13" i="16" a="1"/>
  <c r="AV13" i="16" s="1"/>
  <c r="BJ13" i="16" a="1"/>
  <c r="BJ13" i="16" s="1"/>
  <c r="AU13" i="16" a="1"/>
  <c r="AU13" i="16" s="1"/>
  <c r="BI13" i="14" a="1"/>
  <c r="BI13" i="14" s="1"/>
  <c r="BA13" i="14" a="1"/>
  <c r="BA13" i="14" s="1"/>
  <c r="AS13" i="14" a="1"/>
  <c r="AS13" i="14" s="1"/>
  <c r="AT13" i="16" a="1"/>
  <c r="AT13" i="16" s="1"/>
  <c r="BH13" i="14" a="1"/>
  <c r="BH13" i="14" s="1"/>
  <c r="AZ13" i="14" a="1"/>
  <c r="AZ13" i="14" s="1"/>
  <c r="AR13" i="14" a="1"/>
  <c r="AR13" i="14" s="1"/>
  <c r="BE13" i="16" a="1"/>
  <c r="BE13" i="16" s="1"/>
  <c r="BG13" i="14" a="1"/>
  <c r="BG13" i="14" s="1"/>
  <c r="AY13" i="14" a="1"/>
  <c r="AY13" i="14" s="1"/>
  <c r="AQ13" i="14" a="1"/>
  <c r="AQ13" i="14" s="1"/>
  <c r="BC13" i="16" a="1"/>
  <c r="BC13" i="16" s="1"/>
  <c r="BB13" i="16" a="1"/>
  <c r="BB13" i="16" s="1"/>
  <c r="BE13" i="14" a="1"/>
  <c r="BE13" i="14" s="1"/>
  <c r="AW13" i="14" a="1"/>
  <c r="AW13" i="14" s="1"/>
  <c r="AW13" i="16" a="1"/>
  <c r="AW13" i="16" s="1"/>
  <c r="BJ13" i="14" a="1"/>
  <c r="BJ13" i="14" s="1"/>
  <c r="BB13" i="14" a="1"/>
  <c r="BB13" i="14" s="1"/>
  <c r="AT13" i="14" a="1"/>
  <c r="AT13" i="14" s="1"/>
  <c r="BK13" i="14" a="1"/>
  <c r="BK13" i="14" s="1"/>
  <c r="BF13" i="14" a="1"/>
  <c r="BF13" i="14" s="1"/>
  <c r="AX13" i="14" a="1"/>
  <c r="AX13" i="14" s="1"/>
  <c r="BD13" i="14" a="1"/>
  <c r="BD13" i="14" s="1"/>
  <c r="BC13" i="14" a="1"/>
  <c r="BC13" i="14" s="1"/>
  <c r="AP13" i="14" a="1"/>
  <c r="AP13" i="14" s="1"/>
  <c r="AV13" i="14" a="1"/>
  <c r="AV13" i="14" s="1"/>
  <c r="AU13" i="14" a="1"/>
  <c r="AU13" i="14" s="1"/>
  <c r="BJ18" i="12" a="1"/>
  <c r="BJ18" i="12" s="1"/>
  <c r="BR18" i="12" a="1"/>
  <c r="BR18" i="12" s="1"/>
  <c r="BK18" i="12" a="1"/>
  <c r="BK18" i="12" s="1"/>
  <c r="BS18" i="12" a="1"/>
  <c r="BS18" i="12" s="1"/>
  <c r="BL18" i="12" a="1"/>
  <c r="BL18" i="12" s="1"/>
  <c r="BQ18" i="12" a="1"/>
  <c r="BQ18" i="12" s="1"/>
  <c r="BP18" i="12" a="1"/>
  <c r="BP18" i="12" s="1"/>
  <c r="BC18" i="12"/>
  <c r="BD18" i="12"/>
  <c r="BE18" i="12"/>
  <c r="BN18" i="12" a="1"/>
  <c r="BN18" i="12" s="1"/>
  <c r="BG18" i="12"/>
  <c r="BO18" i="12" a="1"/>
  <c r="BO18" i="12" s="1"/>
  <c r="BH18" i="12"/>
  <c r="AY18" i="12"/>
  <c r="BF18" i="12"/>
  <c r="BA18" i="12"/>
  <c r="BM18" i="12" a="1"/>
  <c r="BM18" i="12" s="1"/>
  <c r="AZ18" i="12"/>
  <c r="BB18" i="12"/>
  <c r="BH18" i="15" a="1"/>
  <c r="BH18" i="15" s="1"/>
  <c r="BA18" i="15" a="1"/>
  <c r="BA18" i="15" s="1"/>
  <c r="AT18" i="15" a="1"/>
  <c r="AT18" i="15" s="1"/>
  <c r="BG18" i="15" a="1"/>
  <c r="BG18" i="15" s="1"/>
  <c r="AZ18" i="15" a="1"/>
  <c r="AZ18" i="15" s="1"/>
  <c r="AS18" i="15" a="1"/>
  <c r="AS18" i="15" s="1"/>
  <c r="BF18" i="15" a="1"/>
  <c r="BF18" i="15" s="1"/>
  <c r="AY18" i="15" a="1"/>
  <c r="AY18" i="15" s="1"/>
  <c r="AR18" i="15" a="1"/>
  <c r="AR18" i="15" s="1"/>
  <c r="BI18" i="15" a="1"/>
  <c r="BI18" i="15" s="1"/>
  <c r="BB18" i="15" a="1"/>
  <c r="BB18" i="15" s="1"/>
  <c r="BK18" i="15" a="1"/>
  <c r="BK18" i="15" s="1"/>
  <c r="AW18" i="15" a="1"/>
  <c r="AW18" i="15" s="1"/>
  <c r="AV18" i="15" a="1"/>
  <c r="AV18" i="15" s="1"/>
  <c r="BJ18" i="15" a="1"/>
  <c r="BJ18" i="15" s="1"/>
  <c r="AU18" i="15" a="1"/>
  <c r="AU18" i="15" s="1"/>
  <c r="AQ18" i="15" a="1"/>
  <c r="AQ18" i="15" s="1"/>
  <c r="BE18" i="15" a="1"/>
  <c r="BE18" i="15" s="1"/>
  <c r="AP18" i="15" a="1"/>
  <c r="AP18" i="15" s="1"/>
  <c r="BD18" i="15" a="1"/>
  <c r="BD18" i="15" s="1"/>
  <c r="BE18" i="13" a="1"/>
  <c r="BE18" i="13" s="1"/>
  <c r="AY18" i="13" a="1"/>
  <c r="AY18" i="13" s="1"/>
  <c r="AS18" i="13" a="1"/>
  <c r="AS18" i="13" s="1"/>
  <c r="BK18" i="13" a="1"/>
  <c r="BK18" i="13" s="1"/>
  <c r="BI18" i="13" a="1"/>
  <c r="BI18" i="13" s="1"/>
  <c r="AU18" i="13" a="1"/>
  <c r="AU18" i="13" s="1"/>
  <c r="BH18" i="13" a="1"/>
  <c r="BH18" i="13" s="1"/>
  <c r="BB18" i="13" a="1"/>
  <c r="BB18" i="13" s="1"/>
  <c r="BG18" i="13" a="1"/>
  <c r="BG18" i="13" s="1"/>
  <c r="BA18" i="13" a="1"/>
  <c r="BA18" i="13" s="1"/>
  <c r="AT18" i="13" a="1"/>
  <c r="AT18" i="13" s="1"/>
  <c r="AX18" i="15" a="1"/>
  <c r="AX18" i="15" s="1"/>
  <c r="AW18" i="13" a="1"/>
  <c r="AW18" i="13" s="1"/>
  <c r="BJ18" i="13" a="1"/>
  <c r="BJ18" i="13" s="1"/>
  <c r="BC18" i="13" a="1"/>
  <c r="BC18" i="13" s="1"/>
  <c r="AV18" i="13" a="1"/>
  <c r="AV18" i="13" s="1"/>
  <c r="BF18" i="13" a="1"/>
  <c r="BF18" i="13" s="1"/>
  <c r="BF18" i="16" a="1"/>
  <c r="BF18" i="16" s="1"/>
  <c r="AZ18" i="16" a="1"/>
  <c r="AZ18" i="16" s="1"/>
  <c r="AT18" i="16" a="1"/>
  <c r="AT18" i="16" s="1"/>
  <c r="BD18" i="13" a="1"/>
  <c r="BD18" i="13" s="1"/>
  <c r="AZ18" i="13" a="1"/>
  <c r="AZ18" i="13" s="1"/>
  <c r="AX18" i="13" a="1"/>
  <c r="AX18" i="13" s="1"/>
  <c r="AP18" i="13" a="1"/>
  <c r="AP18" i="13" s="1"/>
  <c r="BK18" i="16" a="1"/>
  <c r="BK18" i="16" s="1"/>
  <c r="BD18" i="16" a="1"/>
  <c r="BD18" i="16" s="1"/>
  <c r="AV18" i="16" a="1"/>
  <c r="AV18" i="16" s="1"/>
  <c r="BJ18" i="16" a="1"/>
  <c r="BJ18" i="16" s="1"/>
  <c r="BC18" i="16" a="1"/>
  <c r="BC18" i="16" s="1"/>
  <c r="BC18" i="15" a="1"/>
  <c r="BC18" i="15" s="1"/>
  <c r="BI18" i="16" a="1"/>
  <c r="BI18" i="16" s="1"/>
  <c r="BB18" i="16" a="1"/>
  <c r="BB18" i="16" s="1"/>
  <c r="AU18" i="16" a="1"/>
  <c r="AU18" i="16" s="1"/>
  <c r="BG18" i="16" a="1"/>
  <c r="BG18" i="16" s="1"/>
  <c r="AY18" i="16" a="1"/>
  <c r="AY18" i="16" s="1"/>
  <c r="AR18" i="16" a="1"/>
  <c r="AR18" i="16" s="1"/>
  <c r="BE18" i="16" a="1"/>
  <c r="BE18" i="16" s="1"/>
  <c r="AP18" i="16" a="1"/>
  <c r="AP18" i="16" s="1"/>
  <c r="BG18" i="14" a="1"/>
  <c r="BG18" i="14" s="1"/>
  <c r="BB18" i="14" a="1"/>
  <c r="BB18" i="14" s="1"/>
  <c r="AV18" i="14" a="1"/>
  <c r="AV18" i="14" s="1"/>
  <c r="AP18" i="14" a="1"/>
  <c r="AP18" i="14" s="1"/>
  <c r="BF18" i="14" a="1"/>
  <c r="BF18" i="14" s="1"/>
  <c r="BA18" i="16" a="1"/>
  <c r="BA18" i="16" s="1"/>
  <c r="BA18" i="14" a="1"/>
  <c r="BA18" i="14" s="1"/>
  <c r="AU18" i="14" a="1"/>
  <c r="AU18" i="14" s="1"/>
  <c r="AX18" i="16" a="1"/>
  <c r="AX18" i="16" s="1"/>
  <c r="AR18" i="13" a="1"/>
  <c r="AR18" i="13" s="1"/>
  <c r="AW18" i="16" a="1"/>
  <c r="AW18" i="16" s="1"/>
  <c r="BK18" i="14" a="1"/>
  <c r="BK18" i="14" s="1"/>
  <c r="AY18" i="14" a="1"/>
  <c r="AY18" i="14" s="1"/>
  <c r="AS18" i="14" a="1"/>
  <c r="AS18" i="14" s="1"/>
  <c r="AQ18" i="13" a="1"/>
  <c r="AQ18" i="13" s="1"/>
  <c r="BH18" i="16" a="1"/>
  <c r="BH18" i="16" s="1"/>
  <c r="AS18" i="16" a="1"/>
  <c r="AS18" i="16" s="1"/>
  <c r="AQ18" i="16" a="1"/>
  <c r="AQ18" i="16" s="1"/>
  <c r="BH18" i="14" a="1"/>
  <c r="BH18" i="14" s="1"/>
  <c r="BC18" i="14" a="1"/>
  <c r="BC18" i="14" s="1"/>
  <c r="AQ18" i="14" a="1"/>
  <c r="AQ18" i="14" s="1"/>
  <c r="AW18" i="14" a="1"/>
  <c r="AW18" i="14" s="1"/>
  <c r="AR18" i="14" a="1"/>
  <c r="AR18" i="14" s="1"/>
  <c r="BJ18" i="14" a="1"/>
  <c r="BJ18" i="14" s="1"/>
  <c r="AT18" i="14" a="1"/>
  <c r="AT18" i="14" s="1"/>
  <c r="BE18" i="14" a="1"/>
  <c r="BE18" i="14" s="1"/>
  <c r="BI18" i="14" a="1"/>
  <c r="BI18" i="14" s="1"/>
  <c r="AZ18" i="14" a="1"/>
  <c r="AZ18" i="14" s="1"/>
  <c r="BD18" i="14" a="1"/>
  <c r="BD18" i="14" s="1"/>
  <c r="AX18" i="14" a="1"/>
  <c r="AX18" i="14" s="1"/>
  <c r="BO22" i="12" a="1"/>
  <c r="BO22" i="12" s="1"/>
  <c r="BP22" i="12" a="1"/>
  <c r="BP22" i="12" s="1"/>
  <c r="BJ22" i="12" a="1"/>
  <c r="BJ22" i="12" s="1"/>
  <c r="BQ22" i="12" a="1"/>
  <c r="BQ22" i="12" s="1"/>
  <c r="BN22" i="12" a="1"/>
  <c r="BN22" i="12" s="1"/>
  <c r="BC22" i="12"/>
  <c r="BK22" i="12" a="1"/>
  <c r="BK22" i="12" s="1"/>
  <c r="BD22" i="12"/>
  <c r="BE22" i="12"/>
  <c r="BF22" i="12"/>
  <c r="BG22" i="12"/>
  <c r="BH22" i="12"/>
  <c r="BL22" i="12" a="1"/>
  <c r="BL22" i="12" s="1"/>
  <c r="AY22" i="12"/>
  <c r="BM22" i="12" a="1"/>
  <c r="BM22" i="12" s="1"/>
  <c r="AZ22" i="12"/>
  <c r="BA22" i="12"/>
  <c r="BB22" i="12"/>
  <c r="BR22" i="12" a="1"/>
  <c r="BR22" i="12" s="1"/>
  <c r="BE22" i="15" a="1"/>
  <c r="BE22" i="15" s="1"/>
  <c r="AX22" i="15" a="1"/>
  <c r="AX22" i="15" s="1"/>
  <c r="AQ22" i="15" a="1"/>
  <c r="AQ22" i="15" s="1"/>
  <c r="BS22" i="12" a="1"/>
  <c r="BS22" i="12" s="1"/>
  <c r="BD22" i="15" a="1"/>
  <c r="BD22" i="15" s="1"/>
  <c r="AP22" i="15" a="1"/>
  <c r="AP22" i="15" s="1"/>
  <c r="BK22" i="15" a="1"/>
  <c r="BK22" i="15" s="1"/>
  <c r="BC22" i="15" a="1"/>
  <c r="BC22" i="15" s="1"/>
  <c r="AW22" i="15" a="1"/>
  <c r="AW22" i="15" s="1"/>
  <c r="BF22" i="15" a="1"/>
  <c r="BF22" i="15" s="1"/>
  <c r="AY22" i="15" a="1"/>
  <c r="AY22" i="15" s="1"/>
  <c r="AR22" i="15" a="1"/>
  <c r="AR22" i="15" s="1"/>
  <c r="BI22" i="15" a="1"/>
  <c r="BI22" i="15" s="1"/>
  <c r="AU22" i="15" a="1"/>
  <c r="AU22" i="15" s="1"/>
  <c r="BH22" i="15" a="1"/>
  <c r="BH22" i="15" s="1"/>
  <c r="AT22" i="15" a="1"/>
  <c r="AT22" i="15" s="1"/>
  <c r="BG22" i="15" a="1"/>
  <c r="BG22" i="15" s="1"/>
  <c r="AS22" i="15" a="1"/>
  <c r="AS22" i="15" s="1"/>
  <c r="BB22" i="15" a="1"/>
  <c r="BB22" i="15" s="1"/>
  <c r="BA22" i="15" a="1"/>
  <c r="BA22" i="15" s="1"/>
  <c r="AZ22" i="15" a="1"/>
  <c r="AZ22" i="15" s="1"/>
  <c r="AV22" i="15" a="1"/>
  <c r="AV22" i="15" s="1"/>
  <c r="BJ22" i="15" a="1"/>
  <c r="BJ22" i="15" s="1"/>
  <c r="BH22" i="13" a="1"/>
  <c r="BH22" i="13" s="1"/>
  <c r="AU22" i="13" a="1"/>
  <c r="AU22" i="13" s="1"/>
  <c r="BB22" i="13" a="1"/>
  <c r="BB22" i="13" s="1"/>
  <c r="AT22" i="13" a="1"/>
  <c r="AT22" i="13" s="1"/>
  <c r="BG22" i="13" a="1"/>
  <c r="BG22" i="13" s="1"/>
  <c r="BA22" i="13" a="1"/>
  <c r="BA22" i="13" s="1"/>
  <c r="BI22" i="13" a="1"/>
  <c r="BI22" i="13" s="1"/>
  <c r="BC22" i="13" a="1"/>
  <c r="BC22" i="13" s="1"/>
  <c r="AV22" i="13" a="1"/>
  <c r="AV22" i="13" s="1"/>
  <c r="AP22" i="13" a="1"/>
  <c r="AP22" i="13" s="1"/>
  <c r="BD22" i="13" a="1"/>
  <c r="BD22" i="13" s="1"/>
  <c r="AQ22" i="13" a="1"/>
  <c r="AQ22" i="13" s="1"/>
  <c r="AZ22" i="13" a="1"/>
  <c r="AZ22" i="13" s="1"/>
  <c r="AY22" i="13" a="1"/>
  <c r="AY22" i="13" s="1"/>
  <c r="AR22" i="13" a="1"/>
  <c r="AR22" i="13" s="1"/>
  <c r="BE22" i="13" a="1"/>
  <c r="BE22" i="13" s="1"/>
  <c r="BJ22" i="13" a="1"/>
  <c r="BJ22" i="13" s="1"/>
  <c r="BF22" i="16" a="1"/>
  <c r="BF22" i="16" s="1"/>
  <c r="AZ22" i="16" a="1"/>
  <c r="AZ22" i="16" s="1"/>
  <c r="AS22" i="16" a="1"/>
  <c r="AS22" i="16" s="1"/>
  <c r="BF22" i="13" a="1"/>
  <c r="BF22" i="13" s="1"/>
  <c r="AX22" i="13" a="1"/>
  <c r="AX22" i="13" s="1"/>
  <c r="AW22" i="13" a="1"/>
  <c r="AW22" i="13" s="1"/>
  <c r="BK22" i="13" a="1"/>
  <c r="BK22" i="13" s="1"/>
  <c r="BI22" i="16" a="1"/>
  <c r="BI22" i="16" s="1"/>
  <c r="BA22" i="16" a="1"/>
  <c r="BA22" i="16" s="1"/>
  <c r="AR22" i="16" a="1"/>
  <c r="AR22" i="16" s="1"/>
  <c r="BH22" i="16" a="1"/>
  <c r="BH22" i="16" s="1"/>
  <c r="AY22" i="16" a="1"/>
  <c r="AY22" i="16" s="1"/>
  <c r="AQ22" i="16" a="1"/>
  <c r="AQ22" i="16" s="1"/>
  <c r="BG22" i="16" a="1"/>
  <c r="BG22" i="16" s="1"/>
  <c r="AX22" i="16" a="1"/>
  <c r="AX22" i="16" s="1"/>
  <c r="AP22" i="16" a="1"/>
  <c r="AP22" i="16" s="1"/>
  <c r="AS22" i="13" a="1"/>
  <c r="AS22" i="13" s="1"/>
  <c r="BD22" i="16" a="1"/>
  <c r="BD22" i="16" s="1"/>
  <c r="AV22" i="16" a="1"/>
  <c r="AV22" i="16" s="1"/>
  <c r="BK22" i="16" a="1"/>
  <c r="BK22" i="16" s="1"/>
  <c r="AU22" i="16" a="1"/>
  <c r="AU22" i="16" s="1"/>
  <c r="BJ22" i="14" a="1"/>
  <c r="BJ22" i="14" s="1"/>
  <c r="BB22" i="14" a="1"/>
  <c r="BB22" i="14" s="1"/>
  <c r="AV22" i="14" a="1"/>
  <c r="AV22" i="14" s="1"/>
  <c r="BJ22" i="16" a="1"/>
  <c r="BJ22" i="16" s="1"/>
  <c r="AT22" i="16" a="1"/>
  <c r="AT22" i="16" s="1"/>
  <c r="BI22" i="14" a="1"/>
  <c r="BI22" i="14" s="1"/>
  <c r="AU22" i="14" a="1"/>
  <c r="AU22" i="14" s="1"/>
  <c r="BE22" i="16" a="1"/>
  <c r="BE22" i="16" s="1"/>
  <c r="BH22" i="14" a="1"/>
  <c r="BH22" i="14" s="1"/>
  <c r="BA22" i="14" a="1"/>
  <c r="BA22" i="14" s="1"/>
  <c r="AT22" i="14" a="1"/>
  <c r="AT22" i="14" s="1"/>
  <c r="BC22" i="16" a="1"/>
  <c r="BC22" i="16" s="1"/>
  <c r="BF22" i="14" a="1"/>
  <c r="BF22" i="14" s="1"/>
  <c r="AY22" i="14" a="1"/>
  <c r="AY22" i="14" s="1"/>
  <c r="AR22" i="14" a="1"/>
  <c r="AR22" i="14" s="1"/>
  <c r="BB22" i="16" a="1"/>
  <c r="BB22" i="16" s="1"/>
  <c r="AW22" i="16" a="1"/>
  <c r="AW22" i="16" s="1"/>
  <c r="BK22" i="14" a="1"/>
  <c r="BK22" i="14" s="1"/>
  <c r="BC22" i="14" a="1"/>
  <c r="BC22" i="14" s="1"/>
  <c r="AQ22" i="14" a="1"/>
  <c r="AQ22" i="14" s="1"/>
  <c r="BG22" i="14" a="1"/>
  <c r="BG22" i="14" s="1"/>
  <c r="AP22" i="14" a="1"/>
  <c r="AP22" i="14" s="1"/>
  <c r="AZ22" i="14" a="1"/>
  <c r="AZ22" i="14" s="1"/>
  <c r="BE22" i="14" a="1"/>
  <c r="BE22" i="14" s="1"/>
  <c r="BD22" i="14" a="1"/>
  <c r="BD22" i="14" s="1"/>
  <c r="AX22" i="14" a="1"/>
  <c r="AX22" i="14" s="1"/>
  <c r="AW22" i="14" a="1"/>
  <c r="AW22" i="14" s="1"/>
  <c r="AS22" i="14" a="1"/>
  <c r="AS22" i="14" s="1"/>
  <c r="BN26" i="12" a="1"/>
  <c r="BN26" i="12" s="1"/>
  <c r="BO26" i="12" a="1"/>
  <c r="BO26" i="12" s="1"/>
  <c r="BP26" i="12" a="1"/>
  <c r="BP26" i="12" s="1"/>
  <c r="BM26" i="12" a="1"/>
  <c r="BM26" i="12" s="1"/>
  <c r="BC26" i="12"/>
  <c r="BQ26" i="12" a="1"/>
  <c r="BQ26" i="12" s="1"/>
  <c r="BD26" i="12"/>
  <c r="BE26" i="12"/>
  <c r="BJ26" i="12" a="1"/>
  <c r="BJ26" i="12" s="1"/>
  <c r="BB26" i="12"/>
  <c r="BK26" i="12" a="1"/>
  <c r="BK26" i="12" s="1"/>
  <c r="BF26" i="12"/>
  <c r="BL26" i="12" a="1"/>
  <c r="BL26" i="12" s="1"/>
  <c r="BG26" i="12"/>
  <c r="BR26" i="12" a="1"/>
  <c r="BR26" i="12" s="1"/>
  <c r="BH26" i="12"/>
  <c r="BA26" i="12"/>
  <c r="BS26" i="12" a="1"/>
  <c r="BS26" i="12" s="1"/>
  <c r="AY26" i="12"/>
  <c r="AZ26" i="12"/>
  <c r="BC26" i="15" a="1"/>
  <c r="BC26" i="15" s="1"/>
  <c r="AW26" i="15" a="1"/>
  <c r="AW26" i="15" s="1"/>
  <c r="AR26" i="15" a="1"/>
  <c r="AR26" i="15" s="1"/>
  <c r="BH26" i="15" a="1"/>
  <c r="BH26" i="15" s="1"/>
  <c r="BB26" i="15" a="1"/>
  <c r="BB26" i="15" s="1"/>
  <c r="AQ26" i="15" a="1"/>
  <c r="AQ26" i="15" s="1"/>
  <c r="BG26" i="15" a="1"/>
  <c r="BG26" i="15" s="1"/>
  <c r="BA26" i="15" a="1"/>
  <c r="BA26" i="15" s="1"/>
  <c r="AV26" i="15" a="1"/>
  <c r="AV26" i="15" s="1"/>
  <c r="AP26" i="15" a="1"/>
  <c r="AP26" i="15" s="1"/>
  <c r="BI26" i="15" a="1"/>
  <c r="BI26" i="15" s="1"/>
  <c r="BD26" i="15" a="1"/>
  <c r="BD26" i="15" s="1"/>
  <c r="AX26" i="15" a="1"/>
  <c r="AX26" i="15" s="1"/>
  <c r="AZ26" i="15" a="1"/>
  <c r="AZ26" i="15" s="1"/>
  <c r="BK26" i="15" a="1"/>
  <c r="BK26" i="15" s="1"/>
  <c r="AY26" i="15" a="1"/>
  <c r="AY26" i="15" s="1"/>
  <c r="BJ26" i="15" a="1"/>
  <c r="BJ26" i="15" s="1"/>
  <c r="BF26" i="15" a="1"/>
  <c r="BF26" i="15" s="1"/>
  <c r="AU26" i="15" a="1"/>
  <c r="AU26" i="15" s="1"/>
  <c r="AS26" i="15" a="1"/>
  <c r="AS26" i="15" s="1"/>
  <c r="BK26" i="13" a="1"/>
  <c r="BK26" i="13" s="1"/>
  <c r="BD26" i="13" a="1"/>
  <c r="BD26" i="13" s="1"/>
  <c r="AX26" i="13" a="1"/>
  <c r="AX26" i="13" s="1"/>
  <c r="AQ26" i="13" a="1"/>
  <c r="AQ26" i="13" s="1"/>
  <c r="BE26" i="15" a="1"/>
  <c r="BE26" i="15" s="1"/>
  <c r="BC26" i="13" a="1"/>
  <c r="BC26" i="13" s="1"/>
  <c r="AW26" i="13" a="1"/>
  <c r="AW26" i="13" s="1"/>
  <c r="BJ26" i="13" a="1"/>
  <c r="BJ26" i="13" s="1"/>
  <c r="BB26" i="13" a="1"/>
  <c r="BB26" i="13" s="1"/>
  <c r="AV26" i="13" a="1"/>
  <c r="AV26" i="13" s="1"/>
  <c r="AP26" i="13" a="1"/>
  <c r="AP26" i="13" s="1"/>
  <c r="BE26" i="13" a="1"/>
  <c r="BE26" i="13" s="1"/>
  <c r="AY26" i="13" a="1"/>
  <c r="AY26" i="13" s="1"/>
  <c r="AR26" i="13" a="1"/>
  <c r="AR26" i="13" s="1"/>
  <c r="BF26" i="13" a="1"/>
  <c r="BF26" i="13" s="1"/>
  <c r="AS26" i="13" a="1"/>
  <c r="AS26" i="13" s="1"/>
  <c r="BD26" i="16" a="1"/>
  <c r="BD26" i="16" s="1"/>
  <c r="AP26" i="16" a="1"/>
  <c r="AP26" i="16" s="1"/>
  <c r="AT26" i="15" a="1"/>
  <c r="AT26" i="15" s="1"/>
  <c r="BA26" i="13" a="1"/>
  <c r="BA26" i="13" s="1"/>
  <c r="BH26" i="13" a="1"/>
  <c r="BH26" i="13" s="1"/>
  <c r="AU26" i="13" a="1"/>
  <c r="AU26" i="13" s="1"/>
  <c r="BG26" i="13" a="1"/>
  <c r="BG26" i="13" s="1"/>
  <c r="AT26" i="13" a="1"/>
  <c r="AT26" i="13" s="1"/>
  <c r="BI26" i="16" a="1"/>
  <c r="BI26" i="16" s="1"/>
  <c r="BA26" i="16" a="1"/>
  <c r="BA26" i="16" s="1"/>
  <c r="AS26" i="16" a="1"/>
  <c r="AS26" i="16" s="1"/>
  <c r="BG26" i="16" a="1"/>
  <c r="BG26" i="16" s="1"/>
  <c r="AY26" i="16" a="1"/>
  <c r="AY26" i="16" s="1"/>
  <c r="AQ26" i="16" a="1"/>
  <c r="AQ26" i="16" s="1"/>
  <c r="AT26" i="16" a="1"/>
  <c r="AT26" i="16" s="1"/>
  <c r="BC26" i="16" a="1"/>
  <c r="BC26" i="16" s="1"/>
  <c r="AR26" i="16" a="1"/>
  <c r="AR26" i="16" s="1"/>
  <c r="BB26" i="16" a="1"/>
  <c r="BB26" i="16" s="1"/>
  <c r="BI26" i="13" a="1"/>
  <c r="BI26" i="13" s="1"/>
  <c r="AZ26" i="13" a="1"/>
  <c r="AZ26" i="13" s="1"/>
  <c r="BJ26" i="16" a="1"/>
  <c r="BJ26" i="16" s="1"/>
  <c r="AX26" i="16" a="1"/>
  <c r="AX26" i="16" s="1"/>
  <c r="AV26" i="16" a="1"/>
  <c r="AV26" i="16" s="1"/>
  <c r="BG26" i="14" a="1"/>
  <c r="BG26" i="14" s="1"/>
  <c r="AZ26" i="14" a="1"/>
  <c r="AZ26" i="14" s="1"/>
  <c r="AS26" i="14" a="1"/>
  <c r="AS26" i="14" s="1"/>
  <c r="AU26" i="16" a="1"/>
  <c r="AU26" i="16" s="1"/>
  <c r="BF26" i="14" a="1"/>
  <c r="BF26" i="14" s="1"/>
  <c r="AY26" i="14" a="1"/>
  <c r="AY26" i="14" s="1"/>
  <c r="AR26" i="14" a="1"/>
  <c r="AR26" i="14" s="1"/>
  <c r="BK26" i="16" a="1"/>
  <c r="BK26" i="16" s="1"/>
  <c r="BE26" i="14" a="1"/>
  <c r="BE26" i="14" s="1"/>
  <c r="AX26" i="14" a="1"/>
  <c r="AX26" i="14" s="1"/>
  <c r="AQ26" i="14" a="1"/>
  <c r="AQ26" i="14" s="1"/>
  <c r="BH26" i="16" a="1"/>
  <c r="BH26" i="16" s="1"/>
  <c r="BF26" i="16" a="1"/>
  <c r="BF26" i="16" s="1"/>
  <c r="BJ26" i="14" a="1"/>
  <c r="BJ26" i="14" s="1"/>
  <c r="BD26" i="14" a="1"/>
  <c r="BD26" i="14" s="1"/>
  <c r="AV26" i="14" a="1"/>
  <c r="AV26" i="14" s="1"/>
  <c r="BE26" i="16" a="1"/>
  <c r="BE26" i="16" s="1"/>
  <c r="AZ26" i="16" a="1"/>
  <c r="AZ26" i="16" s="1"/>
  <c r="AW26" i="16" a="1"/>
  <c r="AW26" i="16" s="1"/>
  <c r="BH26" i="14" a="1"/>
  <c r="BH26" i="14" s="1"/>
  <c r="BA26" i="14" a="1"/>
  <c r="BA26" i="14" s="1"/>
  <c r="AW26" i="14" a="1"/>
  <c r="AW26" i="14" s="1"/>
  <c r="AU26" i="14" a="1"/>
  <c r="AU26" i="14" s="1"/>
  <c r="AP26" i="14" a="1"/>
  <c r="AP26" i="14" s="1"/>
  <c r="BK26" i="14" a="1"/>
  <c r="BK26" i="14" s="1"/>
  <c r="AT26" i="14" a="1"/>
  <c r="AT26" i="14" s="1"/>
  <c r="BI26" i="14" a="1"/>
  <c r="BI26" i="14" s="1"/>
  <c r="BC26" i="14" a="1"/>
  <c r="BC26" i="14" s="1"/>
  <c r="BB26" i="14" a="1"/>
  <c r="BB26" i="14" s="1"/>
  <c r="BK30" i="12" a="1"/>
  <c r="BK30" i="12" s="1"/>
  <c r="BR30" i="12" a="1"/>
  <c r="BR30" i="12" s="1"/>
  <c r="BL30" i="12" a="1"/>
  <c r="BL30" i="12" s="1"/>
  <c r="BS30" i="12" a="1"/>
  <c r="BS30" i="12" s="1"/>
  <c r="BJ30" i="12" a="1"/>
  <c r="BJ30" i="12" s="1"/>
  <c r="BQ30" i="12" a="1"/>
  <c r="BQ30" i="12" s="1"/>
  <c r="BP30" i="12" a="1"/>
  <c r="BP30" i="12" s="1"/>
  <c r="BC30" i="12"/>
  <c r="BD30" i="12"/>
  <c r="BE30" i="12"/>
  <c r="BN30" i="12" a="1"/>
  <c r="BN30" i="12" s="1"/>
  <c r="BA30" i="12"/>
  <c r="BO30" i="12" a="1"/>
  <c r="BO30" i="12" s="1"/>
  <c r="BB30" i="12"/>
  <c r="BF30" i="12"/>
  <c r="BG30" i="12"/>
  <c r="BM30" i="12" a="1"/>
  <c r="BM30" i="12" s="1"/>
  <c r="AY30" i="12"/>
  <c r="BK30" i="15" a="1"/>
  <c r="BK30" i="15" s="1"/>
  <c r="BE30" i="15" a="1"/>
  <c r="BE30" i="15" s="1"/>
  <c r="AY30" i="15" a="1"/>
  <c r="AY30" i="15" s="1"/>
  <c r="AS30" i="15" a="1"/>
  <c r="AS30" i="15" s="1"/>
  <c r="AZ30" i="12"/>
  <c r="BJ30" i="15" a="1"/>
  <c r="BJ30" i="15" s="1"/>
  <c r="BH30" i="12"/>
  <c r="BI30" i="15" a="1"/>
  <c r="BI30" i="15" s="1"/>
  <c r="BD30" i="15" a="1"/>
  <c r="BD30" i="15" s="1"/>
  <c r="AX30" i="15" a="1"/>
  <c r="AX30" i="15" s="1"/>
  <c r="AR30" i="15" a="1"/>
  <c r="AR30" i="15" s="1"/>
  <c r="BF30" i="15" a="1"/>
  <c r="BF30" i="15" s="1"/>
  <c r="AZ30" i="15" a="1"/>
  <c r="AZ30" i="15" s="1"/>
  <c r="AT30" i="15" a="1"/>
  <c r="AT30" i="15" s="1"/>
  <c r="BB30" i="15" a="1"/>
  <c r="BB30" i="15" s="1"/>
  <c r="BA30" i="15" a="1"/>
  <c r="BA30" i="15" s="1"/>
  <c r="AP30" i="15" a="1"/>
  <c r="AP30" i="15" s="1"/>
  <c r="AW30" i="15" a="1"/>
  <c r="AW30" i="15" s="1"/>
  <c r="BH30" i="15" a="1"/>
  <c r="BH30" i="15" s="1"/>
  <c r="AQ30" i="15" a="1"/>
  <c r="AQ30" i="15" s="1"/>
  <c r="AU30" i="15" a="1"/>
  <c r="AU30" i="15" s="1"/>
  <c r="AV30" i="15" a="1"/>
  <c r="AV30" i="15" s="1"/>
  <c r="BF30" i="13" a="1"/>
  <c r="BF30" i="13" s="1"/>
  <c r="AY30" i="13" a="1"/>
  <c r="AY30" i="13" s="1"/>
  <c r="AT30" i="13" a="1"/>
  <c r="AT30" i="13" s="1"/>
  <c r="BK30" i="13" a="1"/>
  <c r="BK30" i="13" s="1"/>
  <c r="BE30" i="13" a="1"/>
  <c r="BE30" i="13" s="1"/>
  <c r="AS30" i="13" a="1"/>
  <c r="AS30" i="13" s="1"/>
  <c r="BJ30" i="13" a="1"/>
  <c r="BJ30" i="13" s="1"/>
  <c r="BD30" i="13" a="1"/>
  <c r="BD30" i="13" s="1"/>
  <c r="AX30" i="13" a="1"/>
  <c r="AX30" i="13" s="1"/>
  <c r="AR30" i="13" a="1"/>
  <c r="AR30" i="13" s="1"/>
  <c r="BC30" i="15" a="1"/>
  <c r="BC30" i="15" s="1"/>
  <c r="BG30" i="13" a="1"/>
  <c r="BG30" i="13" s="1"/>
  <c r="AZ30" i="13" a="1"/>
  <c r="AZ30" i="13" s="1"/>
  <c r="AU30" i="13" a="1"/>
  <c r="AU30" i="13" s="1"/>
  <c r="BJ30" i="16" a="1"/>
  <c r="BJ30" i="16" s="1"/>
  <c r="BC30" i="16" a="1"/>
  <c r="BC30" i="16" s="1"/>
  <c r="AQ30" i="13" a="1"/>
  <c r="AQ30" i="13" s="1"/>
  <c r="BC30" i="13" a="1"/>
  <c r="BC30" i="13" s="1"/>
  <c r="AP30" i="13" a="1"/>
  <c r="AP30" i="13" s="1"/>
  <c r="BI30" i="13" a="1"/>
  <c r="BI30" i="13" s="1"/>
  <c r="AV30" i="13" a="1"/>
  <c r="AV30" i="13" s="1"/>
  <c r="BH30" i="13" a="1"/>
  <c r="BH30" i="13" s="1"/>
  <c r="BB30" i="13" a="1"/>
  <c r="BB30" i="13" s="1"/>
  <c r="BE30" i="16" a="1"/>
  <c r="BE30" i="16" s="1"/>
  <c r="AW30" i="16" a="1"/>
  <c r="AW30" i="16" s="1"/>
  <c r="BA30" i="13" a="1"/>
  <c r="BA30" i="13" s="1"/>
  <c r="AW30" i="13" a="1"/>
  <c r="AW30" i="13" s="1"/>
  <c r="BK30" i="16" a="1"/>
  <c r="BK30" i="16" s="1"/>
  <c r="BB30" i="16" a="1"/>
  <c r="BB30" i="16" s="1"/>
  <c r="AU30" i="16" a="1"/>
  <c r="AU30" i="16" s="1"/>
  <c r="BG30" i="15" a="1"/>
  <c r="BG30" i="15" s="1"/>
  <c r="BG30" i="16" a="1"/>
  <c r="BG30" i="16" s="1"/>
  <c r="BF30" i="16" a="1"/>
  <c r="BF30" i="16" s="1"/>
  <c r="AV30" i="16" a="1"/>
  <c r="AV30" i="16" s="1"/>
  <c r="AT30" i="16" a="1"/>
  <c r="AT30" i="16" s="1"/>
  <c r="BA30" i="16" a="1"/>
  <c r="BA30" i="16" s="1"/>
  <c r="AR30" i="16" a="1"/>
  <c r="AR30" i="16" s="1"/>
  <c r="BI30" i="16" a="1"/>
  <c r="BI30" i="16" s="1"/>
  <c r="AP30" i="16" a="1"/>
  <c r="AP30" i="16" s="1"/>
  <c r="BD30" i="14" a="1"/>
  <c r="BD30" i="14" s="1"/>
  <c r="AW30" i="14" a="1"/>
  <c r="AW30" i="14" s="1"/>
  <c r="AP30" i="14" a="1"/>
  <c r="AP30" i="14" s="1"/>
  <c r="BH30" i="16" a="1"/>
  <c r="BH30" i="16" s="1"/>
  <c r="BK30" i="14" a="1"/>
  <c r="BK30" i="14" s="1"/>
  <c r="BC30" i="14" a="1"/>
  <c r="BC30" i="14" s="1"/>
  <c r="BD30" i="16" a="1"/>
  <c r="BD30" i="16" s="1"/>
  <c r="BJ30" i="14" a="1"/>
  <c r="BJ30" i="14" s="1"/>
  <c r="BB30" i="14" a="1"/>
  <c r="BB30" i="14" s="1"/>
  <c r="AV30" i="14" a="1"/>
  <c r="AV30" i="14" s="1"/>
  <c r="AZ30" i="16" a="1"/>
  <c r="AZ30" i="16" s="1"/>
  <c r="AY30" i="16" a="1"/>
  <c r="AY30" i="16" s="1"/>
  <c r="BH30" i="14" a="1"/>
  <c r="BH30" i="14" s="1"/>
  <c r="BA30" i="14" a="1"/>
  <c r="BA30" i="14" s="1"/>
  <c r="AT30" i="14" a="1"/>
  <c r="AT30" i="14" s="1"/>
  <c r="AX30" i="16" a="1"/>
  <c r="AX30" i="16" s="1"/>
  <c r="AS30" i="16" a="1"/>
  <c r="AS30" i="16" s="1"/>
  <c r="AQ30" i="16" a="1"/>
  <c r="AQ30" i="16" s="1"/>
  <c r="BE30" i="14" a="1"/>
  <c r="BE30" i="14" s="1"/>
  <c r="AX30" i="14" a="1"/>
  <c r="AX30" i="14" s="1"/>
  <c r="AQ30" i="14" a="1"/>
  <c r="AQ30" i="14" s="1"/>
  <c r="BF30" i="14" a="1"/>
  <c r="BF30" i="14" s="1"/>
  <c r="AY30" i="14" a="1"/>
  <c r="AY30" i="14" s="1"/>
  <c r="AR30" i="14" a="1"/>
  <c r="AR30" i="14" s="1"/>
  <c r="AZ30" i="14" a="1"/>
  <c r="AZ30" i="14" s="1"/>
  <c r="AU30" i="14" a="1"/>
  <c r="AU30" i="14" s="1"/>
  <c r="AS30" i="14" a="1"/>
  <c r="AS30" i="14" s="1"/>
  <c r="BI30" i="14" a="1"/>
  <c r="BI30" i="14" s="1"/>
  <c r="BG30" i="14" a="1"/>
  <c r="BG30" i="14" s="1"/>
  <c r="BP34" i="12" a="1"/>
  <c r="BP34" i="12" s="1"/>
  <c r="BJ34" i="12" a="1"/>
  <c r="BJ34" i="12" s="1"/>
  <c r="BQ34" i="12" a="1"/>
  <c r="BQ34" i="12" s="1"/>
  <c r="BO34" i="12" a="1"/>
  <c r="BO34" i="12" s="1"/>
  <c r="BK34" i="12" a="1"/>
  <c r="BK34" i="12" s="1"/>
  <c r="BL34" i="12" a="1"/>
  <c r="BL34" i="12" s="1"/>
  <c r="BE34" i="12"/>
  <c r="BF34" i="12"/>
  <c r="BG34" i="12"/>
  <c r="AY34" i="12"/>
  <c r="BH34" i="12"/>
  <c r="AZ34" i="12"/>
  <c r="BS34" i="12" a="1"/>
  <c r="BS34" i="12" s="1"/>
  <c r="BA34" i="12"/>
  <c r="BB34" i="12"/>
  <c r="BN34" i="12" a="1"/>
  <c r="BN34" i="12" s="1"/>
  <c r="BR34" i="12" a="1"/>
  <c r="BR34" i="12" s="1"/>
  <c r="BM34" i="12" a="1"/>
  <c r="BM34" i="12" s="1"/>
  <c r="BI34" i="15" a="1"/>
  <c r="BI34" i="15" s="1"/>
  <c r="BD34" i="15" a="1"/>
  <c r="BD34" i="15" s="1"/>
  <c r="AX34" i="15" a="1"/>
  <c r="AX34" i="15" s="1"/>
  <c r="AR34" i="15" a="1"/>
  <c r="AR34" i="15" s="1"/>
  <c r="BD34" i="12"/>
  <c r="BK34" i="15" a="1"/>
  <c r="BK34" i="15" s="1"/>
  <c r="AW34" i="15" a="1"/>
  <c r="AW34" i="15" s="1"/>
  <c r="BJ34" i="15" a="1"/>
  <c r="BJ34" i="15" s="1"/>
  <c r="BC34" i="15" a="1"/>
  <c r="BC34" i="15" s="1"/>
  <c r="AP34" i="15" a="1"/>
  <c r="AP34" i="15" s="1"/>
  <c r="BB34" i="15" a="1"/>
  <c r="BB34" i="15" s="1"/>
  <c r="AV34" i="15" a="1"/>
  <c r="AV34" i="15" s="1"/>
  <c r="BE34" i="15" a="1"/>
  <c r="BE34" i="15" s="1"/>
  <c r="AQ34" i="15" a="1"/>
  <c r="AQ34" i="15" s="1"/>
  <c r="BC34" i="12"/>
  <c r="AZ34" i="15" a="1"/>
  <c r="AZ34" i="15" s="1"/>
  <c r="AY34" i="15" a="1"/>
  <c r="AY34" i="15" s="1"/>
  <c r="BH34" i="15" a="1"/>
  <c r="BH34" i="15" s="1"/>
  <c r="AU34" i="15" a="1"/>
  <c r="AU34" i="15" s="1"/>
  <c r="BG34" i="15" a="1"/>
  <c r="BG34" i="15" s="1"/>
  <c r="AT34" i="15" a="1"/>
  <c r="AT34" i="15" s="1"/>
  <c r="BA34" i="15" a="1"/>
  <c r="BA34" i="15" s="1"/>
  <c r="AS34" i="15" a="1"/>
  <c r="AS34" i="15" s="1"/>
  <c r="BF34" i="15" a="1"/>
  <c r="BF34" i="15" s="1"/>
  <c r="BK34" i="13" a="1"/>
  <c r="BK34" i="13" s="1"/>
  <c r="BD34" i="13" a="1"/>
  <c r="BD34" i="13" s="1"/>
  <c r="AX34" i="13" a="1"/>
  <c r="AX34" i="13" s="1"/>
  <c r="AS34" i="13" a="1"/>
  <c r="AS34" i="13" s="1"/>
  <c r="BJ34" i="13" a="1"/>
  <c r="BJ34" i="13" s="1"/>
  <c r="AR34" i="13" a="1"/>
  <c r="AR34" i="13" s="1"/>
  <c r="BI34" i="13" a="1"/>
  <c r="BI34" i="13" s="1"/>
  <c r="BC34" i="13" a="1"/>
  <c r="BC34" i="13" s="1"/>
  <c r="AW34" i="13" a="1"/>
  <c r="AW34" i="13" s="1"/>
  <c r="AQ34" i="13" a="1"/>
  <c r="AQ34" i="13" s="1"/>
  <c r="BE34" i="13" a="1"/>
  <c r="BE34" i="13" s="1"/>
  <c r="AY34" i="13" a="1"/>
  <c r="AY34" i="13" s="1"/>
  <c r="BF34" i="13" a="1"/>
  <c r="BF34" i="13" s="1"/>
  <c r="AT34" i="13" a="1"/>
  <c r="AT34" i="13" s="1"/>
  <c r="BE34" i="16" a="1"/>
  <c r="BE34" i="16" s="1"/>
  <c r="AY34" i="16" a="1"/>
  <c r="AY34" i="16" s="1"/>
  <c r="AS34" i="16" a="1"/>
  <c r="AS34" i="16" s="1"/>
  <c r="AP34" i="13" a="1"/>
  <c r="AP34" i="13" s="1"/>
  <c r="BB34" i="13" a="1"/>
  <c r="BB34" i="13" s="1"/>
  <c r="BG34" i="13" a="1"/>
  <c r="BG34" i="13" s="1"/>
  <c r="AU34" i="13" a="1"/>
  <c r="AU34" i="13" s="1"/>
  <c r="AW34" i="16" a="1"/>
  <c r="AW34" i="16" s="1"/>
  <c r="AQ34" i="16" a="1"/>
  <c r="AQ34" i="16" s="1"/>
  <c r="BH34" i="13" a="1"/>
  <c r="BH34" i="13" s="1"/>
  <c r="BJ34" i="16" a="1"/>
  <c r="BJ34" i="16" s="1"/>
  <c r="BC34" i="16" a="1"/>
  <c r="BC34" i="16" s="1"/>
  <c r="AV34" i="16" a="1"/>
  <c r="AV34" i="16" s="1"/>
  <c r="BA34" i="13" a="1"/>
  <c r="BA34" i="13" s="1"/>
  <c r="BI34" i="16" a="1"/>
  <c r="BI34" i="16" s="1"/>
  <c r="BB34" i="16" a="1"/>
  <c r="BB34" i="16" s="1"/>
  <c r="BK34" i="16" a="1"/>
  <c r="BK34" i="16" s="1"/>
  <c r="AZ34" i="16" a="1"/>
  <c r="AZ34" i="16" s="1"/>
  <c r="BH34" i="16" a="1"/>
  <c r="BH34" i="16" s="1"/>
  <c r="AX34" i="16" a="1"/>
  <c r="AX34" i="16" s="1"/>
  <c r="BG34" i="16" a="1"/>
  <c r="BG34" i="16" s="1"/>
  <c r="AZ34" i="13" a="1"/>
  <c r="AZ34" i="13" s="1"/>
  <c r="AT34" i="16" a="1"/>
  <c r="AT34" i="16" s="1"/>
  <c r="BK34" i="14" a="1"/>
  <c r="BK34" i="14" s="1"/>
  <c r="AY34" i="14" a="1"/>
  <c r="AY34" i="14" s="1"/>
  <c r="AS34" i="14" a="1"/>
  <c r="AS34" i="14" s="1"/>
  <c r="BA34" i="16" a="1"/>
  <c r="BA34" i="16" s="1"/>
  <c r="BE34" i="14" a="1"/>
  <c r="BE34" i="14" s="1"/>
  <c r="AX34" i="14" a="1"/>
  <c r="AX34" i="14" s="1"/>
  <c r="AR34" i="14" a="1"/>
  <c r="AR34" i="14" s="1"/>
  <c r="AU34" i="16" a="1"/>
  <c r="AU34" i="16" s="1"/>
  <c r="BJ34" i="14" a="1"/>
  <c r="BJ34" i="14" s="1"/>
  <c r="BD34" i="14" a="1"/>
  <c r="BD34" i="14" s="1"/>
  <c r="AW34" i="14" a="1"/>
  <c r="AW34" i="14" s="1"/>
  <c r="AQ34" i="14" a="1"/>
  <c r="AQ34" i="14" s="1"/>
  <c r="AR34" i="16" a="1"/>
  <c r="AR34" i="16" s="1"/>
  <c r="BI34" i="14" a="1"/>
  <c r="BI34" i="14" s="1"/>
  <c r="BC34" i="14" a="1"/>
  <c r="BC34" i="14" s="1"/>
  <c r="AP34" i="16" a="1"/>
  <c r="AP34" i="16" s="1"/>
  <c r="BF34" i="16" a="1"/>
  <c r="BF34" i="16" s="1"/>
  <c r="AV34" i="13" a="1"/>
  <c r="AV34" i="13" s="1"/>
  <c r="BD34" i="16" a="1"/>
  <c r="BD34" i="16" s="1"/>
  <c r="BF34" i="14" a="1"/>
  <c r="BF34" i="14" s="1"/>
  <c r="AZ34" i="14" a="1"/>
  <c r="AZ34" i="14" s="1"/>
  <c r="AT34" i="14" a="1"/>
  <c r="AT34" i="14" s="1"/>
  <c r="BB34" i="14" a="1"/>
  <c r="BB34" i="14" s="1"/>
  <c r="BA34" i="14" a="1"/>
  <c r="BA34" i="14" s="1"/>
  <c r="BG34" i="14" a="1"/>
  <c r="BG34" i="14" s="1"/>
  <c r="AV34" i="14" a="1"/>
  <c r="AV34" i="14" s="1"/>
  <c r="AU34" i="14" a="1"/>
  <c r="AU34" i="14" s="1"/>
  <c r="BH34" i="14" a="1"/>
  <c r="BH34" i="14" s="1"/>
  <c r="AP34" i="14" a="1"/>
  <c r="AP34" i="14" s="1"/>
  <c r="BM38" i="12" a="1"/>
  <c r="BM38" i="12" s="1"/>
  <c r="BS38" i="12" a="1"/>
  <c r="BS38" i="12" s="1"/>
  <c r="BN38" i="12" a="1"/>
  <c r="BN38" i="12" s="1"/>
  <c r="BO38" i="12" a="1"/>
  <c r="BO38" i="12" s="1"/>
  <c r="BL38" i="12" a="1"/>
  <c r="BL38" i="12" s="1"/>
  <c r="BR38" i="12" a="1"/>
  <c r="BR38" i="12" s="1"/>
  <c r="BK38" i="12" a="1"/>
  <c r="BK38" i="12" s="1"/>
  <c r="BP38" i="12" a="1"/>
  <c r="BP38" i="12" s="1"/>
  <c r="BF38" i="12"/>
  <c r="AY38" i="12"/>
  <c r="BG38" i="12"/>
  <c r="BJ38" i="12" a="1"/>
  <c r="BJ38" i="12" s="1"/>
  <c r="AZ38" i="12"/>
  <c r="BH38" i="12"/>
  <c r="BA38" i="12"/>
  <c r="BE38" i="12"/>
  <c r="BC38" i="12"/>
  <c r="BD38" i="12"/>
  <c r="BQ38" i="12" a="1"/>
  <c r="BQ38" i="12" s="1"/>
  <c r="BK38" i="15" a="1"/>
  <c r="BK38" i="15" s="1"/>
  <c r="BE38" i="15" a="1"/>
  <c r="BE38" i="15" s="1"/>
  <c r="AY38" i="15" a="1"/>
  <c r="AY38" i="15" s="1"/>
  <c r="AW38" i="15" a="1"/>
  <c r="AW38" i="15" s="1"/>
  <c r="BJ38" i="15" a="1"/>
  <c r="BJ38" i="15" s="1"/>
  <c r="BD38" i="15" a="1"/>
  <c r="BD38" i="15" s="1"/>
  <c r="AP38" i="15" a="1"/>
  <c r="AP38" i="15" s="1"/>
  <c r="BI38" i="15" a="1"/>
  <c r="BI38" i="15" s="1"/>
  <c r="BC38" i="15" a="1"/>
  <c r="BC38" i="15" s="1"/>
  <c r="AV38" i="15" a="1"/>
  <c r="AV38" i="15" s="1"/>
  <c r="BF38" i="15" a="1"/>
  <c r="BF38" i="15" s="1"/>
  <c r="AX38" i="15" a="1"/>
  <c r="AX38" i="15" s="1"/>
  <c r="AQ38" i="15" a="1"/>
  <c r="AQ38" i="15" s="1"/>
  <c r="BH38" i="15" a="1"/>
  <c r="BH38" i="15" s="1"/>
  <c r="AT38" i="15" a="1"/>
  <c r="AT38" i="15" s="1"/>
  <c r="BG38" i="15" a="1"/>
  <c r="BG38" i="15" s="1"/>
  <c r="AS38" i="15" a="1"/>
  <c r="AS38" i="15" s="1"/>
  <c r="BB38" i="12"/>
  <c r="AR38" i="15" a="1"/>
  <c r="AR38" i="15" s="1"/>
  <c r="BB38" i="15" a="1"/>
  <c r="BB38" i="15" s="1"/>
  <c r="BA38" i="15" a="1"/>
  <c r="BA38" i="15" s="1"/>
  <c r="BJ38" i="13" a="1"/>
  <c r="BJ38" i="13" s="1"/>
  <c r="BC38" i="13" a="1"/>
  <c r="BC38" i="13" s="1"/>
  <c r="AV38" i="13" a="1"/>
  <c r="AV38" i="13" s="1"/>
  <c r="AP38" i="13" a="1"/>
  <c r="AP38" i="13" s="1"/>
  <c r="BI38" i="13" a="1"/>
  <c r="BI38" i="13" s="1"/>
  <c r="BB38" i="13" a="1"/>
  <c r="BB38" i="13" s="1"/>
  <c r="AU38" i="13" a="1"/>
  <c r="AU38" i="13" s="1"/>
  <c r="BH38" i="13" a="1"/>
  <c r="BH38" i="13" s="1"/>
  <c r="BA38" i="13" a="1"/>
  <c r="BA38" i="13" s="1"/>
  <c r="BD38" i="13" a="1"/>
  <c r="BD38" i="13" s="1"/>
  <c r="AW38" i="13" a="1"/>
  <c r="AW38" i="13" s="1"/>
  <c r="AQ38" i="13" a="1"/>
  <c r="AQ38" i="13" s="1"/>
  <c r="BE38" i="13" a="1"/>
  <c r="BE38" i="13" s="1"/>
  <c r="BF38" i="16" a="1"/>
  <c r="BF38" i="16" s="1"/>
  <c r="AY38" i="16" a="1"/>
  <c r="AY38" i="16" s="1"/>
  <c r="AS38" i="16" a="1"/>
  <c r="AS38" i="16" s="1"/>
  <c r="AZ38" i="15" a="1"/>
  <c r="AZ38" i="15" s="1"/>
  <c r="AU38" i="15" a="1"/>
  <c r="AU38" i="15" s="1"/>
  <c r="AZ38" i="13" a="1"/>
  <c r="AZ38" i="13" s="1"/>
  <c r="AS38" i="13" a="1"/>
  <c r="AS38" i="13" s="1"/>
  <c r="BF38" i="13" a="1"/>
  <c r="BF38" i="13" s="1"/>
  <c r="AR38" i="13" a="1"/>
  <c r="AR38" i="13" s="1"/>
  <c r="BG38" i="16" a="1"/>
  <c r="BG38" i="16" s="1"/>
  <c r="AZ38" i="16" a="1"/>
  <c r="AZ38" i="16" s="1"/>
  <c r="AT38" i="16" a="1"/>
  <c r="AT38" i="16" s="1"/>
  <c r="AT38" i="13" a="1"/>
  <c r="AT38" i="13" s="1"/>
  <c r="BH38" i="16" a="1"/>
  <c r="BH38" i="16" s="1"/>
  <c r="AX38" i="16" a="1"/>
  <c r="AX38" i="16" s="1"/>
  <c r="AQ38" i="16" a="1"/>
  <c r="AQ38" i="16" s="1"/>
  <c r="BE38" i="16" a="1"/>
  <c r="BE38" i="16" s="1"/>
  <c r="BD38" i="16" a="1"/>
  <c r="BD38" i="16" s="1"/>
  <c r="AV38" i="16" a="1"/>
  <c r="AV38" i="16" s="1"/>
  <c r="AX38" i="13" a="1"/>
  <c r="AX38" i="13" s="1"/>
  <c r="BI38" i="16" a="1"/>
  <c r="BI38" i="16" s="1"/>
  <c r="AU38" i="16" a="1"/>
  <c r="AU38" i="16" s="1"/>
  <c r="AR38" i="16" a="1"/>
  <c r="AR38" i="16" s="1"/>
  <c r="BC38" i="16" a="1"/>
  <c r="BC38" i="16" s="1"/>
  <c r="BK38" i="13" a="1"/>
  <c r="BK38" i="13" s="1"/>
  <c r="BG38" i="13" a="1"/>
  <c r="BG38" i="13" s="1"/>
  <c r="BA38" i="16" a="1"/>
  <c r="BA38" i="16" s="1"/>
  <c r="BK38" i="16" a="1"/>
  <c r="BK38" i="16" s="1"/>
  <c r="BH38" i="14" a="1"/>
  <c r="BH38" i="14" s="1"/>
  <c r="BB38" i="14" a="1"/>
  <c r="BB38" i="14" s="1"/>
  <c r="AP38" i="14" a="1"/>
  <c r="AP38" i="14" s="1"/>
  <c r="BJ38" i="16" a="1"/>
  <c r="BJ38" i="16" s="1"/>
  <c r="BG38" i="14" a="1"/>
  <c r="BG38" i="14" s="1"/>
  <c r="BA38" i="14" a="1"/>
  <c r="BA38" i="14" s="1"/>
  <c r="AU38" i="14" a="1"/>
  <c r="AU38" i="14" s="1"/>
  <c r="BB38" i="16" a="1"/>
  <c r="BB38" i="16" s="1"/>
  <c r="BF38" i="14" a="1"/>
  <c r="BF38" i="14" s="1"/>
  <c r="AZ38" i="14" a="1"/>
  <c r="AZ38" i="14" s="1"/>
  <c r="AY38" i="13" a="1"/>
  <c r="AY38" i="13" s="1"/>
  <c r="AW38" i="16" a="1"/>
  <c r="AW38" i="16" s="1"/>
  <c r="BD38" i="14" a="1"/>
  <c r="BD38" i="14" s="1"/>
  <c r="AY38" i="14" a="1"/>
  <c r="AY38" i="14" s="1"/>
  <c r="AP38" i="16" a="1"/>
  <c r="AP38" i="16" s="1"/>
  <c r="BI38" i="14" a="1"/>
  <c r="BI38" i="14" s="1"/>
  <c r="AV38" i="14" a="1"/>
  <c r="AV38" i="14" s="1"/>
  <c r="AQ38" i="14" a="1"/>
  <c r="AQ38" i="14" s="1"/>
  <c r="BK38" i="14" a="1"/>
  <c r="BK38" i="14" s="1"/>
  <c r="AT38" i="14" a="1"/>
  <c r="AT38" i="14" s="1"/>
  <c r="BJ38" i="14" a="1"/>
  <c r="BJ38" i="14" s="1"/>
  <c r="AS38" i="14" a="1"/>
  <c r="AS38" i="14" s="1"/>
  <c r="BC38" i="14" a="1"/>
  <c r="BC38" i="14" s="1"/>
  <c r="AX38" i="14" a="1"/>
  <c r="AX38" i="14" s="1"/>
  <c r="BE38" i="14" a="1"/>
  <c r="BE38" i="14" s="1"/>
  <c r="AR38" i="14" a="1"/>
  <c r="AR38" i="14" s="1"/>
  <c r="AW38" i="14" a="1"/>
  <c r="AW38" i="14" s="1"/>
  <c r="BP42" i="12" a="1"/>
  <c r="BP42" i="12" s="1"/>
  <c r="BQ42" i="12" a="1"/>
  <c r="BQ42" i="12" s="1"/>
  <c r="BJ42" i="12" a="1"/>
  <c r="BJ42" i="12" s="1"/>
  <c r="BR42" i="12" a="1"/>
  <c r="BR42" i="12" s="1"/>
  <c r="BO42" i="12" a="1"/>
  <c r="BO42" i="12" s="1"/>
  <c r="BN42" i="12" a="1"/>
  <c r="BN42" i="12" s="1"/>
  <c r="BS42" i="12" a="1"/>
  <c r="BS42" i="12" s="1"/>
  <c r="BL42" i="12" a="1"/>
  <c r="BL42" i="12" s="1"/>
  <c r="BF42" i="12"/>
  <c r="BM42" i="12" a="1"/>
  <c r="BM42" i="12" s="1"/>
  <c r="AY42" i="12"/>
  <c r="BG42" i="12"/>
  <c r="AZ42" i="12"/>
  <c r="BH42" i="12"/>
  <c r="BA42" i="12"/>
  <c r="BB42" i="12"/>
  <c r="BC42" i="12"/>
  <c r="BD42" i="12"/>
  <c r="BE42" i="12"/>
  <c r="BF42" i="15" a="1"/>
  <c r="BF42" i="15" s="1"/>
  <c r="AZ42" i="15" a="1"/>
  <c r="AZ42" i="15" s="1"/>
  <c r="BE42" i="15" a="1"/>
  <c r="BE42" i="15" s="1"/>
  <c r="AY42" i="15" a="1"/>
  <c r="AY42" i="15" s="1"/>
  <c r="AS42" i="15" a="1"/>
  <c r="AS42" i="15" s="1"/>
  <c r="BK42" i="15" a="1"/>
  <c r="BK42" i="15" s="1"/>
  <c r="AX42" i="15" a="1"/>
  <c r="AX42" i="15" s="1"/>
  <c r="AR42" i="15" a="1"/>
  <c r="AR42" i="15" s="1"/>
  <c r="BH42" i="15" a="1"/>
  <c r="BH42" i="15" s="1"/>
  <c r="BG42" i="15" a="1"/>
  <c r="BG42" i="15" s="1"/>
  <c r="AW42" i="15" a="1"/>
  <c r="AW42" i="15" s="1"/>
  <c r="AV42" i="15" a="1"/>
  <c r="AV42" i="15" s="1"/>
  <c r="BK42" i="12" a="1"/>
  <c r="BK42" i="12" s="1"/>
  <c r="BI42" i="15" a="1"/>
  <c r="BI42" i="15" s="1"/>
  <c r="BA42" i="15" a="1"/>
  <c r="BA42" i="15" s="1"/>
  <c r="AP42" i="15" a="1"/>
  <c r="AP42" i="15" s="1"/>
  <c r="AT42" i="15" a="1"/>
  <c r="AT42" i="15" s="1"/>
  <c r="AQ42" i="15" a="1"/>
  <c r="AQ42" i="15" s="1"/>
  <c r="BJ42" i="15" a="1"/>
  <c r="BJ42" i="15" s="1"/>
  <c r="BD42" i="15" a="1"/>
  <c r="BD42" i="15" s="1"/>
  <c r="BC42" i="15" a="1"/>
  <c r="BC42" i="15" s="1"/>
  <c r="BI42" i="13" a="1"/>
  <c r="BI42" i="13" s="1"/>
  <c r="AT42" i="13" a="1"/>
  <c r="AT42" i="13" s="1"/>
  <c r="BH42" i="13" a="1"/>
  <c r="BH42" i="13" s="1"/>
  <c r="BB42" i="13" a="1"/>
  <c r="BB42" i="13" s="1"/>
  <c r="AW42" i="13" a="1"/>
  <c r="AW42" i="13" s="1"/>
  <c r="AQ42" i="13" a="1"/>
  <c r="AQ42" i="13" s="1"/>
  <c r="BB42" i="15" a="1"/>
  <c r="BB42" i="15" s="1"/>
  <c r="AV42" i="13" a="1"/>
  <c r="AV42" i="13" s="1"/>
  <c r="AU42" i="15" a="1"/>
  <c r="AU42" i="15" s="1"/>
  <c r="BG42" i="13" a="1"/>
  <c r="BG42" i="13" s="1"/>
  <c r="BA42" i="13" a="1"/>
  <c r="BA42" i="13" s="1"/>
  <c r="AP42" i="13" a="1"/>
  <c r="AP42" i="13" s="1"/>
  <c r="BC42" i="13" a="1"/>
  <c r="BC42" i="13" s="1"/>
  <c r="AR42" i="13" a="1"/>
  <c r="AR42" i="13" s="1"/>
  <c r="BD42" i="13" a="1"/>
  <c r="BD42" i="13" s="1"/>
  <c r="AS42" i="13" a="1"/>
  <c r="AS42" i="13" s="1"/>
  <c r="BE42" i="16" a="1"/>
  <c r="BE42" i="16" s="1"/>
  <c r="AR42" i="16" a="1"/>
  <c r="AR42" i="16" s="1"/>
  <c r="AZ42" i="13" a="1"/>
  <c r="AZ42" i="13" s="1"/>
  <c r="BE42" i="13" a="1"/>
  <c r="BE42" i="13" s="1"/>
  <c r="BF42" i="16" a="1"/>
  <c r="BF42" i="16" s="1"/>
  <c r="AY42" i="16" a="1"/>
  <c r="AY42" i="16" s="1"/>
  <c r="AS42" i="16" a="1"/>
  <c r="AS42" i="16" s="1"/>
  <c r="BF42" i="13" a="1"/>
  <c r="BF42" i="13" s="1"/>
  <c r="BK42" i="16" a="1"/>
  <c r="BK42" i="16" s="1"/>
  <c r="BB42" i="16" a="1"/>
  <c r="BB42" i="16" s="1"/>
  <c r="AY42" i="13" a="1"/>
  <c r="AY42" i="13" s="1"/>
  <c r="AX42" i="13" a="1"/>
  <c r="AX42" i="13" s="1"/>
  <c r="BI42" i="16" a="1"/>
  <c r="BI42" i="16" s="1"/>
  <c r="AQ42" i="16" a="1"/>
  <c r="AQ42" i="16" s="1"/>
  <c r="AU42" i="13" a="1"/>
  <c r="AU42" i="13" s="1"/>
  <c r="AZ42" i="16" a="1"/>
  <c r="AZ42" i="16" s="1"/>
  <c r="AP42" i="16" a="1"/>
  <c r="AP42" i="16" s="1"/>
  <c r="BJ42" i="13" a="1"/>
  <c r="BJ42" i="13" s="1"/>
  <c r="BC42" i="16" a="1"/>
  <c r="BC42" i="16" s="1"/>
  <c r="AU42" i="16" a="1"/>
  <c r="AU42" i="16" s="1"/>
  <c r="BA42" i="16" a="1"/>
  <c r="BA42" i="16" s="1"/>
  <c r="AX42" i="16" a="1"/>
  <c r="AX42" i="16" s="1"/>
  <c r="AW42" i="16" a="1"/>
  <c r="AW42" i="16" s="1"/>
  <c r="BK42" i="13" a="1"/>
  <c r="BK42" i="13" s="1"/>
  <c r="BJ42" i="16" a="1"/>
  <c r="BJ42" i="16" s="1"/>
  <c r="AT42" i="16" a="1"/>
  <c r="AT42" i="16" s="1"/>
  <c r="BI42" i="14" a="1"/>
  <c r="BI42" i="14" s="1"/>
  <c r="BB42" i="14" a="1"/>
  <c r="BB42" i="14" s="1"/>
  <c r="AT42" i="14" a="1"/>
  <c r="AT42" i="14" s="1"/>
  <c r="BH42" i="14" a="1"/>
  <c r="BH42" i="14" s="1"/>
  <c r="BA42" i="14" a="1"/>
  <c r="BA42" i="14" s="1"/>
  <c r="AS42" i="14" a="1"/>
  <c r="AS42" i="14" s="1"/>
  <c r="BG42" i="14" a="1"/>
  <c r="BG42" i="14" s="1"/>
  <c r="AZ42" i="14" a="1"/>
  <c r="AZ42" i="14" s="1"/>
  <c r="AR42" i="14" a="1"/>
  <c r="AR42" i="14" s="1"/>
  <c r="BH42" i="16" a="1"/>
  <c r="BH42" i="16" s="1"/>
  <c r="BG42" i="16" a="1"/>
  <c r="BG42" i="16" s="1"/>
  <c r="BF42" i="14" a="1"/>
  <c r="BF42" i="14" s="1"/>
  <c r="AX42" i="14" a="1"/>
  <c r="AX42" i="14" s="1"/>
  <c r="AQ42" i="14" a="1"/>
  <c r="AQ42" i="14" s="1"/>
  <c r="BD42" i="16" a="1"/>
  <c r="BD42" i="16" s="1"/>
  <c r="AV42" i="16" a="1"/>
  <c r="AV42" i="16" s="1"/>
  <c r="BJ42" i="14" a="1"/>
  <c r="BJ42" i="14" s="1"/>
  <c r="BC42" i="14" a="1"/>
  <c r="BC42" i="14" s="1"/>
  <c r="AU42" i="14" a="1"/>
  <c r="AU42" i="14" s="1"/>
  <c r="AV42" i="14" a="1"/>
  <c r="AV42" i="14" s="1"/>
  <c r="BE42" i="14" a="1"/>
  <c r="BE42" i="14" s="1"/>
  <c r="BK42" i="14" a="1"/>
  <c r="BK42" i="14" s="1"/>
  <c r="AP42" i="14" a="1"/>
  <c r="AP42" i="14" s="1"/>
  <c r="BD42" i="14" a="1"/>
  <c r="BD42" i="14" s="1"/>
  <c r="AY42" i="14" a="1"/>
  <c r="AY42" i="14" s="1"/>
  <c r="AW42" i="14" a="1"/>
  <c r="AW42" i="14" s="1"/>
  <c r="BN46" i="12" a="1"/>
  <c r="BN46" i="12" s="1"/>
  <c r="BO46" i="12" a="1"/>
  <c r="BO46" i="12" s="1"/>
  <c r="BM46" i="12" a="1"/>
  <c r="BM46" i="12" s="1"/>
  <c r="BS46" i="12" a="1"/>
  <c r="BS46" i="12" s="1"/>
  <c r="BP46" i="12" a="1"/>
  <c r="BP46" i="12" s="1"/>
  <c r="BQ46" i="12" a="1"/>
  <c r="BQ46" i="12" s="1"/>
  <c r="BL46" i="12" a="1"/>
  <c r="BL46" i="12" s="1"/>
  <c r="BF46" i="12"/>
  <c r="AY46" i="12"/>
  <c r="BG46" i="12"/>
  <c r="BR46" i="12" a="1"/>
  <c r="BR46" i="12" s="1"/>
  <c r="AZ46" i="12"/>
  <c r="BH46" i="12"/>
  <c r="BA46" i="12"/>
  <c r="BE46" i="12"/>
  <c r="BC46" i="12"/>
  <c r="BJ46" i="12" a="1"/>
  <c r="BJ46" i="12" s="1"/>
  <c r="BK46" i="12" a="1"/>
  <c r="BK46" i="12" s="1"/>
  <c r="BB46" i="12"/>
  <c r="BJ46" i="15" a="1"/>
  <c r="BJ46" i="15" s="1"/>
  <c r="BD46" i="15" a="1"/>
  <c r="BD46" i="15" s="1"/>
  <c r="AX46" i="15" a="1"/>
  <c r="AX46" i="15" s="1"/>
  <c r="BI46" i="15" a="1"/>
  <c r="BI46" i="15" s="1"/>
  <c r="BC46" i="15" a="1"/>
  <c r="BC46" i="15" s="1"/>
  <c r="AR46" i="15" a="1"/>
  <c r="AR46" i="15" s="1"/>
  <c r="BH46" i="15" a="1"/>
  <c r="BH46" i="15" s="1"/>
  <c r="BB46" i="15" a="1"/>
  <c r="BB46" i="15" s="1"/>
  <c r="AW46" i="15" a="1"/>
  <c r="AW46" i="15" s="1"/>
  <c r="AQ46" i="15" a="1"/>
  <c r="AQ46" i="15" s="1"/>
  <c r="BG46" i="15" a="1"/>
  <c r="BG46" i="15" s="1"/>
  <c r="AY46" i="15" a="1"/>
  <c r="AY46" i="15" s="1"/>
  <c r="BF46" i="15" a="1"/>
  <c r="BF46" i="15" s="1"/>
  <c r="AZ46" i="15" a="1"/>
  <c r="AZ46" i="15" s="1"/>
  <c r="AP46" i="15" a="1"/>
  <c r="AP46" i="15" s="1"/>
  <c r="BE46" i="15" a="1"/>
  <c r="BE46" i="15" s="1"/>
  <c r="BA46" i="15" a="1"/>
  <c r="BA46" i="15" s="1"/>
  <c r="BD46" i="12"/>
  <c r="AV46" i="15" a="1"/>
  <c r="AV46" i="15" s="1"/>
  <c r="AU46" i="15" a="1"/>
  <c r="AU46" i="15" s="1"/>
  <c r="BK46" i="13" a="1"/>
  <c r="BK46" i="13" s="1"/>
  <c r="AZ46" i="13" a="1"/>
  <c r="AZ46" i="13" s="1"/>
  <c r="BJ46" i="13" a="1"/>
  <c r="BJ46" i="13" s="1"/>
  <c r="BE46" i="13" a="1"/>
  <c r="BE46" i="13" s="1"/>
  <c r="AT46" i="13" a="1"/>
  <c r="AT46" i="13" s="1"/>
  <c r="BD46" i="13" a="1"/>
  <c r="BD46" i="13" s="1"/>
  <c r="AY46" i="13" a="1"/>
  <c r="AY46" i="13" s="1"/>
  <c r="AS46" i="15" a="1"/>
  <c r="AS46" i="15" s="1"/>
  <c r="AU46" i="13" a="1"/>
  <c r="AU46" i="13" s="1"/>
  <c r="BB46" i="13" a="1"/>
  <c r="BB46" i="13" s="1"/>
  <c r="AS46" i="13" a="1"/>
  <c r="AS46" i="13" s="1"/>
  <c r="BK46" i="15" a="1"/>
  <c r="BK46" i="15" s="1"/>
  <c r="BI46" i="13" a="1"/>
  <c r="BI46" i="13" s="1"/>
  <c r="AR46" i="13" a="1"/>
  <c r="AR46" i="13" s="1"/>
  <c r="BC46" i="13" a="1"/>
  <c r="BC46" i="13" s="1"/>
  <c r="AV46" i="13" a="1"/>
  <c r="AV46" i="13" s="1"/>
  <c r="BF46" i="13" a="1"/>
  <c r="BF46" i="13" s="1"/>
  <c r="BK46" i="16" a="1"/>
  <c r="BK46" i="16" s="1"/>
  <c r="BD46" i="16" a="1"/>
  <c r="BD46" i="16" s="1"/>
  <c r="AR46" i="16" a="1"/>
  <c r="AR46" i="16" s="1"/>
  <c r="BA46" i="13" a="1"/>
  <c r="BA46" i="13" s="1"/>
  <c r="AT46" i="15" a="1"/>
  <c r="AT46" i="15" s="1"/>
  <c r="AX46" i="13" a="1"/>
  <c r="AX46" i="13" s="1"/>
  <c r="BG46" i="13" a="1"/>
  <c r="BG46" i="13" s="1"/>
  <c r="AP46" i="13" a="1"/>
  <c r="AP46" i="13" s="1"/>
  <c r="BE46" i="16" a="1"/>
  <c r="BE46" i="16" s="1"/>
  <c r="AX46" i="16" a="1"/>
  <c r="AX46" i="16" s="1"/>
  <c r="AS46" i="16" a="1"/>
  <c r="AS46" i="16" s="1"/>
  <c r="AW46" i="13" a="1"/>
  <c r="AW46" i="13" s="1"/>
  <c r="AW46" i="16" a="1"/>
  <c r="AW46" i="16" s="1"/>
  <c r="AQ46" i="13" a="1"/>
  <c r="AQ46" i="13" s="1"/>
  <c r="BC46" i="16" a="1"/>
  <c r="BC46" i="16" s="1"/>
  <c r="AU46" i="16" a="1"/>
  <c r="AU46" i="16" s="1"/>
  <c r="BG46" i="16" a="1"/>
  <c r="BG46" i="16" s="1"/>
  <c r="AY46" i="16" a="1"/>
  <c r="AY46" i="16" s="1"/>
  <c r="AP46" i="16" a="1"/>
  <c r="AP46" i="16" s="1"/>
  <c r="AV46" i="16" a="1"/>
  <c r="AV46" i="16" s="1"/>
  <c r="BJ46" i="16" a="1"/>
  <c r="BJ46" i="16" s="1"/>
  <c r="AT46" i="16" a="1"/>
  <c r="AT46" i="16" s="1"/>
  <c r="BI46" i="16" a="1"/>
  <c r="BI46" i="16" s="1"/>
  <c r="BF46" i="16" a="1"/>
  <c r="BF46" i="16" s="1"/>
  <c r="BA46" i="16" a="1"/>
  <c r="BA46" i="16" s="1"/>
  <c r="BH46" i="14" a="1"/>
  <c r="BH46" i="14" s="1"/>
  <c r="BB46" i="14" a="1"/>
  <c r="BB46" i="14" s="1"/>
  <c r="AZ46" i="16" a="1"/>
  <c r="AZ46" i="16" s="1"/>
  <c r="BA46" i="14" a="1"/>
  <c r="BA46" i="14" s="1"/>
  <c r="AT46" i="14" a="1"/>
  <c r="AT46" i="14" s="1"/>
  <c r="AQ46" i="16" a="1"/>
  <c r="AQ46" i="16" s="1"/>
  <c r="BG46" i="14" a="1"/>
  <c r="BG46" i="14" s="1"/>
  <c r="AZ46" i="14" a="1"/>
  <c r="AZ46" i="14" s="1"/>
  <c r="AS46" i="14" a="1"/>
  <c r="AS46" i="14" s="1"/>
  <c r="BK46" i="14" a="1"/>
  <c r="BK46" i="14" s="1"/>
  <c r="BE46" i="14" a="1"/>
  <c r="BE46" i="14" s="1"/>
  <c r="AX46" i="14" a="1"/>
  <c r="AX46" i="14" s="1"/>
  <c r="BH46" i="16" a="1"/>
  <c r="BH46" i="16" s="1"/>
  <c r="BH46" i="13" a="1"/>
  <c r="BH46" i="13" s="1"/>
  <c r="BB46" i="16" a="1"/>
  <c r="BB46" i="16" s="1"/>
  <c r="BI46" i="14" a="1"/>
  <c r="BI46" i="14" s="1"/>
  <c r="AU46" i="14" a="1"/>
  <c r="AU46" i="14" s="1"/>
  <c r="AW46" i="14" a="1"/>
  <c r="AW46" i="14" s="1"/>
  <c r="BJ46" i="14" a="1"/>
  <c r="BJ46" i="14" s="1"/>
  <c r="AV46" i="14" a="1"/>
  <c r="AV46" i="14" s="1"/>
  <c r="BF46" i="14" a="1"/>
  <c r="BF46" i="14" s="1"/>
  <c r="AR46" i="14" a="1"/>
  <c r="AR46" i="14" s="1"/>
  <c r="AQ46" i="14" a="1"/>
  <c r="AQ46" i="14" s="1"/>
  <c r="BD46" i="14" a="1"/>
  <c r="BD46" i="14" s="1"/>
  <c r="AP46" i="14" a="1"/>
  <c r="AP46" i="14" s="1"/>
  <c r="BC46" i="14" a="1"/>
  <c r="BC46" i="14" s="1"/>
  <c r="AY46" i="14" a="1"/>
  <c r="AY46" i="14" s="1"/>
  <c r="BN50" i="12" a="1"/>
  <c r="BN50" i="12" s="1"/>
  <c r="BO50" i="12" a="1"/>
  <c r="BO50" i="12" s="1"/>
  <c r="BM50" i="12" a="1"/>
  <c r="BM50" i="12" s="1"/>
  <c r="BL50" i="12" a="1"/>
  <c r="BL50" i="12" s="1"/>
  <c r="BP50" i="12" a="1"/>
  <c r="BP50" i="12" s="1"/>
  <c r="BQ50" i="12" a="1"/>
  <c r="BQ50" i="12" s="1"/>
  <c r="BR50" i="12" a="1"/>
  <c r="BR50" i="12" s="1"/>
  <c r="BF50" i="12"/>
  <c r="BS50" i="12" a="1"/>
  <c r="BS50" i="12" s="1"/>
  <c r="AY50" i="12"/>
  <c r="BG50" i="12"/>
  <c r="AZ50" i="12"/>
  <c r="BH50" i="12"/>
  <c r="BA50" i="12"/>
  <c r="BB50" i="12"/>
  <c r="BC50" i="12"/>
  <c r="AX50" i="15" a="1"/>
  <c r="AX50" i="15" s="1"/>
  <c r="AR50" i="15" a="1"/>
  <c r="AR50" i="15" s="1"/>
  <c r="BI50" i="15" a="1"/>
  <c r="BI50" i="15" s="1"/>
  <c r="BD50" i="15" a="1"/>
  <c r="BD50" i="15" s="1"/>
  <c r="AQ50" i="15" a="1"/>
  <c r="AQ50" i="15" s="1"/>
  <c r="BH50" i="15" a="1"/>
  <c r="BH50" i="15" s="1"/>
  <c r="BC50" i="15" a="1"/>
  <c r="BC50" i="15" s="1"/>
  <c r="AW50" i="15" a="1"/>
  <c r="AW50" i="15" s="1"/>
  <c r="BE50" i="15" a="1"/>
  <c r="BE50" i="15" s="1"/>
  <c r="AU50" i="15" a="1"/>
  <c r="AU50" i="15" s="1"/>
  <c r="BB50" i="15" a="1"/>
  <c r="BB50" i="15" s="1"/>
  <c r="AT50" i="15" a="1"/>
  <c r="AT50" i="15" s="1"/>
  <c r="BD50" i="12"/>
  <c r="BK50" i="15" a="1"/>
  <c r="BK50" i="15" s="1"/>
  <c r="BA50" i="15" a="1"/>
  <c r="BA50" i="15" s="1"/>
  <c r="AS50" i="15" a="1"/>
  <c r="AS50" i="15" s="1"/>
  <c r="BK50" i="12" a="1"/>
  <c r="BK50" i="12" s="1"/>
  <c r="AV50" i="15" a="1"/>
  <c r="AV50" i="15" s="1"/>
  <c r="BJ50" i="12" a="1"/>
  <c r="BJ50" i="12" s="1"/>
  <c r="BJ50" i="15" a="1"/>
  <c r="BJ50" i="15" s="1"/>
  <c r="AP50" i="15" a="1"/>
  <c r="AP50" i="15" s="1"/>
  <c r="BG50" i="15" a="1"/>
  <c r="BG50" i="15" s="1"/>
  <c r="AY50" i="15" a="1"/>
  <c r="AY50" i="15" s="1"/>
  <c r="BF50" i="15" a="1"/>
  <c r="BF50" i="15" s="1"/>
  <c r="BG50" i="13" a="1"/>
  <c r="BG50" i="13" s="1"/>
  <c r="BA50" i="13" a="1"/>
  <c r="BA50" i="13" s="1"/>
  <c r="AU50" i="13" a="1"/>
  <c r="AU50" i="13" s="1"/>
  <c r="BF50" i="13" a="1"/>
  <c r="BF50" i="13" s="1"/>
  <c r="AZ50" i="13" a="1"/>
  <c r="AZ50" i="13" s="1"/>
  <c r="AT50" i="13" a="1"/>
  <c r="AT50" i="13" s="1"/>
  <c r="BK50" i="13" a="1"/>
  <c r="BK50" i="13" s="1"/>
  <c r="AY50" i="13" a="1"/>
  <c r="AY50" i="13" s="1"/>
  <c r="BH50" i="13" a="1"/>
  <c r="BH50" i="13" s="1"/>
  <c r="AV50" i="13" a="1"/>
  <c r="AV50" i="13" s="1"/>
  <c r="AP50" i="13" a="1"/>
  <c r="AP50" i="13" s="1"/>
  <c r="BB50" i="13" a="1"/>
  <c r="BB50" i="13" s="1"/>
  <c r="AQ50" i="13" a="1"/>
  <c r="AQ50" i="13" s="1"/>
  <c r="BE50" i="12"/>
  <c r="BJ50" i="13" a="1"/>
  <c r="BJ50" i="13" s="1"/>
  <c r="AX50" i="13" a="1"/>
  <c r="AX50" i="13" s="1"/>
  <c r="BC50" i="13" a="1"/>
  <c r="BC50" i="13" s="1"/>
  <c r="AR50" i="13" a="1"/>
  <c r="AR50" i="13" s="1"/>
  <c r="BI50" i="16" a="1"/>
  <c r="BI50" i="16" s="1"/>
  <c r="BI50" i="13" a="1"/>
  <c r="BI50" i="13" s="1"/>
  <c r="AW50" i="13" a="1"/>
  <c r="AW50" i="13" s="1"/>
  <c r="AZ50" i="15" a="1"/>
  <c r="AZ50" i="15" s="1"/>
  <c r="AS50" i="13" a="1"/>
  <c r="AS50" i="13" s="1"/>
  <c r="BJ50" i="16" a="1"/>
  <c r="BJ50" i="16" s="1"/>
  <c r="BC50" i="16" a="1"/>
  <c r="BC50" i="16" s="1"/>
  <c r="AX50" i="16" a="1"/>
  <c r="AX50" i="16" s="1"/>
  <c r="AS50" i="16" a="1"/>
  <c r="AS50" i="16" s="1"/>
  <c r="BE50" i="13" a="1"/>
  <c r="BE50" i="13" s="1"/>
  <c r="BH50" i="16" a="1"/>
  <c r="BH50" i="16" s="1"/>
  <c r="BA50" i="16" a="1"/>
  <c r="BA50" i="16" s="1"/>
  <c r="AT50" i="16" a="1"/>
  <c r="AT50" i="16" s="1"/>
  <c r="BD50" i="13" a="1"/>
  <c r="BD50" i="13" s="1"/>
  <c r="BF50" i="16" a="1"/>
  <c r="BF50" i="16" s="1"/>
  <c r="AY50" i="16" a="1"/>
  <c r="AY50" i="16" s="1"/>
  <c r="AR50" i="16" a="1"/>
  <c r="AR50" i="16" s="1"/>
  <c r="AQ50" i="16" a="1"/>
  <c r="AQ50" i="16" s="1"/>
  <c r="AU50" i="16" a="1"/>
  <c r="AU50" i="16" s="1"/>
  <c r="BG50" i="16" a="1"/>
  <c r="BG50" i="16" s="1"/>
  <c r="BE50" i="16" a="1"/>
  <c r="BE50" i="16" s="1"/>
  <c r="AP50" i="16" a="1"/>
  <c r="AP50" i="16" s="1"/>
  <c r="BD50" i="16" a="1"/>
  <c r="BD50" i="16" s="1"/>
  <c r="AZ50" i="16" a="1"/>
  <c r="AZ50" i="16" s="1"/>
  <c r="BF50" i="14" a="1"/>
  <c r="BF50" i="14" s="1"/>
  <c r="AS50" i="14" a="1"/>
  <c r="AS50" i="14" s="1"/>
  <c r="BK50" i="16" a="1"/>
  <c r="BK50" i="16" s="1"/>
  <c r="BK50" i="14" a="1"/>
  <c r="BK50" i="14" s="1"/>
  <c r="BE50" i="14" a="1"/>
  <c r="BE50" i="14" s="1"/>
  <c r="AY50" i="14" a="1"/>
  <c r="AY50" i="14" s="1"/>
  <c r="AR50" i="14" a="1"/>
  <c r="AR50" i="14" s="1"/>
  <c r="BB50" i="16" a="1"/>
  <c r="BB50" i="16" s="1"/>
  <c r="BD50" i="14" a="1"/>
  <c r="BD50" i="14" s="1"/>
  <c r="AX50" i="14" a="1"/>
  <c r="AX50" i="14" s="1"/>
  <c r="AQ50" i="14" a="1"/>
  <c r="AQ50" i="14" s="1"/>
  <c r="AW50" i="16" a="1"/>
  <c r="AW50" i="16" s="1"/>
  <c r="BJ50" i="14" a="1"/>
  <c r="BJ50" i="14" s="1"/>
  <c r="BC50" i="14" a="1"/>
  <c r="BC50" i="14" s="1"/>
  <c r="AW50" i="14" a="1"/>
  <c r="AW50" i="14" s="1"/>
  <c r="AP50" i="14" a="1"/>
  <c r="AP50" i="14" s="1"/>
  <c r="BI50" i="14" a="1"/>
  <c r="BI50" i="14" s="1"/>
  <c r="AV50" i="14" a="1"/>
  <c r="AV50" i="14" s="1"/>
  <c r="AV50" i="16" a="1"/>
  <c r="AV50" i="16" s="1"/>
  <c r="AZ50" i="14" a="1"/>
  <c r="AZ50" i="14" s="1"/>
  <c r="AT50" i="14" a="1"/>
  <c r="AT50" i="14" s="1"/>
  <c r="AU50" i="14" a="1"/>
  <c r="AU50" i="14" s="1"/>
  <c r="BG50" i="14" a="1"/>
  <c r="BG50" i="14" s="1"/>
  <c r="BB50" i="14" a="1"/>
  <c r="BB50" i="14" s="1"/>
  <c r="BA50" i="14" a="1"/>
  <c r="BA50" i="14" s="1"/>
  <c r="BH50" i="14" a="1"/>
  <c r="BH50" i="14" s="1"/>
  <c r="BP54" i="12" a="1"/>
  <c r="BP54" i="12" s="1"/>
  <c r="BJ54" i="12" a="1"/>
  <c r="BJ54" i="12" s="1"/>
  <c r="H54" i="1" s="1"/>
  <c r="BQ54" i="12" a="1"/>
  <c r="BQ54" i="12" s="1"/>
  <c r="BK54" i="12" a="1"/>
  <c r="BK54" i="12" s="1"/>
  <c r="BR54" i="12" a="1"/>
  <c r="BR54" i="12" s="1"/>
  <c r="BO54" i="12" a="1"/>
  <c r="BO54" i="12" s="1"/>
  <c r="BN54" i="12" a="1"/>
  <c r="BN54" i="12" s="1"/>
  <c r="BS54" i="12" a="1"/>
  <c r="BS54" i="12" s="1"/>
  <c r="BF54" i="12"/>
  <c r="AY54" i="12"/>
  <c r="BG54" i="12"/>
  <c r="AZ54" i="12"/>
  <c r="BH54" i="12"/>
  <c r="BA54" i="12"/>
  <c r="BE54" i="12"/>
  <c r="BL54" i="12" a="1"/>
  <c r="BL54" i="12" s="1"/>
  <c r="BM54" i="12" a="1"/>
  <c r="BM54" i="12" s="1"/>
  <c r="BC54" i="12"/>
  <c r="BD54" i="12"/>
  <c r="BK54" i="15" a="1"/>
  <c r="BK54" i="15" s="1"/>
  <c r="BE54" i="15" a="1"/>
  <c r="BE54" i="15" s="1"/>
  <c r="AS54" i="15" a="1"/>
  <c r="AS54" i="15" s="1"/>
  <c r="BJ54" i="15" a="1"/>
  <c r="BJ54" i="15" s="1"/>
  <c r="AX54" i="15" a="1"/>
  <c r="AX54" i="15" s="1"/>
  <c r="AR54" i="15" a="1"/>
  <c r="AR54" i="15" s="1"/>
  <c r="BI54" i="15" a="1"/>
  <c r="BI54" i="15" s="1"/>
  <c r="BD54" i="15" a="1"/>
  <c r="BD54" i="15" s="1"/>
  <c r="AW54" i="15" a="1"/>
  <c r="AW54" i="15" s="1"/>
  <c r="AQ54" i="15" a="1"/>
  <c r="AQ54" i="15" s="1"/>
  <c r="BC54" i="15" a="1"/>
  <c r="BC54" i="15" s="1"/>
  <c r="BB54" i="12"/>
  <c r="AY54" i="15" a="1"/>
  <c r="AY54" i="15" s="1"/>
  <c r="BH54" i="15" a="1"/>
  <c r="BH54" i="15" s="1"/>
  <c r="AV54" i="15" a="1"/>
  <c r="AV54" i="15" s="1"/>
  <c r="BG54" i="15" a="1"/>
  <c r="BG54" i="15" s="1"/>
  <c r="AU54" i="15" a="1"/>
  <c r="AU54" i="15" s="1"/>
  <c r="AZ54" i="15" a="1"/>
  <c r="AZ54" i="15" s="1"/>
  <c r="BF54" i="15" a="1"/>
  <c r="BF54" i="15" s="1"/>
  <c r="AP54" i="15" a="1"/>
  <c r="AP54" i="15" s="1"/>
  <c r="BB54" i="15" a="1"/>
  <c r="BB54" i="15" s="1"/>
  <c r="BA54" i="15" a="1"/>
  <c r="BA54" i="15" s="1"/>
  <c r="BG54" i="13" a="1"/>
  <c r="BG54" i="13" s="1"/>
  <c r="BA54" i="13" a="1"/>
  <c r="BA54" i="13" s="1"/>
  <c r="BF54" i="13" a="1"/>
  <c r="BF54" i="13" s="1"/>
  <c r="AZ54" i="13" a="1"/>
  <c r="AZ54" i="13" s="1"/>
  <c r="AU54" i="13" a="1"/>
  <c r="AU54" i="13" s="1"/>
  <c r="AP54" i="13" a="1"/>
  <c r="AP54" i="13" s="1"/>
  <c r="AT54" i="13" a="1"/>
  <c r="AT54" i="13" s="1"/>
  <c r="BH54" i="13" a="1"/>
  <c r="BH54" i="13" s="1"/>
  <c r="AV54" i="13" a="1"/>
  <c r="AV54" i="13" s="1"/>
  <c r="AQ54" i="13" a="1"/>
  <c r="AQ54" i="13" s="1"/>
  <c r="BB54" i="13" a="1"/>
  <c r="BB54" i="13" s="1"/>
  <c r="BK54" i="13" a="1"/>
  <c r="BK54" i="13" s="1"/>
  <c r="AY54" i="13" a="1"/>
  <c r="AY54" i="13" s="1"/>
  <c r="BJ54" i="13" a="1"/>
  <c r="BJ54" i="13" s="1"/>
  <c r="AX54" i="13" a="1"/>
  <c r="AX54" i="13" s="1"/>
  <c r="BC54" i="13" a="1"/>
  <c r="BC54" i="13" s="1"/>
  <c r="AR54" i="13" a="1"/>
  <c r="AR54" i="13" s="1"/>
  <c r="AS54" i="13" a="1"/>
  <c r="AS54" i="13" s="1"/>
  <c r="BA54" i="16" a="1"/>
  <c r="BA54" i="16" s="1"/>
  <c r="AV54" i="16" a="1"/>
  <c r="AV54" i="16" s="1"/>
  <c r="AP54" i="16" a="1"/>
  <c r="AP54" i="16" s="1"/>
  <c r="BI54" i="13" a="1"/>
  <c r="BI54" i="13" s="1"/>
  <c r="BK54" i="16" a="1"/>
  <c r="BK54" i="16" s="1"/>
  <c r="BE54" i="16" a="1"/>
  <c r="BE54" i="16" s="1"/>
  <c r="AZ54" i="16" a="1"/>
  <c r="AZ54" i="16" s="1"/>
  <c r="AT54" i="16" a="1"/>
  <c r="AT54" i="16" s="1"/>
  <c r="AT54" i="15" a="1"/>
  <c r="AT54" i="15" s="1"/>
  <c r="AW54" i="13" a="1"/>
  <c r="AW54" i="13" s="1"/>
  <c r="BG54" i="16" a="1"/>
  <c r="BG54" i="16" s="1"/>
  <c r="BF54" i="16" a="1"/>
  <c r="BF54" i="16" s="1"/>
  <c r="BD54" i="16" a="1"/>
  <c r="BD54" i="16" s="1"/>
  <c r="AU54" i="16" a="1"/>
  <c r="AU54" i="16" s="1"/>
  <c r="BC54" i="16" a="1"/>
  <c r="BC54" i="16" s="1"/>
  <c r="AS54" i="16" a="1"/>
  <c r="AS54" i="16" s="1"/>
  <c r="BE54" i="13" a="1"/>
  <c r="BE54" i="13" s="1"/>
  <c r="BH54" i="16" a="1"/>
  <c r="BH54" i="16" s="1"/>
  <c r="AX54" i="16" a="1"/>
  <c r="AX54" i="16" s="1"/>
  <c r="BB54" i="16" a="1"/>
  <c r="BB54" i="16" s="1"/>
  <c r="AW54" i="16" a="1"/>
  <c r="AW54" i="16" s="1"/>
  <c r="AR54" i="16" a="1"/>
  <c r="AR54" i="16" s="1"/>
  <c r="BK54" i="14" a="1"/>
  <c r="BK54" i="14" s="1"/>
  <c r="BE54" i="14" a="1"/>
  <c r="BE54" i="14" s="1"/>
  <c r="AY54" i="14" a="1"/>
  <c r="AY54" i="14" s="1"/>
  <c r="AS54" i="14" a="1"/>
  <c r="AS54" i="14" s="1"/>
  <c r="AQ54" i="16" a="1"/>
  <c r="AQ54" i="16" s="1"/>
  <c r="BJ54" i="14" a="1"/>
  <c r="BJ54" i="14" s="1"/>
  <c r="BD54" i="14" a="1"/>
  <c r="BD54" i="14" s="1"/>
  <c r="AX54" i="14" a="1"/>
  <c r="AX54" i="14" s="1"/>
  <c r="BI54" i="14" a="1"/>
  <c r="BI54" i="14" s="1"/>
  <c r="AR54" i="14" a="1"/>
  <c r="AR54" i="14" s="1"/>
  <c r="BJ54" i="16" a="1"/>
  <c r="BJ54" i="16" s="1"/>
  <c r="BC54" i="14" a="1"/>
  <c r="BC54" i="14" s="1"/>
  <c r="AW54" i="14" a="1"/>
  <c r="AW54" i="14" s="1"/>
  <c r="AQ54" i="14" a="1"/>
  <c r="AQ54" i="14" s="1"/>
  <c r="BH54" i="14" a="1"/>
  <c r="BH54" i="14" s="1"/>
  <c r="BB54" i="14" a="1"/>
  <c r="BB54" i="14" s="1"/>
  <c r="AP54" i="14" a="1"/>
  <c r="AP54" i="14" s="1"/>
  <c r="BD54" i="13" a="1"/>
  <c r="BD54" i="13" s="1"/>
  <c r="BI54" i="16" a="1"/>
  <c r="BI54" i="16" s="1"/>
  <c r="AY54" i="16" a="1"/>
  <c r="AY54" i="16" s="1"/>
  <c r="AZ54" i="14" a="1"/>
  <c r="AZ54" i="14" s="1"/>
  <c r="AT54" i="14" a="1"/>
  <c r="AT54" i="14" s="1"/>
  <c r="BG54" i="14" a="1"/>
  <c r="BG54" i="14" s="1"/>
  <c r="BA54" i="14" a="1"/>
  <c r="BA54" i="14" s="1"/>
  <c r="BF54" i="14" a="1"/>
  <c r="BF54" i="14" s="1"/>
  <c r="AV54" i="14" a="1"/>
  <c r="AV54" i="14" s="1"/>
  <c r="AU54" i="14" a="1"/>
  <c r="AU54" i="14" s="1"/>
  <c r="BQ58" i="12" a="1"/>
  <c r="BQ58" i="12" s="1"/>
  <c r="BJ58" i="12" a="1"/>
  <c r="BJ58" i="12" s="1"/>
  <c r="BR58" i="12" a="1"/>
  <c r="BR58" i="12" s="1"/>
  <c r="BK58" i="12" a="1"/>
  <c r="BK58" i="12" s="1"/>
  <c r="BS58" i="12" a="1"/>
  <c r="BS58" i="12" s="1"/>
  <c r="BP58" i="12" a="1"/>
  <c r="BP58" i="12" s="1"/>
  <c r="BO58" i="12" a="1"/>
  <c r="BO58" i="12" s="1"/>
  <c r="BF58" i="12"/>
  <c r="AY58" i="12"/>
  <c r="BG58" i="12"/>
  <c r="AZ58" i="12"/>
  <c r="BH58" i="12"/>
  <c r="BL58" i="12" a="1"/>
  <c r="BL58" i="12" s="1"/>
  <c r="BA58" i="12"/>
  <c r="BM58" i="12" a="1"/>
  <c r="BM58" i="12" s="1"/>
  <c r="BB58" i="12"/>
  <c r="BN58" i="12" a="1"/>
  <c r="BN58" i="12" s="1"/>
  <c r="BC58" i="12"/>
  <c r="BJ58" i="15" a="1"/>
  <c r="BJ58" i="15" s="1"/>
  <c r="BD58" i="15" a="1"/>
  <c r="BD58" i="15" s="1"/>
  <c r="AX58" i="15" a="1"/>
  <c r="AX58" i="15" s="1"/>
  <c r="AR58" i="15" a="1"/>
  <c r="AR58" i="15" s="1"/>
  <c r="BD58" i="12"/>
  <c r="BI58" i="15" a="1"/>
  <c r="BI58" i="15" s="1"/>
  <c r="BC58" i="15" a="1"/>
  <c r="BC58" i="15" s="1"/>
  <c r="AQ58" i="15" a="1"/>
  <c r="AQ58" i="15" s="1"/>
  <c r="BE58" i="12"/>
  <c r="BH58" i="15" a="1"/>
  <c r="BH58" i="15" s="1"/>
  <c r="AW58" i="15" a="1"/>
  <c r="AW58" i="15" s="1"/>
  <c r="BG58" i="15" a="1"/>
  <c r="BG58" i="15" s="1"/>
  <c r="BB58" i="15" a="1"/>
  <c r="BB58" i="15" s="1"/>
  <c r="AV58" i="15" a="1"/>
  <c r="AV58" i="15" s="1"/>
  <c r="AP58" i="15" a="1"/>
  <c r="AP58" i="15" s="1"/>
  <c r="AS58" i="15" a="1"/>
  <c r="AS58" i="15" s="1"/>
  <c r="BA58" i="15" a="1"/>
  <c r="BA58" i="15" s="1"/>
  <c r="AZ58" i="15" a="1"/>
  <c r="AZ58" i="15" s="1"/>
  <c r="BE58" i="15" a="1"/>
  <c r="BE58" i="15" s="1"/>
  <c r="AT58" i="15" a="1"/>
  <c r="AT58" i="15" s="1"/>
  <c r="BK58" i="15" a="1"/>
  <c r="BK58" i="15" s="1"/>
  <c r="AU58" i="15" a="1"/>
  <c r="AU58" i="15" s="1"/>
  <c r="BF58" i="15" a="1"/>
  <c r="BF58" i="15" s="1"/>
  <c r="BH58" i="13" a="1"/>
  <c r="BH58" i="13" s="1"/>
  <c r="BC58" i="13" a="1"/>
  <c r="BC58" i="13" s="1"/>
  <c r="AR58" i="13" a="1"/>
  <c r="AR58" i="13" s="1"/>
  <c r="BB58" i="13" a="1"/>
  <c r="BB58" i="13" s="1"/>
  <c r="AW58" i="13" a="1"/>
  <c r="AW58" i="13" s="1"/>
  <c r="BG58" i="13" a="1"/>
  <c r="BG58" i="13" s="1"/>
  <c r="AV58" i="13" a="1"/>
  <c r="AV58" i="13" s="1"/>
  <c r="AQ58" i="13" a="1"/>
  <c r="AQ58" i="13" s="1"/>
  <c r="BI58" i="13" a="1"/>
  <c r="BI58" i="13" s="1"/>
  <c r="AX58" i="13" a="1"/>
  <c r="AX58" i="13" s="1"/>
  <c r="AS58" i="13" a="1"/>
  <c r="AS58" i="13" s="1"/>
  <c r="AY58" i="15" a="1"/>
  <c r="AY58" i="15" s="1"/>
  <c r="BD58" i="13" a="1"/>
  <c r="BD58" i="13" s="1"/>
  <c r="BA58" i="13" a="1"/>
  <c r="BA58" i="13" s="1"/>
  <c r="AP58" i="13" a="1"/>
  <c r="AP58" i="13" s="1"/>
  <c r="BK58" i="13" a="1"/>
  <c r="BK58" i="13" s="1"/>
  <c r="AZ58" i="13" a="1"/>
  <c r="AZ58" i="13" s="1"/>
  <c r="BE58" i="13" a="1"/>
  <c r="BE58" i="13" s="1"/>
  <c r="AT58" i="13" a="1"/>
  <c r="AT58" i="13" s="1"/>
  <c r="BF58" i="16" a="1"/>
  <c r="BF58" i="16" s="1"/>
  <c r="AZ58" i="16" a="1"/>
  <c r="AZ58" i="16" s="1"/>
  <c r="AT58" i="16" a="1"/>
  <c r="AT58" i="16" s="1"/>
  <c r="BJ58" i="13" a="1"/>
  <c r="BJ58" i="13" s="1"/>
  <c r="BJ58" i="16" a="1"/>
  <c r="BJ58" i="16" s="1"/>
  <c r="BE58" i="16" a="1"/>
  <c r="BE58" i="16" s="1"/>
  <c r="AR58" i="16" a="1"/>
  <c r="AR58" i="16" s="1"/>
  <c r="AU58" i="13" a="1"/>
  <c r="AU58" i="13" s="1"/>
  <c r="BG58" i="16" a="1"/>
  <c r="BG58" i="16" s="1"/>
  <c r="BA58" i="16" a="1"/>
  <c r="BA58" i="16" s="1"/>
  <c r="BF58" i="13" a="1"/>
  <c r="BF58" i="13" s="1"/>
  <c r="AX58" i="16" a="1"/>
  <c r="AX58" i="16" s="1"/>
  <c r="AY58" i="13" a="1"/>
  <c r="AY58" i="13" s="1"/>
  <c r="AV58" i="16" a="1"/>
  <c r="AV58" i="16" s="1"/>
  <c r="AU58" i="16" a="1"/>
  <c r="AU58" i="16" s="1"/>
  <c r="BI58" i="16" a="1"/>
  <c r="BI58" i="16" s="1"/>
  <c r="AY58" i="16" a="1"/>
  <c r="AY58" i="16" s="1"/>
  <c r="AW58" i="16" a="1"/>
  <c r="AW58" i="16" s="1"/>
  <c r="AS58" i="16" a="1"/>
  <c r="AS58" i="16" s="1"/>
  <c r="BK58" i="16" a="1"/>
  <c r="BK58" i="16" s="1"/>
  <c r="AQ58" i="16" a="1"/>
  <c r="AQ58" i="16" s="1"/>
  <c r="BH58" i="16" a="1"/>
  <c r="BH58" i="16" s="1"/>
  <c r="BF58" i="14" a="1"/>
  <c r="BF58" i="14" s="1"/>
  <c r="AZ58" i="14" a="1"/>
  <c r="AZ58" i="14" s="1"/>
  <c r="AT58" i="14" a="1"/>
  <c r="AT58" i="14" s="1"/>
  <c r="BK58" i="14" a="1"/>
  <c r="BK58" i="14" s="1"/>
  <c r="BE58" i="14" a="1"/>
  <c r="BE58" i="14" s="1"/>
  <c r="AS58" i="14" a="1"/>
  <c r="AS58" i="14" s="1"/>
  <c r="BJ58" i="14" a="1"/>
  <c r="BJ58" i="14" s="1"/>
  <c r="AY58" i="14" a="1"/>
  <c r="AY58" i="14" s="1"/>
  <c r="BD58" i="16" a="1"/>
  <c r="BD58" i="16" s="1"/>
  <c r="BI58" i="14" a="1"/>
  <c r="BI58" i="14" s="1"/>
  <c r="BD58" i="14" a="1"/>
  <c r="BD58" i="14" s="1"/>
  <c r="AX58" i="14" a="1"/>
  <c r="AX58" i="14" s="1"/>
  <c r="AR58" i="14" a="1"/>
  <c r="AR58" i="14" s="1"/>
  <c r="BC58" i="16" a="1"/>
  <c r="BC58" i="16" s="1"/>
  <c r="AW58" i="14" a="1"/>
  <c r="AW58" i="14" s="1"/>
  <c r="BB58" i="16" a="1"/>
  <c r="BB58" i="16" s="1"/>
  <c r="AP58" i="16" a="1"/>
  <c r="AP58" i="16" s="1"/>
  <c r="BG58" i="14" a="1"/>
  <c r="BG58" i="14" s="1"/>
  <c r="BA58" i="14" a="1"/>
  <c r="BA58" i="14" s="1"/>
  <c r="AU58" i="14" a="1"/>
  <c r="AU58" i="14" s="1"/>
  <c r="AP58" i="14" a="1"/>
  <c r="AP58" i="14" s="1"/>
  <c r="AV58" i="14" a="1"/>
  <c r="AV58" i="14" s="1"/>
  <c r="AQ58" i="14" a="1"/>
  <c r="AQ58" i="14" s="1"/>
  <c r="BC58" i="14" a="1"/>
  <c r="BC58" i="14" s="1"/>
  <c r="BB58" i="14" a="1"/>
  <c r="BB58" i="14" s="1"/>
  <c r="BH58" i="14" a="1"/>
  <c r="BH58" i="14" s="1"/>
  <c r="BN62" i="12" a="1"/>
  <c r="BN62" i="12" s="1"/>
  <c r="BO62" i="12" a="1"/>
  <c r="BO62" i="12" s="1"/>
  <c r="BM62" i="12" a="1"/>
  <c r="BM62" i="12" s="1"/>
  <c r="BS62" i="12" a="1"/>
  <c r="BS62" i="12" s="1"/>
  <c r="BJ62" i="12" a="1"/>
  <c r="BJ62" i="12" s="1"/>
  <c r="BK62" i="12" a="1"/>
  <c r="BK62" i="12" s="1"/>
  <c r="BF62" i="12"/>
  <c r="BL62" i="12" a="1"/>
  <c r="BL62" i="12" s="1"/>
  <c r="AY62" i="12"/>
  <c r="BG62" i="12"/>
  <c r="BP62" i="12" a="1"/>
  <c r="BP62" i="12" s="1"/>
  <c r="AZ62" i="12"/>
  <c r="BH62" i="12"/>
  <c r="BQ62" i="12" a="1"/>
  <c r="BQ62" i="12" s="1"/>
  <c r="BR62" i="12" a="1"/>
  <c r="BR62" i="12" s="1"/>
  <c r="BA62" i="12"/>
  <c r="BB62" i="12"/>
  <c r="BE62" i="15" a="1"/>
  <c r="BE62" i="15" s="1"/>
  <c r="AS62" i="15" a="1"/>
  <c r="AS62" i="15" s="1"/>
  <c r="BJ62" i="15" a="1"/>
  <c r="BJ62" i="15" s="1"/>
  <c r="BD62" i="15" a="1"/>
  <c r="BD62" i="15" s="1"/>
  <c r="AX62" i="15" a="1"/>
  <c r="AX62" i="15" s="1"/>
  <c r="BI62" i="15" a="1"/>
  <c r="BI62" i="15" s="1"/>
  <c r="BC62" i="15" a="1"/>
  <c r="BC62" i="15" s="1"/>
  <c r="AR62" i="15" a="1"/>
  <c r="AR62" i="15" s="1"/>
  <c r="BH62" i="15" a="1"/>
  <c r="BH62" i="15" s="1"/>
  <c r="BB62" i="15" a="1"/>
  <c r="BB62" i="15" s="1"/>
  <c r="AW62" i="15" a="1"/>
  <c r="AW62" i="15" s="1"/>
  <c r="AQ62" i="15" a="1"/>
  <c r="AQ62" i="15" s="1"/>
  <c r="BK62" i="15" a="1"/>
  <c r="BK62" i="15" s="1"/>
  <c r="AY62" i="15" a="1"/>
  <c r="AY62" i="15" s="1"/>
  <c r="BG62" i="15" a="1"/>
  <c r="BG62" i="15" s="1"/>
  <c r="BC62" i="12"/>
  <c r="AV62" i="15" a="1"/>
  <c r="AV62" i="15" s="1"/>
  <c r="AZ62" i="15" a="1"/>
  <c r="AZ62" i="15" s="1"/>
  <c r="BA62" i="15" a="1"/>
  <c r="BA62" i="15" s="1"/>
  <c r="AU62" i="15" a="1"/>
  <c r="AU62" i="15" s="1"/>
  <c r="AT62" i="15" a="1"/>
  <c r="AT62" i="15" s="1"/>
  <c r="BK62" i="13" a="1"/>
  <c r="BK62" i="13" s="1"/>
  <c r="BD62" i="12"/>
  <c r="BE62" i="12"/>
  <c r="BF62" i="15" a="1"/>
  <c r="BF62" i="15" s="1"/>
  <c r="BE62" i="13" a="1"/>
  <c r="BE62" i="13" s="1"/>
  <c r="AZ62" i="13" a="1"/>
  <c r="AZ62" i="13" s="1"/>
  <c r="BJ62" i="13" a="1"/>
  <c r="BJ62" i="13" s="1"/>
  <c r="BD62" i="13" a="1"/>
  <c r="BD62" i="13" s="1"/>
  <c r="AY62" i="13" a="1"/>
  <c r="AY62" i="13" s="1"/>
  <c r="AS62" i="13" a="1"/>
  <c r="AS62" i="13" s="1"/>
  <c r="AP62" i="15" a="1"/>
  <c r="AP62" i="15" s="1"/>
  <c r="AX62" i="13" a="1"/>
  <c r="AX62" i="13" s="1"/>
  <c r="AR62" i="13" a="1"/>
  <c r="AR62" i="13" s="1"/>
  <c r="BF62" i="13" a="1"/>
  <c r="BF62" i="13" s="1"/>
  <c r="BA62" i="13" a="1"/>
  <c r="BA62" i="13" s="1"/>
  <c r="AT62" i="13" a="1"/>
  <c r="AT62" i="13" s="1"/>
  <c r="AU62" i="13" a="1"/>
  <c r="AU62" i="13" s="1"/>
  <c r="BC62" i="13" a="1"/>
  <c r="BC62" i="13" s="1"/>
  <c r="AQ62" i="13" a="1"/>
  <c r="AQ62" i="13" s="1"/>
  <c r="BG62" i="13" a="1"/>
  <c r="BG62" i="13" s="1"/>
  <c r="AV62" i="13" a="1"/>
  <c r="AV62" i="13" s="1"/>
  <c r="AW62" i="13" a="1"/>
  <c r="AW62" i="13" s="1"/>
  <c r="BA62" i="16" a="1"/>
  <c r="BA62" i="16" s="1"/>
  <c r="AU62" i="16" a="1"/>
  <c r="AU62" i="16" s="1"/>
  <c r="AP62" i="13" a="1"/>
  <c r="AP62" i="13" s="1"/>
  <c r="BK62" i="16" a="1"/>
  <c r="BK62" i="16" s="1"/>
  <c r="BE62" i="16" a="1"/>
  <c r="BE62" i="16" s="1"/>
  <c r="AY62" i="16" a="1"/>
  <c r="AY62" i="16" s="1"/>
  <c r="BG62" i="16" a="1"/>
  <c r="BG62" i="16" s="1"/>
  <c r="BB62" i="16" a="1"/>
  <c r="BB62" i="16" s="1"/>
  <c r="AV62" i="16" a="1"/>
  <c r="AV62" i="16" s="1"/>
  <c r="BJ62" i="16" a="1"/>
  <c r="BJ62" i="16" s="1"/>
  <c r="AR62" i="16" a="1"/>
  <c r="AR62" i="16" s="1"/>
  <c r="AP62" i="16" a="1"/>
  <c r="AP62" i="16" s="1"/>
  <c r="BH62" i="16" a="1"/>
  <c r="BH62" i="16" s="1"/>
  <c r="AX62" i="16" a="1"/>
  <c r="AX62" i="16" s="1"/>
  <c r="BI62" i="13" a="1"/>
  <c r="BI62" i="13" s="1"/>
  <c r="BC62" i="16" a="1"/>
  <c r="BC62" i="16" s="1"/>
  <c r="AS62" i="16" a="1"/>
  <c r="AS62" i="16" s="1"/>
  <c r="BI62" i="16" a="1"/>
  <c r="BI62" i="16" s="1"/>
  <c r="AQ62" i="16" a="1"/>
  <c r="AQ62" i="16" s="1"/>
  <c r="BH62" i="13" a="1"/>
  <c r="BH62" i="13" s="1"/>
  <c r="BF62" i="16" a="1"/>
  <c r="BF62" i="16" s="1"/>
  <c r="BB62" i="13" a="1"/>
  <c r="BB62" i="13" s="1"/>
  <c r="AZ62" i="16" a="1"/>
  <c r="AZ62" i="16" s="1"/>
  <c r="BH62" i="14" a="1"/>
  <c r="BH62" i="14" s="1"/>
  <c r="BB62" i="14" a="1"/>
  <c r="BB62" i="14" s="1"/>
  <c r="AV62" i="14" a="1"/>
  <c r="AV62" i="14" s="1"/>
  <c r="BA62" i="14" a="1"/>
  <c r="BA62" i="14" s="1"/>
  <c r="AU62" i="14" a="1"/>
  <c r="AU62" i="14" s="1"/>
  <c r="BD62" i="16" a="1"/>
  <c r="BD62" i="16" s="1"/>
  <c r="BG62" i="14" a="1"/>
  <c r="BG62" i="14" s="1"/>
  <c r="AZ62" i="14" a="1"/>
  <c r="AZ62" i="14" s="1"/>
  <c r="AT62" i="14" a="1"/>
  <c r="AT62" i="14" s="1"/>
  <c r="BF62" i="14" a="1"/>
  <c r="BF62" i="14" s="1"/>
  <c r="AS62" i="14" a="1"/>
  <c r="AS62" i="14" s="1"/>
  <c r="AW62" i="16" a="1"/>
  <c r="AW62" i="16" s="1"/>
  <c r="BE62" i="14" a="1"/>
  <c r="BE62" i="14" s="1"/>
  <c r="AY62" i="14" a="1"/>
  <c r="AY62" i="14" s="1"/>
  <c r="AR62" i="14" a="1"/>
  <c r="AR62" i="14" s="1"/>
  <c r="AT62" i="16" a="1"/>
  <c r="AT62" i="16" s="1"/>
  <c r="BI62" i="14" a="1"/>
  <c r="BI62" i="14" s="1"/>
  <c r="BC62" i="14" a="1"/>
  <c r="BC62" i="14" s="1"/>
  <c r="AP62" i="14" a="1"/>
  <c r="AP62" i="14" s="1"/>
  <c r="BK62" i="14" a="1"/>
  <c r="BK62" i="14" s="1"/>
  <c r="BD62" i="14" a="1"/>
  <c r="BD62" i="14" s="1"/>
  <c r="BJ62" i="14" a="1"/>
  <c r="BJ62" i="14" s="1"/>
  <c r="AX62" i="14" a="1"/>
  <c r="AX62" i="14" s="1"/>
  <c r="AW62" i="14" a="1"/>
  <c r="AW62" i="14" s="1"/>
  <c r="AQ62" i="14" a="1"/>
  <c r="AQ62" i="14" s="1"/>
  <c r="BM66" i="12" a="1"/>
  <c r="BM66" i="12" s="1"/>
  <c r="BN66" i="12" a="1"/>
  <c r="BN66" i="12" s="1"/>
  <c r="BO66" i="12" a="1"/>
  <c r="BO66" i="12" s="1"/>
  <c r="BL66" i="12" a="1"/>
  <c r="BL66" i="12" s="1"/>
  <c r="BK66" i="12" a="1"/>
  <c r="BK66" i="12" s="1"/>
  <c r="BP66" i="12" a="1"/>
  <c r="BP66" i="12" s="1"/>
  <c r="BQ66" i="12" a="1"/>
  <c r="BQ66" i="12" s="1"/>
  <c r="BS66" i="12" a="1"/>
  <c r="BS66" i="12" s="1"/>
  <c r="BF66" i="12"/>
  <c r="AY66" i="12"/>
  <c r="BG66" i="12"/>
  <c r="AZ66" i="12"/>
  <c r="BH66" i="12"/>
  <c r="BR66" i="12" a="1"/>
  <c r="BR66" i="12" s="1"/>
  <c r="BA66" i="12"/>
  <c r="BE66" i="12"/>
  <c r="BH66" i="15" a="1"/>
  <c r="BH66" i="15" s="1"/>
  <c r="BA66" i="15" a="1"/>
  <c r="BA66" i="15" s="1"/>
  <c r="AU66" i="15" a="1"/>
  <c r="AU66" i="15" s="1"/>
  <c r="BB66" i="12"/>
  <c r="BG66" i="15" a="1"/>
  <c r="BG66" i="15" s="1"/>
  <c r="AZ66" i="15" a="1"/>
  <c r="AZ66" i="15" s="1"/>
  <c r="AT66" i="15" a="1"/>
  <c r="AT66" i="15" s="1"/>
  <c r="BC66" i="12"/>
  <c r="AY66" i="15" a="1"/>
  <c r="AY66" i="15" s="1"/>
  <c r="BD66" i="12"/>
  <c r="BF66" i="15" a="1"/>
  <c r="BF66" i="15" s="1"/>
  <c r="AX66" i="15" a="1"/>
  <c r="AX66" i="15" s="1"/>
  <c r="AS66" i="15" a="1"/>
  <c r="AS66" i="15" s="1"/>
  <c r="BB66" i="15" a="1"/>
  <c r="BB66" i="15" s="1"/>
  <c r="AP66" i="15" a="1"/>
  <c r="AP66" i="15" s="1"/>
  <c r="BK66" i="15" a="1"/>
  <c r="BK66" i="15" s="1"/>
  <c r="AW66" i="15" a="1"/>
  <c r="AW66" i="15" s="1"/>
  <c r="BC66" i="15" a="1"/>
  <c r="BC66" i="15" s="1"/>
  <c r="BD66" i="15" a="1"/>
  <c r="BD66" i="15" s="1"/>
  <c r="AV66" i="15" a="1"/>
  <c r="AV66" i="15" s="1"/>
  <c r="BE66" i="15" a="1"/>
  <c r="BE66" i="15" s="1"/>
  <c r="AQ66" i="15" a="1"/>
  <c r="AQ66" i="15" s="1"/>
  <c r="BG66" i="13" a="1"/>
  <c r="BG66" i="13" s="1"/>
  <c r="AZ66" i="13" a="1"/>
  <c r="AZ66" i="13" s="1"/>
  <c r="BJ66" i="12" a="1"/>
  <c r="BJ66" i="12" s="1"/>
  <c r="BF66" i="13" a="1"/>
  <c r="BF66" i="13" s="1"/>
  <c r="AR66" i="13" a="1"/>
  <c r="AR66" i="13" s="1"/>
  <c r="BE66" i="13" a="1"/>
  <c r="BE66" i="13" s="1"/>
  <c r="AX66" i="13" a="1"/>
  <c r="AX66" i="13" s="1"/>
  <c r="BJ66" i="15" a="1"/>
  <c r="BJ66" i="15" s="1"/>
  <c r="BD66" i="13" a="1"/>
  <c r="BD66" i="13" s="1"/>
  <c r="AQ66" i="13" a="1"/>
  <c r="AQ66" i="13" s="1"/>
  <c r="BH66" i="13" a="1"/>
  <c r="BH66" i="13" s="1"/>
  <c r="AY66" i="13" a="1"/>
  <c r="AY66" i="13" s="1"/>
  <c r="AS66" i="13" a="1"/>
  <c r="AS66" i="13" s="1"/>
  <c r="BI66" i="13" a="1"/>
  <c r="BI66" i="13" s="1"/>
  <c r="AT66" i="13" a="1"/>
  <c r="AT66" i="13" s="1"/>
  <c r="BI66" i="15" a="1"/>
  <c r="BI66" i="15" s="1"/>
  <c r="AP66" i="13" a="1"/>
  <c r="AP66" i="13" s="1"/>
  <c r="AR66" i="15" a="1"/>
  <c r="AR66" i="15" s="1"/>
  <c r="BC66" i="13" a="1"/>
  <c r="BC66" i="13" s="1"/>
  <c r="BJ66" i="13" a="1"/>
  <c r="BJ66" i="13" s="1"/>
  <c r="AU66" i="13" a="1"/>
  <c r="AU66" i="13" s="1"/>
  <c r="BK66" i="13" a="1"/>
  <c r="BK66" i="13" s="1"/>
  <c r="BI66" i="16" a="1"/>
  <c r="BI66" i="16" s="1"/>
  <c r="AX66" i="16" a="1"/>
  <c r="AX66" i="16" s="1"/>
  <c r="AR66" i="16" a="1"/>
  <c r="AR66" i="16" s="1"/>
  <c r="BB66" i="13" a="1"/>
  <c r="BB66" i="13" s="1"/>
  <c r="BA66" i="13" a="1"/>
  <c r="BA66" i="13" s="1"/>
  <c r="BG66" i="16" a="1"/>
  <c r="BG66" i="16" s="1"/>
  <c r="BB66" i="16" a="1"/>
  <c r="BB66" i="16" s="1"/>
  <c r="AW66" i="16" a="1"/>
  <c r="AW66" i="16" s="1"/>
  <c r="AP66" i="16" a="1"/>
  <c r="AP66" i="16" s="1"/>
  <c r="BD66" i="16" a="1"/>
  <c r="BD66" i="16" s="1"/>
  <c r="AS66" i="16" a="1"/>
  <c r="AS66" i="16" s="1"/>
  <c r="BJ66" i="16" a="1"/>
  <c r="BJ66" i="16" s="1"/>
  <c r="BA66" i="16" a="1"/>
  <c r="BA66" i="16" s="1"/>
  <c r="AQ66" i="16" a="1"/>
  <c r="AQ66" i="16" s="1"/>
  <c r="AY66" i="16" a="1"/>
  <c r="AY66" i="16" s="1"/>
  <c r="AW66" i="13" a="1"/>
  <c r="AW66" i="13" s="1"/>
  <c r="BF66" i="16" a="1"/>
  <c r="BF66" i="16" s="1"/>
  <c r="AV66" i="13" a="1"/>
  <c r="AV66" i="13" s="1"/>
  <c r="AZ66" i="16" a="1"/>
  <c r="AZ66" i="16" s="1"/>
  <c r="BG66" i="14" a="1"/>
  <c r="BG66" i="14" s="1"/>
  <c r="AZ66" i="14" a="1"/>
  <c r="AZ66" i="14" s="1"/>
  <c r="AT66" i="14" a="1"/>
  <c r="AT66" i="14" s="1"/>
  <c r="AV66" i="16" a="1"/>
  <c r="AV66" i="16" s="1"/>
  <c r="BF66" i="14" a="1"/>
  <c r="BF66" i="14" s="1"/>
  <c r="AY66" i="14" a="1"/>
  <c r="AY66" i="14" s="1"/>
  <c r="AS66" i="14" a="1"/>
  <c r="AS66" i="14" s="1"/>
  <c r="AU66" i="16" a="1"/>
  <c r="AU66" i="16" s="1"/>
  <c r="BE66" i="14" a="1"/>
  <c r="BE66" i="14" s="1"/>
  <c r="AX66" i="14" a="1"/>
  <c r="AX66" i="14" s="1"/>
  <c r="AR66" i="14" a="1"/>
  <c r="AR66" i="14" s="1"/>
  <c r="BH66" i="16" a="1"/>
  <c r="BH66" i="16" s="1"/>
  <c r="BE66" i="16" a="1"/>
  <c r="BE66" i="16" s="1"/>
  <c r="BI66" i="14" a="1"/>
  <c r="BI66" i="14" s="1"/>
  <c r="AW66" i="14" a="1"/>
  <c r="AW66" i="14" s="1"/>
  <c r="BC66" i="16" a="1"/>
  <c r="BC66" i="16" s="1"/>
  <c r="BH66" i="14" a="1"/>
  <c r="BH66" i="14" s="1"/>
  <c r="AV66" i="14" a="1"/>
  <c r="AV66" i="14" s="1"/>
  <c r="AT66" i="16" a="1"/>
  <c r="AT66" i="16" s="1"/>
  <c r="BD66" i="14" a="1"/>
  <c r="BD66" i="14" s="1"/>
  <c r="BC66" i="14" a="1"/>
  <c r="BC66" i="14" s="1"/>
  <c r="AU66" i="14" a="1"/>
  <c r="AU66" i="14" s="1"/>
  <c r="BK66" i="16" a="1"/>
  <c r="BK66" i="16" s="1"/>
  <c r="AQ66" i="14" a="1"/>
  <c r="AQ66" i="14" s="1"/>
  <c r="AP66" i="14" a="1"/>
  <c r="AP66" i="14" s="1"/>
  <c r="BJ66" i="14" a="1"/>
  <c r="BJ66" i="14" s="1"/>
  <c r="BB66" i="14" a="1"/>
  <c r="BB66" i="14" s="1"/>
  <c r="BA66" i="14" a="1"/>
  <c r="BA66" i="14" s="1"/>
  <c r="BK66" i="14" a="1"/>
  <c r="BK66" i="14" s="1"/>
  <c r="BL70" i="12" a="1"/>
  <c r="BL70" i="12" s="1"/>
  <c r="BR70" i="12" a="1"/>
  <c r="BR70" i="12" s="1"/>
  <c r="BM70" i="12" a="1"/>
  <c r="BM70" i="12" s="1"/>
  <c r="BS70" i="12" a="1"/>
  <c r="BS70" i="12" s="1"/>
  <c r="BN70" i="12" a="1"/>
  <c r="BN70" i="12" s="1"/>
  <c r="BK70" i="12" a="1"/>
  <c r="BK70" i="12" s="1"/>
  <c r="BQ70" i="12" a="1"/>
  <c r="BQ70" i="12" s="1"/>
  <c r="O70" i="1" s="1"/>
  <c r="BF70" i="12"/>
  <c r="AY70" i="12"/>
  <c r="BG70" i="12"/>
  <c r="BJ70" i="12" a="1"/>
  <c r="BJ70" i="12" s="1"/>
  <c r="AZ70" i="12"/>
  <c r="BH70" i="12"/>
  <c r="BP70" i="12" a="1"/>
  <c r="BP70" i="12" s="1"/>
  <c r="BD70" i="12"/>
  <c r="BE70" i="12"/>
  <c r="BK70" i="15" a="1"/>
  <c r="BK70" i="15" s="1"/>
  <c r="BE70" i="15" a="1"/>
  <c r="BE70" i="15" s="1"/>
  <c r="AY70" i="15" a="1"/>
  <c r="AY70" i="15" s="1"/>
  <c r="AS70" i="15" a="1"/>
  <c r="AS70" i="15" s="1"/>
  <c r="BD70" i="15" a="1"/>
  <c r="BD70" i="15" s="1"/>
  <c r="AX70" i="15" a="1"/>
  <c r="AX70" i="15" s="1"/>
  <c r="AR70" i="15" a="1"/>
  <c r="AR70" i="15" s="1"/>
  <c r="BJ70" i="15" a="1"/>
  <c r="BJ70" i="15" s="1"/>
  <c r="BC70" i="15" a="1"/>
  <c r="BC70" i="15" s="1"/>
  <c r="BI70" i="15" a="1"/>
  <c r="BI70" i="15" s="1"/>
  <c r="AW70" i="15" a="1"/>
  <c r="AW70" i="15" s="1"/>
  <c r="AQ70" i="15" a="1"/>
  <c r="AQ70" i="15" s="1"/>
  <c r="BO70" i="12" a="1"/>
  <c r="BO70" i="12" s="1"/>
  <c r="BC70" i="12"/>
  <c r="AZ70" i="15" a="1"/>
  <c r="AZ70" i="15" s="1"/>
  <c r="BH70" i="15" a="1"/>
  <c r="BH70" i="15" s="1"/>
  <c r="AV70" i="15" a="1"/>
  <c r="AV70" i="15" s="1"/>
  <c r="BG70" i="15" a="1"/>
  <c r="BG70" i="15" s="1"/>
  <c r="AU70" i="15" a="1"/>
  <c r="AU70" i="15" s="1"/>
  <c r="BB70" i="12"/>
  <c r="BA70" i="15" a="1"/>
  <c r="BA70" i="15" s="1"/>
  <c r="BF70" i="15" a="1"/>
  <c r="BF70" i="15" s="1"/>
  <c r="AP70" i="15" a="1"/>
  <c r="AP70" i="15" s="1"/>
  <c r="BI70" i="13" a="1"/>
  <c r="BI70" i="13" s="1"/>
  <c r="BC70" i="13" a="1"/>
  <c r="BC70" i="13" s="1"/>
  <c r="AQ70" i="13" a="1"/>
  <c r="AQ70" i="13" s="1"/>
  <c r="BH70" i="13" a="1"/>
  <c r="BH70" i="13" s="1"/>
  <c r="AW70" i="13" a="1"/>
  <c r="AW70" i="13" s="1"/>
  <c r="AP70" i="13" a="1"/>
  <c r="AP70" i="13" s="1"/>
  <c r="AT70" i="15" a="1"/>
  <c r="AT70" i="15" s="1"/>
  <c r="BA70" i="12"/>
  <c r="AY70" i="13" a="1"/>
  <c r="AY70" i="13" s="1"/>
  <c r="AR70" i="13" a="1"/>
  <c r="AR70" i="13" s="1"/>
  <c r="BF70" i="13" a="1"/>
  <c r="BF70" i="13" s="1"/>
  <c r="BE70" i="13" a="1"/>
  <c r="BE70" i="13" s="1"/>
  <c r="AX70" i="13" a="1"/>
  <c r="AX70" i="13" s="1"/>
  <c r="BG70" i="13" a="1"/>
  <c r="BG70" i="13" s="1"/>
  <c r="AZ70" i="13" a="1"/>
  <c r="AZ70" i="13" s="1"/>
  <c r="AS70" i="13" a="1"/>
  <c r="AS70" i="13" s="1"/>
  <c r="BB70" i="15" a="1"/>
  <c r="BB70" i="15" s="1"/>
  <c r="BA70" i="13" a="1"/>
  <c r="BA70" i="13" s="1"/>
  <c r="AV70" i="13" a="1"/>
  <c r="AV70" i="13" s="1"/>
  <c r="AU70" i="13" a="1"/>
  <c r="AU70" i="13" s="1"/>
  <c r="BB70" i="13" a="1"/>
  <c r="BB70" i="13" s="1"/>
  <c r="BK70" i="16" a="1"/>
  <c r="BK70" i="16" s="1"/>
  <c r="AZ70" i="16" a="1"/>
  <c r="AZ70" i="16" s="1"/>
  <c r="AU70" i="16" a="1"/>
  <c r="AU70" i="16" s="1"/>
  <c r="AP70" i="16" a="1"/>
  <c r="AP70" i="16" s="1"/>
  <c r="BK70" i="13" a="1"/>
  <c r="BK70" i="13" s="1"/>
  <c r="BJ70" i="13" a="1"/>
  <c r="BJ70" i="13" s="1"/>
  <c r="BJ70" i="16" a="1"/>
  <c r="BJ70" i="16" s="1"/>
  <c r="BD70" i="16" a="1"/>
  <c r="BD70" i="16" s="1"/>
  <c r="AT70" i="16" a="1"/>
  <c r="AT70" i="16" s="1"/>
  <c r="BF70" i="16" a="1"/>
  <c r="BF70" i="16" s="1"/>
  <c r="BA70" i="16" a="1"/>
  <c r="BA70" i="16" s="1"/>
  <c r="AQ70" i="16" a="1"/>
  <c r="AQ70" i="16" s="1"/>
  <c r="BG70" i="16" a="1"/>
  <c r="BG70" i="16" s="1"/>
  <c r="BD70" i="13" a="1"/>
  <c r="BD70" i="13" s="1"/>
  <c r="AV70" i="16" a="1"/>
  <c r="AV70" i="16" s="1"/>
  <c r="BC70" i="16" a="1"/>
  <c r="BC70" i="16" s="1"/>
  <c r="AT70" i="13" a="1"/>
  <c r="AT70" i="13" s="1"/>
  <c r="BH70" i="16" a="1"/>
  <c r="BH70" i="16" s="1"/>
  <c r="AX70" i="16" a="1"/>
  <c r="AX70" i="16" s="1"/>
  <c r="AW70" i="16" a="1"/>
  <c r="AW70" i="16" s="1"/>
  <c r="BJ70" i="14" a="1"/>
  <c r="BJ70" i="14" s="1"/>
  <c r="AW70" i="14" a="1"/>
  <c r="AW70" i="14" s="1"/>
  <c r="AQ70" i="14" a="1"/>
  <c r="AQ70" i="14" s="1"/>
  <c r="BC70" i="14" a="1"/>
  <c r="BC70" i="14" s="1"/>
  <c r="AV70" i="14" a="1"/>
  <c r="AV70" i="14" s="1"/>
  <c r="AS70" i="16" a="1"/>
  <c r="AS70" i="16" s="1"/>
  <c r="BI70" i="14" a="1"/>
  <c r="BI70" i="14" s="1"/>
  <c r="BB70" i="14" a="1"/>
  <c r="BB70" i="14" s="1"/>
  <c r="AP70" i="14" a="1"/>
  <c r="AP70" i="14" s="1"/>
  <c r="BE70" i="16" a="1"/>
  <c r="BE70" i="16" s="1"/>
  <c r="BD70" i="14" a="1"/>
  <c r="BD70" i="14" s="1"/>
  <c r="AT70" i="14" a="1"/>
  <c r="AT70" i="14" s="1"/>
  <c r="AS70" i="14" a="1"/>
  <c r="AS70" i="14" s="1"/>
  <c r="BI70" i="16" a="1"/>
  <c r="BI70" i="16" s="1"/>
  <c r="BA70" i="14" a="1"/>
  <c r="BA70" i="14" s="1"/>
  <c r="AR70" i="14" a="1"/>
  <c r="AR70" i="14" s="1"/>
  <c r="BB70" i="16" a="1"/>
  <c r="BB70" i="16" s="1"/>
  <c r="BK70" i="14" a="1"/>
  <c r="BK70" i="14" s="1"/>
  <c r="AZ70" i="14" a="1"/>
  <c r="AZ70" i="14" s="1"/>
  <c r="BH70" i="14" a="1"/>
  <c r="BH70" i="14" s="1"/>
  <c r="AY70" i="14" a="1"/>
  <c r="AY70" i="14" s="1"/>
  <c r="AY70" i="16" a="1"/>
  <c r="AY70" i="16" s="1"/>
  <c r="AR70" i="16" a="1"/>
  <c r="AR70" i="16" s="1"/>
  <c r="BE70" i="14" a="1"/>
  <c r="BE70" i="14" s="1"/>
  <c r="BG70" i="14" a="1"/>
  <c r="BG70" i="14" s="1"/>
  <c r="BF70" i="14" a="1"/>
  <c r="BF70" i="14" s="1"/>
  <c r="AX70" i="14" a="1"/>
  <c r="AX70" i="14" s="1"/>
  <c r="AU70" i="14" a="1"/>
  <c r="AU70" i="14" s="1"/>
  <c r="BQ74" i="12" a="1"/>
  <c r="BQ74" i="12" s="1"/>
  <c r="BK74" i="12" a="1"/>
  <c r="BK74" i="12" s="1"/>
  <c r="BR74" i="12" a="1"/>
  <c r="BR74" i="12" s="1"/>
  <c r="BL74" i="12" a="1"/>
  <c r="BL74" i="12" s="1"/>
  <c r="BJ74" i="12" a="1"/>
  <c r="BJ74" i="12" s="1"/>
  <c r="BP74" i="12" a="1"/>
  <c r="BP74" i="12" s="1"/>
  <c r="BS74" i="12" a="1"/>
  <c r="BS74" i="12" s="1"/>
  <c r="BF74" i="12"/>
  <c r="AY74" i="12"/>
  <c r="BG74" i="12"/>
  <c r="BM74" i="12" a="1"/>
  <c r="BM74" i="12" s="1"/>
  <c r="AZ74" i="12"/>
  <c r="BH74" i="12"/>
  <c r="BN74" i="12" a="1"/>
  <c r="BN74" i="12" s="1"/>
  <c r="BE74" i="12"/>
  <c r="BC74" i="12"/>
  <c r="BF74" i="15" a="1"/>
  <c r="BF74" i="15" s="1"/>
  <c r="AX74" i="15" a="1"/>
  <c r="AX74" i="15" s="1"/>
  <c r="AQ74" i="15" a="1"/>
  <c r="AQ74" i="15" s="1"/>
  <c r="BE74" i="15" a="1"/>
  <c r="BE74" i="15" s="1"/>
  <c r="AW74" i="15" a="1"/>
  <c r="AW74" i="15" s="1"/>
  <c r="BA74" i="12"/>
  <c r="BK74" i="15" a="1"/>
  <c r="BK74" i="15" s="1"/>
  <c r="BD74" i="15" a="1"/>
  <c r="BD74" i="15" s="1"/>
  <c r="AV74" i="15" a="1"/>
  <c r="AV74" i="15" s="1"/>
  <c r="AP74" i="15" a="1"/>
  <c r="AP74" i="15" s="1"/>
  <c r="BO74" i="12" a="1"/>
  <c r="BO74" i="12" s="1"/>
  <c r="BB74" i="12"/>
  <c r="BJ74" i="15" a="1"/>
  <c r="BJ74" i="15" s="1"/>
  <c r="BC74" i="15" a="1"/>
  <c r="BC74" i="15" s="1"/>
  <c r="AY74" i="15" a="1"/>
  <c r="AY74" i="15" s="1"/>
  <c r="BI74" i="15" a="1"/>
  <c r="BI74" i="15" s="1"/>
  <c r="AU74" i="15" a="1"/>
  <c r="AU74" i="15" s="1"/>
  <c r="BH74" i="15" a="1"/>
  <c r="BH74" i="15" s="1"/>
  <c r="AT74" i="15" a="1"/>
  <c r="AT74" i="15" s="1"/>
  <c r="AZ74" i="15" a="1"/>
  <c r="AZ74" i="15" s="1"/>
  <c r="BA74" i="15" a="1"/>
  <c r="BA74" i="15" s="1"/>
  <c r="AS74" i="15" a="1"/>
  <c r="AS74" i="15" s="1"/>
  <c r="AR74" i="15" a="1"/>
  <c r="AR74" i="15" s="1"/>
  <c r="BD74" i="12"/>
  <c r="BB74" i="15" a="1"/>
  <c r="BB74" i="15" s="1"/>
  <c r="BH74" i="13" a="1"/>
  <c r="BH74" i="13" s="1"/>
  <c r="BB74" i="13" a="1"/>
  <c r="BB74" i="13" s="1"/>
  <c r="AV74" i="13" a="1"/>
  <c r="AV74" i="13" s="1"/>
  <c r="BG74" i="15" a="1"/>
  <c r="BG74" i="15" s="1"/>
  <c r="BG74" i="13" a="1"/>
  <c r="BG74" i="13" s="1"/>
  <c r="AU74" i="13" a="1"/>
  <c r="AU74" i="13" s="1"/>
  <c r="AP74" i="13" a="1"/>
  <c r="AP74" i="13" s="1"/>
  <c r="BE74" i="13" a="1"/>
  <c r="BE74" i="13" s="1"/>
  <c r="AW74" i="13" a="1"/>
  <c r="AW74" i="13" s="1"/>
  <c r="BK74" i="13" a="1"/>
  <c r="BK74" i="13" s="1"/>
  <c r="BD74" i="13" a="1"/>
  <c r="BD74" i="13" s="1"/>
  <c r="AT74" i="13" a="1"/>
  <c r="AT74" i="13" s="1"/>
  <c r="BC74" i="13" a="1"/>
  <c r="BC74" i="13" s="1"/>
  <c r="AX74" i="13" a="1"/>
  <c r="AX74" i="13" s="1"/>
  <c r="BF74" i="13" a="1"/>
  <c r="BF74" i="13" s="1"/>
  <c r="AQ74" i="13" a="1"/>
  <c r="AQ74" i="13" s="1"/>
  <c r="BA74" i="13" a="1"/>
  <c r="BA74" i="13" s="1"/>
  <c r="AZ74" i="13" a="1"/>
  <c r="AZ74" i="13" s="1"/>
  <c r="AR74" i="13" a="1"/>
  <c r="AR74" i="13" s="1"/>
  <c r="BE74" i="16" a="1"/>
  <c r="BE74" i="16" s="1"/>
  <c r="AZ74" i="16" a="1"/>
  <c r="AZ74" i="16" s="1"/>
  <c r="AX74" i="16" a="1"/>
  <c r="AX74" i="16" s="1"/>
  <c r="BI74" i="13" a="1"/>
  <c r="BI74" i="13" s="1"/>
  <c r="AY74" i="13" a="1"/>
  <c r="AY74" i="13" s="1"/>
  <c r="AS74" i="13" a="1"/>
  <c r="AS74" i="13" s="1"/>
  <c r="BK74" i="16" a="1"/>
  <c r="BK74" i="16" s="1"/>
  <c r="BA74" i="16" a="1"/>
  <c r="BA74" i="16" s="1"/>
  <c r="AU74" i="16" a="1"/>
  <c r="AU74" i="16" s="1"/>
  <c r="AP74" i="16" a="1"/>
  <c r="AP74" i="16" s="1"/>
  <c r="BF74" i="16" a="1"/>
  <c r="BF74" i="16" s="1"/>
  <c r="AW74" i="16" a="1"/>
  <c r="AW74" i="16" s="1"/>
  <c r="BC74" i="16" a="1"/>
  <c r="BC74" i="16" s="1"/>
  <c r="AT74" i="16" a="1"/>
  <c r="AT74" i="16" s="1"/>
  <c r="BJ74" i="13" a="1"/>
  <c r="BJ74" i="13" s="1"/>
  <c r="BG74" i="16" a="1"/>
  <c r="BG74" i="16" s="1"/>
  <c r="AQ74" i="16" a="1"/>
  <c r="AQ74" i="16" s="1"/>
  <c r="AV74" i="16" a="1"/>
  <c r="AV74" i="16" s="1"/>
  <c r="BJ74" i="14" a="1"/>
  <c r="BJ74" i="14" s="1"/>
  <c r="BD74" i="14" a="1"/>
  <c r="BD74" i="14" s="1"/>
  <c r="AY74" i="14" a="1"/>
  <c r="AY74" i="14" s="1"/>
  <c r="AS74" i="14" a="1"/>
  <c r="AS74" i="14" s="1"/>
  <c r="BJ74" i="16" a="1"/>
  <c r="BJ74" i="16" s="1"/>
  <c r="AS74" i="16" a="1"/>
  <c r="AS74" i="16" s="1"/>
  <c r="AR74" i="14" a="1"/>
  <c r="AR74" i="14" s="1"/>
  <c r="BI74" i="16" a="1"/>
  <c r="BI74" i="16" s="1"/>
  <c r="AR74" i="16" a="1"/>
  <c r="AR74" i="16" s="1"/>
  <c r="BI74" i="14" a="1"/>
  <c r="BI74" i="14" s="1"/>
  <c r="BC74" i="14" a="1"/>
  <c r="BC74" i="14" s="1"/>
  <c r="AX74" i="14" a="1"/>
  <c r="AX74" i="14" s="1"/>
  <c r="AQ74" i="14" a="1"/>
  <c r="AQ74" i="14" s="1"/>
  <c r="BD74" i="16" a="1"/>
  <c r="BD74" i="16" s="1"/>
  <c r="AP74" i="14" a="1"/>
  <c r="AP74" i="14" s="1"/>
  <c r="AY74" i="16" a="1"/>
  <c r="AY74" i="16" s="1"/>
  <c r="BH74" i="14" a="1"/>
  <c r="BH74" i="14" s="1"/>
  <c r="BA74" i="14" a="1"/>
  <c r="BA74" i="14" s="1"/>
  <c r="AZ74" i="14" a="1"/>
  <c r="AZ74" i="14" s="1"/>
  <c r="BG74" i="14" a="1"/>
  <c r="BG74" i="14" s="1"/>
  <c r="AW74" i="14" a="1"/>
  <c r="AW74" i="14" s="1"/>
  <c r="BF74" i="14" a="1"/>
  <c r="BF74" i="14" s="1"/>
  <c r="AV74" i="14" a="1"/>
  <c r="AV74" i="14" s="1"/>
  <c r="BH74" i="16" a="1"/>
  <c r="BH74" i="16" s="1"/>
  <c r="BB74" i="16" a="1"/>
  <c r="BB74" i="16" s="1"/>
  <c r="BK74" i="14" a="1"/>
  <c r="BK74" i="14" s="1"/>
  <c r="BB74" i="14" a="1"/>
  <c r="BB74" i="14" s="1"/>
  <c r="BE74" i="14" a="1"/>
  <c r="BE74" i="14" s="1"/>
  <c r="AT74" i="14" a="1"/>
  <c r="AT74" i="14" s="1"/>
  <c r="AU74" i="14" a="1"/>
  <c r="AU74" i="14" s="1"/>
  <c r="BO78" i="12" a="1"/>
  <c r="BO78" i="12" s="1"/>
  <c r="BJ78" i="12" a="1"/>
  <c r="BJ78" i="12" s="1"/>
  <c r="BP78" i="12" a="1"/>
  <c r="BP78" i="12" s="1"/>
  <c r="BN78" i="12" a="1"/>
  <c r="BN78" i="12" s="1"/>
  <c r="BF78" i="12"/>
  <c r="BQ78" i="12" a="1"/>
  <c r="BQ78" i="12" s="1"/>
  <c r="AY78" i="12"/>
  <c r="BG78" i="12"/>
  <c r="BR78" i="12" a="1"/>
  <c r="BR78" i="12" s="1"/>
  <c r="AZ78" i="12"/>
  <c r="BH78" i="12"/>
  <c r="BS78" i="12" a="1"/>
  <c r="BS78" i="12" s="1"/>
  <c r="BM78" i="12" a="1"/>
  <c r="BM78" i="12" s="1"/>
  <c r="BD78" i="12"/>
  <c r="BJ78" i="15" a="1"/>
  <c r="BJ78" i="15" s="1"/>
  <c r="BD78" i="15" a="1"/>
  <c r="BD78" i="15" s="1"/>
  <c r="AW78" i="15" a="1"/>
  <c r="AW78" i="15" s="1"/>
  <c r="AQ78" i="15" a="1"/>
  <c r="AQ78" i="15" s="1"/>
  <c r="BE78" i="12"/>
  <c r="BI78" i="15" a="1"/>
  <c r="BI78" i="15" s="1"/>
  <c r="BC78" i="15" a="1"/>
  <c r="BC78" i="15" s="1"/>
  <c r="BH78" i="15" a="1"/>
  <c r="BH78" i="15" s="1"/>
  <c r="BB78" i="12"/>
  <c r="BL78" i="12" a="1"/>
  <c r="BL78" i="12" s="1"/>
  <c r="BC78" i="12"/>
  <c r="BE78" i="15" a="1"/>
  <c r="BE78" i="15" s="1"/>
  <c r="AV78" i="15" a="1"/>
  <c r="AV78" i="15" s="1"/>
  <c r="BB78" i="15" a="1"/>
  <c r="BB78" i="15" s="1"/>
  <c r="AU78" i="15" a="1"/>
  <c r="AU78" i="15" s="1"/>
  <c r="BA78" i="15" a="1"/>
  <c r="BA78" i="15" s="1"/>
  <c r="BF78" i="15" a="1"/>
  <c r="BF78" i="15" s="1"/>
  <c r="AP78" i="15" a="1"/>
  <c r="AP78" i="15" s="1"/>
  <c r="AZ78" i="15" a="1"/>
  <c r="AZ78" i="15" s="1"/>
  <c r="AY78" i="15" a="1"/>
  <c r="AY78" i="15" s="1"/>
  <c r="AR78" i="15" a="1"/>
  <c r="AR78" i="15" s="1"/>
  <c r="AS78" i="15" a="1"/>
  <c r="AS78" i="15" s="1"/>
  <c r="BA78" i="12"/>
  <c r="AT78" i="15" a="1"/>
  <c r="AT78" i="15" s="1"/>
  <c r="BD78" i="13" a="1"/>
  <c r="BD78" i="13" s="1"/>
  <c r="AX78" i="13" a="1"/>
  <c r="AX78" i="13" s="1"/>
  <c r="AQ78" i="13" a="1"/>
  <c r="AQ78" i="13" s="1"/>
  <c r="BJ78" i="13" a="1"/>
  <c r="BJ78" i="13" s="1"/>
  <c r="BC78" i="13" a="1"/>
  <c r="BC78" i="13" s="1"/>
  <c r="AW78" i="13" a="1"/>
  <c r="AW78" i="13" s="1"/>
  <c r="AP78" i="13" a="1"/>
  <c r="AP78" i="13" s="1"/>
  <c r="BK78" i="12" a="1"/>
  <c r="BK78" i="12" s="1"/>
  <c r="BK78" i="15" a="1"/>
  <c r="BK78" i="15" s="1"/>
  <c r="BH78" i="13" a="1"/>
  <c r="BH78" i="13" s="1"/>
  <c r="AU78" i="13" a="1"/>
  <c r="AU78" i="13" s="1"/>
  <c r="BG78" i="15" a="1"/>
  <c r="BG78" i="15" s="1"/>
  <c r="BF78" i="13" a="1"/>
  <c r="BF78" i="13" s="1"/>
  <c r="AT78" i="13" a="1"/>
  <c r="AT78" i="13" s="1"/>
  <c r="BE78" i="13" a="1"/>
  <c r="BE78" i="13" s="1"/>
  <c r="AS78" i="13" a="1"/>
  <c r="AS78" i="13" s="1"/>
  <c r="BB78" i="13" a="1"/>
  <c r="BB78" i="13" s="1"/>
  <c r="AV78" i="13" a="1"/>
  <c r="AV78" i="13" s="1"/>
  <c r="BG78" i="13" a="1"/>
  <c r="BG78" i="13" s="1"/>
  <c r="AX78" i="15" a="1"/>
  <c r="AX78" i="15" s="1"/>
  <c r="BA78" i="13" a="1"/>
  <c r="BA78" i="13" s="1"/>
  <c r="AZ78" i="13" a="1"/>
  <c r="AZ78" i="13" s="1"/>
  <c r="BI78" i="13" a="1"/>
  <c r="BI78" i="13" s="1"/>
  <c r="BK78" i="13" a="1"/>
  <c r="BK78" i="13" s="1"/>
  <c r="BK78" i="16" a="1"/>
  <c r="BK78" i="16" s="1"/>
  <c r="BE78" i="16" a="1"/>
  <c r="BE78" i="16" s="1"/>
  <c r="AX78" i="16" a="1"/>
  <c r="AX78" i="16" s="1"/>
  <c r="AR78" i="16" a="1"/>
  <c r="AR78" i="16" s="1"/>
  <c r="AY78" i="13" a="1"/>
  <c r="AY78" i="13" s="1"/>
  <c r="BJ78" i="16" a="1"/>
  <c r="BJ78" i="16" s="1"/>
  <c r="BC78" i="16" a="1"/>
  <c r="BC78" i="16" s="1"/>
  <c r="AW78" i="16" a="1"/>
  <c r="AW78" i="16" s="1"/>
  <c r="AP78" i="16" a="1"/>
  <c r="AP78" i="16" s="1"/>
  <c r="BF78" i="16" a="1"/>
  <c r="BF78" i="16" s="1"/>
  <c r="AY78" i="16" a="1"/>
  <c r="AY78" i="16" s="1"/>
  <c r="BH78" i="16" a="1"/>
  <c r="BH78" i="16" s="1"/>
  <c r="AU78" i="16" a="1"/>
  <c r="AU78" i="16" s="1"/>
  <c r="BD78" i="16" a="1"/>
  <c r="BD78" i="16" s="1"/>
  <c r="AT78" i="16" a="1"/>
  <c r="AT78" i="16" s="1"/>
  <c r="BI78" i="16" a="1"/>
  <c r="BI78" i="16" s="1"/>
  <c r="AZ78" i="16" a="1"/>
  <c r="AZ78" i="16" s="1"/>
  <c r="BG78" i="16" a="1"/>
  <c r="BG78" i="16" s="1"/>
  <c r="BF78" i="14" a="1"/>
  <c r="BF78" i="14" s="1"/>
  <c r="AZ78" i="14" a="1"/>
  <c r="AZ78" i="14" s="1"/>
  <c r="AT78" i="14" a="1"/>
  <c r="AT78" i="14" s="1"/>
  <c r="BB78" i="16" a="1"/>
  <c r="BB78" i="16" s="1"/>
  <c r="AY78" i="14" a="1"/>
  <c r="AY78" i="14" s="1"/>
  <c r="AS78" i="14" a="1"/>
  <c r="AS78" i="14" s="1"/>
  <c r="BK78" i="14" a="1"/>
  <c r="BK78" i="14" s="1"/>
  <c r="BE78" i="14" a="1"/>
  <c r="BE78" i="14" s="1"/>
  <c r="AX78" i="14" a="1"/>
  <c r="AX78" i="14" s="1"/>
  <c r="AR78" i="13" a="1"/>
  <c r="AR78" i="13" s="1"/>
  <c r="AV78" i="16" a="1"/>
  <c r="AV78" i="16" s="1"/>
  <c r="AQ78" i="16" a="1"/>
  <c r="AQ78" i="16" s="1"/>
  <c r="BI78" i="14" a="1"/>
  <c r="BI78" i="14" s="1"/>
  <c r="BH78" i="14" a="1"/>
  <c r="BH78" i="14" s="1"/>
  <c r="AW78" i="14" a="1"/>
  <c r="AW78" i="14" s="1"/>
  <c r="BG78" i="14" a="1"/>
  <c r="BG78" i="14" s="1"/>
  <c r="BD78" i="14" a="1"/>
  <c r="BD78" i="14" s="1"/>
  <c r="AV78" i="14" a="1"/>
  <c r="AV78" i="14" s="1"/>
  <c r="BC78" i="14" a="1"/>
  <c r="BC78" i="14" s="1"/>
  <c r="AU78" i="14" a="1"/>
  <c r="AU78" i="14" s="1"/>
  <c r="AR78" i="14" a="1"/>
  <c r="AR78" i="14" s="1"/>
  <c r="BA78" i="16" a="1"/>
  <c r="BA78" i="16" s="1"/>
  <c r="AS78" i="16" a="1"/>
  <c r="AS78" i="16" s="1"/>
  <c r="BJ78" i="14" a="1"/>
  <c r="BJ78" i="14" s="1"/>
  <c r="BA78" i="14" a="1"/>
  <c r="BA78" i="14" s="1"/>
  <c r="AP78" i="14" a="1"/>
  <c r="AP78" i="14" s="1"/>
  <c r="AQ78" i="14" a="1"/>
  <c r="AQ78" i="14" s="1"/>
  <c r="BB78" i="14" a="1"/>
  <c r="BB78" i="14" s="1"/>
  <c r="BJ82" i="12" a="1"/>
  <c r="BJ82" i="12" s="1"/>
  <c r="BP82" i="12" a="1"/>
  <c r="BP82" i="12" s="1"/>
  <c r="BQ82" i="12" a="1"/>
  <c r="BQ82" i="12" s="1"/>
  <c r="O82" i="1" s="1"/>
  <c r="BF82" i="12"/>
  <c r="BS82" i="12" a="1"/>
  <c r="BS82" i="12" s="1"/>
  <c r="AY82" i="12"/>
  <c r="BG82" i="12"/>
  <c r="BK82" i="12" a="1"/>
  <c r="BK82" i="12" s="1"/>
  <c r="AZ82" i="12"/>
  <c r="BH82" i="12"/>
  <c r="BL82" i="12" a="1"/>
  <c r="BL82" i="12" s="1"/>
  <c r="BR82" i="12" a="1"/>
  <c r="BR82" i="12" s="1"/>
  <c r="BC82" i="12"/>
  <c r="AY82" i="15" a="1"/>
  <c r="AY82" i="15" s="1"/>
  <c r="BD82" i="12"/>
  <c r="BK82" i="15" a="1"/>
  <c r="BK82" i="15" s="1"/>
  <c r="BE82" i="15" a="1"/>
  <c r="BE82" i="15" s="1"/>
  <c r="AX82" i="15" a="1"/>
  <c r="AX82" i="15" s="1"/>
  <c r="AR82" i="15" a="1"/>
  <c r="AR82" i="15" s="1"/>
  <c r="BE82" i="12"/>
  <c r="BD82" i="15" a="1"/>
  <c r="BD82" i="15" s="1"/>
  <c r="AW82" i="15" a="1"/>
  <c r="AW82" i="15" s="1"/>
  <c r="AQ82" i="15" a="1"/>
  <c r="AQ82" i="15" s="1"/>
  <c r="BN82" i="12" a="1"/>
  <c r="BN82" i="12" s="1"/>
  <c r="BA82" i="12"/>
  <c r="BO82" i="12" a="1"/>
  <c r="BO82" i="12" s="1"/>
  <c r="BI82" i="15" a="1"/>
  <c r="BI82" i="15" s="1"/>
  <c r="AZ82" i="15" a="1"/>
  <c r="AZ82" i="15" s="1"/>
  <c r="BH82" i="15" a="1"/>
  <c r="BH82" i="15" s="1"/>
  <c r="BG82" i="15" a="1"/>
  <c r="BG82" i="15" s="1"/>
  <c r="AV82" i="15" a="1"/>
  <c r="AV82" i="15" s="1"/>
  <c r="BF82" i="15" a="1"/>
  <c r="BF82" i="15" s="1"/>
  <c r="AU82" i="15" a="1"/>
  <c r="AU82" i="15" s="1"/>
  <c r="BM82" i="12" a="1"/>
  <c r="BM82" i="12" s="1"/>
  <c r="BB82" i="12"/>
  <c r="AT82" i="15" a="1"/>
  <c r="AT82" i="15" s="1"/>
  <c r="AS82" i="15" a="1"/>
  <c r="AS82" i="15" s="1"/>
  <c r="BA82" i="15" a="1"/>
  <c r="BA82" i="15" s="1"/>
  <c r="BJ82" i="15" a="1"/>
  <c r="BJ82" i="15" s="1"/>
  <c r="BC82" i="13" a="1"/>
  <c r="BC82" i="13" s="1"/>
  <c r="AW82" i="13" a="1"/>
  <c r="AW82" i="13" s="1"/>
  <c r="AP82" i="13" a="1"/>
  <c r="AP82" i="13" s="1"/>
  <c r="BI82" i="13" a="1"/>
  <c r="BI82" i="13" s="1"/>
  <c r="BB82" i="13" a="1"/>
  <c r="BB82" i="13" s="1"/>
  <c r="AV82" i="13" a="1"/>
  <c r="AV82" i="13" s="1"/>
  <c r="BC82" i="15" a="1"/>
  <c r="BC82" i="15" s="1"/>
  <c r="BG82" i="13" a="1"/>
  <c r="BG82" i="13" s="1"/>
  <c r="BA82" i="13" a="1"/>
  <c r="BA82" i="13" s="1"/>
  <c r="AT82" i="13" a="1"/>
  <c r="AT82" i="13" s="1"/>
  <c r="BB82" i="15" a="1"/>
  <c r="BB82" i="15" s="1"/>
  <c r="BF82" i="13" a="1"/>
  <c r="BF82" i="13" s="1"/>
  <c r="AX82" i="13" a="1"/>
  <c r="AX82" i="13" s="1"/>
  <c r="AP82" i="15" a="1"/>
  <c r="AP82" i="15" s="1"/>
  <c r="BE82" i="13" a="1"/>
  <c r="BE82" i="13" s="1"/>
  <c r="AU82" i="13" a="1"/>
  <c r="AU82" i="13" s="1"/>
  <c r="AS82" i="13" a="1"/>
  <c r="AS82" i="13" s="1"/>
  <c r="BH82" i="13" a="1"/>
  <c r="BH82" i="13" s="1"/>
  <c r="AY82" i="13" a="1"/>
  <c r="AY82" i="13" s="1"/>
  <c r="AZ82" i="13" a="1"/>
  <c r="AZ82" i="13" s="1"/>
  <c r="AR82" i="13" a="1"/>
  <c r="AR82" i="13" s="1"/>
  <c r="AQ82" i="13" a="1"/>
  <c r="AQ82" i="13" s="1"/>
  <c r="BD82" i="16" a="1"/>
  <c r="BD82" i="16" s="1"/>
  <c r="AX82" i="16" a="1"/>
  <c r="AX82" i="16" s="1"/>
  <c r="AQ82" i="16" a="1"/>
  <c r="AQ82" i="16" s="1"/>
  <c r="BH82" i="16" a="1"/>
  <c r="BH82" i="16" s="1"/>
  <c r="BB82" i="16" a="1"/>
  <c r="BB82" i="16" s="1"/>
  <c r="BK82" i="13" a="1"/>
  <c r="BK82" i="13" s="1"/>
  <c r="BJ82" i="13" a="1"/>
  <c r="BJ82" i="13" s="1"/>
  <c r="BK82" i="16" a="1"/>
  <c r="BK82" i="16" s="1"/>
  <c r="AZ82" i="16" a="1"/>
  <c r="AZ82" i="16" s="1"/>
  <c r="AS82" i="16" a="1"/>
  <c r="AS82" i="16" s="1"/>
  <c r="BD82" i="13" a="1"/>
  <c r="BD82" i="13" s="1"/>
  <c r="BJ82" i="16" a="1"/>
  <c r="BJ82" i="16" s="1"/>
  <c r="BE82" i="16" a="1"/>
  <c r="BE82" i="16" s="1"/>
  <c r="AY82" i="16" a="1"/>
  <c r="AY82" i="16" s="1"/>
  <c r="AR82" i="16" a="1"/>
  <c r="AR82" i="16" s="1"/>
  <c r="BA82" i="16" a="1"/>
  <c r="BA82" i="16" s="1"/>
  <c r="BI82" i="16" a="1"/>
  <c r="BI82" i="16" s="1"/>
  <c r="AW82" i="16" a="1"/>
  <c r="AW82" i="16" s="1"/>
  <c r="BG82" i="16" a="1"/>
  <c r="BG82" i="16" s="1"/>
  <c r="AV82" i="16" a="1"/>
  <c r="AV82" i="16" s="1"/>
  <c r="BD82" i="14" a="1"/>
  <c r="BD82" i="14" s="1"/>
  <c r="AX82" i="14" a="1"/>
  <c r="AX82" i="14" s="1"/>
  <c r="AQ82" i="14" a="1"/>
  <c r="AQ82" i="14" s="1"/>
  <c r="BI82" i="14" a="1"/>
  <c r="BI82" i="14" s="1"/>
  <c r="BC82" i="14" a="1"/>
  <c r="BC82" i="14" s="1"/>
  <c r="AW82" i="14" a="1"/>
  <c r="AW82" i="14" s="1"/>
  <c r="BF82" i="16" a="1"/>
  <c r="BF82" i="16" s="1"/>
  <c r="BH82" i="14" a="1"/>
  <c r="BH82" i="14" s="1"/>
  <c r="BB82" i="14" a="1"/>
  <c r="BB82" i="14" s="1"/>
  <c r="AP82" i="14" a="1"/>
  <c r="AP82" i="14" s="1"/>
  <c r="BC82" i="16" a="1"/>
  <c r="BC82" i="16" s="1"/>
  <c r="BA82" i="14" a="1"/>
  <c r="BA82" i="14" s="1"/>
  <c r="AU82" i="14" a="1"/>
  <c r="AU82" i="14" s="1"/>
  <c r="BE82" i="14" a="1"/>
  <c r="BE82" i="14" s="1"/>
  <c r="AS82" i="14" a="1"/>
  <c r="AS82" i="14" s="1"/>
  <c r="AU82" i="16" a="1"/>
  <c r="AU82" i="16" s="1"/>
  <c r="AR82" i="14" a="1"/>
  <c r="AR82" i="14" s="1"/>
  <c r="AT82" i="16" a="1"/>
  <c r="AT82" i="16" s="1"/>
  <c r="AP82" i="16" a="1"/>
  <c r="AP82" i="16" s="1"/>
  <c r="BK82" i="14" a="1"/>
  <c r="BK82" i="14" s="1"/>
  <c r="AZ82" i="14" a="1"/>
  <c r="AZ82" i="14" s="1"/>
  <c r="BJ82" i="14" a="1"/>
  <c r="BJ82" i="14" s="1"/>
  <c r="AY82" i="14" a="1"/>
  <c r="AY82" i="14" s="1"/>
  <c r="BF82" i="14" a="1"/>
  <c r="BF82" i="14" s="1"/>
  <c r="AT82" i="14" a="1"/>
  <c r="AT82" i="14" s="1"/>
  <c r="BG82" i="14" a="1"/>
  <c r="BG82" i="14" s="1"/>
  <c r="AV82" i="14" a="1"/>
  <c r="AV82" i="14" s="1"/>
  <c r="BP86" i="12" a="1"/>
  <c r="BP86" i="12" s="1"/>
  <c r="BQ86" i="12" a="1"/>
  <c r="BQ86" i="12" s="1"/>
  <c r="BJ86" i="12" a="1"/>
  <c r="BJ86" i="12" s="1"/>
  <c r="BR86" i="12" a="1"/>
  <c r="BR86" i="12" s="1"/>
  <c r="BK86" i="12" a="1"/>
  <c r="BK86" i="12" s="1"/>
  <c r="BF86" i="12"/>
  <c r="BL86" i="12" a="1"/>
  <c r="BL86" i="12" s="1"/>
  <c r="AY86" i="12"/>
  <c r="BG86" i="12"/>
  <c r="BM86" i="12" a="1"/>
  <c r="BM86" i="12" s="1"/>
  <c r="AZ86" i="12"/>
  <c r="BH86" i="12"/>
  <c r="BN86" i="12" a="1"/>
  <c r="BN86" i="12" s="1"/>
  <c r="BB86" i="12"/>
  <c r="BG86" i="15" a="1"/>
  <c r="BG86" i="15" s="1"/>
  <c r="BA86" i="15" a="1"/>
  <c r="BA86" i="15" s="1"/>
  <c r="AT86" i="15" a="1"/>
  <c r="AT86" i="15" s="1"/>
  <c r="BC86" i="12"/>
  <c r="BK86" i="15" a="1"/>
  <c r="BK86" i="15" s="1"/>
  <c r="BF86" i="15" a="1"/>
  <c r="BF86" i="15" s="1"/>
  <c r="AZ86" i="15" a="1"/>
  <c r="AZ86" i="15" s="1"/>
  <c r="AS86" i="15" a="1"/>
  <c r="AS86" i="15" s="1"/>
  <c r="BD86" i="12"/>
  <c r="AY86" i="15" a="1"/>
  <c r="AY86" i="15" s="1"/>
  <c r="BC86" i="15" a="1"/>
  <c r="BC86" i="15" s="1"/>
  <c r="AU86" i="15" a="1"/>
  <c r="AU86" i="15" s="1"/>
  <c r="AP86" i="15" a="1"/>
  <c r="AP86" i="15" s="1"/>
  <c r="BS86" i="12" a="1"/>
  <c r="BS86" i="12" s="1"/>
  <c r="BA86" i="12"/>
  <c r="BH86" i="15" a="1"/>
  <c r="BH86" i="15" s="1"/>
  <c r="BE86" i="12"/>
  <c r="BE86" i="15" a="1"/>
  <c r="BE86" i="15" s="1"/>
  <c r="AR86" i="15" a="1"/>
  <c r="AR86" i="15" s="1"/>
  <c r="AQ86" i="15" a="1"/>
  <c r="AQ86" i="15" s="1"/>
  <c r="BD86" i="15" a="1"/>
  <c r="BD86" i="15" s="1"/>
  <c r="AV86" i="15" a="1"/>
  <c r="AV86" i="15" s="1"/>
  <c r="BJ86" i="15" a="1"/>
  <c r="BJ86" i="15" s="1"/>
  <c r="AW86" i="15" a="1"/>
  <c r="AW86" i="15" s="1"/>
  <c r="BF86" i="13" a="1"/>
  <c r="BF86" i="13" s="1"/>
  <c r="AZ86" i="13" a="1"/>
  <c r="AZ86" i="13" s="1"/>
  <c r="BK86" i="13" a="1"/>
  <c r="BK86" i="13" s="1"/>
  <c r="BO86" i="12" a="1"/>
  <c r="BO86" i="12" s="1"/>
  <c r="BI86" i="15" a="1"/>
  <c r="BI86" i="15" s="1"/>
  <c r="BH86" i="13" a="1"/>
  <c r="BH86" i="13" s="1"/>
  <c r="BA86" i="13" a="1"/>
  <c r="BA86" i="13" s="1"/>
  <c r="AT86" i="13" a="1"/>
  <c r="AT86" i="13" s="1"/>
  <c r="BB86" i="15" a="1"/>
  <c r="BB86" i="15" s="1"/>
  <c r="BE86" i="13" a="1"/>
  <c r="BE86" i="13" s="1"/>
  <c r="AX86" i="13" a="1"/>
  <c r="AX86" i="13" s="1"/>
  <c r="AR86" i="13" a="1"/>
  <c r="AR86" i="13" s="1"/>
  <c r="AX86" i="15" a="1"/>
  <c r="AX86" i="15" s="1"/>
  <c r="BI86" i="13" a="1"/>
  <c r="BI86" i="13" s="1"/>
  <c r="BG86" i="13" a="1"/>
  <c r="BG86" i="13" s="1"/>
  <c r="AV86" i="13" a="1"/>
  <c r="AV86" i="13" s="1"/>
  <c r="AU86" i="13" a="1"/>
  <c r="AU86" i="13" s="1"/>
  <c r="AW86" i="13" a="1"/>
  <c r="AW86" i="13" s="1"/>
  <c r="BJ86" i="13" a="1"/>
  <c r="BJ86" i="13" s="1"/>
  <c r="BD86" i="13" a="1"/>
  <c r="BD86" i="13" s="1"/>
  <c r="BC86" i="13" a="1"/>
  <c r="BC86" i="13" s="1"/>
  <c r="AP86" i="13" a="1"/>
  <c r="AP86" i="13" s="1"/>
  <c r="AQ86" i="13" a="1"/>
  <c r="AQ86" i="13" s="1"/>
  <c r="BC86" i="16" a="1"/>
  <c r="BC86" i="16" s="1"/>
  <c r="AV86" i="16" a="1"/>
  <c r="AV86" i="16" s="1"/>
  <c r="BG86" i="16" a="1"/>
  <c r="BG86" i="16" s="1"/>
  <c r="BA86" i="16" a="1"/>
  <c r="BA86" i="16" s="1"/>
  <c r="BB86" i="13" a="1"/>
  <c r="BB86" i="13" s="1"/>
  <c r="AY86" i="13" a="1"/>
  <c r="AY86" i="13" s="1"/>
  <c r="AX86" i="16" a="1"/>
  <c r="AX86" i="16" s="1"/>
  <c r="AR86" i="16" a="1"/>
  <c r="AR86" i="16" s="1"/>
  <c r="AS86" i="13" a="1"/>
  <c r="AS86" i="13" s="1"/>
  <c r="BI86" i="16" a="1"/>
  <c r="BI86" i="16" s="1"/>
  <c r="BD86" i="16" a="1"/>
  <c r="BD86" i="16" s="1"/>
  <c r="AW86" i="16" a="1"/>
  <c r="AW86" i="16" s="1"/>
  <c r="AQ86" i="16" a="1"/>
  <c r="AQ86" i="16" s="1"/>
  <c r="AZ86" i="16" a="1"/>
  <c r="AZ86" i="16" s="1"/>
  <c r="BH86" i="16" a="1"/>
  <c r="BH86" i="16" s="1"/>
  <c r="AU86" i="16" a="1"/>
  <c r="AU86" i="16" s="1"/>
  <c r="BF86" i="16" a="1"/>
  <c r="BF86" i="16" s="1"/>
  <c r="AT86" i="16" a="1"/>
  <c r="AT86" i="16" s="1"/>
  <c r="BK86" i="16" a="1"/>
  <c r="BK86" i="16" s="1"/>
  <c r="AY86" i="16" a="1"/>
  <c r="AY86" i="16" s="1"/>
  <c r="BF86" i="14" a="1"/>
  <c r="BF86" i="14" s="1"/>
  <c r="AY86" i="14" a="1"/>
  <c r="AY86" i="14" s="1"/>
  <c r="AS86" i="14" a="1"/>
  <c r="AS86" i="14" s="1"/>
  <c r="AS86" i="16" a="1"/>
  <c r="AS86" i="16" s="1"/>
  <c r="BE86" i="14" a="1"/>
  <c r="BE86" i="14" s="1"/>
  <c r="AR86" i="14" a="1"/>
  <c r="AR86" i="14" s="1"/>
  <c r="BK86" i="14" a="1"/>
  <c r="BK86" i="14" s="1"/>
  <c r="BD86" i="14" a="1"/>
  <c r="BD86" i="14" s="1"/>
  <c r="AX86" i="14" a="1"/>
  <c r="AX86" i="14" s="1"/>
  <c r="AQ86" i="14" a="1"/>
  <c r="AQ86" i="14" s="1"/>
  <c r="AP86" i="16" a="1"/>
  <c r="AP86" i="16" s="1"/>
  <c r="BJ86" i="16" a="1"/>
  <c r="BJ86" i="16" s="1"/>
  <c r="BI86" i="14" a="1"/>
  <c r="BI86" i="14" s="1"/>
  <c r="BB86" i="14" a="1"/>
  <c r="BB86" i="14" s="1"/>
  <c r="AV86" i="14" a="1"/>
  <c r="AV86" i="14" s="1"/>
  <c r="BH86" i="14" a="1"/>
  <c r="BH86" i="14" s="1"/>
  <c r="BG86" i="14" a="1"/>
  <c r="BG86" i="14" s="1"/>
  <c r="AT86" i="14" a="1"/>
  <c r="AT86" i="14" s="1"/>
  <c r="BC86" i="14" a="1"/>
  <c r="BC86" i="14" s="1"/>
  <c r="AP86" i="14" a="1"/>
  <c r="AP86" i="14" s="1"/>
  <c r="BA86" i="14" a="1"/>
  <c r="BA86" i="14" s="1"/>
  <c r="AZ86" i="14" a="1"/>
  <c r="AZ86" i="14" s="1"/>
  <c r="BE86" i="16" a="1"/>
  <c r="BE86" i="16" s="1"/>
  <c r="BJ86" i="14" a="1"/>
  <c r="BJ86" i="14" s="1"/>
  <c r="AW86" i="14" a="1"/>
  <c r="AW86" i="14" s="1"/>
  <c r="BB86" i="16" a="1"/>
  <c r="BB86" i="16" s="1"/>
  <c r="AU86" i="14" a="1"/>
  <c r="AU86" i="14" s="1"/>
  <c r="BO90" i="12" a="1"/>
  <c r="BO90" i="12" s="1"/>
  <c r="BJ90" i="12" a="1"/>
  <c r="BJ90" i="12" s="1"/>
  <c r="BP90" i="12" a="1"/>
  <c r="BP90" i="12" s="1"/>
  <c r="BL90" i="12" a="1"/>
  <c r="BL90" i="12" s="1"/>
  <c r="BF90" i="12"/>
  <c r="BG90" i="15" a="1"/>
  <c r="BG90" i="15" s="1"/>
  <c r="BM90" i="12" a="1"/>
  <c r="BM90" i="12" s="1"/>
  <c r="AY90" i="12"/>
  <c r="BG90" i="12"/>
  <c r="BF90" i="15" a="1"/>
  <c r="BF90" i="15" s="1"/>
  <c r="BN90" i="12" a="1"/>
  <c r="BN90" i="12" s="1"/>
  <c r="AZ90" i="12"/>
  <c r="BH90" i="12"/>
  <c r="BE90" i="15" a="1"/>
  <c r="BE90" i="15" s="1"/>
  <c r="BQ90" i="12" a="1"/>
  <c r="BQ90" i="12" s="1"/>
  <c r="BA90" i="12"/>
  <c r="BI90" i="15" a="1"/>
  <c r="BI90" i="15" s="1"/>
  <c r="BB90" i="12"/>
  <c r="BH90" i="15" a="1"/>
  <c r="BH90" i="15" s="1"/>
  <c r="AZ90" i="15" a="1"/>
  <c r="AZ90" i="15" s="1"/>
  <c r="AT90" i="15" a="1"/>
  <c r="AT90" i="15" s="1"/>
  <c r="BC90" i="12"/>
  <c r="AY90" i="15" a="1"/>
  <c r="AY90" i="15" s="1"/>
  <c r="BS90" i="12" a="1"/>
  <c r="BS90" i="12" s="1"/>
  <c r="BJ90" i="15" a="1"/>
  <c r="BJ90" i="15" s="1"/>
  <c r="BB90" i="15" a="1"/>
  <c r="BB90" i="15" s="1"/>
  <c r="AV90" i="15" a="1"/>
  <c r="AV90" i="15" s="1"/>
  <c r="AP90" i="15" a="1"/>
  <c r="AP90" i="15" s="1"/>
  <c r="AU90" i="15" a="1"/>
  <c r="AU90" i="15" s="1"/>
  <c r="BD90" i="15" a="1"/>
  <c r="BD90" i="15" s="1"/>
  <c r="AS90" i="15" a="1"/>
  <c r="AS90" i="15" s="1"/>
  <c r="BC90" i="15" a="1"/>
  <c r="BC90" i="15" s="1"/>
  <c r="AR90" i="15" a="1"/>
  <c r="AR90" i="15" s="1"/>
  <c r="AQ90" i="15" a="1"/>
  <c r="AQ90" i="15" s="1"/>
  <c r="BR90" i="12" a="1"/>
  <c r="BR90" i="12" s="1"/>
  <c r="P90" i="1" s="1"/>
  <c r="BK90" i="15" a="1"/>
  <c r="BK90" i="15" s="1"/>
  <c r="BA90" i="15" a="1"/>
  <c r="BA90" i="15" s="1"/>
  <c r="BE90" i="12"/>
  <c r="BK90" i="13" a="1"/>
  <c r="BK90" i="13" s="1"/>
  <c r="BC90" i="13" a="1"/>
  <c r="BC90" i="13" s="1"/>
  <c r="AX90" i="13" a="1"/>
  <c r="AX90" i="13" s="1"/>
  <c r="AR90" i="13" a="1"/>
  <c r="AR90" i="13" s="1"/>
  <c r="BJ90" i="13" a="1"/>
  <c r="BJ90" i="13" s="1"/>
  <c r="AW90" i="13" a="1"/>
  <c r="AW90" i="13" s="1"/>
  <c r="AQ90" i="13" a="1"/>
  <c r="AQ90" i="13" s="1"/>
  <c r="BI90" i="13" a="1"/>
  <c r="BI90" i="13" s="1"/>
  <c r="BD90" i="13" a="1"/>
  <c r="BD90" i="13" s="1"/>
  <c r="BA90" i="13" a="1"/>
  <c r="BA90" i="13" s="1"/>
  <c r="AT90" i="13" a="1"/>
  <c r="AT90" i="13" s="1"/>
  <c r="AZ90" i="13" a="1"/>
  <c r="AZ90" i="13" s="1"/>
  <c r="BH90" i="13" a="1"/>
  <c r="BH90" i="13" s="1"/>
  <c r="AY90" i="13" a="1"/>
  <c r="AY90" i="13" s="1"/>
  <c r="AP90" i="13" a="1"/>
  <c r="AP90" i="13" s="1"/>
  <c r="BD90" i="12"/>
  <c r="BG90" i="13" a="1"/>
  <c r="BG90" i="13" s="1"/>
  <c r="AV90" i="13" a="1"/>
  <c r="AV90" i="13" s="1"/>
  <c r="BK90" i="12" a="1"/>
  <c r="BK90" i="12" s="1"/>
  <c r="AU90" i="13" a="1"/>
  <c r="AU90" i="13" s="1"/>
  <c r="AX90" i="15" a="1"/>
  <c r="AX90" i="15" s="1"/>
  <c r="BB90" i="13" a="1"/>
  <c r="BB90" i="13" s="1"/>
  <c r="BJ90" i="16" a="1"/>
  <c r="BJ90" i="16" s="1"/>
  <c r="BC90" i="16" a="1"/>
  <c r="BC90" i="16" s="1"/>
  <c r="AW90" i="16" a="1"/>
  <c r="AW90" i="16" s="1"/>
  <c r="AP90" i="16" a="1"/>
  <c r="AP90" i="16" s="1"/>
  <c r="BF90" i="13" a="1"/>
  <c r="BF90" i="13" s="1"/>
  <c r="BI90" i="16" a="1"/>
  <c r="BI90" i="16" s="1"/>
  <c r="BE90" i="13" a="1"/>
  <c r="BE90" i="13" s="1"/>
  <c r="BH90" i="16" a="1"/>
  <c r="BH90" i="16" s="1"/>
  <c r="BB90" i="16" a="1"/>
  <c r="BB90" i="16" s="1"/>
  <c r="AU90" i="16" a="1"/>
  <c r="AU90" i="16" s="1"/>
  <c r="AW90" i="15" a="1"/>
  <c r="AW90" i="15" s="1"/>
  <c r="AR90" i="16" a="1"/>
  <c r="AR90" i="16" s="1"/>
  <c r="BK90" i="16" a="1"/>
  <c r="BK90" i="16" s="1"/>
  <c r="BD90" i="16" a="1"/>
  <c r="BD90" i="16" s="1"/>
  <c r="AX90" i="16" a="1"/>
  <c r="AX90" i="16" s="1"/>
  <c r="AQ90" i="16" a="1"/>
  <c r="AQ90" i="16" s="1"/>
  <c r="AZ90" i="16" a="1"/>
  <c r="AZ90" i="16" s="1"/>
  <c r="BK90" i="14" a="1"/>
  <c r="BK90" i="14" s="1"/>
  <c r="BC90" i="14" a="1"/>
  <c r="BC90" i="14" s="1"/>
  <c r="AW90" i="14" a="1"/>
  <c r="AW90" i="14" s="1"/>
  <c r="AQ90" i="14" a="1"/>
  <c r="AQ90" i="14" s="1"/>
  <c r="AY90" i="16" a="1"/>
  <c r="AY90" i="16" s="1"/>
  <c r="AV90" i="16" a="1"/>
  <c r="AV90" i="16" s="1"/>
  <c r="BG90" i="16" a="1"/>
  <c r="BG90" i="16" s="1"/>
  <c r="AT90" i="16" a="1"/>
  <c r="AT90" i="16" s="1"/>
  <c r="AS90" i="13" a="1"/>
  <c r="AS90" i="13" s="1"/>
  <c r="BA90" i="16" a="1"/>
  <c r="BA90" i="16" s="1"/>
  <c r="BD90" i="14" a="1"/>
  <c r="BD90" i="14" s="1"/>
  <c r="AV90" i="14" a="1"/>
  <c r="AV90" i="14" s="1"/>
  <c r="AU90" i="14" a="1"/>
  <c r="AU90" i="14" s="1"/>
  <c r="BF90" i="16" a="1"/>
  <c r="BF90" i="16" s="1"/>
  <c r="BJ90" i="14" a="1"/>
  <c r="BJ90" i="14" s="1"/>
  <c r="BB90" i="14" a="1"/>
  <c r="BB90" i="14" s="1"/>
  <c r="BE90" i="16" a="1"/>
  <c r="BE90" i="16" s="1"/>
  <c r="BH90" i="14" a="1"/>
  <c r="BH90" i="14" s="1"/>
  <c r="AZ90" i="14" a="1"/>
  <c r="AZ90" i="14" s="1"/>
  <c r="AX90" i="14" a="1"/>
  <c r="AX90" i="14" s="1"/>
  <c r="BI90" i="14" a="1"/>
  <c r="BI90" i="14" s="1"/>
  <c r="AT90" i="14" a="1"/>
  <c r="AT90" i="14" s="1"/>
  <c r="BG90" i="14" a="1"/>
  <c r="BG90" i="14" s="1"/>
  <c r="AS90" i="14" a="1"/>
  <c r="AS90" i="14" s="1"/>
  <c r="BF90" i="14" a="1"/>
  <c r="BF90" i="14" s="1"/>
  <c r="AR90" i="14" a="1"/>
  <c r="AR90" i="14" s="1"/>
  <c r="AS90" i="16" a="1"/>
  <c r="AS90" i="16" s="1"/>
  <c r="BE90" i="14" a="1"/>
  <c r="BE90" i="14" s="1"/>
  <c r="AP90" i="14" a="1"/>
  <c r="AP90" i="14" s="1"/>
  <c r="BA90" i="14" a="1"/>
  <c r="BA90" i="14" s="1"/>
  <c r="AY90" i="14" a="1"/>
  <c r="AY90" i="14" s="1"/>
  <c r="BI14" i="15" a="1"/>
  <c r="BI14" i="15" s="1"/>
  <c r="BB14" i="15" a="1"/>
  <c r="BB14" i="15" s="1"/>
  <c r="AU14" i="15" a="1"/>
  <c r="AU14" i="15" s="1"/>
  <c r="BH14" i="15" a="1"/>
  <c r="BH14" i="15" s="1"/>
  <c r="BA14" i="15" a="1"/>
  <c r="BA14" i="15" s="1"/>
  <c r="AT14" i="15" a="1"/>
  <c r="AT14" i="15" s="1"/>
  <c r="BG14" i="15" a="1"/>
  <c r="BG14" i="15" s="1"/>
  <c r="AZ14" i="15" a="1"/>
  <c r="AZ14" i="15" s="1"/>
  <c r="AS14" i="15" a="1"/>
  <c r="AS14" i="15" s="1"/>
  <c r="BJ14" i="15" a="1"/>
  <c r="BJ14" i="15" s="1"/>
  <c r="AV14" i="15" a="1"/>
  <c r="AV14" i="15" s="1"/>
  <c r="AX14" i="15" a="1"/>
  <c r="AX14" i="15" s="1"/>
  <c r="BK14" i="15" a="1"/>
  <c r="BK14" i="15" s="1"/>
  <c r="AW14" i="15" a="1"/>
  <c r="AW14" i="15" s="1"/>
  <c r="BF14" i="15" a="1"/>
  <c r="BF14" i="15" s="1"/>
  <c r="AR14" i="15" a="1"/>
  <c r="AR14" i="15" s="1"/>
  <c r="BE14" i="15" a="1"/>
  <c r="BE14" i="15" s="1"/>
  <c r="AQ14" i="15" a="1"/>
  <c r="AQ14" i="15" s="1"/>
  <c r="BD14" i="15" a="1"/>
  <c r="BD14" i="15" s="1"/>
  <c r="BC14" i="15" a="1"/>
  <c r="BC14" i="15" s="1"/>
  <c r="AY14" i="15" a="1"/>
  <c r="AY14" i="15" s="1"/>
  <c r="AP14" i="15" a="1"/>
  <c r="AP14" i="15" s="1"/>
  <c r="BK14" i="13" a="1"/>
  <c r="BK14" i="13" s="1"/>
  <c r="BK14" i="16" a="1"/>
  <c r="BK14" i="16" s="1"/>
  <c r="BD14" i="16" a="1"/>
  <c r="BD14" i="16" s="1"/>
  <c r="AW14" i="16" a="1"/>
  <c r="AW14" i="16" s="1"/>
  <c r="AP14" i="16" a="1"/>
  <c r="AP14" i="16" s="1"/>
  <c r="BI14" i="16" a="1"/>
  <c r="BI14" i="16" s="1"/>
  <c r="BA14" i="16" a="1"/>
  <c r="BA14" i="16" s="1"/>
  <c r="AT14" i="16" a="1"/>
  <c r="AT14" i="16" s="1"/>
  <c r="BH14" i="16" a="1"/>
  <c r="BH14" i="16" s="1"/>
  <c r="AZ14" i="16" a="1"/>
  <c r="AZ14" i="16" s="1"/>
  <c r="AS14" i="16" a="1"/>
  <c r="AS14" i="16" s="1"/>
  <c r="BG14" i="16" a="1"/>
  <c r="BG14" i="16" s="1"/>
  <c r="AY14" i="16" a="1"/>
  <c r="AY14" i="16" s="1"/>
  <c r="AR14" i="16" a="1"/>
  <c r="AR14" i="16" s="1"/>
  <c r="BC14" i="16" a="1"/>
  <c r="BC14" i="16" s="1"/>
  <c r="BK14" i="14" a="1"/>
  <c r="BK14" i="14" s="1"/>
  <c r="BC14" i="14" a="1"/>
  <c r="BC14" i="14" s="1"/>
  <c r="AU14" i="14" a="1"/>
  <c r="AU14" i="14" s="1"/>
  <c r="BB14" i="16" a="1"/>
  <c r="BB14" i="16" s="1"/>
  <c r="BJ14" i="14" a="1"/>
  <c r="BJ14" i="14" s="1"/>
  <c r="BB14" i="14" a="1"/>
  <c r="BB14" i="14" s="1"/>
  <c r="AT14" i="14" a="1"/>
  <c r="AT14" i="14" s="1"/>
  <c r="AX14" i="16" a="1"/>
  <c r="AX14" i="16" s="1"/>
  <c r="BI14" i="14" a="1"/>
  <c r="BI14" i="14" s="1"/>
  <c r="BA14" i="14" a="1"/>
  <c r="BA14" i="14" s="1"/>
  <c r="AS14" i="14" a="1"/>
  <c r="AS14" i="14" s="1"/>
  <c r="AV14" i="16" a="1"/>
  <c r="AV14" i="16" s="1"/>
  <c r="BG14" i="14" a="1"/>
  <c r="BG14" i="14" s="1"/>
  <c r="AY14" i="14" a="1"/>
  <c r="AY14" i="14" s="1"/>
  <c r="AQ14" i="14" a="1"/>
  <c r="AQ14" i="14" s="1"/>
  <c r="BJ14" i="16" a="1"/>
  <c r="BJ14" i="16" s="1"/>
  <c r="AU14" i="16" a="1"/>
  <c r="AU14" i="16" s="1"/>
  <c r="BF14" i="16" a="1"/>
  <c r="BF14" i="16" s="1"/>
  <c r="AQ14" i="16" a="1"/>
  <c r="AQ14" i="16" s="1"/>
  <c r="BE14" i="16" a="1"/>
  <c r="BE14" i="16" s="1"/>
  <c r="BD14" i="14" a="1"/>
  <c r="BD14" i="14" s="1"/>
  <c r="AV14" i="14" a="1"/>
  <c r="AV14" i="14" s="1"/>
  <c r="BH14" i="14" a="1"/>
  <c r="BH14" i="14" s="1"/>
  <c r="AZ14" i="14" a="1"/>
  <c r="AZ14" i="14" s="1"/>
  <c r="BF14" i="14" a="1"/>
  <c r="BF14" i="14" s="1"/>
  <c r="AR14" i="14" a="1"/>
  <c r="AR14" i="14" s="1"/>
  <c r="BE14" i="14" a="1"/>
  <c r="BE14" i="14" s="1"/>
  <c r="AX14" i="14" a="1"/>
  <c r="AX14" i="14" s="1"/>
  <c r="AW14" i="14" a="1"/>
  <c r="AW14" i="14" s="1"/>
  <c r="AP14" i="14" a="1"/>
  <c r="AP14" i="14" s="1"/>
  <c r="BI16" i="15" a="1"/>
  <c r="BI16" i="15" s="1"/>
  <c r="BB16" i="15" a="1"/>
  <c r="BB16" i="15" s="1"/>
  <c r="AU16" i="15" a="1"/>
  <c r="AU16" i="15" s="1"/>
  <c r="BC16" i="13" a="1"/>
  <c r="BC16" i="13" s="1"/>
  <c r="AV16" i="13" a="1"/>
  <c r="AV16" i="13" s="1"/>
  <c r="AZ16" i="16" a="1"/>
  <c r="AZ16" i="16" s="1"/>
  <c r="BK16" i="14" a="1"/>
  <c r="BK16" i="14" s="1"/>
  <c r="BD16" i="14" a="1"/>
  <c r="BD16" i="14" s="1"/>
  <c r="AV16" i="14" a="1"/>
  <c r="AV16" i="14" s="1"/>
  <c r="BB16" i="13" a="1"/>
  <c r="BB16" i="13" s="1"/>
  <c r="BH16" i="15" a="1"/>
  <c r="BH16" i="15" s="1"/>
  <c r="AT16" i="15" a="1"/>
  <c r="AT16" i="15" s="1"/>
  <c r="BI16" i="13" a="1"/>
  <c r="BI16" i="13" s="1"/>
  <c r="BG16" i="15" a="1"/>
  <c r="BG16" i="15" s="1"/>
  <c r="BA16" i="15" a="1"/>
  <c r="BA16" i="15" s="1"/>
  <c r="AS16" i="15" a="1"/>
  <c r="AS16" i="15" s="1"/>
  <c r="BH16" i="13" a="1"/>
  <c r="BH16" i="13" s="1"/>
  <c r="BA16" i="13" a="1"/>
  <c r="BA16" i="13" s="1"/>
  <c r="AU16" i="13" a="1"/>
  <c r="AU16" i="13" s="1"/>
  <c r="BF16" i="16" a="1"/>
  <c r="BF16" i="16" s="1"/>
  <c r="AY16" i="16" a="1"/>
  <c r="AY16" i="16" s="1"/>
  <c r="AR16" i="16" a="1"/>
  <c r="AR16" i="16" s="1"/>
  <c r="BI16" i="14" a="1"/>
  <c r="BI16" i="14" s="1"/>
  <c r="BB16" i="14" a="1"/>
  <c r="BB16" i="14" s="1"/>
  <c r="AT16" i="14" a="1"/>
  <c r="AT16" i="14" s="1"/>
  <c r="AZ16" i="15" a="1"/>
  <c r="AZ16" i="15" s="1"/>
  <c r="AR16" i="15" a="1"/>
  <c r="AR16" i="15" s="1"/>
  <c r="BG16" i="13" a="1"/>
  <c r="BG16" i="13" s="1"/>
  <c r="AZ16" i="13" a="1"/>
  <c r="AZ16" i="13" s="1"/>
  <c r="AT16" i="13" a="1"/>
  <c r="AT16" i="13" s="1"/>
  <c r="BK16" i="16" a="1"/>
  <c r="BK16" i="16" s="1"/>
  <c r="BE16" i="16" a="1"/>
  <c r="BE16" i="16" s="1"/>
  <c r="AX16" i="16" a="1"/>
  <c r="AX16" i="16" s="1"/>
  <c r="AQ16" i="16" a="1"/>
  <c r="AQ16" i="16" s="1"/>
  <c r="BH16" i="14" a="1"/>
  <c r="BH16" i="14" s="1"/>
  <c r="BA16" i="14" a="1"/>
  <c r="BA16" i="14" s="1"/>
  <c r="AS16" i="14" a="1"/>
  <c r="AS16" i="14" s="1"/>
  <c r="BJ16" i="14" a="1"/>
  <c r="BJ16" i="14" s="1"/>
  <c r="BF16" i="15" a="1"/>
  <c r="BF16" i="15" s="1"/>
  <c r="AY16" i="15" a="1"/>
  <c r="AY16" i="15" s="1"/>
  <c r="AQ16" i="15" a="1"/>
  <c r="AQ16" i="15" s="1"/>
  <c r="AY16" i="13" a="1"/>
  <c r="AY16" i="13" s="1"/>
  <c r="AS16" i="13" a="1"/>
  <c r="AS16" i="13" s="1"/>
  <c r="BJ16" i="16" a="1"/>
  <c r="BJ16" i="16" s="1"/>
  <c r="BD16" i="16" a="1"/>
  <c r="BD16" i="16" s="1"/>
  <c r="AW16" i="16" a="1"/>
  <c r="AW16" i="16" s="1"/>
  <c r="AP16" i="16" a="1"/>
  <c r="AP16" i="16" s="1"/>
  <c r="BG16" i="14" a="1"/>
  <c r="BG16" i="14" s="1"/>
  <c r="AZ16" i="14" a="1"/>
  <c r="AZ16" i="14" s="1"/>
  <c r="AR16" i="14" a="1"/>
  <c r="AR16" i="14" s="1"/>
  <c r="AS16" i="16" a="1"/>
  <c r="AS16" i="16" s="1"/>
  <c r="BE16" i="15" a="1"/>
  <c r="BE16" i="15" s="1"/>
  <c r="AX16" i="15" a="1"/>
  <c r="AX16" i="15" s="1"/>
  <c r="BF16" i="13" a="1"/>
  <c r="BF16" i="13" s="1"/>
  <c r="AX16" i="13" a="1"/>
  <c r="AX16" i="13" s="1"/>
  <c r="AR16" i="13" a="1"/>
  <c r="AR16" i="13" s="1"/>
  <c r="BI16" i="16" a="1"/>
  <c r="BI16" i="16" s="1"/>
  <c r="BC16" i="16" a="1"/>
  <c r="BC16" i="16" s="1"/>
  <c r="AV16" i="16" a="1"/>
  <c r="AV16" i="16" s="1"/>
  <c r="BF16" i="14" a="1"/>
  <c r="BF16" i="14" s="1"/>
  <c r="AY16" i="14" a="1"/>
  <c r="AY16" i="14" s="1"/>
  <c r="AQ16" i="14" a="1"/>
  <c r="AQ16" i="14" s="1"/>
  <c r="BG16" i="16" a="1"/>
  <c r="BG16" i="16" s="1"/>
  <c r="AU16" i="14" a="1"/>
  <c r="AU16" i="14" s="1"/>
  <c r="BK16" i="15" a="1"/>
  <c r="BK16" i="15" s="1"/>
  <c r="BD16" i="15" a="1"/>
  <c r="BD16" i="15" s="1"/>
  <c r="AW16" i="15" a="1"/>
  <c r="AW16" i="15" s="1"/>
  <c r="AP16" i="15" a="1"/>
  <c r="AP16" i="15" s="1"/>
  <c r="BK16" i="13" a="1"/>
  <c r="BK16" i="13" s="1"/>
  <c r="BE16" i="13" a="1"/>
  <c r="BE16" i="13" s="1"/>
  <c r="AQ16" i="13" a="1"/>
  <c r="AQ16" i="13" s="1"/>
  <c r="BB16" i="16" a="1"/>
  <c r="BB16" i="16" s="1"/>
  <c r="AU16" i="16" a="1"/>
  <c r="AU16" i="16" s="1"/>
  <c r="BE16" i="14" a="1"/>
  <c r="BE16" i="14" s="1"/>
  <c r="AX16" i="14" a="1"/>
  <c r="AX16" i="14" s="1"/>
  <c r="AP16" i="14" a="1"/>
  <c r="AP16" i="14" s="1"/>
  <c r="BC16" i="14" a="1"/>
  <c r="BC16" i="14" s="1"/>
  <c r="BJ16" i="15" a="1"/>
  <c r="BJ16" i="15" s="1"/>
  <c r="BC16" i="15" a="1"/>
  <c r="BC16" i="15" s="1"/>
  <c r="AV16" i="15" a="1"/>
  <c r="AV16" i="15" s="1"/>
  <c r="BJ16" i="13" a="1"/>
  <c r="BJ16" i="13" s="1"/>
  <c r="BD16" i="13" a="1"/>
  <c r="BD16" i="13" s="1"/>
  <c r="AW16" i="13" a="1"/>
  <c r="AW16" i="13" s="1"/>
  <c r="AP16" i="13" a="1"/>
  <c r="AP16" i="13" s="1"/>
  <c r="BH16" i="16" a="1"/>
  <c r="BH16" i="16" s="1"/>
  <c r="BA16" i="16" a="1"/>
  <c r="BA16" i="16" s="1"/>
  <c r="AT16" i="16" a="1"/>
  <c r="AT16" i="16" s="1"/>
  <c r="AW16" i="14" a="1"/>
  <c r="AW16" i="14" s="1"/>
  <c r="AU24" i="4" a="1"/>
  <c r="AU24" i="4" s="1"/>
  <c r="BC24" i="4" a="1"/>
  <c r="BC24" i="4" s="1"/>
  <c r="AV24" i="4" a="1"/>
  <c r="AV24" i="4" s="1"/>
  <c r="BD24" i="4" a="1"/>
  <c r="BD24" i="4" s="1"/>
  <c r="AW24" i="4" a="1"/>
  <c r="AW24" i="4" s="1"/>
  <c r="BE24" i="4" a="1"/>
  <c r="BE24" i="4" s="1"/>
  <c r="AR24" i="4" a="1"/>
  <c r="AR24" i="4" s="1"/>
  <c r="AZ24" i="4" a="1"/>
  <c r="AZ24" i="4" s="1"/>
  <c r="BH24" i="4" a="1"/>
  <c r="BH24" i="4" s="1"/>
  <c r="BB24" i="4" a="1"/>
  <c r="BB24" i="4" s="1"/>
  <c r="AP24" i="4" a="1"/>
  <c r="AP24" i="4" s="1"/>
  <c r="BF24" i="4" a="1"/>
  <c r="BF24" i="4" s="1"/>
  <c r="AQ24" i="4" a="1"/>
  <c r="AQ24" i="4" s="1"/>
  <c r="BG24" i="4" a="1"/>
  <c r="BG24" i="4" s="1"/>
  <c r="AS24" i="4" a="1"/>
  <c r="AS24" i="4" s="1"/>
  <c r="BI24" i="4" a="1"/>
  <c r="BI24" i="4" s="1"/>
  <c r="BJ24" i="4" a="1"/>
  <c r="BJ24" i="4" s="1"/>
  <c r="BK24" i="4" a="1"/>
  <c r="BK24" i="4" s="1"/>
  <c r="AT24" i="4" a="1"/>
  <c r="AT24" i="4" s="1"/>
  <c r="AX24" i="4" a="1"/>
  <c r="AX24" i="4" s="1"/>
  <c r="AY24" i="4" a="1"/>
  <c r="AY24" i="4" s="1"/>
  <c r="BA24" i="4" a="1"/>
  <c r="BA24" i="4" s="1"/>
  <c r="AH24" i="12" a="1"/>
  <c r="AH24" i="12" s="1"/>
  <c r="AM24" i="12" a="1"/>
  <c r="AM24" i="12" s="1"/>
  <c r="AT24" i="12" a="1"/>
  <c r="AT24" i="12" s="1"/>
  <c r="AB24" i="12" a="1"/>
  <c r="AB24" i="12" s="1"/>
  <c r="AI24" i="12" a="1"/>
  <c r="AI24" i="12" s="1"/>
  <c r="AN24" i="12" a="1"/>
  <c r="AN24" i="12" s="1"/>
  <c r="AC24" i="12" a="1"/>
  <c r="AC24" i="12" s="1"/>
  <c r="AO24" i="12" a="1"/>
  <c r="AO24" i="12" s="1"/>
  <c r="AU24" i="12" a="1"/>
  <c r="AU24" i="12" s="1"/>
  <c r="AF24" i="12" a="1"/>
  <c r="AF24" i="12" s="1"/>
  <c r="AL24" i="12" a="1"/>
  <c r="AL24" i="12" s="1"/>
  <c r="AR24" i="12" a="1"/>
  <c r="AR24" i="12" s="1"/>
  <c r="AW24" i="12" a="1"/>
  <c r="AW24" i="12" s="1"/>
  <c r="AP24" i="12" a="1"/>
  <c r="AP24" i="12" s="1"/>
  <c r="AK24" i="12" a="1"/>
  <c r="AK24" i="12" s="1"/>
  <c r="AV24" i="12" a="1"/>
  <c r="AV24" i="12" s="1"/>
  <c r="AJ24" i="12" a="1"/>
  <c r="AJ24" i="12" s="1"/>
  <c r="AQ24" i="12" a="1"/>
  <c r="AQ24" i="12" s="1"/>
  <c r="AG24" i="12" a="1"/>
  <c r="AG24" i="12" s="1"/>
  <c r="AS24" i="12" a="1"/>
  <c r="AS24" i="12" s="1"/>
  <c r="AD24" i="12" a="1"/>
  <c r="AD24" i="12" s="1"/>
  <c r="AE24" i="12" a="1"/>
  <c r="AE24" i="12" s="1"/>
  <c r="AQ36" i="4" a="1"/>
  <c r="AQ36" i="4" s="1"/>
  <c r="AW36" i="4" a="1"/>
  <c r="AW36" i="4" s="1"/>
  <c r="BK36" i="4" a="1"/>
  <c r="BK36" i="4" s="1"/>
  <c r="BB36" i="4" a="1"/>
  <c r="BB36" i="4" s="1"/>
  <c r="AT36" i="4" a="1"/>
  <c r="AT36" i="4" s="1"/>
  <c r="BC36" i="4" a="1"/>
  <c r="BC36" i="4" s="1"/>
  <c r="BJ36" i="4" a="1"/>
  <c r="BJ36" i="4" s="1"/>
  <c r="AU36" i="4" a="1"/>
  <c r="AU36" i="4" s="1"/>
  <c r="BD36" i="4" a="1"/>
  <c r="BD36" i="4" s="1"/>
  <c r="AS36" i="4" a="1"/>
  <c r="AS36" i="4" s="1"/>
  <c r="BG36" i="4" a="1"/>
  <c r="BG36" i="4" s="1"/>
  <c r="AV36" i="4" a="1"/>
  <c r="AV36" i="4" s="1"/>
  <c r="BH36" i="4" a="1"/>
  <c r="BH36" i="4" s="1"/>
  <c r="AX36" i="4" a="1"/>
  <c r="AX36" i="4" s="1"/>
  <c r="BI36" i="4" a="1"/>
  <c r="BI36" i="4" s="1"/>
  <c r="AY36" i="4" a="1"/>
  <c r="AY36" i="4" s="1"/>
  <c r="AZ36" i="4" a="1"/>
  <c r="AZ36" i="4" s="1"/>
  <c r="BA36" i="4" a="1"/>
  <c r="BA36" i="4" s="1"/>
  <c r="BE36" i="4" a="1"/>
  <c r="BE36" i="4" s="1"/>
  <c r="AP36" i="4" a="1"/>
  <c r="AP36" i="4" s="1"/>
  <c r="BF36" i="4" a="1"/>
  <c r="BF36" i="4" s="1"/>
  <c r="AR36" i="4" a="1"/>
  <c r="AR36" i="4" s="1"/>
  <c r="AB36" i="12" a="1"/>
  <c r="AB36" i="12" s="1"/>
  <c r="AI36" i="12" a="1"/>
  <c r="AI36" i="12" s="1"/>
  <c r="AP36" i="12" a="1"/>
  <c r="AP36" i="12" s="1"/>
  <c r="AW36" i="12" a="1"/>
  <c r="AW36" i="12" s="1"/>
  <c r="AC36" i="12" a="1"/>
  <c r="AC36" i="12" s="1"/>
  <c r="AQ36" i="12" a="1"/>
  <c r="AQ36" i="12" s="1"/>
  <c r="AD36" i="12" a="1"/>
  <c r="AD36" i="12" s="1"/>
  <c r="AJ36" i="12" a="1"/>
  <c r="AJ36" i="12" s="1"/>
  <c r="AR36" i="12" a="1"/>
  <c r="AR36" i="12" s="1"/>
  <c r="AG36" i="12" a="1"/>
  <c r="AG36" i="12" s="1"/>
  <c r="AT36" i="12" a="1"/>
  <c r="AT36" i="12" s="1"/>
  <c r="AH36" i="12" a="1"/>
  <c r="AH36" i="12" s="1"/>
  <c r="AK36" i="12" a="1"/>
  <c r="AK36" i="12" s="1"/>
  <c r="AU36" i="12" a="1"/>
  <c r="AU36" i="12" s="1"/>
  <c r="AF36" i="12" a="1"/>
  <c r="AF36" i="12" s="1"/>
  <c r="AS36" i="12" a="1"/>
  <c r="AS36" i="12" s="1"/>
  <c r="AM36" i="12" a="1"/>
  <c r="AM36" i="12" s="1"/>
  <c r="AN36" i="12" a="1"/>
  <c r="AN36" i="12" s="1"/>
  <c r="AV36" i="12" a="1"/>
  <c r="AV36" i="12" s="1"/>
  <c r="AL36" i="12" a="1"/>
  <c r="AL36" i="12" s="1"/>
  <c r="AO36" i="12" a="1"/>
  <c r="AO36" i="12" s="1"/>
  <c r="AE36" i="12" a="1"/>
  <c r="AE36" i="12" s="1"/>
  <c r="AU56" i="4" a="1"/>
  <c r="AU56" i="4" s="1"/>
  <c r="BA56" i="4" a="1"/>
  <c r="BA56" i="4" s="1"/>
  <c r="BG56" i="4" a="1"/>
  <c r="BG56" i="4" s="1"/>
  <c r="AP56" i="4" a="1"/>
  <c r="AP56" i="4" s="1"/>
  <c r="AV56" i="4" a="1"/>
  <c r="AV56" i="4" s="1"/>
  <c r="BB56" i="4" a="1"/>
  <c r="BB56" i="4" s="1"/>
  <c r="BH56" i="4" a="1"/>
  <c r="BH56" i="4" s="1"/>
  <c r="BI56" i="4" a="1"/>
  <c r="BI56" i="4" s="1"/>
  <c r="AR56" i="4" a="1"/>
  <c r="AR56" i="4" s="1"/>
  <c r="AZ56" i="4" a="1"/>
  <c r="AZ56" i="4" s="1"/>
  <c r="BK56" i="4" a="1"/>
  <c r="BK56" i="4" s="1"/>
  <c r="AS56" i="4" a="1"/>
  <c r="AS56" i="4" s="1"/>
  <c r="BC56" i="4" a="1"/>
  <c r="BC56" i="4" s="1"/>
  <c r="AT56" i="4" a="1"/>
  <c r="AT56" i="4" s="1"/>
  <c r="BD56" i="4" a="1"/>
  <c r="BD56" i="4" s="1"/>
  <c r="AX56" i="4" a="1"/>
  <c r="AX56" i="4" s="1"/>
  <c r="BJ56" i="4" a="1"/>
  <c r="BJ56" i="4" s="1"/>
  <c r="AQ56" i="4" a="1"/>
  <c r="AQ56" i="4" s="1"/>
  <c r="BE56" i="4" a="1"/>
  <c r="BE56" i="4" s="1"/>
  <c r="AW56" i="4" a="1"/>
  <c r="AW56" i="4" s="1"/>
  <c r="AD56" i="12" a="1"/>
  <c r="AD56" i="12" s="1"/>
  <c r="AJ56" i="12" a="1"/>
  <c r="AJ56" i="12" s="1"/>
  <c r="AQ56" i="12" a="1"/>
  <c r="AQ56" i="12" s="1"/>
  <c r="AK56" i="12" a="1"/>
  <c r="AK56" i="12" s="1"/>
  <c r="AR56" i="12" a="1"/>
  <c r="AR56" i="12" s="1"/>
  <c r="AE56" i="12" a="1"/>
  <c r="AE56" i="12" s="1"/>
  <c r="AL56" i="12" a="1"/>
  <c r="AL56" i="12" s="1"/>
  <c r="AS56" i="12" a="1"/>
  <c r="AS56" i="12" s="1"/>
  <c r="BF56" i="4" a="1"/>
  <c r="BF56" i="4" s="1"/>
  <c r="AI56" i="12" a="1"/>
  <c r="AI56" i="12" s="1"/>
  <c r="AP56" i="12" a="1"/>
  <c r="AP56" i="12" s="1"/>
  <c r="AW56" i="12" a="1"/>
  <c r="AW56" i="12" s="1"/>
  <c r="AN56" i="12" a="1"/>
  <c r="AN56" i="12" s="1"/>
  <c r="AB56" i="12" a="1"/>
  <c r="AB56" i="12" s="1"/>
  <c r="AO56" i="12" a="1"/>
  <c r="AO56" i="12" s="1"/>
  <c r="AY56" i="4" a="1"/>
  <c r="AY56" i="4" s="1"/>
  <c r="AF56" i="12" a="1"/>
  <c r="AF56" i="12" s="1"/>
  <c r="AM56" i="12" a="1"/>
  <c r="AM56" i="12" s="1"/>
  <c r="AG56" i="12" a="1"/>
  <c r="AG56" i="12" s="1"/>
  <c r="AH56" i="12" a="1"/>
  <c r="AH56" i="12" s="1"/>
  <c r="AT56" i="12" a="1"/>
  <c r="AT56" i="12" s="1"/>
  <c r="AU56" i="12" a="1"/>
  <c r="AU56" i="12" s="1"/>
  <c r="AV56" i="12" a="1"/>
  <c r="AV56" i="12" s="1"/>
  <c r="AC56" i="12" a="1"/>
  <c r="AC56" i="12" s="1"/>
  <c r="AT72" i="4" a="1"/>
  <c r="AT72" i="4" s="1"/>
  <c r="AZ72" i="4" a="1"/>
  <c r="AZ72" i="4" s="1"/>
  <c r="BE72" i="4" a="1"/>
  <c r="BE72" i="4" s="1"/>
  <c r="AU72" i="4" a="1"/>
  <c r="AU72" i="4" s="1"/>
  <c r="BK72" i="4" a="1"/>
  <c r="BK72" i="4" s="1"/>
  <c r="AV72" i="4" a="1"/>
  <c r="AV72" i="4" s="1"/>
  <c r="BA72" i="4" a="1"/>
  <c r="BA72" i="4" s="1"/>
  <c r="BF72" i="4" a="1"/>
  <c r="BF72" i="4" s="1"/>
  <c r="BC72" i="4" a="1"/>
  <c r="BC72" i="4" s="1"/>
  <c r="AW72" i="4" a="1"/>
  <c r="AW72" i="4" s="1"/>
  <c r="BD72" i="4" a="1"/>
  <c r="BD72" i="4" s="1"/>
  <c r="AR72" i="4" a="1"/>
  <c r="AR72" i="4" s="1"/>
  <c r="BI72" i="4" a="1"/>
  <c r="BI72" i="4" s="1"/>
  <c r="AQ72" i="4" a="1"/>
  <c r="AQ72" i="4" s="1"/>
  <c r="AS72" i="4" a="1"/>
  <c r="AS72" i="4" s="1"/>
  <c r="BJ72" i="4" a="1"/>
  <c r="BJ72" i="4" s="1"/>
  <c r="AX72" i="4" a="1"/>
  <c r="AX72" i="4" s="1"/>
  <c r="AP72" i="4" a="1"/>
  <c r="AP72" i="4" s="1"/>
  <c r="BH72" i="4" a="1"/>
  <c r="BH72" i="4" s="1"/>
  <c r="AD72" i="12" a="1"/>
  <c r="AD72" i="12" s="1"/>
  <c r="AI72" i="12" a="1"/>
  <c r="AI72" i="12" s="1"/>
  <c r="AO72" i="12" a="1"/>
  <c r="AO72" i="12" s="1"/>
  <c r="AE72" i="12" a="1"/>
  <c r="AE72" i="12" s="1"/>
  <c r="AP72" i="12" a="1"/>
  <c r="AP72" i="12" s="1"/>
  <c r="AV72" i="12" a="1"/>
  <c r="AV72" i="12" s="1"/>
  <c r="AY72" i="4" a="1"/>
  <c r="AY72" i="4" s="1"/>
  <c r="BB72" i="4" a="1"/>
  <c r="BB72" i="4" s="1"/>
  <c r="BG72" i="4" a="1"/>
  <c r="BG72" i="4" s="1"/>
  <c r="AB72" i="12" a="1"/>
  <c r="AB72" i="12" s="1"/>
  <c r="AJ72" i="12" a="1"/>
  <c r="AJ72" i="12" s="1"/>
  <c r="AC72" i="12" a="1"/>
  <c r="AC72" i="12" s="1"/>
  <c r="AK72" i="12" a="1"/>
  <c r="AK72" i="12" s="1"/>
  <c r="AR72" i="12" a="1"/>
  <c r="AR72" i="12" s="1"/>
  <c r="AF72" i="12" a="1"/>
  <c r="AF72" i="12" s="1"/>
  <c r="AM72" i="12" a="1"/>
  <c r="AM72" i="12" s="1"/>
  <c r="AT72" i="12" a="1"/>
  <c r="AT72" i="12" s="1"/>
  <c r="AQ72" i="12" a="1"/>
  <c r="AQ72" i="12" s="1"/>
  <c r="AG72" i="12" a="1"/>
  <c r="AG72" i="12" s="1"/>
  <c r="AU72" i="12" a="1"/>
  <c r="AU72" i="12" s="1"/>
  <c r="AL72" i="12" a="1"/>
  <c r="AL72" i="12" s="1"/>
  <c r="AW72" i="12" a="1"/>
  <c r="AW72" i="12" s="1"/>
  <c r="AH72" i="12" a="1"/>
  <c r="AH72" i="12" s="1"/>
  <c r="AN72" i="12" a="1"/>
  <c r="AN72" i="12" s="1"/>
  <c r="AS72" i="12" a="1"/>
  <c r="AS72" i="12" s="1"/>
  <c r="AR88" i="4" a="1"/>
  <c r="AR88" i="4" s="1"/>
  <c r="AX88" i="4" a="1"/>
  <c r="AX88" i="4" s="1"/>
  <c r="BC88" i="4" a="1"/>
  <c r="BC88" i="4" s="1"/>
  <c r="BI88" i="4" a="1"/>
  <c r="BI88" i="4" s="1"/>
  <c r="AS88" i="4" a="1"/>
  <c r="AS88" i="4" s="1"/>
  <c r="AZ88" i="4" a="1"/>
  <c r="AZ88" i="4" s="1"/>
  <c r="BG88" i="4" a="1"/>
  <c r="BG88" i="4" s="1"/>
  <c r="AT88" i="4" a="1"/>
  <c r="AT88" i="4" s="1"/>
  <c r="BA88" i="4" a="1"/>
  <c r="BA88" i="4" s="1"/>
  <c r="BH88" i="4" a="1"/>
  <c r="BH88" i="4" s="1"/>
  <c r="AQ88" i="4" a="1"/>
  <c r="AQ88" i="4" s="1"/>
  <c r="BE88" i="4" a="1"/>
  <c r="BE88" i="4" s="1"/>
  <c r="BK88" i="4" a="1"/>
  <c r="BK88" i="4" s="1"/>
  <c r="AW88" i="4" a="1"/>
  <c r="AW88" i="4" s="1"/>
  <c r="BJ88" i="4" a="1"/>
  <c r="BJ88" i="4" s="1"/>
  <c r="AY88" i="4" a="1"/>
  <c r="AY88" i="4" s="1"/>
  <c r="BB88" i="4" a="1"/>
  <c r="BB88" i="4" s="1"/>
  <c r="AV88" i="4" a="1"/>
  <c r="AV88" i="4" s="1"/>
  <c r="AU88" i="4" a="1"/>
  <c r="AU88" i="4" s="1"/>
  <c r="BD88" i="4" a="1"/>
  <c r="BD88" i="4" s="1"/>
  <c r="BF88" i="4" a="1"/>
  <c r="BF88" i="4" s="1"/>
  <c r="AP88" i="4" a="1"/>
  <c r="AP88" i="4" s="1"/>
  <c r="AG88" i="12" a="1"/>
  <c r="AG88" i="12" s="1"/>
  <c r="AN88" i="12" a="1"/>
  <c r="AN88" i="12" s="1"/>
  <c r="AT88" i="12" a="1"/>
  <c r="AT88" i="12" s="1"/>
  <c r="AJ88" i="12" a="1"/>
  <c r="AJ88" i="12" s="1"/>
  <c r="AQ88" i="12" a="1"/>
  <c r="AQ88" i="12" s="1"/>
  <c r="AK88" i="12" a="1"/>
  <c r="AK88" i="12" s="1"/>
  <c r="AH88" i="12" a="1"/>
  <c r="AH88" i="12" s="1"/>
  <c r="AU88" i="12" a="1"/>
  <c r="AU88" i="12" s="1"/>
  <c r="AC88" i="12" a="1"/>
  <c r="AC88" i="12" s="1"/>
  <c r="AD88" i="12" a="1"/>
  <c r="AD88" i="12" s="1"/>
  <c r="AE88" i="12" a="1"/>
  <c r="AE88" i="12" s="1"/>
  <c r="AB88" i="12" a="1"/>
  <c r="AB88" i="12" s="1"/>
  <c r="AI88" i="12" a="1"/>
  <c r="AI88" i="12" s="1"/>
  <c r="AO88" i="12" a="1"/>
  <c r="AO88" i="12" s="1"/>
  <c r="AV88" i="12" a="1"/>
  <c r="AV88" i="12" s="1"/>
  <c r="AP88" i="12" a="1"/>
  <c r="AP88" i="12" s="1"/>
  <c r="AW88" i="12" a="1"/>
  <c r="AW88" i="12" s="1"/>
  <c r="AR88" i="12" a="1"/>
  <c r="AR88" i="12" s="1"/>
  <c r="AF88" i="12" a="1"/>
  <c r="AF88" i="12" s="1"/>
  <c r="AL88" i="12" a="1"/>
  <c r="AL88" i="12" s="1"/>
  <c r="AM88" i="12" a="1"/>
  <c r="AM88" i="12" s="1"/>
  <c r="AS88" i="12" a="1"/>
  <c r="AS88" i="12" s="1"/>
  <c r="AR17" i="4" a="1"/>
  <c r="AR17" i="4" s="1"/>
  <c r="AZ17" i="4" a="1"/>
  <c r="AZ17" i="4" s="1"/>
  <c r="AS17" i="4" a="1"/>
  <c r="AS17" i="4" s="1"/>
  <c r="BA17" i="4" a="1"/>
  <c r="BA17" i="4" s="1"/>
  <c r="BH17" i="4" a="1"/>
  <c r="BH17" i="4" s="1"/>
  <c r="AT17" i="4" a="1"/>
  <c r="AT17" i="4" s="1"/>
  <c r="BB17" i="4" a="1"/>
  <c r="BB17" i="4" s="1"/>
  <c r="BI17" i="4" a="1"/>
  <c r="BI17" i="4" s="1"/>
  <c r="AW17" i="4" a="1"/>
  <c r="AW17" i="4" s="1"/>
  <c r="BE17" i="4" a="1"/>
  <c r="BE17" i="4" s="1"/>
  <c r="AQ17" i="4" a="1"/>
  <c r="AQ17" i="4" s="1"/>
  <c r="BG17" i="4" a="1"/>
  <c r="BG17" i="4" s="1"/>
  <c r="AU17" i="4" a="1"/>
  <c r="AU17" i="4" s="1"/>
  <c r="BJ17" i="4" a="1"/>
  <c r="BJ17" i="4" s="1"/>
  <c r="AV17" i="4" a="1"/>
  <c r="AV17" i="4" s="1"/>
  <c r="BK17" i="4" a="1"/>
  <c r="BK17" i="4" s="1"/>
  <c r="AX17" i="4" a="1"/>
  <c r="AX17" i="4" s="1"/>
  <c r="AP17" i="4" a="1"/>
  <c r="AP17" i="4" s="1"/>
  <c r="BC17" i="4" a="1"/>
  <c r="BC17" i="4" s="1"/>
  <c r="AD17" i="12" a="1"/>
  <c r="AD17" i="12" s="1"/>
  <c r="AL17" i="12" a="1"/>
  <c r="AL17" i="12" s="1"/>
  <c r="AT17" i="12" a="1"/>
  <c r="AT17" i="12" s="1"/>
  <c r="AE17" i="12" a="1"/>
  <c r="AE17" i="12" s="1"/>
  <c r="AM17" i="12" a="1"/>
  <c r="AM17" i="12" s="1"/>
  <c r="AU17" i="12" a="1"/>
  <c r="AU17" i="12" s="1"/>
  <c r="AF17" i="12" a="1"/>
  <c r="AF17" i="12" s="1"/>
  <c r="AN17" i="12" a="1"/>
  <c r="AN17" i="12" s="1"/>
  <c r="AV17" i="12" a="1"/>
  <c r="AV17" i="12" s="1"/>
  <c r="AY17" i="4" a="1"/>
  <c r="AY17" i="4" s="1"/>
  <c r="AB17" i="12" a="1"/>
  <c r="AB17" i="12" s="1"/>
  <c r="AJ17" i="12" a="1"/>
  <c r="AJ17" i="12" s="1"/>
  <c r="AR17" i="12" a="1"/>
  <c r="AR17" i="12" s="1"/>
  <c r="BD17" i="4" a="1"/>
  <c r="BD17" i="4" s="1"/>
  <c r="AQ17" i="12" a="1"/>
  <c r="AQ17" i="12" s="1"/>
  <c r="BF17" i="4" a="1"/>
  <c r="BF17" i="4" s="1"/>
  <c r="AC17" i="12" a="1"/>
  <c r="AC17" i="12" s="1"/>
  <c r="AS17" i="12" a="1"/>
  <c r="AS17" i="12" s="1"/>
  <c r="AG17" i="12" a="1"/>
  <c r="AG17" i="12" s="1"/>
  <c r="AP17" i="12" a="1"/>
  <c r="AP17" i="12" s="1"/>
  <c r="AH17" i="12" a="1"/>
  <c r="AH17" i="12" s="1"/>
  <c r="AI17" i="12" a="1"/>
  <c r="AI17" i="12" s="1"/>
  <c r="AO17" i="12" a="1"/>
  <c r="AO17" i="12" s="1"/>
  <c r="AW17" i="12" a="1"/>
  <c r="AW17" i="12" s="1"/>
  <c r="AK17" i="12" a="1"/>
  <c r="AK17" i="12" s="1"/>
  <c r="AU41" i="4" a="1"/>
  <c r="AU41" i="4" s="1"/>
  <c r="BA41" i="4" a="1"/>
  <c r="BA41" i="4" s="1"/>
  <c r="BI41" i="4" a="1"/>
  <c r="BI41" i="4" s="1"/>
  <c r="AP41" i="4" a="1"/>
  <c r="AP41" i="4" s="1"/>
  <c r="BB41" i="4" a="1"/>
  <c r="BB41" i="4" s="1"/>
  <c r="BJ41" i="4" a="1"/>
  <c r="BJ41" i="4" s="1"/>
  <c r="AQ41" i="4" a="1"/>
  <c r="AQ41" i="4" s="1"/>
  <c r="AV41" i="4" a="1"/>
  <c r="AV41" i="4" s="1"/>
  <c r="BC41" i="4" a="1"/>
  <c r="BC41" i="4" s="1"/>
  <c r="BK41" i="4" a="1"/>
  <c r="BK41" i="4" s="1"/>
  <c r="AR41" i="4" a="1"/>
  <c r="AR41" i="4" s="1"/>
  <c r="AZ41" i="4" a="1"/>
  <c r="AZ41" i="4" s="1"/>
  <c r="AS41" i="4" a="1"/>
  <c r="AS41" i="4" s="1"/>
  <c r="BD41" i="4" a="1"/>
  <c r="BD41" i="4" s="1"/>
  <c r="AT41" i="4" a="1"/>
  <c r="AT41" i="4" s="1"/>
  <c r="BE41" i="4" a="1"/>
  <c r="BE41" i="4" s="1"/>
  <c r="BF41" i="4" a="1"/>
  <c r="BF41" i="4" s="1"/>
  <c r="BG41" i="4" a="1"/>
  <c r="BG41" i="4" s="1"/>
  <c r="BH41" i="4" a="1"/>
  <c r="BH41" i="4" s="1"/>
  <c r="AX41" i="4" a="1"/>
  <c r="AX41" i="4" s="1"/>
  <c r="AY41" i="4" a="1"/>
  <c r="AY41" i="4" s="1"/>
  <c r="AD41" i="12" a="1"/>
  <c r="AD41" i="12" s="1"/>
  <c r="AL41" i="12" a="1"/>
  <c r="AL41" i="12" s="1"/>
  <c r="AW41" i="4" a="1"/>
  <c r="AW41" i="4" s="1"/>
  <c r="AH41" i="12" a="1"/>
  <c r="AH41" i="12" s="1"/>
  <c r="AP41" i="12" a="1"/>
  <c r="AP41" i="12" s="1"/>
  <c r="AI41" i="12" a="1"/>
  <c r="AI41" i="12" s="1"/>
  <c r="AQ41" i="12" a="1"/>
  <c r="AQ41" i="12" s="1"/>
  <c r="AB41" i="12" a="1"/>
  <c r="AB41" i="12" s="1"/>
  <c r="AJ41" i="12" a="1"/>
  <c r="AJ41" i="12" s="1"/>
  <c r="AR41" i="12" a="1"/>
  <c r="AR41" i="12" s="1"/>
  <c r="AG41" i="12" a="1"/>
  <c r="AG41" i="12" s="1"/>
  <c r="AO41" i="12" a="1"/>
  <c r="AO41" i="12" s="1"/>
  <c r="AW41" i="12" a="1"/>
  <c r="AW41" i="12" s="1"/>
  <c r="AM41" i="12" a="1"/>
  <c r="AM41" i="12" s="1"/>
  <c r="AS41" i="12" a="1"/>
  <c r="AS41" i="12" s="1"/>
  <c r="AK41" i="12" a="1"/>
  <c r="AK41" i="12" s="1"/>
  <c r="AC41" i="12" a="1"/>
  <c r="AC41" i="12" s="1"/>
  <c r="AE41" i="12" a="1"/>
  <c r="AE41" i="12" s="1"/>
  <c r="AN41" i="12" a="1"/>
  <c r="AN41" i="12" s="1"/>
  <c r="AF41" i="12" a="1"/>
  <c r="AF41" i="12" s="1"/>
  <c r="AT41" i="12" a="1"/>
  <c r="AT41" i="12" s="1"/>
  <c r="AU41" i="12" a="1"/>
  <c r="AU41" i="12" s="1"/>
  <c r="AV41" i="12" a="1"/>
  <c r="AV41" i="12" s="1"/>
  <c r="AQ57" i="4" a="1"/>
  <c r="AQ57" i="4" s="1"/>
  <c r="AR57" i="4" a="1"/>
  <c r="AR57" i="4" s="1"/>
  <c r="AY57" i="4" a="1"/>
  <c r="AY57" i="4" s="1"/>
  <c r="BE57" i="4" a="1"/>
  <c r="BE57" i="4" s="1"/>
  <c r="AS57" i="4" a="1"/>
  <c r="AS57" i="4" s="1"/>
  <c r="AZ57" i="4" a="1"/>
  <c r="AZ57" i="4" s="1"/>
  <c r="BF57" i="4" a="1"/>
  <c r="BF57" i="4" s="1"/>
  <c r="BJ57" i="4" a="1"/>
  <c r="BJ57" i="4" s="1"/>
  <c r="AP57" i="4" a="1"/>
  <c r="AP57" i="4" s="1"/>
  <c r="BA57" i="4" a="1"/>
  <c r="BA57" i="4" s="1"/>
  <c r="BK57" i="4" a="1"/>
  <c r="BK57" i="4" s="1"/>
  <c r="BB57" i="4" a="1"/>
  <c r="BB57" i="4" s="1"/>
  <c r="AV57" i="4" a="1"/>
  <c r="AV57" i="4" s="1"/>
  <c r="BG57" i="4" a="1"/>
  <c r="BG57" i="4" s="1"/>
  <c r="BH57" i="4" a="1"/>
  <c r="BH57" i="4" s="1"/>
  <c r="BI57" i="4" a="1"/>
  <c r="BI57" i="4" s="1"/>
  <c r="AT57" i="4" a="1"/>
  <c r="AT57" i="4" s="1"/>
  <c r="BC57" i="4" a="1"/>
  <c r="BC57" i="4" s="1"/>
  <c r="AX57" i="4" a="1"/>
  <c r="AX57" i="4" s="1"/>
  <c r="BD57" i="4" a="1"/>
  <c r="BD57" i="4" s="1"/>
  <c r="AW57" i="4" a="1"/>
  <c r="AW57" i="4" s="1"/>
  <c r="AU57" i="4" a="1"/>
  <c r="AU57" i="4" s="1"/>
  <c r="AB57" i="12" a="1"/>
  <c r="AB57" i="12" s="1"/>
  <c r="AI57" i="12" a="1"/>
  <c r="AI57" i="12" s="1"/>
  <c r="AP57" i="12" a="1"/>
  <c r="AP57" i="12" s="1"/>
  <c r="AW57" i="12" a="1"/>
  <c r="AW57" i="12" s="1"/>
  <c r="AJ57" i="12" a="1"/>
  <c r="AJ57" i="12" s="1"/>
  <c r="AQ57" i="12" a="1"/>
  <c r="AQ57" i="12" s="1"/>
  <c r="AC57" i="12" a="1"/>
  <c r="AC57" i="12" s="1"/>
  <c r="AK57" i="12" a="1"/>
  <c r="AK57" i="12" s="1"/>
  <c r="AR57" i="12" a="1"/>
  <c r="AR57" i="12" s="1"/>
  <c r="AH57" i="12" a="1"/>
  <c r="AH57" i="12" s="1"/>
  <c r="AO57" i="12" a="1"/>
  <c r="AO57" i="12" s="1"/>
  <c r="AV57" i="12" a="1"/>
  <c r="AV57" i="12" s="1"/>
  <c r="AE57" i="12" a="1"/>
  <c r="AE57" i="12" s="1"/>
  <c r="AS57" i="12" a="1"/>
  <c r="AS57" i="12" s="1"/>
  <c r="AF57" i="12" a="1"/>
  <c r="AF57" i="12" s="1"/>
  <c r="AT57" i="12" a="1"/>
  <c r="AT57" i="12" s="1"/>
  <c r="AL57" i="12" a="1"/>
  <c r="AL57" i="12" s="1"/>
  <c r="AD57" i="12" a="1"/>
  <c r="AD57" i="12" s="1"/>
  <c r="AM57" i="12" a="1"/>
  <c r="AM57" i="12" s="1"/>
  <c r="AU57" i="12" a="1"/>
  <c r="AU57" i="12" s="1"/>
  <c r="AN57" i="12" a="1"/>
  <c r="AN57" i="12" s="1"/>
  <c r="AG57" i="12" a="1"/>
  <c r="AG57" i="12" s="1"/>
  <c r="AU73" i="4" a="1"/>
  <c r="AU73" i="4" s="1"/>
  <c r="BA73" i="4" a="1"/>
  <c r="BA73" i="4" s="1"/>
  <c r="BG73" i="4" a="1"/>
  <c r="BG73" i="4" s="1"/>
  <c r="AV73" i="4" a="1"/>
  <c r="AV73" i="4" s="1"/>
  <c r="BB73" i="4" a="1"/>
  <c r="BB73" i="4" s="1"/>
  <c r="BH73" i="4" a="1"/>
  <c r="BH73" i="4" s="1"/>
  <c r="AP73" i="4" a="1"/>
  <c r="AP73" i="4" s="1"/>
  <c r="BI73" i="4" a="1"/>
  <c r="BI73" i="4" s="1"/>
  <c r="AQ73" i="4" a="1"/>
  <c r="AQ73" i="4" s="1"/>
  <c r="AZ73" i="4" a="1"/>
  <c r="AZ73" i="4" s="1"/>
  <c r="AR73" i="4" a="1"/>
  <c r="AR73" i="4" s="1"/>
  <c r="BK73" i="4" a="1"/>
  <c r="BK73" i="4" s="1"/>
  <c r="AS73" i="4" a="1"/>
  <c r="AS73" i="4" s="1"/>
  <c r="BC73" i="4" a="1"/>
  <c r="BC73" i="4" s="1"/>
  <c r="AX73" i="4" a="1"/>
  <c r="AX73" i="4" s="1"/>
  <c r="BF73" i="4" a="1"/>
  <c r="BF73" i="4" s="1"/>
  <c r="BE73" i="4" a="1"/>
  <c r="BE73" i="4" s="1"/>
  <c r="BJ73" i="4" a="1"/>
  <c r="BJ73" i="4" s="1"/>
  <c r="AT73" i="4" a="1"/>
  <c r="AT73" i="4" s="1"/>
  <c r="BD73" i="4" a="1"/>
  <c r="BD73" i="4" s="1"/>
  <c r="AF73" i="12" a="1"/>
  <c r="AF73" i="12" s="1"/>
  <c r="AY73" i="4" a="1"/>
  <c r="AY73" i="4" s="1"/>
  <c r="AJ73" i="12" a="1"/>
  <c r="AJ73" i="12" s="1"/>
  <c r="AR73" i="12" a="1"/>
  <c r="AR73" i="12" s="1"/>
  <c r="AC73" i="12" a="1"/>
  <c r="AC73" i="12" s="1"/>
  <c r="AK73" i="12" a="1"/>
  <c r="AK73" i="12" s="1"/>
  <c r="AW73" i="4" a="1"/>
  <c r="AW73" i="4" s="1"/>
  <c r="AE73" i="12" a="1"/>
  <c r="AE73" i="12" s="1"/>
  <c r="AM73" i="12" a="1"/>
  <c r="AM73" i="12" s="1"/>
  <c r="AT73" i="12" a="1"/>
  <c r="AT73" i="12" s="1"/>
  <c r="AI73" i="12" a="1"/>
  <c r="AI73" i="12" s="1"/>
  <c r="AV73" i="12" a="1"/>
  <c r="AV73" i="12" s="1"/>
  <c r="AO73" i="12" a="1"/>
  <c r="AO73" i="12" s="1"/>
  <c r="AD73" i="12" a="1"/>
  <c r="AD73" i="12" s="1"/>
  <c r="AG73" i="12" a="1"/>
  <c r="AG73" i="12" s="1"/>
  <c r="AL73" i="12" a="1"/>
  <c r="AL73" i="12" s="1"/>
  <c r="AW73" i="12" a="1"/>
  <c r="AW73" i="12" s="1"/>
  <c r="AB73" i="12" a="1"/>
  <c r="AB73" i="12" s="1"/>
  <c r="AQ73" i="12" a="1"/>
  <c r="AQ73" i="12" s="1"/>
  <c r="AN73" i="12" a="1"/>
  <c r="AN73" i="12" s="1"/>
  <c r="AP73" i="12" a="1"/>
  <c r="AP73" i="12" s="1"/>
  <c r="AS73" i="12" a="1"/>
  <c r="AS73" i="12" s="1"/>
  <c r="AH73" i="12" a="1"/>
  <c r="AH73" i="12" s="1"/>
  <c r="AU73" i="12" a="1"/>
  <c r="AU73" i="12" s="1"/>
  <c r="AS89" i="4" a="1"/>
  <c r="AS89" i="4" s="1"/>
  <c r="AX89" i="4" a="1"/>
  <c r="AX89" i="4" s="1"/>
  <c r="BC89" i="4" a="1"/>
  <c r="BC89" i="4" s="1"/>
  <c r="BI89" i="4" a="1"/>
  <c r="BI89" i="4" s="1"/>
  <c r="AQ89" i="4" a="1"/>
  <c r="AQ89" i="4" s="1"/>
  <c r="AW89" i="4" a="1"/>
  <c r="AW89" i="4" s="1"/>
  <c r="BD89" i="4" a="1"/>
  <c r="BD89" i="4" s="1"/>
  <c r="BJ89" i="4" a="1"/>
  <c r="BJ89" i="4" s="1"/>
  <c r="AR89" i="4" a="1"/>
  <c r="AR89" i="4" s="1"/>
  <c r="BA89" i="4" a="1"/>
  <c r="BA89" i="4" s="1"/>
  <c r="BG89" i="4" a="1"/>
  <c r="BG89" i="4" s="1"/>
  <c r="AP89" i="4" a="1"/>
  <c r="AP89" i="4" s="1"/>
  <c r="BB89" i="4" a="1"/>
  <c r="BB89" i="4" s="1"/>
  <c r="AT89" i="4" a="1"/>
  <c r="AT89" i="4" s="1"/>
  <c r="BE89" i="4" a="1"/>
  <c r="BE89" i="4" s="1"/>
  <c r="AZ89" i="4" a="1"/>
  <c r="AZ89" i="4" s="1"/>
  <c r="AY89" i="4" a="1"/>
  <c r="AY89" i="4" s="1"/>
  <c r="BF89" i="4" a="1"/>
  <c r="BF89" i="4" s="1"/>
  <c r="AV89" i="4" a="1"/>
  <c r="AV89" i="4" s="1"/>
  <c r="BK89" i="4" a="1"/>
  <c r="BK89" i="4" s="1"/>
  <c r="BH89" i="4" a="1"/>
  <c r="BH89" i="4" s="1"/>
  <c r="AK89" i="12" a="1"/>
  <c r="AK89" i="12" s="1"/>
  <c r="AQ89" i="12" a="1"/>
  <c r="AQ89" i="12" s="1"/>
  <c r="AG89" i="12" a="1"/>
  <c r="AG89" i="12" s="1"/>
  <c r="AN89" i="12" a="1"/>
  <c r="AN89" i="12" s="1"/>
  <c r="AB89" i="12" a="1"/>
  <c r="AB89" i="12" s="1"/>
  <c r="AI89" i="12" a="1"/>
  <c r="AI89" i="12" s="1"/>
  <c r="AE89" i="12" a="1"/>
  <c r="AE89" i="12" s="1"/>
  <c r="AL89" i="12" a="1"/>
  <c r="AL89" i="12" s="1"/>
  <c r="AR89" i="12" a="1"/>
  <c r="AR89" i="12" s="1"/>
  <c r="AT89" i="12" a="1"/>
  <c r="AT89" i="12" s="1"/>
  <c r="AH89" i="12" a="1"/>
  <c r="AH89" i="12" s="1"/>
  <c r="AO89" i="12" a="1"/>
  <c r="AO89" i="12" s="1"/>
  <c r="AC89" i="12" a="1"/>
  <c r="AC89" i="12" s="1"/>
  <c r="AU89" i="4" a="1"/>
  <c r="AU89" i="4" s="1"/>
  <c r="AF89" i="12" a="1"/>
  <c r="AF89" i="12" s="1"/>
  <c r="AS89" i="12" a="1"/>
  <c r="AS89" i="12" s="1"/>
  <c r="AM89" i="12" a="1"/>
  <c r="AM89" i="12" s="1"/>
  <c r="AU89" i="12" a="1"/>
  <c r="AU89" i="12" s="1"/>
  <c r="AP89" i="12" a="1"/>
  <c r="AP89" i="12" s="1"/>
  <c r="AV89" i="12" a="1"/>
  <c r="AV89" i="12" s="1"/>
  <c r="AD89" i="12" a="1"/>
  <c r="AD89" i="12" s="1"/>
  <c r="AJ89" i="12" a="1"/>
  <c r="AJ89" i="12" s="1"/>
  <c r="AW89" i="12" a="1"/>
  <c r="AW89" i="12" s="1"/>
  <c r="AT26" i="4" a="1"/>
  <c r="AT26" i="4" s="1"/>
  <c r="BB26" i="4" a="1"/>
  <c r="BB26" i="4" s="1"/>
  <c r="BI26" i="4" a="1"/>
  <c r="BI26" i="4" s="1"/>
  <c r="AP26" i="4" a="1"/>
  <c r="AP26" i="4" s="1"/>
  <c r="AW26" i="4" a="1"/>
  <c r="AW26" i="4" s="1"/>
  <c r="BD26" i="4" a="1"/>
  <c r="BD26" i="4" s="1"/>
  <c r="AR26" i="4" a="1"/>
  <c r="AR26" i="4" s="1"/>
  <c r="BA26" i="4" a="1"/>
  <c r="BA26" i="4" s="1"/>
  <c r="BK26" i="4" a="1"/>
  <c r="BK26" i="4" s="1"/>
  <c r="BC26" i="4" a="1"/>
  <c r="BC26" i="4" s="1"/>
  <c r="AS26" i="4" a="1"/>
  <c r="AS26" i="4" s="1"/>
  <c r="AU26" i="4" a="1"/>
  <c r="AU26" i="4" s="1"/>
  <c r="BE26" i="4" a="1"/>
  <c r="BE26" i="4" s="1"/>
  <c r="BF26" i="4" a="1"/>
  <c r="BF26" i="4" s="1"/>
  <c r="BG26" i="4" a="1"/>
  <c r="BG26" i="4" s="1"/>
  <c r="BH26" i="4" a="1"/>
  <c r="BH26" i="4" s="1"/>
  <c r="AQ26" i="4" a="1"/>
  <c r="AQ26" i="4" s="1"/>
  <c r="BJ26" i="4" a="1"/>
  <c r="BJ26" i="4" s="1"/>
  <c r="AV26" i="4" a="1"/>
  <c r="AV26" i="4" s="1"/>
  <c r="AX26" i="4" a="1"/>
  <c r="AX26" i="4" s="1"/>
  <c r="AY26" i="4" a="1"/>
  <c r="AY26" i="4" s="1"/>
  <c r="AZ26" i="4" a="1"/>
  <c r="AZ26" i="4" s="1"/>
  <c r="AG26" i="12" a="1"/>
  <c r="AG26" i="12" s="1"/>
  <c r="AL26" i="12" a="1"/>
  <c r="AL26" i="12" s="1"/>
  <c r="AS26" i="12" a="1"/>
  <c r="AS26" i="12" s="1"/>
  <c r="AH26" i="12" a="1"/>
  <c r="AH26" i="12" s="1"/>
  <c r="AM26" i="12" a="1"/>
  <c r="AM26" i="12" s="1"/>
  <c r="AT26" i="12" a="1"/>
  <c r="AT26" i="12" s="1"/>
  <c r="AB26" i="12" a="1"/>
  <c r="AB26" i="12" s="1"/>
  <c r="AN26" i="12" a="1"/>
  <c r="AN26" i="12" s="1"/>
  <c r="AU26" i="12" a="1"/>
  <c r="AU26" i="12" s="1"/>
  <c r="AK26" i="12" a="1"/>
  <c r="AK26" i="12" s="1"/>
  <c r="AE26" i="12" a="1"/>
  <c r="AE26" i="12" s="1"/>
  <c r="AQ26" i="12" a="1"/>
  <c r="AQ26" i="12" s="1"/>
  <c r="AF26" i="12" a="1"/>
  <c r="AF26" i="12" s="1"/>
  <c r="AR26" i="12" a="1"/>
  <c r="AR26" i="12" s="1"/>
  <c r="AI26" i="12" a="1"/>
  <c r="AI26" i="12" s="1"/>
  <c r="AV26" i="12" a="1"/>
  <c r="AV26" i="12" s="1"/>
  <c r="AD26" i="12" a="1"/>
  <c r="AD26" i="12" s="1"/>
  <c r="AP26" i="12" a="1"/>
  <c r="AP26" i="12" s="1"/>
  <c r="AO26" i="12" a="1"/>
  <c r="AO26" i="12" s="1"/>
  <c r="AW26" i="12" a="1"/>
  <c r="AW26" i="12" s="1"/>
  <c r="AC26" i="12" a="1"/>
  <c r="AC26" i="12" s="1"/>
  <c r="AJ26" i="12" a="1"/>
  <c r="AJ26" i="12" s="1"/>
  <c r="AU38" i="4" a="1"/>
  <c r="AU38" i="4" s="1"/>
  <c r="BC38" i="4" a="1"/>
  <c r="BC38" i="4" s="1"/>
  <c r="BJ38" i="4" a="1"/>
  <c r="BJ38" i="4" s="1"/>
  <c r="AP38" i="4" a="1"/>
  <c r="AP38" i="4" s="1"/>
  <c r="AX38" i="4" a="1"/>
  <c r="AX38" i="4" s="1"/>
  <c r="BF38" i="4" a="1"/>
  <c r="BF38" i="4" s="1"/>
  <c r="AQ38" i="4" a="1"/>
  <c r="AQ38" i="4" s="1"/>
  <c r="AY38" i="4" a="1"/>
  <c r="AY38" i="4" s="1"/>
  <c r="BG38" i="4" a="1"/>
  <c r="BG38" i="4" s="1"/>
  <c r="AR38" i="4" a="1"/>
  <c r="AR38" i="4" s="1"/>
  <c r="AZ38" i="4" a="1"/>
  <c r="AZ38" i="4" s="1"/>
  <c r="BH38" i="4" a="1"/>
  <c r="BH38" i="4" s="1"/>
  <c r="BB38" i="4" a="1"/>
  <c r="BB38" i="4" s="1"/>
  <c r="BD38" i="4" a="1"/>
  <c r="BD38" i="4" s="1"/>
  <c r="AS38" i="4" a="1"/>
  <c r="AS38" i="4" s="1"/>
  <c r="BE38" i="4" a="1"/>
  <c r="BE38" i="4" s="1"/>
  <c r="BI38" i="4" a="1"/>
  <c r="BI38" i="4" s="1"/>
  <c r="BK38" i="4" a="1"/>
  <c r="BK38" i="4" s="1"/>
  <c r="AV38" i="4" a="1"/>
  <c r="AV38" i="4" s="1"/>
  <c r="AD38" i="12" a="1"/>
  <c r="AD38" i="12" s="1"/>
  <c r="AJ38" i="12" a="1"/>
  <c r="AJ38" i="12" s="1"/>
  <c r="AK38" i="12" a="1"/>
  <c r="AK38" i="12" s="1"/>
  <c r="AP38" i="12" a="1"/>
  <c r="AP38" i="12" s="1"/>
  <c r="AU38" i="12" a="1"/>
  <c r="AU38" i="12" s="1"/>
  <c r="AT38" i="4" a="1"/>
  <c r="AT38" i="4" s="1"/>
  <c r="AE38" i="12" a="1"/>
  <c r="AE38" i="12" s="1"/>
  <c r="AL38" i="12" a="1"/>
  <c r="AL38" i="12" s="1"/>
  <c r="AV38" i="12" a="1"/>
  <c r="AV38" i="12" s="1"/>
  <c r="AW38" i="4" a="1"/>
  <c r="AW38" i="4" s="1"/>
  <c r="AN38" i="12" a="1"/>
  <c r="AN38" i="12" s="1"/>
  <c r="AF38" i="12" a="1"/>
  <c r="AF38" i="12" s="1"/>
  <c r="AO38" i="12" a="1"/>
  <c r="AO38" i="12" s="1"/>
  <c r="AG38" i="12" a="1"/>
  <c r="AG38" i="12" s="1"/>
  <c r="AQ38" i="12" a="1"/>
  <c r="AQ38" i="12" s="1"/>
  <c r="AW38" i="12" a="1"/>
  <c r="AW38" i="12" s="1"/>
  <c r="BA38" i="4" a="1"/>
  <c r="BA38" i="4" s="1"/>
  <c r="AI38" i="12" a="1"/>
  <c r="AI38" i="12" s="1"/>
  <c r="AR38" i="12" a="1"/>
  <c r="AR38" i="12" s="1"/>
  <c r="AH38" i="12" a="1"/>
  <c r="AH38" i="12" s="1"/>
  <c r="AB38" i="12" a="1"/>
  <c r="AB38" i="12" s="1"/>
  <c r="AM38" i="12" a="1"/>
  <c r="AM38" i="12" s="1"/>
  <c r="AC38" i="12" a="1"/>
  <c r="AC38" i="12" s="1"/>
  <c r="AS38" i="12" a="1"/>
  <c r="AS38" i="12" s="1"/>
  <c r="AT38" i="12" a="1"/>
  <c r="AT38" i="12" s="1"/>
  <c r="BC50" i="4" a="1"/>
  <c r="BC50" i="4" s="1"/>
  <c r="BJ50" i="4" a="1"/>
  <c r="BJ50" i="4" s="1"/>
  <c r="AP50" i="4" a="1"/>
  <c r="AP50" i="4" s="1"/>
  <c r="AW50" i="4" a="1"/>
  <c r="AW50" i="4" s="1"/>
  <c r="BD50" i="4" a="1"/>
  <c r="BD50" i="4" s="1"/>
  <c r="BK50" i="4" a="1"/>
  <c r="BK50" i="4" s="1"/>
  <c r="AQ50" i="4" a="1"/>
  <c r="AQ50" i="4" s="1"/>
  <c r="AX50" i="4" a="1"/>
  <c r="AX50" i="4" s="1"/>
  <c r="BE50" i="4" a="1"/>
  <c r="BE50" i="4" s="1"/>
  <c r="AR50" i="4" a="1"/>
  <c r="AR50" i="4" s="1"/>
  <c r="BA50" i="4" a="1"/>
  <c r="BA50" i="4" s="1"/>
  <c r="AS50" i="4" a="1"/>
  <c r="AS50" i="4" s="1"/>
  <c r="BB50" i="4" a="1"/>
  <c r="BB50" i="4" s="1"/>
  <c r="AT50" i="4" a="1"/>
  <c r="AT50" i="4" s="1"/>
  <c r="AY50" i="4" a="1"/>
  <c r="AY50" i="4" s="1"/>
  <c r="BH50" i="4" a="1"/>
  <c r="BH50" i="4" s="1"/>
  <c r="BI50" i="4" a="1"/>
  <c r="BI50" i="4" s="1"/>
  <c r="AU50" i="4" a="1"/>
  <c r="AU50" i="4" s="1"/>
  <c r="BF50" i="4" a="1"/>
  <c r="BF50" i="4" s="1"/>
  <c r="AV50" i="4" a="1"/>
  <c r="AV50" i="4" s="1"/>
  <c r="AM50" i="12" a="1"/>
  <c r="AM50" i="12" s="1"/>
  <c r="AT50" i="12" a="1"/>
  <c r="AT50" i="12" s="1"/>
  <c r="AH50" i="12" a="1"/>
  <c r="AH50" i="12" s="1"/>
  <c r="AN50" i="12" a="1"/>
  <c r="AN50" i="12" s="1"/>
  <c r="AU50" i="12" a="1"/>
  <c r="AU50" i="12" s="1"/>
  <c r="AZ50" i="4" a="1"/>
  <c r="AZ50" i="4" s="1"/>
  <c r="AB50" i="12" a="1"/>
  <c r="AB50" i="12" s="1"/>
  <c r="AO50" i="12" a="1"/>
  <c r="AO50" i="12" s="1"/>
  <c r="AV50" i="12" a="1"/>
  <c r="AV50" i="12" s="1"/>
  <c r="BG50" i="4" a="1"/>
  <c r="BG50" i="4" s="1"/>
  <c r="AG50" i="12" a="1"/>
  <c r="AG50" i="12" s="1"/>
  <c r="AJ50" i="12" a="1"/>
  <c r="AJ50" i="12" s="1"/>
  <c r="AK50" i="12" a="1"/>
  <c r="AK50" i="12" s="1"/>
  <c r="AC50" i="12" a="1"/>
  <c r="AC50" i="12" s="1"/>
  <c r="AP50" i="12" a="1"/>
  <c r="AP50" i="12" s="1"/>
  <c r="AI50" i="12" a="1"/>
  <c r="AI50" i="12" s="1"/>
  <c r="AW50" i="12" a="1"/>
  <c r="AW50" i="12" s="1"/>
  <c r="AD50" i="12" a="1"/>
  <c r="AD50" i="12" s="1"/>
  <c r="AS50" i="12" a="1"/>
  <c r="AS50" i="12" s="1"/>
  <c r="AE50" i="12" a="1"/>
  <c r="AE50" i="12" s="1"/>
  <c r="AL50" i="12" a="1"/>
  <c r="AL50" i="12" s="1"/>
  <c r="AF50" i="12" a="1"/>
  <c r="AF50" i="12" s="1"/>
  <c r="AQ50" i="12" a="1"/>
  <c r="AQ50" i="12" s="1"/>
  <c r="AR50" i="12" a="1"/>
  <c r="AR50" i="12" s="1"/>
  <c r="AQ54" i="4" a="1"/>
  <c r="AQ54" i="4" s="1"/>
  <c r="AX54" i="4" a="1"/>
  <c r="AX54" i="4" s="1"/>
  <c r="BF54" i="4" a="1"/>
  <c r="BF54" i="4" s="1"/>
  <c r="AR54" i="4" a="1"/>
  <c r="AR54" i="4" s="1"/>
  <c r="AY54" i="4" a="1"/>
  <c r="AY54" i="4" s="1"/>
  <c r="BG54" i="4" a="1"/>
  <c r="BG54" i="4" s="1"/>
  <c r="AS54" i="4" a="1"/>
  <c r="AS54" i="4" s="1"/>
  <c r="AZ54" i="4" a="1"/>
  <c r="AZ54" i="4" s="1"/>
  <c r="BH54" i="4" a="1"/>
  <c r="BH54" i="4" s="1"/>
  <c r="AP54" i="4" a="1"/>
  <c r="AP54" i="4" s="1"/>
  <c r="BC54" i="4" a="1"/>
  <c r="BC54" i="4" s="1"/>
  <c r="AT54" i="4" a="1"/>
  <c r="AT54" i="4" s="1"/>
  <c r="BD54" i="4" a="1"/>
  <c r="BD54" i="4" s="1"/>
  <c r="AU54" i="4" a="1"/>
  <c r="AU54" i="4" s="1"/>
  <c r="BE54" i="4" a="1"/>
  <c r="BE54" i="4" s="1"/>
  <c r="AW54" i="4" a="1"/>
  <c r="AW54" i="4" s="1"/>
  <c r="BK54" i="4" a="1"/>
  <c r="BK54" i="4" s="1"/>
  <c r="BI54" i="4" a="1"/>
  <c r="BI54" i="4" s="1"/>
  <c r="AV54" i="4" a="1"/>
  <c r="AV54" i="4" s="1"/>
  <c r="AG54" i="12" a="1"/>
  <c r="AG54" i="12" s="1"/>
  <c r="AO54" i="12" a="1"/>
  <c r="AO54" i="12" s="1"/>
  <c r="BA54" i="4" a="1"/>
  <c r="BA54" i="4" s="1"/>
  <c r="AH54" i="12" a="1"/>
  <c r="AH54" i="12" s="1"/>
  <c r="AU54" i="12" a="1"/>
  <c r="AU54" i="12" s="1"/>
  <c r="BB54" i="4" a="1"/>
  <c r="BB54" i="4" s="1"/>
  <c r="AB54" i="12" a="1"/>
  <c r="AB54" i="12" s="1"/>
  <c r="AI54" i="12" a="1"/>
  <c r="AI54" i="12" s="1"/>
  <c r="AP54" i="12" a="1"/>
  <c r="AP54" i="12" s="1"/>
  <c r="AV54" i="12" a="1"/>
  <c r="AV54" i="12" s="1"/>
  <c r="BJ54" i="4" a="1"/>
  <c r="BJ54" i="4" s="1"/>
  <c r="AF54" i="12" a="1"/>
  <c r="AF54" i="12" s="1"/>
  <c r="AN54" i="12" a="1"/>
  <c r="AN54" i="12" s="1"/>
  <c r="AT54" i="12" a="1"/>
  <c r="AT54" i="12" s="1"/>
  <c r="AD54" i="12" a="1"/>
  <c r="AD54" i="12" s="1"/>
  <c r="AQ54" i="12" a="1"/>
  <c r="AQ54" i="12" s="1"/>
  <c r="AR54" i="12" a="1"/>
  <c r="AR54" i="12" s="1"/>
  <c r="AJ54" i="12" a="1"/>
  <c r="AJ54" i="12" s="1"/>
  <c r="AW54" i="12" a="1"/>
  <c r="AW54" i="12" s="1"/>
  <c r="AC54" i="12" a="1"/>
  <c r="AC54" i="12" s="1"/>
  <c r="AK54" i="12" a="1"/>
  <c r="AK54" i="12" s="1"/>
  <c r="AM54" i="12" a="1"/>
  <c r="AM54" i="12" s="1"/>
  <c r="AE54" i="12" a="1"/>
  <c r="AE54" i="12" s="1"/>
  <c r="AL54" i="12" a="1"/>
  <c r="AL54" i="12" s="1"/>
  <c r="AS54" i="12" a="1"/>
  <c r="AS54" i="12" s="1"/>
  <c r="AP58" i="4" a="1"/>
  <c r="AP58" i="4" s="1"/>
  <c r="AU58" i="4" a="1"/>
  <c r="AU58" i="4" s="1"/>
  <c r="BB58" i="4" a="1"/>
  <c r="BB58" i="4" s="1"/>
  <c r="AV58" i="4" a="1"/>
  <c r="AV58" i="4" s="1"/>
  <c r="AQ58" i="4" a="1"/>
  <c r="AQ58" i="4" s="1"/>
  <c r="AW58" i="4" a="1"/>
  <c r="AW58" i="4" s="1"/>
  <c r="BG58" i="4" a="1"/>
  <c r="BG58" i="4" s="1"/>
  <c r="AY58" i="4" a="1"/>
  <c r="AY58" i="4" s="1"/>
  <c r="BH58" i="4" a="1"/>
  <c r="BH58" i="4" s="1"/>
  <c r="AR58" i="4" a="1"/>
  <c r="AR58" i="4" s="1"/>
  <c r="AZ58" i="4" a="1"/>
  <c r="AZ58" i="4" s="1"/>
  <c r="AT58" i="4" a="1"/>
  <c r="AT58" i="4" s="1"/>
  <c r="BD58" i="4" a="1"/>
  <c r="BD58" i="4" s="1"/>
  <c r="BE58" i="4" a="1"/>
  <c r="BE58" i="4" s="1"/>
  <c r="BF58" i="4" a="1"/>
  <c r="BF58" i="4" s="1"/>
  <c r="BI58" i="4" a="1"/>
  <c r="BI58" i="4" s="1"/>
  <c r="BA58" i="4" a="1"/>
  <c r="BA58" i="4" s="1"/>
  <c r="AS58" i="4" a="1"/>
  <c r="AS58" i="4" s="1"/>
  <c r="BK58" i="4" a="1"/>
  <c r="BK58" i="4" s="1"/>
  <c r="AN58" i="12" a="1"/>
  <c r="AN58" i="12" s="1"/>
  <c r="AV58" i="12" a="1"/>
  <c r="AV58" i="12" s="1"/>
  <c r="AB58" i="12" a="1"/>
  <c r="AB58" i="12" s="1"/>
  <c r="AH58" i="12" a="1"/>
  <c r="AH58" i="12" s="1"/>
  <c r="AO58" i="12" a="1"/>
  <c r="AO58" i="12" s="1"/>
  <c r="AW58" i="12" a="1"/>
  <c r="AW58" i="12" s="1"/>
  <c r="AX58" i="4" a="1"/>
  <c r="AX58" i="4" s="1"/>
  <c r="AC58" i="12" a="1"/>
  <c r="AC58" i="12" s="1"/>
  <c r="AI58" i="12" a="1"/>
  <c r="AI58" i="12" s="1"/>
  <c r="AP58" i="12" a="1"/>
  <c r="AP58" i="12" s="1"/>
  <c r="BC58" i="4" a="1"/>
  <c r="BC58" i="4" s="1"/>
  <c r="BJ58" i="4" a="1"/>
  <c r="BJ58" i="4" s="1"/>
  <c r="AG58" i="12" a="1"/>
  <c r="AG58" i="12" s="1"/>
  <c r="AM58" i="12" a="1"/>
  <c r="AM58" i="12" s="1"/>
  <c r="AU58" i="12" a="1"/>
  <c r="AU58" i="12" s="1"/>
  <c r="AK58" i="12" a="1"/>
  <c r="AK58" i="12" s="1"/>
  <c r="AL58" i="12" a="1"/>
  <c r="AL58" i="12" s="1"/>
  <c r="AQ58" i="12" a="1"/>
  <c r="AQ58" i="12" s="1"/>
  <c r="AJ58" i="12" a="1"/>
  <c r="AJ58" i="12" s="1"/>
  <c r="AR58" i="12" a="1"/>
  <c r="AR58" i="12" s="1"/>
  <c r="AD58" i="12" a="1"/>
  <c r="AD58" i="12" s="1"/>
  <c r="AE58" i="12" a="1"/>
  <c r="AE58" i="12" s="1"/>
  <c r="AF58" i="12" a="1"/>
  <c r="AF58" i="12" s="1"/>
  <c r="AS58" i="12" a="1"/>
  <c r="AS58" i="12" s="1"/>
  <c r="AT58" i="12" a="1"/>
  <c r="AT58" i="12" s="1"/>
  <c r="AT62" i="4" a="1"/>
  <c r="AT62" i="4" s="1"/>
  <c r="AZ62" i="4" a="1"/>
  <c r="AZ62" i="4" s="1"/>
  <c r="BF62" i="4" a="1"/>
  <c r="BF62" i="4" s="1"/>
  <c r="AU62" i="4" a="1"/>
  <c r="AU62" i="4" s="1"/>
  <c r="BA62" i="4" a="1"/>
  <c r="BA62" i="4" s="1"/>
  <c r="BG62" i="4" a="1"/>
  <c r="BG62" i="4" s="1"/>
  <c r="AV62" i="4" a="1"/>
  <c r="AV62" i="4" s="1"/>
  <c r="BB62" i="4" a="1"/>
  <c r="BB62" i="4" s="1"/>
  <c r="BH62" i="4" a="1"/>
  <c r="BH62" i="4" s="1"/>
  <c r="AQ62" i="4" a="1"/>
  <c r="AQ62" i="4" s="1"/>
  <c r="AX62" i="4" a="1"/>
  <c r="AX62" i="4" s="1"/>
  <c r="BD62" i="4" a="1"/>
  <c r="BD62" i="4" s="1"/>
  <c r="BK62" i="4" a="1"/>
  <c r="BK62" i="4" s="1"/>
  <c r="AR62" i="4" a="1"/>
  <c r="AR62" i="4" s="1"/>
  <c r="AS62" i="4" a="1"/>
  <c r="AS62" i="4" s="1"/>
  <c r="BE62" i="4" a="1"/>
  <c r="BE62" i="4" s="1"/>
  <c r="BI62" i="4" a="1"/>
  <c r="BI62" i="4" s="1"/>
  <c r="AP62" i="4" a="1"/>
  <c r="AP62" i="4" s="1"/>
  <c r="AY62" i="4" a="1"/>
  <c r="AY62" i="4" s="1"/>
  <c r="BC62" i="4" a="1"/>
  <c r="BC62" i="4" s="1"/>
  <c r="BJ62" i="4" a="1"/>
  <c r="BJ62" i="4" s="1"/>
  <c r="AW62" i="4" a="1"/>
  <c r="AW62" i="4" s="1"/>
  <c r="AG62" i="12" a="1"/>
  <c r="AG62" i="12" s="1"/>
  <c r="AN62" i="12" a="1"/>
  <c r="AN62" i="12" s="1"/>
  <c r="AH62" i="12" a="1"/>
  <c r="AH62" i="12" s="1"/>
  <c r="AO62" i="12" a="1"/>
  <c r="AO62" i="12" s="1"/>
  <c r="AU62" i="12" a="1"/>
  <c r="AU62" i="12" s="1"/>
  <c r="AB62" i="12" a="1"/>
  <c r="AB62" i="12" s="1"/>
  <c r="AI62" i="12" a="1"/>
  <c r="AI62" i="12" s="1"/>
  <c r="AV62" i="12" a="1"/>
  <c r="AV62" i="12" s="1"/>
  <c r="AF62" i="12" a="1"/>
  <c r="AF62" i="12" s="1"/>
  <c r="AM62" i="12" a="1"/>
  <c r="AM62" i="12" s="1"/>
  <c r="AT62" i="12" a="1"/>
  <c r="AT62" i="12" s="1"/>
  <c r="AD62" i="12" a="1"/>
  <c r="AD62" i="12" s="1"/>
  <c r="AQ62" i="12" a="1"/>
  <c r="AQ62" i="12" s="1"/>
  <c r="AR62" i="12" a="1"/>
  <c r="AR62" i="12" s="1"/>
  <c r="AJ62" i="12" a="1"/>
  <c r="AJ62" i="12" s="1"/>
  <c r="AW62" i="12" a="1"/>
  <c r="AW62" i="12" s="1"/>
  <c r="AC62" i="12" a="1"/>
  <c r="AC62" i="12" s="1"/>
  <c r="AP62" i="12" a="1"/>
  <c r="AP62" i="12" s="1"/>
  <c r="AK62" i="12" a="1"/>
  <c r="AK62" i="12" s="1"/>
  <c r="AS62" i="12" a="1"/>
  <c r="AS62" i="12" s="1"/>
  <c r="AL62" i="12" a="1"/>
  <c r="AL62" i="12" s="1"/>
  <c r="AE62" i="12" a="1"/>
  <c r="AE62" i="12" s="1"/>
  <c r="BA66" i="4" a="1"/>
  <c r="BA66" i="4" s="1"/>
  <c r="AP66" i="4" a="1"/>
  <c r="AP66" i="4" s="1"/>
  <c r="AU66" i="4" a="1"/>
  <c r="AU66" i="4" s="1"/>
  <c r="BB66" i="4" a="1"/>
  <c r="BB66" i="4" s="1"/>
  <c r="BG66" i="4" a="1"/>
  <c r="BG66" i="4" s="1"/>
  <c r="AV66" i="4" a="1"/>
  <c r="AV66" i="4" s="1"/>
  <c r="BC66" i="4" a="1"/>
  <c r="BC66" i="4" s="1"/>
  <c r="BH66" i="4" a="1"/>
  <c r="BH66" i="4" s="1"/>
  <c r="AY66" i="4" a="1"/>
  <c r="AY66" i="4" s="1"/>
  <c r="BE66" i="4" a="1"/>
  <c r="BE66" i="4" s="1"/>
  <c r="BJ66" i="4" a="1"/>
  <c r="BJ66" i="4" s="1"/>
  <c r="AZ66" i="4" a="1"/>
  <c r="AZ66" i="4" s="1"/>
  <c r="BK66" i="4" a="1"/>
  <c r="BK66" i="4" s="1"/>
  <c r="AQ66" i="4" a="1"/>
  <c r="AQ66" i="4" s="1"/>
  <c r="BD66" i="4" a="1"/>
  <c r="BD66" i="4" s="1"/>
  <c r="AW66" i="4" a="1"/>
  <c r="AW66" i="4" s="1"/>
  <c r="BI66" i="4" a="1"/>
  <c r="BI66" i="4" s="1"/>
  <c r="BF66" i="4" a="1"/>
  <c r="BF66" i="4" s="1"/>
  <c r="AR66" i="4" a="1"/>
  <c r="AR66" i="4" s="1"/>
  <c r="AB66" i="12" a="1"/>
  <c r="AB66" i="12" s="1"/>
  <c r="AG66" i="12" a="1"/>
  <c r="AG66" i="12" s="1"/>
  <c r="AM66" i="12" a="1"/>
  <c r="AM66" i="12" s="1"/>
  <c r="AR66" i="12" a="1"/>
  <c r="AR66" i="12" s="1"/>
  <c r="AW66" i="12" a="1"/>
  <c r="AW66" i="12" s="1"/>
  <c r="AH66" i="12" a="1"/>
  <c r="AH66" i="12" s="1"/>
  <c r="AC66" i="12" a="1"/>
  <c r="AC66" i="12" s="1"/>
  <c r="AI66" i="12" a="1"/>
  <c r="AI66" i="12" s="1"/>
  <c r="AN66" i="12" a="1"/>
  <c r="AN66" i="12" s="1"/>
  <c r="AS66" i="12" a="1"/>
  <c r="AS66" i="12" s="1"/>
  <c r="AS66" i="4" a="1"/>
  <c r="AS66" i="4" s="1"/>
  <c r="AX66" i="4" a="1"/>
  <c r="AX66" i="4" s="1"/>
  <c r="AP66" i="12" a="1"/>
  <c r="AP66" i="12" s="1"/>
  <c r="AQ66" i="12" a="1"/>
  <c r="AQ66" i="12" s="1"/>
  <c r="AT66" i="12" a="1"/>
  <c r="AT66" i="12" s="1"/>
  <c r="AT66" i="4" a="1"/>
  <c r="AT66" i="4" s="1"/>
  <c r="AF66" i="12" a="1"/>
  <c r="AF66" i="12" s="1"/>
  <c r="AO66" i="12" a="1"/>
  <c r="AO66" i="12" s="1"/>
  <c r="AK66" i="12" a="1"/>
  <c r="AK66" i="12" s="1"/>
  <c r="AU66" i="12" a="1"/>
  <c r="AU66" i="12" s="1"/>
  <c r="AV66" i="12" a="1"/>
  <c r="AV66" i="12" s="1"/>
  <c r="AL66" i="12" a="1"/>
  <c r="AL66" i="12" s="1"/>
  <c r="AD66" i="12" a="1"/>
  <c r="AD66" i="12" s="1"/>
  <c r="AE66" i="12" a="1"/>
  <c r="AE66" i="12" s="1"/>
  <c r="AJ66" i="12" a="1"/>
  <c r="AJ66" i="12" s="1"/>
  <c r="BC70" i="4" a="1"/>
  <c r="BC70" i="4" s="1"/>
  <c r="BI70" i="4" a="1"/>
  <c r="BI70" i="4" s="1"/>
  <c r="AQ70" i="4" a="1"/>
  <c r="AQ70" i="4" s="1"/>
  <c r="AX70" i="4" a="1"/>
  <c r="AX70" i="4" s="1"/>
  <c r="BD70" i="4" a="1"/>
  <c r="BD70" i="4" s="1"/>
  <c r="BJ70" i="4" a="1"/>
  <c r="BJ70" i="4" s="1"/>
  <c r="AR70" i="4" a="1"/>
  <c r="AR70" i="4" s="1"/>
  <c r="BK70" i="4" a="1"/>
  <c r="BK70" i="4" s="1"/>
  <c r="AP70" i="4" a="1"/>
  <c r="AP70" i="4" s="1"/>
  <c r="BA70" i="4" a="1"/>
  <c r="BA70" i="4" s="1"/>
  <c r="AS70" i="4" a="1"/>
  <c r="AS70" i="4" s="1"/>
  <c r="BB70" i="4" a="1"/>
  <c r="BB70" i="4" s="1"/>
  <c r="AT70" i="4" a="1"/>
  <c r="AT70" i="4" s="1"/>
  <c r="AY70" i="4" a="1"/>
  <c r="AY70" i="4" s="1"/>
  <c r="BH70" i="4" a="1"/>
  <c r="BH70" i="4" s="1"/>
  <c r="AW70" i="4" a="1"/>
  <c r="AW70" i="4" s="1"/>
  <c r="AZ70" i="4" a="1"/>
  <c r="AZ70" i="4" s="1"/>
  <c r="BE70" i="4" a="1"/>
  <c r="BE70" i="4" s="1"/>
  <c r="AV70" i="4" a="1"/>
  <c r="AV70" i="4" s="1"/>
  <c r="AU70" i="4" a="1"/>
  <c r="AU70" i="4" s="1"/>
  <c r="AE70" i="12" a="1"/>
  <c r="AE70" i="12" s="1"/>
  <c r="AJ70" i="12" a="1"/>
  <c r="AJ70" i="12" s="1"/>
  <c r="AO70" i="12" a="1"/>
  <c r="AO70" i="12" s="1"/>
  <c r="AU70" i="12" a="1"/>
  <c r="AU70" i="12" s="1"/>
  <c r="BF70" i="4" a="1"/>
  <c r="BF70" i="4" s="1"/>
  <c r="AP70" i="12" a="1"/>
  <c r="AP70" i="12" s="1"/>
  <c r="BG70" i="4" a="1"/>
  <c r="BG70" i="4" s="1"/>
  <c r="AC70" i="12" a="1"/>
  <c r="AC70" i="12" s="1"/>
  <c r="AK70" i="12" a="1"/>
  <c r="AK70" i="12" s="1"/>
  <c r="AR70" i="12" a="1"/>
  <c r="AR70" i="12" s="1"/>
  <c r="AD70" i="12" a="1"/>
  <c r="AD70" i="12" s="1"/>
  <c r="AL70" i="12" a="1"/>
  <c r="AL70" i="12" s="1"/>
  <c r="AT70" i="12" a="1"/>
  <c r="AT70" i="12" s="1"/>
  <c r="AG70" i="12" a="1"/>
  <c r="AG70" i="12" s="1"/>
  <c r="AV70" i="12" a="1"/>
  <c r="AV70" i="12" s="1"/>
  <c r="AM70" i="12" a="1"/>
  <c r="AM70" i="12" s="1"/>
  <c r="AN70" i="12" a="1"/>
  <c r="AN70" i="12" s="1"/>
  <c r="AQ70" i="12" a="1"/>
  <c r="AQ70" i="12" s="1"/>
  <c r="AH70" i="12" a="1"/>
  <c r="AH70" i="12" s="1"/>
  <c r="AB70" i="12" a="1"/>
  <c r="AB70" i="12" s="1"/>
  <c r="AI70" i="12" a="1"/>
  <c r="AI70" i="12" s="1"/>
  <c r="AW70" i="12" a="1"/>
  <c r="AW70" i="12" s="1"/>
  <c r="AF70" i="12" a="1"/>
  <c r="AF70" i="12" s="1"/>
  <c r="AS70" i="12" a="1"/>
  <c r="AS70" i="12" s="1"/>
  <c r="AQ74" i="4" a="1"/>
  <c r="AQ74" i="4" s="1"/>
  <c r="BB74" i="4" a="1"/>
  <c r="BB74" i="4" s="1"/>
  <c r="BG74" i="4" a="1"/>
  <c r="BG74" i="4" s="1"/>
  <c r="AR74" i="4" a="1"/>
  <c r="AR74" i="4" s="1"/>
  <c r="AW74" i="4" a="1"/>
  <c r="AW74" i="4" s="1"/>
  <c r="BC74" i="4" a="1"/>
  <c r="BC74" i="4" s="1"/>
  <c r="BH74" i="4" a="1"/>
  <c r="BH74" i="4" s="1"/>
  <c r="BD74" i="4" a="1"/>
  <c r="BD74" i="4" s="1"/>
  <c r="AV74" i="4" a="1"/>
  <c r="AV74" i="4" s="1"/>
  <c r="AX74" i="4" a="1"/>
  <c r="AX74" i="4" s="1"/>
  <c r="BF74" i="4" a="1"/>
  <c r="BF74" i="4" s="1"/>
  <c r="AP74" i="4" a="1"/>
  <c r="AP74" i="4" s="1"/>
  <c r="AY74" i="4" a="1"/>
  <c r="AY74" i="4" s="1"/>
  <c r="BK74" i="4" a="1"/>
  <c r="BK74" i="4" s="1"/>
  <c r="BE74" i="4" a="1"/>
  <c r="BE74" i="4" s="1"/>
  <c r="BI74" i="4" a="1"/>
  <c r="BI74" i="4" s="1"/>
  <c r="BA74" i="4" a="1"/>
  <c r="BA74" i="4" s="1"/>
  <c r="AS74" i="4" a="1"/>
  <c r="AS74" i="4" s="1"/>
  <c r="AT74" i="4" a="1"/>
  <c r="AT74" i="4" s="1"/>
  <c r="AU74" i="4" a="1"/>
  <c r="AU74" i="4" s="1"/>
  <c r="AZ74" i="4" a="1"/>
  <c r="AZ74" i="4" s="1"/>
  <c r="BJ74" i="4" a="1"/>
  <c r="BJ74" i="4" s="1"/>
  <c r="AC74" i="12" a="1"/>
  <c r="AC74" i="12" s="1"/>
  <c r="AK74" i="12" a="1"/>
  <c r="AK74" i="12" s="1"/>
  <c r="AP74" i="12" a="1"/>
  <c r="AP74" i="12" s="1"/>
  <c r="AW74" i="12" a="1"/>
  <c r="AW74" i="12" s="1"/>
  <c r="AD74" i="12" a="1"/>
  <c r="AD74" i="12" s="1"/>
  <c r="AQ74" i="12" a="1"/>
  <c r="AQ74" i="12" s="1"/>
  <c r="AF74" i="12" a="1"/>
  <c r="AF74" i="12" s="1"/>
  <c r="AL74" i="12" a="1"/>
  <c r="AL74" i="12" s="1"/>
  <c r="AN74" i="12" a="1"/>
  <c r="AN74" i="12" s="1"/>
  <c r="AH74" i="12" a="1"/>
  <c r="AH74" i="12" s="1"/>
  <c r="AT74" i="12" a="1"/>
  <c r="AT74" i="12" s="1"/>
  <c r="AG74" i="12" a="1"/>
  <c r="AG74" i="12" s="1"/>
  <c r="AR74" i="12" a="1"/>
  <c r="AR74" i="12" s="1"/>
  <c r="AB74" i="12" a="1"/>
  <c r="AB74" i="12" s="1"/>
  <c r="AM74" i="12" a="1"/>
  <c r="AM74" i="12" s="1"/>
  <c r="AU74" i="12" a="1"/>
  <c r="AU74" i="12" s="1"/>
  <c r="AE74" i="12" a="1"/>
  <c r="AE74" i="12" s="1"/>
  <c r="AO74" i="12" a="1"/>
  <c r="AO74" i="12" s="1"/>
  <c r="AV74" i="12" a="1"/>
  <c r="AV74" i="12" s="1"/>
  <c r="AI74" i="12" a="1"/>
  <c r="AI74" i="12" s="1"/>
  <c r="AJ74" i="12" a="1"/>
  <c r="AJ74" i="12" s="1"/>
  <c r="AS74" i="12" a="1"/>
  <c r="AS74" i="12" s="1"/>
  <c r="AQ78" i="4" a="1"/>
  <c r="AQ78" i="4" s="1"/>
  <c r="BB78" i="4" a="1"/>
  <c r="BB78" i="4" s="1"/>
  <c r="BG78" i="4" a="1"/>
  <c r="BG78" i="4" s="1"/>
  <c r="AR78" i="4" a="1"/>
  <c r="AR78" i="4" s="1"/>
  <c r="AW78" i="4" a="1"/>
  <c r="AW78" i="4" s="1"/>
  <c r="BC78" i="4" a="1"/>
  <c r="BC78" i="4" s="1"/>
  <c r="BH78" i="4" a="1"/>
  <c r="BH78" i="4" s="1"/>
  <c r="BD78" i="4" a="1"/>
  <c r="BD78" i="4" s="1"/>
  <c r="AT78" i="4" a="1"/>
  <c r="AT78" i="4" s="1"/>
  <c r="BA78" i="4" a="1"/>
  <c r="BA78" i="4" s="1"/>
  <c r="BJ78" i="4" a="1"/>
  <c r="BJ78" i="4" s="1"/>
  <c r="BK78" i="4" a="1"/>
  <c r="BK78" i="4" s="1"/>
  <c r="AU78" i="4" a="1"/>
  <c r="AU78" i="4" s="1"/>
  <c r="BE78" i="4" a="1"/>
  <c r="BE78" i="4" s="1"/>
  <c r="AP78" i="4" a="1"/>
  <c r="AP78" i="4" s="1"/>
  <c r="AZ78" i="4" a="1"/>
  <c r="AZ78" i="4" s="1"/>
  <c r="BI78" i="4" a="1"/>
  <c r="BI78" i="4" s="1"/>
  <c r="AS78" i="4" a="1"/>
  <c r="AS78" i="4" s="1"/>
  <c r="AV78" i="4" a="1"/>
  <c r="AV78" i="4" s="1"/>
  <c r="BF78" i="4" a="1"/>
  <c r="BF78" i="4" s="1"/>
  <c r="AX78" i="4" a="1"/>
  <c r="AX78" i="4" s="1"/>
  <c r="AD78" i="12" a="1"/>
  <c r="AD78" i="12" s="1"/>
  <c r="AJ78" i="12" a="1"/>
  <c r="AJ78" i="12" s="1"/>
  <c r="AO78" i="12" a="1"/>
  <c r="AO78" i="12" s="1"/>
  <c r="AU78" i="12" a="1"/>
  <c r="AU78" i="12" s="1"/>
  <c r="AF78" i="12" a="1"/>
  <c r="AF78" i="12" s="1"/>
  <c r="AM78" i="12" a="1"/>
  <c r="AM78" i="12" s="1"/>
  <c r="AT78" i="12" a="1"/>
  <c r="AT78" i="12" s="1"/>
  <c r="AB78" i="12" a="1"/>
  <c r="AB78" i="12" s="1"/>
  <c r="AV78" i="12" a="1"/>
  <c r="AV78" i="12" s="1"/>
  <c r="AK78" i="12" a="1"/>
  <c r="AK78" i="12" s="1"/>
  <c r="AR78" i="12" a="1"/>
  <c r="AR78" i="12" s="1"/>
  <c r="AE78" i="12" a="1"/>
  <c r="AE78" i="12" s="1"/>
  <c r="AG78" i="12" a="1"/>
  <c r="AG78" i="12" s="1"/>
  <c r="AP78" i="12" a="1"/>
  <c r="AP78" i="12" s="1"/>
  <c r="AC78" i="12" a="1"/>
  <c r="AC78" i="12" s="1"/>
  <c r="AW78" i="12" a="1"/>
  <c r="AW78" i="12" s="1"/>
  <c r="AS78" i="12" a="1"/>
  <c r="AS78" i="12" s="1"/>
  <c r="AH78" i="12" a="1"/>
  <c r="AH78" i="12" s="1"/>
  <c r="AN78" i="12" a="1"/>
  <c r="AN78" i="12" s="1"/>
  <c r="AI78" i="12" a="1"/>
  <c r="AI78" i="12" s="1"/>
  <c r="AQ78" i="12" a="1"/>
  <c r="AQ78" i="12" s="1"/>
  <c r="AL78" i="12" a="1"/>
  <c r="AL78" i="12" s="1"/>
  <c r="AY78" i="4" a="1"/>
  <c r="AY78" i="4" s="1"/>
  <c r="AU82" i="4" a="1"/>
  <c r="AU82" i="4" s="1"/>
  <c r="BA82" i="4" a="1"/>
  <c r="BA82" i="4" s="1"/>
  <c r="AP82" i="4" a="1"/>
  <c r="AP82" i="4" s="1"/>
  <c r="AV82" i="4" a="1"/>
  <c r="AV82" i="4" s="1"/>
  <c r="BB82" i="4" a="1"/>
  <c r="BB82" i="4" s="1"/>
  <c r="BG82" i="4" a="1"/>
  <c r="BG82" i="4" s="1"/>
  <c r="AQ82" i="4" a="1"/>
  <c r="AQ82" i="4" s="1"/>
  <c r="BH82" i="4" a="1"/>
  <c r="BH82" i="4" s="1"/>
  <c r="BF82" i="4" a="1"/>
  <c r="BF82" i="4" s="1"/>
  <c r="AX82" i="4" a="1"/>
  <c r="AX82" i="4" s="1"/>
  <c r="BI82" i="4" a="1"/>
  <c r="BI82" i="4" s="1"/>
  <c r="AR82" i="4" a="1"/>
  <c r="AR82" i="4" s="1"/>
  <c r="AY82" i="4" a="1"/>
  <c r="AY82" i="4" s="1"/>
  <c r="BJ82" i="4" a="1"/>
  <c r="BJ82" i="4" s="1"/>
  <c r="AT82" i="4" a="1"/>
  <c r="AT82" i="4" s="1"/>
  <c r="AW82" i="4" a="1"/>
  <c r="AW82" i="4" s="1"/>
  <c r="AZ82" i="4" a="1"/>
  <c r="AZ82" i="4" s="1"/>
  <c r="AS82" i="4" a="1"/>
  <c r="AS82" i="4" s="1"/>
  <c r="BK82" i="4" a="1"/>
  <c r="BK82" i="4" s="1"/>
  <c r="BC82" i="4" a="1"/>
  <c r="BC82" i="4" s="1"/>
  <c r="BD82" i="4" a="1"/>
  <c r="BD82" i="4" s="1"/>
  <c r="BE82" i="4" a="1"/>
  <c r="BE82" i="4" s="1"/>
  <c r="AB82" i="12" a="1"/>
  <c r="AB82" i="12" s="1"/>
  <c r="AI82" i="12" a="1"/>
  <c r="AI82" i="12" s="1"/>
  <c r="AN82" i="12" a="1"/>
  <c r="AN82" i="12" s="1"/>
  <c r="AR82" i="12" a="1"/>
  <c r="AR82" i="12" s="1"/>
  <c r="AM82" i="12" a="1"/>
  <c r="AM82" i="12" s="1"/>
  <c r="AG82" i="12" a="1"/>
  <c r="AG82" i="12" s="1"/>
  <c r="AO82" i="12" a="1"/>
  <c r="AO82" i="12" s="1"/>
  <c r="AP82" i="12" a="1"/>
  <c r="AP82" i="12" s="1"/>
  <c r="AD82" i="12" a="1"/>
  <c r="AD82" i="12" s="1"/>
  <c r="AL82" i="12" a="1"/>
  <c r="AL82" i="12" s="1"/>
  <c r="AS82" i="12" a="1"/>
  <c r="AS82" i="12" s="1"/>
  <c r="AT82" i="12" a="1"/>
  <c r="AT82" i="12" s="1"/>
  <c r="AH82" i="12" a="1"/>
  <c r="AH82" i="12" s="1"/>
  <c r="AV82" i="12" a="1"/>
  <c r="AV82" i="12" s="1"/>
  <c r="AE82" i="12" a="1"/>
  <c r="AE82" i="12" s="1"/>
  <c r="AF82" i="12" a="1"/>
  <c r="AF82" i="12" s="1"/>
  <c r="AU82" i="12" a="1"/>
  <c r="AU82" i="12" s="1"/>
  <c r="AJ82" i="12" a="1"/>
  <c r="AJ82" i="12" s="1"/>
  <c r="AC82" i="12" a="1"/>
  <c r="AC82" i="12" s="1"/>
  <c r="AK82" i="12" a="1"/>
  <c r="AK82" i="12" s="1"/>
  <c r="AQ82" i="12" a="1"/>
  <c r="AQ82" i="12" s="1"/>
  <c r="AW82" i="12" a="1"/>
  <c r="AW82" i="12" s="1"/>
  <c r="AP86" i="4" a="1"/>
  <c r="AP86" i="4" s="1"/>
  <c r="AU86" i="4" a="1"/>
  <c r="AU86" i="4" s="1"/>
  <c r="BA86" i="4" a="1"/>
  <c r="BA86" i="4" s="1"/>
  <c r="BH86" i="4" a="1"/>
  <c r="BH86" i="4" s="1"/>
  <c r="AQ86" i="4" a="1"/>
  <c r="AQ86" i="4" s="1"/>
  <c r="AW86" i="4" a="1"/>
  <c r="AW86" i="4" s="1"/>
  <c r="AR86" i="4" a="1"/>
  <c r="AR86" i="4" s="1"/>
  <c r="AX86" i="4" a="1"/>
  <c r="AX86" i="4" s="1"/>
  <c r="BE86" i="4" a="1"/>
  <c r="BE86" i="4" s="1"/>
  <c r="AS86" i="4" a="1"/>
  <c r="AS86" i="4" s="1"/>
  <c r="BF86" i="4" a="1"/>
  <c r="BF86" i="4" s="1"/>
  <c r="AV86" i="4" a="1"/>
  <c r="AV86" i="4" s="1"/>
  <c r="BC86" i="4" a="1"/>
  <c r="BC86" i="4" s="1"/>
  <c r="BJ86" i="4" a="1"/>
  <c r="BJ86" i="4" s="1"/>
  <c r="BB86" i="4" a="1"/>
  <c r="BB86" i="4" s="1"/>
  <c r="BD86" i="4" a="1"/>
  <c r="BD86" i="4" s="1"/>
  <c r="BG86" i="4" a="1"/>
  <c r="BG86" i="4" s="1"/>
  <c r="AZ86" i="4" a="1"/>
  <c r="AZ86" i="4" s="1"/>
  <c r="AT86" i="4" a="1"/>
  <c r="AT86" i="4" s="1"/>
  <c r="AY86" i="4" a="1"/>
  <c r="AY86" i="4" s="1"/>
  <c r="BK86" i="4" a="1"/>
  <c r="BK86" i="4" s="1"/>
  <c r="BI86" i="4" a="1"/>
  <c r="BI86" i="4" s="1"/>
  <c r="AT86" i="12" a="1"/>
  <c r="AT86" i="12" s="1"/>
  <c r="AC86" i="12" a="1"/>
  <c r="AC86" i="12" s="1"/>
  <c r="AD86" i="12" a="1"/>
  <c r="AD86" i="12" s="1"/>
  <c r="AE86" i="12" a="1"/>
  <c r="AE86" i="12" s="1"/>
  <c r="AH86" i="12" a="1"/>
  <c r="AH86" i="12" s="1"/>
  <c r="AN86" i="12" a="1"/>
  <c r="AN86" i="12" s="1"/>
  <c r="AU86" i="12" a="1"/>
  <c r="AU86" i="12" s="1"/>
  <c r="AP86" i="12" a="1"/>
  <c r="AP86" i="12" s="1"/>
  <c r="AJ86" i="12" a="1"/>
  <c r="AJ86" i="12" s="1"/>
  <c r="AK86" i="12" a="1"/>
  <c r="AK86" i="12" s="1"/>
  <c r="AW86" i="12" a="1"/>
  <c r="AW86" i="12" s="1"/>
  <c r="AF86" i="12" a="1"/>
  <c r="AF86" i="12" s="1"/>
  <c r="AB86" i="12" a="1"/>
  <c r="AB86" i="12" s="1"/>
  <c r="AI86" i="12" a="1"/>
  <c r="AI86" i="12" s="1"/>
  <c r="AO86" i="12" a="1"/>
  <c r="AO86" i="12" s="1"/>
  <c r="AV86" i="12" a="1"/>
  <c r="AV86" i="12" s="1"/>
  <c r="AQ86" i="12" a="1"/>
  <c r="AQ86" i="12" s="1"/>
  <c r="AR86" i="12" a="1"/>
  <c r="AR86" i="12" s="1"/>
  <c r="AL86" i="12" a="1"/>
  <c r="AL86" i="12" s="1"/>
  <c r="AG86" i="12" a="1"/>
  <c r="AG86" i="12" s="1"/>
  <c r="AM86" i="12" a="1"/>
  <c r="AM86" i="12" s="1"/>
  <c r="AS86" i="12" a="1"/>
  <c r="AS86" i="12" s="1"/>
  <c r="AR90" i="4" a="1"/>
  <c r="AR90" i="4" s="1"/>
  <c r="BB90" i="4" a="1"/>
  <c r="BB90" i="4" s="1"/>
  <c r="BH90" i="4" a="1"/>
  <c r="BH90" i="4" s="1"/>
  <c r="AS90" i="4" a="1"/>
  <c r="AS90" i="4" s="1"/>
  <c r="AY90" i="4" a="1"/>
  <c r="AY90" i="4" s="1"/>
  <c r="AT90" i="4" a="1"/>
  <c r="AT90" i="4" s="1"/>
  <c r="AZ90" i="4" a="1"/>
  <c r="AZ90" i="4" s="1"/>
  <c r="BF90" i="4" a="1"/>
  <c r="BF90" i="4" s="1"/>
  <c r="AU90" i="4" a="1"/>
  <c r="AU90" i="4" s="1"/>
  <c r="AQ90" i="4" a="1"/>
  <c r="AQ90" i="4" s="1"/>
  <c r="AX90" i="4" a="1"/>
  <c r="AX90" i="4" s="1"/>
  <c r="BD90" i="4" a="1"/>
  <c r="BD90" i="4" s="1"/>
  <c r="AP90" i="4" a="1"/>
  <c r="AP90" i="4" s="1"/>
  <c r="BC90" i="4" a="1"/>
  <c r="BC90" i="4" s="1"/>
  <c r="BE90" i="4" a="1"/>
  <c r="BE90" i="4" s="1"/>
  <c r="AV90" i="4" a="1"/>
  <c r="AV90" i="4" s="1"/>
  <c r="BG90" i="4" a="1"/>
  <c r="BG90" i="4" s="1"/>
  <c r="BA90" i="4" a="1"/>
  <c r="BA90" i="4" s="1"/>
  <c r="BI90" i="4" a="1"/>
  <c r="BI90" i="4" s="1"/>
  <c r="BJ90" i="4" a="1"/>
  <c r="BJ90" i="4" s="1"/>
  <c r="BK90" i="4" a="1"/>
  <c r="BK90" i="4" s="1"/>
  <c r="AB90" i="12" a="1"/>
  <c r="AB90" i="12" s="1"/>
  <c r="AH90" i="12" a="1"/>
  <c r="AH90" i="12" s="1"/>
  <c r="AU90" i="12" a="1"/>
  <c r="AU90" i="12" s="1"/>
  <c r="AD90" i="12" a="1"/>
  <c r="AD90" i="12" s="1"/>
  <c r="AR90" i="12" a="1"/>
  <c r="AR90" i="12" s="1"/>
  <c r="AF90" i="12" a="1"/>
  <c r="AF90" i="12" s="1"/>
  <c r="AS90" i="12" a="1"/>
  <c r="AS90" i="12" s="1"/>
  <c r="AI90" i="12" a="1"/>
  <c r="AI90" i="12" s="1"/>
  <c r="AO90" i="12" a="1"/>
  <c r="AO90" i="12" s="1"/>
  <c r="AV90" i="12" a="1"/>
  <c r="AV90" i="12" s="1"/>
  <c r="AQ90" i="12" a="1"/>
  <c r="AQ90" i="12" s="1"/>
  <c r="AE90" i="12" a="1"/>
  <c r="AE90" i="12" s="1"/>
  <c r="AL90" i="12" a="1"/>
  <c r="AL90" i="12" s="1"/>
  <c r="AM90" i="12" a="1"/>
  <c r="AM90" i="12" s="1"/>
  <c r="AC90" i="12" a="1"/>
  <c r="AC90" i="12" s="1"/>
  <c r="AJ90" i="12" a="1"/>
  <c r="AJ90" i="12" s="1"/>
  <c r="AP90" i="12" a="1"/>
  <c r="AP90" i="12" s="1"/>
  <c r="AW90" i="4" a="1"/>
  <c r="AW90" i="4" s="1"/>
  <c r="AW90" i="12" a="1"/>
  <c r="AW90" i="12" s="1"/>
  <c r="AK90" i="12" a="1"/>
  <c r="AK90" i="12" s="1"/>
  <c r="AG90" i="12" a="1"/>
  <c r="AG90" i="12" s="1"/>
  <c r="AN90" i="12" a="1"/>
  <c r="AN90" i="12" s="1"/>
  <c r="AT90" i="12" a="1"/>
  <c r="AT90" i="12" s="1"/>
  <c r="AR16" i="4" a="1"/>
  <c r="AR16" i="4" s="1"/>
  <c r="BF16" i="4" a="1"/>
  <c r="BF16" i="4" s="1"/>
  <c r="AS16" i="4" a="1"/>
  <c r="AS16" i="4" s="1"/>
  <c r="AZ16" i="4" a="1"/>
  <c r="AZ16" i="4" s="1"/>
  <c r="BG16" i="4" a="1"/>
  <c r="BG16" i="4" s="1"/>
  <c r="AT16" i="4" a="1"/>
  <c r="AT16" i="4" s="1"/>
  <c r="BA16" i="4" a="1"/>
  <c r="BA16" i="4" s="1"/>
  <c r="BH16" i="4" a="1"/>
  <c r="BH16" i="4" s="1"/>
  <c r="AW16" i="4" a="1"/>
  <c r="AW16" i="4" s="1"/>
  <c r="BD16" i="4" a="1"/>
  <c r="BD16" i="4" s="1"/>
  <c r="BK16" i="4" a="1"/>
  <c r="BK16" i="4" s="1"/>
  <c r="AY16" i="4" a="1"/>
  <c r="AY16" i="4" s="1"/>
  <c r="BB16" i="4" a="1"/>
  <c r="BB16" i="4" s="1"/>
  <c r="BC16" i="4" a="1"/>
  <c r="BC16" i="4" s="1"/>
  <c r="AP16" i="4" a="1"/>
  <c r="AP16" i="4" s="1"/>
  <c r="BE16" i="4" a="1"/>
  <c r="BE16" i="4" s="1"/>
  <c r="BI16" i="4" a="1"/>
  <c r="BI16" i="4" s="1"/>
  <c r="BJ16" i="4" a="1"/>
  <c r="BJ16" i="4" s="1"/>
  <c r="AQ16" i="4" a="1"/>
  <c r="AQ16" i="4" s="1"/>
  <c r="AU16" i="4" a="1"/>
  <c r="AU16" i="4" s="1"/>
  <c r="AV16" i="4" a="1"/>
  <c r="AV16" i="4" s="1"/>
  <c r="AX16" i="4" a="1"/>
  <c r="AX16" i="4" s="1"/>
  <c r="AQ32" i="4" a="1"/>
  <c r="AQ32" i="4" s="1"/>
  <c r="AW32" i="4" a="1"/>
  <c r="AW32" i="4" s="1"/>
  <c r="BC32" i="4" a="1"/>
  <c r="BC32" i="4" s="1"/>
  <c r="BI32" i="4" a="1"/>
  <c r="BI32" i="4" s="1"/>
  <c r="AY32" i="4" a="1"/>
  <c r="AY32" i="4" s="1"/>
  <c r="AT32" i="4" a="1"/>
  <c r="AT32" i="4" s="1"/>
  <c r="BB32" i="4" a="1"/>
  <c r="BB32" i="4" s="1"/>
  <c r="BK32" i="4" a="1"/>
  <c r="BK32" i="4" s="1"/>
  <c r="AU32" i="4" a="1"/>
  <c r="AU32" i="4" s="1"/>
  <c r="BD32" i="4" a="1"/>
  <c r="BD32" i="4" s="1"/>
  <c r="AV32" i="4" a="1"/>
  <c r="AV32" i="4" s="1"/>
  <c r="BE32" i="4" a="1"/>
  <c r="BE32" i="4" s="1"/>
  <c r="AR32" i="4" a="1"/>
  <c r="AR32" i="4" s="1"/>
  <c r="BG32" i="4" a="1"/>
  <c r="BG32" i="4" s="1"/>
  <c r="AS32" i="4" a="1"/>
  <c r="AS32" i="4" s="1"/>
  <c r="BH32" i="4" a="1"/>
  <c r="BH32" i="4" s="1"/>
  <c r="AX32" i="4" a="1"/>
  <c r="AX32" i="4" s="1"/>
  <c r="BJ32" i="4" a="1"/>
  <c r="BJ32" i="4" s="1"/>
  <c r="AP32" i="4" a="1"/>
  <c r="AP32" i="4" s="1"/>
  <c r="AZ32" i="4" a="1"/>
  <c r="AZ32" i="4" s="1"/>
  <c r="BA32" i="4" a="1"/>
  <c r="BA32" i="4" s="1"/>
  <c r="BF32" i="4" a="1"/>
  <c r="BF32" i="4" s="1"/>
  <c r="AC32" i="12" a="1"/>
  <c r="AC32" i="12" s="1"/>
  <c r="AI32" i="12" a="1"/>
  <c r="AI32" i="12" s="1"/>
  <c r="AP32" i="12" a="1"/>
  <c r="AP32" i="12" s="1"/>
  <c r="AV32" i="12" a="1"/>
  <c r="AV32" i="12" s="1"/>
  <c r="AE32" i="12" a="1"/>
  <c r="AE32" i="12" s="1"/>
  <c r="AL32" i="12" a="1"/>
  <c r="AL32" i="12" s="1"/>
  <c r="AR32" i="12" a="1"/>
  <c r="AR32" i="12" s="1"/>
  <c r="AS32" i="12" a="1"/>
  <c r="AS32" i="12" s="1"/>
  <c r="AF32" i="12" a="1"/>
  <c r="AF32" i="12" s="1"/>
  <c r="AM32" i="12" a="1"/>
  <c r="AM32" i="12" s="1"/>
  <c r="AT32" i="12" a="1"/>
  <c r="AT32" i="12" s="1"/>
  <c r="AD32" i="12" a="1"/>
  <c r="AD32" i="12" s="1"/>
  <c r="AK32" i="12" a="1"/>
  <c r="AK32" i="12" s="1"/>
  <c r="AB32" i="12" a="1"/>
  <c r="AB32" i="12" s="1"/>
  <c r="AQ32" i="12" a="1"/>
  <c r="AQ32" i="12" s="1"/>
  <c r="AG32" i="12" a="1"/>
  <c r="AG32" i="12" s="1"/>
  <c r="AU32" i="12" a="1"/>
  <c r="AU32" i="12" s="1"/>
  <c r="AH32" i="12" a="1"/>
  <c r="AH32" i="12" s="1"/>
  <c r="AW32" i="12" a="1"/>
  <c r="AW32" i="12" s="1"/>
  <c r="AJ32" i="12" a="1"/>
  <c r="AJ32" i="12" s="1"/>
  <c r="AN32" i="12" a="1"/>
  <c r="AN32" i="12" s="1"/>
  <c r="AO32" i="12" a="1"/>
  <c r="AO32" i="12" s="1"/>
  <c r="AQ44" i="4" a="1"/>
  <c r="AQ44" i="4" s="1"/>
  <c r="AX44" i="4" a="1"/>
  <c r="AX44" i="4" s="1"/>
  <c r="BE44" i="4" a="1"/>
  <c r="BE44" i="4" s="1"/>
  <c r="AR44" i="4" a="1"/>
  <c r="AR44" i="4" s="1"/>
  <c r="AY44" i="4" a="1"/>
  <c r="AY44" i="4" s="1"/>
  <c r="BF44" i="4" a="1"/>
  <c r="BF44" i="4" s="1"/>
  <c r="AS44" i="4" a="1"/>
  <c r="AS44" i="4" s="1"/>
  <c r="AZ44" i="4" a="1"/>
  <c r="AZ44" i="4" s="1"/>
  <c r="BG44" i="4" a="1"/>
  <c r="BG44" i="4" s="1"/>
  <c r="AP44" i="4" a="1"/>
  <c r="AP44" i="4" s="1"/>
  <c r="BB44" i="4" a="1"/>
  <c r="BB44" i="4" s="1"/>
  <c r="BC44" i="4" a="1"/>
  <c r="BC44" i="4" s="1"/>
  <c r="AT44" i="4" a="1"/>
  <c r="AT44" i="4" s="1"/>
  <c r="BD44" i="4" a="1"/>
  <c r="BD44" i="4" s="1"/>
  <c r="AU44" i="4" a="1"/>
  <c r="AU44" i="4" s="1"/>
  <c r="BH44" i="4" a="1"/>
  <c r="BH44" i="4" s="1"/>
  <c r="BI44" i="4" a="1"/>
  <c r="BI44" i="4" s="1"/>
  <c r="BJ44" i="4" a="1"/>
  <c r="BJ44" i="4" s="1"/>
  <c r="AW44" i="4" a="1"/>
  <c r="AW44" i="4" s="1"/>
  <c r="BK44" i="4" a="1"/>
  <c r="BK44" i="4" s="1"/>
  <c r="BA44" i="4" a="1"/>
  <c r="BA44" i="4" s="1"/>
  <c r="AC44" i="12" a="1"/>
  <c r="AC44" i="12" s="1"/>
  <c r="AK44" i="12" a="1"/>
  <c r="AK44" i="12" s="1"/>
  <c r="AD44" i="12" a="1"/>
  <c r="AD44" i="12" s="1"/>
  <c r="AQ44" i="12" a="1"/>
  <c r="AQ44" i="12" s="1"/>
  <c r="AE44" i="12" a="1"/>
  <c r="AE44" i="12" s="1"/>
  <c r="AL44" i="12" a="1"/>
  <c r="AL44" i="12" s="1"/>
  <c r="AR44" i="12" a="1"/>
  <c r="AR44" i="12" s="1"/>
  <c r="AV44" i="4" a="1"/>
  <c r="AV44" i="4" s="1"/>
  <c r="AB44" i="12" a="1"/>
  <c r="AB44" i="12" s="1"/>
  <c r="AJ44" i="12" a="1"/>
  <c r="AJ44" i="12" s="1"/>
  <c r="AP44" i="12" a="1"/>
  <c r="AP44" i="12" s="1"/>
  <c r="AW44" i="12" a="1"/>
  <c r="AW44" i="12" s="1"/>
  <c r="AG44" i="12" a="1"/>
  <c r="AG44" i="12" s="1"/>
  <c r="AT44" i="12" a="1"/>
  <c r="AT44" i="12" s="1"/>
  <c r="AH44" i="12" a="1"/>
  <c r="AH44" i="12" s="1"/>
  <c r="AU44" i="12" a="1"/>
  <c r="AU44" i="12" s="1"/>
  <c r="AF44" i="12" a="1"/>
  <c r="AF44" i="12" s="1"/>
  <c r="AS44" i="12" a="1"/>
  <c r="AS44" i="12" s="1"/>
  <c r="AI44" i="12" a="1"/>
  <c r="AI44" i="12" s="1"/>
  <c r="AM44" i="12" a="1"/>
  <c r="AM44" i="12" s="1"/>
  <c r="AO44" i="12" a="1"/>
  <c r="AO44" i="12" s="1"/>
  <c r="AN44" i="12" a="1"/>
  <c r="AN44" i="12" s="1"/>
  <c r="AV44" i="12" a="1"/>
  <c r="AV44" i="12" s="1"/>
  <c r="AS52" i="4" a="1"/>
  <c r="AS52" i="4" s="1"/>
  <c r="AZ52" i="4" a="1"/>
  <c r="AZ52" i="4" s="1"/>
  <c r="AT52" i="4" a="1"/>
  <c r="AT52" i="4" s="1"/>
  <c r="BA52" i="4" a="1"/>
  <c r="BA52" i="4" s="1"/>
  <c r="BH52" i="4" a="1"/>
  <c r="BH52" i="4" s="1"/>
  <c r="AU52" i="4" a="1"/>
  <c r="AU52" i="4" s="1"/>
  <c r="BB52" i="4" a="1"/>
  <c r="BB52" i="4" s="1"/>
  <c r="BI52" i="4" a="1"/>
  <c r="BI52" i="4" s="1"/>
  <c r="AP52" i="4" a="1"/>
  <c r="AP52" i="4" s="1"/>
  <c r="BC52" i="4" a="1"/>
  <c r="BC52" i="4" s="1"/>
  <c r="AQ52" i="4" a="1"/>
  <c r="AQ52" i="4" s="1"/>
  <c r="BD52" i="4" a="1"/>
  <c r="BD52" i="4" s="1"/>
  <c r="AR52" i="4" a="1"/>
  <c r="AR52" i="4" s="1"/>
  <c r="BE52" i="4" a="1"/>
  <c r="BE52" i="4" s="1"/>
  <c r="AW52" i="4" a="1"/>
  <c r="AW52" i="4" s="1"/>
  <c r="BJ52" i="4" a="1"/>
  <c r="BJ52" i="4" s="1"/>
  <c r="BK52" i="4" a="1"/>
  <c r="BK52" i="4" s="1"/>
  <c r="AV52" i="4" a="1"/>
  <c r="AV52" i="4" s="1"/>
  <c r="BF52" i="4" a="1"/>
  <c r="BF52" i="4" s="1"/>
  <c r="AD52" i="12" a="1"/>
  <c r="AD52" i="12" s="1"/>
  <c r="AK52" i="12" a="1"/>
  <c r="AK52" i="12" s="1"/>
  <c r="AQ52" i="12" a="1"/>
  <c r="AQ52" i="12" s="1"/>
  <c r="AE52" i="12" a="1"/>
  <c r="AE52" i="12" s="1"/>
  <c r="AR52" i="12" a="1"/>
  <c r="AR52" i="12" s="1"/>
  <c r="AF52" i="12" a="1"/>
  <c r="AF52" i="12" s="1"/>
  <c r="AL52" i="12" a="1"/>
  <c r="AL52" i="12" s="1"/>
  <c r="AS52" i="12" a="1"/>
  <c r="AS52" i="12" s="1"/>
  <c r="AX52" i="4" a="1"/>
  <c r="AX52" i="4" s="1"/>
  <c r="BG52" i="4" a="1"/>
  <c r="BG52" i="4" s="1"/>
  <c r="AC52" i="12" a="1"/>
  <c r="AC52" i="12" s="1"/>
  <c r="AJ52" i="12" a="1"/>
  <c r="AJ52" i="12" s="1"/>
  <c r="AU52" i="12" a="1"/>
  <c r="AU52" i="12" s="1"/>
  <c r="AH52" i="12" a="1"/>
  <c r="AH52" i="12" s="1"/>
  <c r="AV52" i="12" a="1"/>
  <c r="AV52" i="12" s="1"/>
  <c r="AY52" i="4" a="1"/>
  <c r="AY52" i="4" s="1"/>
  <c r="AM52" i="12" a="1"/>
  <c r="AM52" i="12" s="1"/>
  <c r="AG52" i="12" a="1"/>
  <c r="AG52" i="12" s="1"/>
  <c r="AT52" i="12" a="1"/>
  <c r="AT52" i="12" s="1"/>
  <c r="AN52" i="12" a="1"/>
  <c r="AN52" i="12" s="1"/>
  <c r="AO52" i="12" a="1"/>
  <c r="AO52" i="12" s="1"/>
  <c r="AW52" i="12" a="1"/>
  <c r="AW52" i="12" s="1"/>
  <c r="AB52" i="12" a="1"/>
  <c r="AB52" i="12" s="1"/>
  <c r="AP52" i="12" a="1"/>
  <c r="AP52" i="12" s="1"/>
  <c r="AI52" i="12" a="1"/>
  <c r="AI52" i="12" s="1"/>
  <c r="AS68" i="4" a="1"/>
  <c r="AS68" i="4" s="1"/>
  <c r="AY68" i="4" a="1"/>
  <c r="AY68" i="4" s="1"/>
  <c r="AT68" i="4" a="1"/>
  <c r="AT68" i="4" s="1"/>
  <c r="AZ68" i="4" a="1"/>
  <c r="AZ68" i="4" s="1"/>
  <c r="BF68" i="4" a="1"/>
  <c r="BF68" i="4" s="1"/>
  <c r="BK68" i="4" a="1"/>
  <c r="BK68" i="4" s="1"/>
  <c r="BG68" i="4" a="1"/>
  <c r="BG68" i="4" s="1"/>
  <c r="AW68" i="4" a="1"/>
  <c r="AW68" i="4" s="1"/>
  <c r="BH68" i="4" a="1"/>
  <c r="BH68" i="4" s="1"/>
  <c r="AX68" i="4" a="1"/>
  <c r="AX68" i="4" s="1"/>
  <c r="BI68" i="4" a="1"/>
  <c r="BI68" i="4" s="1"/>
  <c r="AU68" i="4" a="1"/>
  <c r="AU68" i="4" s="1"/>
  <c r="BD68" i="4" a="1"/>
  <c r="BD68" i="4" s="1"/>
  <c r="BC68" i="4" a="1"/>
  <c r="BC68" i="4" s="1"/>
  <c r="BE68" i="4" a="1"/>
  <c r="BE68" i="4" s="1"/>
  <c r="AP68" i="4" a="1"/>
  <c r="AP68" i="4" s="1"/>
  <c r="BB68" i="4" a="1"/>
  <c r="BB68" i="4" s="1"/>
  <c r="BA68" i="4" a="1"/>
  <c r="BA68" i="4" s="1"/>
  <c r="AF68" i="12" a="1"/>
  <c r="AF68" i="12" s="1"/>
  <c r="AK68" i="12" a="1"/>
  <c r="AK68" i="12" s="1"/>
  <c r="AQ68" i="12" a="1"/>
  <c r="AQ68" i="12" s="1"/>
  <c r="AV68" i="12" a="1"/>
  <c r="AV68" i="12" s="1"/>
  <c r="BJ68" i="4" a="1"/>
  <c r="BJ68" i="4" s="1"/>
  <c r="AL68" i="12" a="1"/>
  <c r="AL68" i="12" s="1"/>
  <c r="AB68" i="12" a="1"/>
  <c r="AB68" i="12" s="1"/>
  <c r="AG68" i="12" a="1"/>
  <c r="AG68" i="12" s="1"/>
  <c r="AM68" i="12" a="1"/>
  <c r="AM68" i="12" s="1"/>
  <c r="AR68" i="12" a="1"/>
  <c r="AR68" i="12" s="1"/>
  <c r="AW68" i="12" a="1"/>
  <c r="AW68" i="12" s="1"/>
  <c r="AQ68" i="4" a="1"/>
  <c r="AQ68" i="4" s="1"/>
  <c r="AV68" i="4" a="1"/>
  <c r="AV68" i="4" s="1"/>
  <c r="AR68" i="4" a="1"/>
  <c r="AR68" i="4" s="1"/>
  <c r="AH68" i="12" a="1"/>
  <c r="AH68" i="12" s="1"/>
  <c r="AO68" i="12" a="1"/>
  <c r="AO68" i="12" s="1"/>
  <c r="AE68" i="12" a="1"/>
  <c r="AE68" i="12" s="1"/>
  <c r="AN68" i="12" a="1"/>
  <c r="AN68" i="12" s="1"/>
  <c r="AS68" i="12" a="1"/>
  <c r="AS68" i="12" s="1"/>
  <c r="AI68" i="12" a="1"/>
  <c r="AI68" i="12" s="1"/>
  <c r="AC68" i="12" a="1"/>
  <c r="AC68" i="12" s="1"/>
  <c r="AT68" i="12" a="1"/>
  <c r="AT68" i="12" s="1"/>
  <c r="AD68" i="12" a="1"/>
  <c r="AD68" i="12" s="1"/>
  <c r="AU68" i="12" a="1"/>
  <c r="AU68" i="12" s="1"/>
  <c r="AJ68" i="12" a="1"/>
  <c r="AJ68" i="12" s="1"/>
  <c r="AP68" i="12" a="1"/>
  <c r="AP68" i="12" s="1"/>
  <c r="AS80" i="4" a="1"/>
  <c r="AS80" i="4" s="1"/>
  <c r="BD80" i="4" a="1"/>
  <c r="BD80" i="4" s="1"/>
  <c r="BK80" i="4" a="1"/>
  <c r="BK80" i="4" s="1"/>
  <c r="AY80" i="4" a="1"/>
  <c r="AY80" i="4" s="1"/>
  <c r="BE80" i="4" a="1"/>
  <c r="BE80" i="4" s="1"/>
  <c r="AT80" i="4" a="1"/>
  <c r="AT80" i="4" s="1"/>
  <c r="AZ80" i="4" a="1"/>
  <c r="AZ80" i="4" s="1"/>
  <c r="BF80" i="4" a="1"/>
  <c r="BF80" i="4" s="1"/>
  <c r="AV80" i="4" a="1"/>
  <c r="AV80" i="4" s="1"/>
  <c r="BC80" i="4" a="1"/>
  <c r="BC80" i="4" s="1"/>
  <c r="AW80" i="4" a="1"/>
  <c r="AW80" i="4" s="1"/>
  <c r="BG80" i="4" a="1"/>
  <c r="BG80" i="4" s="1"/>
  <c r="BH80" i="4" a="1"/>
  <c r="BH80" i="4" s="1"/>
  <c r="AR80" i="4" a="1"/>
  <c r="AR80" i="4" s="1"/>
  <c r="BB80" i="4" a="1"/>
  <c r="BB80" i="4" s="1"/>
  <c r="BA80" i="4" a="1"/>
  <c r="BA80" i="4" s="1"/>
  <c r="AX80" i="4" a="1"/>
  <c r="AX80" i="4" s="1"/>
  <c r="BI80" i="4" a="1"/>
  <c r="BI80" i="4" s="1"/>
  <c r="BJ80" i="4" a="1"/>
  <c r="BJ80" i="4" s="1"/>
  <c r="AP80" i="4" a="1"/>
  <c r="AP80" i="4" s="1"/>
  <c r="AU80" i="4" a="1"/>
  <c r="AU80" i="4" s="1"/>
  <c r="AB80" i="12" a="1"/>
  <c r="AB80" i="12" s="1"/>
  <c r="AO80" i="12" a="1"/>
  <c r="AO80" i="12" s="1"/>
  <c r="AV80" i="12" a="1"/>
  <c r="AV80" i="12" s="1"/>
  <c r="AQ80" i="4" a="1"/>
  <c r="AQ80" i="4" s="1"/>
  <c r="AE80" i="12" a="1"/>
  <c r="AE80" i="12" s="1"/>
  <c r="AK80" i="12" a="1"/>
  <c r="AK80" i="12" s="1"/>
  <c r="AS80" i="12" a="1"/>
  <c r="AS80" i="12" s="1"/>
  <c r="AN80" i="12" a="1"/>
  <c r="AN80" i="12" s="1"/>
  <c r="AP80" i="12" a="1"/>
  <c r="AP80" i="12" s="1"/>
  <c r="AF80" i="12" a="1"/>
  <c r="AF80" i="12" s="1"/>
  <c r="AL80" i="12" a="1"/>
  <c r="AL80" i="12" s="1"/>
  <c r="AT80" i="12" a="1"/>
  <c r="AT80" i="12" s="1"/>
  <c r="AH80" i="12" a="1"/>
  <c r="AH80" i="12" s="1"/>
  <c r="AG80" i="12" a="1"/>
  <c r="AG80" i="12" s="1"/>
  <c r="AM80" i="12" a="1"/>
  <c r="AM80" i="12" s="1"/>
  <c r="AU80" i="12" a="1"/>
  <c r="AU80" i="12" s="1"/>
  <c r="AW80" i="12" a="1"/>
  <c r="AW80" i="12" s="1"/>
  <c r="AI80" i="12" a="1"/>
  <c r="AI80" i="12" s="1"/>
  <c r="AC80" i="12" a="1"/>
  <c r="AC80" i="12" s="1"/>
  <c r="AQ80" i="12" a="1"/>
  <c r="AQ80" i="12" s="1"/>
  <c r="AD80" i="12" a="1"/>
  <c r="AD80" i="12" s="1"/>
  <c r="AJ80" i="12" a="1"/>
  <c r="AJ80" i="12" s="1"/>
  <c r="AR80" i="12" a="1"/>
  <c r="AR80" i="12" s="1"/>
  <c r="AU21" i="4" a="1"/>
  <c r="AU21" i="4" s="1"/>
  <c r="BB21" i="4" a="1"/>
  <c r="BB21" i="4" s="1"/>
  <c r="BI21" i="4" a="1"/>
  <c r="BI21" i="4" s="1"/>
  <c r="AV21" i="4" a="1"/>
  <c r="AV21" i="4" s="1"/>
  <c r="BC21" i="4" a="1"/>
  <c r="BC21" i="4" s="1"/>
  <c r="BJ21" i="4" a="1"/>
  <c r="BJ21" i="4" s="1"/>
  <c r="AW21" i="4" a="1"/>
  <c r="AW21" i="4" s="1"/>
  <c r="BK21" i="4" a="1"/>
  <c r="BK21" i="4" s="1"/>
  <c r="AR21" i="4" a="1"/>
  <c r="AR21" i="4" s="1"/>
  <c r="BF21" i="4" a="1"/>
  <c r="BF21" i="4" s="1"/>
  <c r="AT21" i="4" a="1"/>
  <c r="AT21" i="4" s="1"/>
  <c r="BH21" i="4" a="1"/>
  <c r="BH21" i="4" s="1"/>
  <c r="AX21" i="4" a="1"/>
  <c r="AX21" i="4" s="1"/>
  <c r="AY21" i="4" a="1"/>
  <c r="AY21" i="4" s="1"/>
  <c r="AZ21" i="4" a="1"/>
  <c r="AZ21" i="4" s="1"/>
  <c r="AP21" i="4" a="1"/>
  <c r="AP21" i="4" s="1"/>
  <c r="AQ21" i="4" a="1"/>
  <c r="AQ21" i="4" s="1"/>
  <c r="AS21" i="4" a="1"/>
  <c r="AS21" i="4" s="1"/>
  <c r="BA21" i="4" a="1"/>
  <c r="BA21" i="4" s="1"/>
  <c r="BD21" i="4" a="1"/>
  <c r="BD21" i="4" s="1"/>
  <c r="BE21" i="4" a="1"/>
  <c r="BE21" i="4" s="1"/>
  <c r="BG21" i="4" a="1"/>
  <c r="BG21" i="4" s="1"/>
  <c r="AB21" i="12" a="1"/>
  <c r="AB21" i="12" s="1"/>
  <c r="AI21" i="12" a="1"/>
  <c r="AI21" i="12" s="1"/>
  <c r="AP21" i="12" a="1"/>
  <c r="AP21" i="12" s="1"/>
  <c r="AW21" i="12" a="1"/>
  <c r="AW21" i="12" s="1"/>
  <c r="AC21" i="12" a="1"/>
  <c r="AC21" i="12" s="1"/>
  <c r="AJ21" i="12" a="1"/>
  <c r="AJ21" i="12" s="1"/>
  <c r="AQ21" i="12" a="1"/>
  <c r="AQ21" i="12" s="1"/>
  <c r="AD21" i="12" a="1"/>
  <c r="AD21" i="12" s="1"/>
  <c r="AK21" i="12" a="1"/>
  <c r="AK21" i="12" s="1"/>
  <c r="AR21" i="12" a="1"/>
  <c r="AR21" i="12" s="1"/>
  <c r="AG21" i="12" a="1"/>
  <c r="AG21" i="12" s="1"/>
  <c r="AN21" i="12" a="1"/>
  <c r="AN21" i="12" s="1"/>
  <c r="AO21" i="12" a="1"/>
  <c r="AO21" i="12" s="1"/>
  <c r="AE21" i="12" a="1"/>
  <c r="AE21" i="12" s="1"/>
  <c r="AS21" i="12" a="1"/>
  <c r="AS21" i="12" s="1"/>
  <c r="AM21" i="12" a="1"/>
  <c r="AM21" i="12" s="1"/>
  <c r="AF21" i="12" a="1"/>
  <c r="AF21" i="12" s="1"/>
  <c r="AV21" i="12" a="1"/>
  <c r="AV21" i="12" s="1"/>
  <c r="AH21" i="12" a="1"/>
  <c r="AH21" i="12" s="1"/>
  <c r="AL21" i="12" a="1"/>
  <c r="AL21" i="12" s="1"/>
  <c r="AT21" i="12" a="1"/>
  <c r="AT21" i="12" s="1"/>
  <c r="AU21" i="12" a="1"/>
  <c r="AU21" i="12" s="1"/>
  <c r="AT33" i="4" a="1"/>
  <c r="AT33" i="4" s="1"/>
  <c r="BB33" i="4" a="1"/>
  <c r="BB33" i="4" s="1"/>
  <c r="AW33" i="4" a="1"/>
  <c r="AW33" i="4" s="1"/>
  <c r="BE33" i="4" a="1"/>
  <c r="BE33" i="4" s="1"/>
  <c r="BK33" i="4" a="1"/>
  <c r="BK33" i="4" s="1"/>
  <c r="AY33" i="4" a="1"/>
  <c r="AY33" i="4" s="1"/>
  <c r="BH33" i="4" a="1"/>
  <c r="BH33" i="4" s="1"/>
  <c r="AP33" i="4" a="1"/>
  <c r="AP33" i="4" s="1"/>
  <c r="AZ33" i="4" a="1"/>
  <c r="AZ33" i="4" s="1"/>
  <c r="BI33" i="4" a="1"/>
  <c r="BI33" i="4" s="1"/>
  <c r="AQ33" i="4" a="1"/>
  <c r="AQ33" i="4" s="1"/>
  <c r="BA33" i="4" a="1"/>
  <c r="BA33" i="4" s="1"/>
  <c r="BJ33" i="4" a="1"/>
  <c r="BJ33" i="4" s="1"/>
  <c r="AX33" i="4" a="1"/>
  <c r="AX33" i="4" s="1"/>
  <c r="BC33" i="4" a="1"/>
  <c r="BC33" i="4" s="1"/>
  <c r="BD33" i="4" a="1"/>
  <c r="BD33" i="4" s="1"/>
  <c r="BF33" i="4" a="1"/>
  <c r="BF33" i="4" s="1"/>
  <c r="AR33" i="4" a="1"/>
  <c r="AR33" i="4" s="1"/>
  <c r="AS33" i="4" a="1"/>
  <c r="AS33" i="4" s="1"/>
  <c r="AU33" i="4" a="1"/>
  <c r="AU33" i="4" s="1"/>
  <c r="BG33" i="4" a="1"/>
  <c r="BG33" i="4" s="1"/>
  <c r="AV33" i="4" a="1"/>
  <c r="AV33" i="4" s="1"/>
  <c r="AG33" i="12" a="1"/>
  <c r="AG33" i="12" s="1"/>
  <c r="AN33" i="12" a="1"/>
  <c r="AN33" i="12" s="1"/>
  <c r="AV33" i="12" a="1"/>
  <c r="AV33" i="12" s="1"/>
  <c r="AE33" i="12" a="1"/>
  <c r="AE33" i="12" s="1"/>
  <c r="AL33" i="12" a="1"/>
  <c r="AL33" i="12" s="1"/>
  <c r="AU33" i="12" a="1"/>
  <c r="AU33" i="12" s="1"/>
  <c r="AF33" i="12" a="1"/>
  <c r="AF33" i="12" s="1"/>
  <c r="AM33" i="12" a="1"/>
  <c r="AM33" i="12" s="1"/>
  <c r="AO33" i="12" a="1"/>
  <c r="AO33" i="12" s="1"/>
  <c r="AW33" i="12" a="1"/>
  <c r="AW33" i="12" s="1"/>
  <c r="AD33" i="12" a="1"/>
  <c r="AD33" i="12" s="1"/>
  <c r="AK33" i="12" a="1"/>
  <c r="AK33" i="12" s="1"/>
  <c r="AP33" i="12" a="1"/>
  <c r="AP33" i="12" s="1"/>
  <c r="AJ33" i="12" a="1"/>
  <c r="AJ33" i="12" s="1"/>
  <c r="AC33" i="12" a="1"/>
  <c r="AC33" i="12" s="1"/>
  <c r="AH33" i="12" a="1"/>
  <c r="AH33" i="12" s="1"/>
  <c r="AQ33" i="12" a="1"/>
  <c r="AQ33" i="12" s="1"/>
  <c r="AB33" i="12" a="1"/>
  <c r="AB33" i="12" s="1"/>
  <c r="AR33" i="12" a="1"/>
  <c r="AR33" i="12" s="1"/>
  <c r="AS33" i="12" a="1"/>
  <c r="AS33" i="12" s="1"/>
  <c r="AT33" i="12" a="1"/>
  <c r="AT33" i="12" s="1"/>
  <c r="AI33" i="12" a="1"/>
  <c r="AI33" i="12" s="1"/>
  <c r="AW45" i="4" a="1"/>
  <c r="AW45" i="4" s="1"/>
  <c r="BC45" i="4" a="1"/>
  <c r="BC45" i="4" s="1"/>
  <c r="BJ45" i="4" a="1"/>
  <c r="BJ45" i="4" s="1"/>
  <c r="AP45" i="4" a="1"/>
  <c r="AP45" i="4" s="1"/>
  <c r="AQ45" i="4" a="1"/>
  <c r="AQ45" i="4" s="1"/>
  <c r="AR45" i="4" a="1"/>
  <c r="AR45" i="4" s="1"/>
  <c r="AZ45" i="4" a="1"/>
  <c r="AZ45" i="4" s="1"/>
  <c r="AS45" i="4" a="1"/>
  <c r="AS45" i="4" s="1"/>
  <c r="BA45" i="4" a="1"/>
  <c r="BA45" i="4" s="1"/>
  <c r="BH45" i="4" a="1"/>
  <c r="BH45" i="4" s="1"/>
  <c r="AT45" i="4" a="1"/>
  <c r="AT45" i="4" s="1"/>
  <c r="BI45" i="4" a="1"/>
  <c r="BI45" i="4" s="1"/>
  <c r="AU45" i="4" a="1"/>
  <c r="AU45" i="4" s="1"/>
  <c r="BB45" i="4" a="1"/>
  <c r="BB45" i="4" s="1"/>
  <c r="BD45" i="4" a="1"/>
  <c r="BD45" i="4" s="1"/>
  <c r="BE45" i="4" a="1"/>
  <c r="BE45" i="4" s="1"/>
  <c r="BF45" i="4" a="1"/>
  <c r="BF45" i="4" s="1"/>
  <c r="AX45" i="4" a="1"/>
  <c r="AX45" i="4" s="1"/>
  <c r="AY45" i="4" a="1"/>
  <c r="AY45" i="4" s="1"/>
  <c r="BG45" i="4" a="1"/>
  <c r="BG45" i="4" s="1"/>
  <c r="AV45" i="4" a="1"/>
  <c r="AV45" i="4" s="1"/>
  <c r="BK45" i="4" a="1"/>
  <c r="BK45" i="4" s="1"/>
  <c r="AH45" i="12" a="1"/>
  <c r="AH45" i="12" s="1"/>
  <c r="AO45" i="12" a="1"/>
  <c r="AO45" i="12" s="1"/>
  <c r="AV45" i="12" a="1"/>
  <c r="AV45" i="12" s="1"/>
  <c r="AB45" i="12" a="1"/>
  <c r="AB45" i="12" s="1"/>
  <c r="AI45" i="12" a="1"/>
  <c r="AI45" i="12" s="1"/>
  <c r="AP45" i="12" a="1"/>
  <c r="AP45" i="12" s="1"/>
  <c r="AW45" i="12" a="1"/>
  <c r="AW45" i="12" s="1"/>
  <c r="AC45" i="12" a="1"/>
  <c r="AC45" i="12" s="1"/>
  <c r="AJ45" i="12" a="1"/>
  <c r="AJ45" i="12" s="1"/>
  <c r="AQ45" i="12" a="1"/>
  <c r="AQ45" i="12" s="1"/>
  <c r="AG45" i="12" a="1"/>
  <c r="AG45" i="12" s="1"/>
  <c r="AN45" i="12" a="1"/>
  <c r="AN45" i="12" s="1"/>
  <c r="AK45" i="12" a="1"/>
  <c r="AK45" i="12" s="1"/>
  <c r="AL45" i="12" a="1"/>
  <c r="AL45" i="12" s="1"/>
  <c r="AD45" i="12" a="1"/>
  <c r="AD45" i="12" s="1"/>
  <c r="AR45" i="12" a="1"/>
  <c r="AR45" i="12" s="1"/>
  <c r="AE45" i="12" a="1"/>
  <c r="AE45" i="12" s="1"/>
  <c r="AS45" i="12" a="1"/>
  <c r="AS45" i="12" s="1"/>
  <c r="AU45" i="12" a="1"/>
  <c r="AU45" i="12" s="1"/>
  <c r="AM45" i="12" a="1"/>
  <c r="AM45" i="12" s="1"/>
  <c r="AF45" i="12" a="1"/>
  <c r="AF45" i="12" s="1"/>
  <c r="AT45" i="12" a="1"/>
  <c r="AT45" i="12" s="1"/>
  <c r="AQ61" i="4" a="1"/>
  <c r="AQ61" i="4" s="1"/>
  <c r="BJ61" i="4" a="1"/>
  <c r="BJ61" i="4" s="1"/>
  <c r="AW61" i="4" a="1"/>
  <c r="AW61" i="4" s="1"/>
  <c r="BC61" i="4" a="1"/>
  <c r="BC61" i="4" s="1"/>
  <c r="AR61" i="4" a="1"/>
  <c r="AR61" i="4" s="1"/>
  <c r="AX61" i="4" a="1"/>
  <c r="AX61" i="4" s="1"/>
  <c r="BD61" i="4" a="1"/>
  <c r="BD61" i="4" s="1"/>
  <c r="BK61" i="4" a="1"/>
  <c r="BK61" i="4" s="1"/>
  <c r="BG61" i="4" a="1"/>
  <c r="BG61" i="4" s="1"/>
  <c r="BA61" i="4" a="1"/>
  <c r="BA61" i="4" s="1"/>
  <c r="AP61" i="4" a="1"/>
  <c r="AP61" i="4" s="1"/>
  <c r="BB61" i="4" a="1"/>
  <c r="BB61" i="4" s="1"/>
  <c r="AS61" i="4" a="1"/>
  <c r="AS61" i="4" s="1"/>
  <c r="BE61" i="4" a="1"/>
  <c r="BE61" i="4" s="1"/>
  <c r="AY61" i="4" a="1"/>
  <c r="AY61" i="4" s="1"/>
  <c r="AV61" i="4" a="1"/>
  <c r="AV61" i="4" s="1"/>
  <c r="AZ61" i="4" a="1"/>
  <c r="AZ61" i="4" s="1"/>
  <c r="BF61" i="4" a="1"/>
  <c r="BF61" i="4" s="1"/>
  <c r="AU61" i="4" a="1"/>
  <c r="AU61" i="4" s="1"/>
  <c r="AB61" i="12" a="1"/>
  <c r="AB61" i="12" s="1"/>
  <c r="AI61" i="12" a="1"/>
  <c r="AI61" i="12" s="1"/>
  <c r="AP61" i="12" a="1"/>
  <c r="AP61" i="12" s="1"/>
  <c r="AC61" i="12" a="1"/>
  <c r="AC61" i="12" s="1"/>
  <c r="AJ61" i="12" a="1"/>
  <c r="AJ61" i="12" s="1"/>
  <c r="AQ61" i="12" a="1"/>
  <c r="AQ61" i="12" s="1"/>
  <c r="AW61" i="12" a="1"/>
  <c r="AW61" i="12" s="1"/>
  <c r="AD61" i="12" a="1"/>
  <c r="AD61" i="12" s="1"/>
  <c r="AR61" i="12" a="1"/>
  <c r="AR61" i="12" s="1"/>
  <c r="AT61" i="4" a="1"/>
  <c r="AT61" i="4" s="1"/>
  <c r="BH61" i="4" a="1"/>
  <c r="BH61" i="4" s="1"/>
  <c r="AH61" i="12" a="1"/>
  <c r="AH61" i="12" s="1"/>
  <c r="AO61" i="12" a="1"/>
  <c r="AO61" i="12" s="1"/>
  <c r="AV61" i="12" a="1"/>
  <c r="AV61" i="12" s="1"/>
  <c r="AL61" i="12" a="1"/>
  <c r="AL61" i="12" s="1"/>
  <c r="AM61" i="12" a="1"/>
  <c r="AM61" i="12" s="1"/>
  <c r="AE61" i="12" a="1"/>
  <c r="AE61" i="12" s="1"/>
  <c r="AS61" i="12" a="1"/>
  <c r="AS61" i="12" s="1"/>
  <c r="AK61" i="12" a="1"/>
  <c r="AK61" i="12" s="1"/>
  <c r="AU61" i="12" a="1"/>
  <c r="AU61" i="12" s="1"/>
  <c r="BI61" i="4" a="1"/>
  <c r="BI61" i="4" s="1"/>
  <c r="AF61" i="12" a="1"/>
  <c r="AF61" i="12" s="1"/>
  <c r="AN61" i="12" a="1"/>
  <c r="AN61" i="12" s="1"/>
  <c r="AT61" i="12" a="1"/>
  <c r="AT61" i="12" s="1"/>
  <c r="AG61" i="12" a="1"/>
  <c r="AG61" i="12" s="1"/>
  <c r="AU77" i="4" a="1"/>
  <c r="AU77" i="4" s="1"/>
  <c r="BA77" i="4" a="1"/>
  <c r="BA77" i="4" s="1"/>
  <c r="BB77" i="4" a="1"/>
  <c r="BB77" i="4" s="1"/>
  <c r="BG77" i="4" a="1"/>
  <c r="BG77" i="4" s="1"/>
  <c r="AP77" i="4" a="1"/>
  <c r="AP77" i="4" s="1"/>
  <c r="AV77" i="4" a="1"/>
  <c r="AV77" i="4" s="1"/>
  <c r="BC77" i="4" a="1"/>
  <c r="BC77" i="4" s="1"/>
  <c r="BH77" i="4" a="1"/>
  <c r="BH77" i="4" s="1"/>
  <c r="BE77" i="4" a="1"/>
  <c r="BE77" i="4" s="1"/>
  <c r="AW77" i="4" a="1"/>
  <c r="AW77" i="4" s="1"/>
  <c r="BF77" i="4" a="1"/>
  <c r="BF77" i="4" s="1"/>
  <c r="AX77" i="4" a="1"/>
  <c r="AX77" i="4" s="1"/>
  <c r="BI77" i="4" a="1"/>
  <c r="BI77" i="4" s="1"/>
  <c r="AT77" i="4" a="1"/>
  <c r="AT77" i="4" s="1"/>
  <c r="BD77" i="4" a="1"/>
  <c r="BD77" i="4" s="1"/>
  <c r="AS77" i="4" a="1"/>
  <c r="AS77" i="4" s="1"/>
  <c r="AY77" i="4" a="1"/>
  <c r="AY77" i="4" s="1"/>
  <c r="AR77" i="4" a="1"/>
  <c r="AR77" i="4" s="1"/>
  <c r="BK77" i="4" a="1"/>
  <c r="BK77" i="4" s="1"/>
  <c r="AQ77" i="4" a="1"/>
  <c r="AQ77" i="4" s="1"/>
  <c r="AZ77" i="4" a="1"/>
  <c r="AZ77" i="4" s="1"/>
  <c r="BJ77" i="4" a="1"/>
  <c r="BJ77" i="4" s="1"/>
  <c r="AF77" i="12" a="1"/>
  <c r="AF77" i="12" s="1"/>
  <c r="AL77" i="12" a="1"/>
  <c r="AL77" i="12" s="1"/>
  <c r="AS77" i="12" a="1"/>
  <c r="AS77" i="12" s="1"/>
  <c r="AG77" i="12" a="1"/>
  <c r="AG77" i="12" s="1"/>
  <c r="AM77" i="12" a="1"/>
  <c r="AM77" i="12" s="1"/>
  <c r="AT77" i="12" a="1"/>
  <c r="AT77" i="12" s="1"/>
  <c r="AC77" i="12" a="1"/>
  <c r="AC77" i="12" s="1"/>
  <c r="AK77" i="12" a="1"/>
  <c r="AK77" i="12" s="1"/>
  <c r="AU77" i="12" a="1"/>
  <c r="AU77" i="12" s="1"/>
  <c r="AI77" i="12" a="1"/>
  <c r="AI77" i="12" s="1"/>
  <c r="AV77" i="12" a="1"/>
  <c r="AV77" i="12" s="1"/>
  <c r="AO77" i="12" a="1"/>
  <c r="AO77" i="12" s="1"/>
  <c r="AH77" i="12" a="1"/>
  <c r="AH77" i="12" s="1"/>
  <c r="AD77" i="12" a="1"/>
  <c r="AD77" i="12" s="1"/>
  <c r="AN77" i="12" a="1"/>
  <c r="AN77" i="12" s="1"/>
  <c r="AW77" i="12" a="1"/>
  <c r="AW77" i="12" s="1"/>
  <c r="AE77" i="12" a="1"/>
  <c r="AE77" i="12" s="1"/>
  <c r="AP77" i="12" a="1"/>
  <c r="AP77" i="12" s="1"/>
  <c r="AQ77" i="12" a="1"/>
  <c r="AQ77" i="12" s="1"/>
  <c r="AJ77" i="12" a="1"/>
  <c r="AJ77" i="12" s="1"/>
  <c r="AB77" i="12" a="1"/>
  <c r="AB77" i="12" s="1"/>
  <c r="AR77" i="12" a="1"/>
  <c r="AR77" i="12" s="1"/>
  <c r="AS18" i="4" a="1"/>
  <c r="AS18" i="4" s="1"/>
  <c r="AZ18" i="4" a="1"/>
  <c r="AZ18" i="4" s="1"/>
  <c r="BH18" i="4" a="1"/>
  <c r="BH18" i="4" s="1"/>
  <c r="BA18" i="4" a="1"/>
  <c r="BA18" i="4" s="1"/>
  <c r="BI18" i="4" a="1"/>
  <c r="BI18" i="4" s="1"/>
  <c r="AT18" i="4" a="1"/>
  <c r="AT18" i="4" s="1"/>
  <c r="BB18" i="4" a="1"/>
  <c r="BB18" i="4" s="1"/>
  <c r="BJ18" i="4" a="1"/>
  <c r="BJ18" i="4" s="1"/>
  <c r="AP18" i="4" a="1"/>
  <c r="AP18" i="4" s="1"/>
  <c r="AW18" i="4" a="1"/>
  <c r="AW18" i="4" s="1"/>
  <c r="BE18" i="4" a="1"/>
  <c r="BE18" i="4" s="1"/>
  <c r="AY18" i="4" a="1"/>
  <c r="AY18" i="4" s="1"/>
  <c r="BC18" i="4" a="1"/>
  <c r="BC18" i="4" s="1"/>
  <c r="BD18" i="4" a="1"/>
  <c r="BD18" i="4" s="1"/>
  <c r="AQ18" i="4" a="1"/>
  <c r="AQ18" i="4" s="1"/>
  <c r="BF18" i="4" a="1"/>
  <c r="BF18" i="4" s="1"/>
  <c r="AR18" i="4" a="1"/>
  <c r="AR18" i="4" s="1"/>
  <c r="AU18" i="4" a="1"/>
  <c r="AU18" i="4" s="1"/>
  <c r="AV18" i="4" a="1"/>
  <c r="AV18" i="4" s="1"/>
  <c r="AX18" i="4" a="1"/>
  <c r="AX18" i="4" s="1"/>
  <c r="BG18" i="4" a="1"/>
  <c r="BG18" i="4" s="1"/>
  <c r="BK18" i="4" a="1"/>
  <c r="BK18" i="4" s="1"/>
  <c r="AE18" i="12" a="1"/>
  <c r="AE18" i="12" s="1"/>
  <c r="AL18" i="12" a="1"/>
  <c r="AL18" i="12" s="1"/>
  <c r="AT18" i="12" a="1"/>
  <c r="AT18" i="12" s="1"/>
  <c r="AF18" i="12" a="1"/>
  <c r="AF18" i="12" s="1"/>
  <c r="AM18" i="12" a="1"/>
  <c r="AM18" i="12" s="1"/>
  <c r="AU18" i="12" a="1"/>
  <c r="AU18" i="12" s="1"/>
  <c r="AG18" i="12" a="1"/>
  <c r="AG18" i="12" s="1"/>
  <c r="AN18" i="12" a="1"/>
  <c r="AN18" i="12" s="1"/>
  <c r="AV18" i="12" a="1"/>
  <c r="AV18" i="12" s="1"/>
  <c r="AC18" i="12" a="1"/>
  <c r="AC18" i="12" s="1"/>
  <c r="AJ18" i="12" a="1"/>
  <c r="AJ18" i="12" s="1"/>
  <c r="AR18" i="12" a="1"/>
  <c r="AR18" i="12" s="1"/>
  <c r="AI18" i="12" a="1"/>
  <c r="AI18" i="12" s="1"/>
  <c r="AK18" i="12" a="1"/>
  <c r="AK18" i="12" s="1"/>
  <c r="AO18" i="12" a="1"/>
  <c r="AO18" i="12" s="1"/>
  <c r="AH18" i="12" a="1"/>
  <c r="AH18" i="12" s="1"/>
  <c r="AP18" i="12" a="1"/>
  <c r="AP18" i="12" s="1"/>
  <c r="AQ18" i="12" a="1"/>
  <c r="AQ18" i="12" s="1"/>
  <c r="AD18" i="12" a="1"/>
  <c r="AD18" i="12" s="1"/>
  <c r="AS18" i="12" a="1"/>
  <c r="AS18" i="12" s="1"/>
  <c r="AW18" i="12" a="1"/>
  <c r="AW18" i="12" s="1"/>
  <c r="AB18" i="12" a="1"/>
  <c r="AB18" i="12" s="1"/>
  <c r="AT28" i="4" a="1"/>
  <c r="AT28" i="4" s="1"/>
  <c r="BA28" i="4" a="1"/>
  <c r="BA28" i="4" s="1"/>
  <c r="BH28" i="4" a="1"/>
  <c r="BH28" i="4" s="1"/>
  <c r="AP28" i="4" a="1"/>
  <c r="AP28" i="4" s="1"/>
  <c r="AW28" i="4" a="1"/>
  <c r="AW28" i="4" s="1"/>
  <c r="BK28" i="4" a="1"/>
  <c r="BK28" i="4" s="1"/>
  <c r="AV28" i="4" a="1"/>
  <c r="AV28" i="4" s="1"/>
  <c r="BE28" i="4" a="1"/>
  <c r="BE28" i="4" s="1"/>
  <c r="AX28" i="4" a="1"/>
  <c r="AX28" i="4" s="1"/>
  <c r="BF28" i="4" a="1"/>
  <c r="BF28" i="4" s="1"/>
  <c r="AY28" i="4" a="1"/>
  <c r="AY28" i="4" s="1"/>
  <c r="BG28" i="4" a="1"/>
  <c r="BG28" i="4" s="1"/>
  <c r="AQ28" i="4" a="1"/>
  <c r="AQ28" i="4" s="1"/>
  <c r="AZ28" i="4" a="1"/>
  <c r="AZ28" i="4" s="1"/>
  <c r="BB28" i="4" a="1"/>
  <c r="BB28" i="4" s="1"/>
  <c r="BC28" i="4" a="1"/>
  <c r="BC28" i="4" s="1"/>
  <c r="AR28" i="4" a="1"/>
  <c r="AR28" i="4" s="1"/>
  <c r="AS28" i="4" a="1"/>
  <c r="AS28" i="4" s="1"/>
  <c r="BI28" i="4" a="1"/>
  <c r="BI28" i="4" s="1"/>
  <c r="AB28" i="12" a="1"/>
  <c r="AB28" i="12" s="1"/>
  <c r="AQ28" i="12" a="1"/>
  <c r="AQ28" i="12" s="1"/>
  <c r="AV28" i="12" a="1"/>
  <c r="AV28" i="12" s="1"/>
  <c r="AC28" i="12" a="1"/>
  <c r="AC28" i="12" s="1"/>
  <c r="AH28" i="12" a="1"/>
  <c r="AH28" i="12" s="1"/>
  <c r="AM28" i="12" a="1"/>
  <c r="AM28" i="12" s="1"/>
  <c r="AR28" i="12" a="1"/>
  <c r="AR28" i="12" s="1"/>
  <c r="AW28" i="12" a="1"/>
  <c r="AW28" i="12" s="1"/>
  <c r="AU28" i="4" a="1"/>
  <c r="AU28" i="4" s="1"/>
  <c r="AS28" i="12" a="1"/>
  <c r="AS28" i="12" s="1"/>
  <c r="BD28" i="4" a="1"/>
  <c r="BD28" i="4" s="1"/>
  <c r="AE28" i="12" a="1"/>
  <c r="AE28" i="12" s="1"/>
  <c r="AN28" i="12" a="1"/>
  <c r="AN28" i="12" s="1"/>
  <c r="AU28" i="12" a="1"/>
  <c r="AU28" i="12" s="1"/>
  <c r="AF28" i="12" a="1"/>
  <c r="AF28" i="12" s="1"/>
  <c r="AO28" i="12" a="1"/>
  <c r="AO28" i="12" s="1"/>
  <c r="AG28" i="12" a="1"/>
  <c r="AG28" i="12" s="1"/>
  <c r="AL28" i="12" a="1"/>
  <c r="AL28" i="12" s="1"/>
  <c r="AP28" i="12" a="1"/>
  <c r="AP28" i="12" s="1"/>
  <c r="BJ28" i="4" a="1"/>
  <c r="BJ28" i="4" s="1"/>
  <c r="AK28" i="12" a="1"/>
  <c r="AK28" i="12" s="1"/>
  <c r="AT28" i="12" a="1"/>
  <c r="AT28" i="12" s="1"/>
  <c r="AD28" i="12" a="1"/>
  <c r="AD28" i="12" s="1"/>
  <c r="AI28" i="12" a="1"/>
  <c r="AI28" i="12" s="1"/>
  <c r="AJ28" i="12" a="1"/>
  <c r="AJ28" i="12" s="1"/>
  <c r="AU48" i="4" a="1"/>
  <c r="AU48" i="4" s="1"/>
  <c r="AQ48" i="4" a="1"/>
  <c r="AQ48" i="4" s="1"/>
  <c r="AY48" i="4" a="1"/>
  <c r="AY48" i="4" s="1"/>
  <c r="BG48" i="4" a="1"/>
  <c r="BG48" i="4" s="1"/>
  <c r="AR48" i="4" a="1"/>
  <c r="AR48" i="4" s="1"/>
  <c r="AZ48" i="4" a="1"/>
  <c r="AZ48" i="4" s="1"/>
  <c r="BH48" i="4" a="1"/>
  <c r="BH48" i="4" s="1"/>
  <c r="AS48" i="4" a="1"/>
  <c r="AS48" i="4" s="1"/>
  <c r="BA48" i="4" a="1"/>
  <c r="BA48" i="4" s="1"/>
  <c r="BI48" i="4" a="1"/>
  <c r="BI48" i="4" s="1"/>
  <c r="BC48" i="4" a="1"/>
  <c r="BC48" i="4" s="1"/>
  <c r="AP48" i="4" a="1"/>
  <c r="AP48" i="4" s="1"/>
  <c r="BD48" i="4" a="1"/>
  <c r="BD48" i="4" s="1"/>
  <c r="AT48" i="4" a="1"/>
  <c r="AT48" i="4" s="1"/>
  <c r="BE48" i="4" a="1"/>
  <c r="BE48" i="4" s="1"/>
  <c r="BK48" i="4" a="1"/>
  <c r="BK48" i="4" s="1"/>
  <c r="AV48" i="4" a="1"/>
  <c r="AV48" i="4" s="1"/>
  <c r="BF48" i="4" a="1"/>
  <c r="BF48" i="4" s="1"/>
  <c r="AW48" i="4" a="1"/>
  <c r="AW48" i="4" s="1"/>
  <c r="AX48" i="4" a="1"/>
  <c r="AX48" i="4" s="1"/>
  <c r="BJ48" i="4" a="1"/>
  <c r="BJ48" i="4" s="1"/>
  <c r="AJ48" i="12" a="1"/>
  <c r="AJ48" i="12" s="1"/>
  <c r="AR48" i="12" a="1"/>
  <c r="AR48" i="12" s="1"/>
  <c r="AD48" i="12" a="1"/>
  <c r="AD48" i="12" s="1"/>
  <c r="AK48" i="12" a="1"/>
  <c r="AK48" i="12" s="1"/>
  <c r="AS48" i="12" a="1"/>
  <c r="AS48" i="12" s="1"/>
  <c r="AE48" i="12" a="1"/>
  <c r="AE48" i="12" s="1"/>
  <c r="AL48" i="12" a="1"/>
  <c r="AL48" i="12" s="1"/>
  <c r="BB48" i="4" a="1"/>
  <c r="BB48" i="4" s="1"/>
  <c r="AC48" i="12" a="1"/>
  <c r="AC48" i="12" s="1"/>
  <c r="AI48" i="12" a="1"/>
  <c r="AI48" i="12" s="1"/>
  <c r="AQ48" i="12" a="1"/>
  <c r="AQ48" i="12" s="1"/>
  <c r="AW48" i="12" a="1"/>
  <c r="AW48" i="12" s="1"/>
  <c r="AN48" i="12" a="1"/>
  <c r="AN48" i="12" s="1"/>
  <c r="AO48" i="12" a="1"/>
  <c r="AO48" i="12" s="1"/>
  <c r="AF48" i="12" a="1"/>
  <c r="AF48" i="12" s="1"/>
  <c r="AT48" i="12" a="1"/>
  <c r="AT48" i="12" s="1"/>
  <c r="AM48" i="12" a="1"/>
  <c r="AM48" i="12" s="1"/>
  <c r="AU48" i="12" a="1"/>
  <c r="AU48" i="12" s="1"/>
  <c r="AB48" i="12" a="1"/>
  <c r="AB48" i="12" s="1"/>
  <c r="AV48" i="12" a="1"/>
  <c r="AV48" i="12" s="1"/>
  <c r="AG48" i="12" a="1"/>
  <c r="AG48" i="12" s="1"/>
  <c r="AH48" i="12" a="1"/>
  <c r="AH48" i="12" s="1"/>
  <c r="AP48" i="12" a="1"/>
  <c r="AP48" i="12" s="1"/>
  <c r="AS64" i="4" a="1"/>
  <c r="AS64" i="4" s="1"/>
  <c r="BD64" i="4" a="1"/>
  <c r="BD64" i="4" s="1"/>
  <c r="BJ64" i="4" a="1"/>
  <c r="BJ64" i="4" s="1"/>
  <c r="AY64" i="4" a="1"/>
  <c r="AY64" i="4" s="1"/>
  <c r="BE64" i="4" a="1"/>
  <c r="BE64" i="4" s="1"/>
  <c r="BK64" i="4" a="1"/>
  <c r="BK64" i="4" s="1"/>
  <c r="AT64" i="4" a="1"/>
  <c r="AT64" i="4" s="1"/>
  <c r="AZ64" i="4" a="1"/>
  <c r="AZ64" i="4" s="1"/>
  <c r="BF64" i="4" a="1"/>
  <c r="BF64" i="4" s="1"/>
  <c r="AQ64" i="4" a="1"/>
  <c r="AQ64" i="4" s="1"/>
  <c r="AV64" i="4" a="1"/>
  <c r="AV64" i="4" s="1"/>
  <c r="BB64" i="4" a="1"/>
  <c r="BB64" i="4" s="1"/>
  <c r="BH64" i="4" a="1"/>
  <c r="BH64" i="4" s="1"/>
  <c r="AW64" i="4" a="1"/>
  <c r="AW64" i="4" s="1"/>
  <c r="AX64" i="4" a="1"/>
  <c r="AX64" i="4" s="1"/>
  <c r="BI64" i="4" a="1"/>
  <c r="BI64" i="4" s="1"/>
  <c r="BA64" i="4" a="1"/>
  <c r="BA64" i="4" s="1"/>
  <c r="BC64" i="4" a="1"/>
  <c r="BC64" i="4" s="1"/>
  <c r="BG64" i="4" a="1"/>
  <c r="BG64" i="4" s="1"/>
  <c r="AP64" i="4" a="1"/>
  <c r="AP64" i="4" s="1"/>
  <c r="AB64" i="12" a="1"/>
  <c r="AB64" i="12" s="1"/>
  <c r="AN64" i="12" a="1"/>
  <c r="AN64" i="12" s="1"/>
  <c r="AS64" i="12" a="1"/>
  <c r="AS64" i="12" s="1"/>
  <c r="AC64" i="12" a="1"/>
  <c r="AC64" i="12" s="1"/>
  <c r="AH64" i="12" a="1"/>
  <c r="AH64" i="12" s="1"/>
  <c r="AT64" i="12" a="1"/>
  <c r="AT64" i="12" s="1"/>
  <c r="AD64" i="12" a="1"/>
  <c r="AD64" i="12" s="1"/>
  <c r="AI64" i="12" a="1"/>
  <c r="AI64" i="12" s="1"/>
  <c r="AO64" i="12" a="1"/>
  <c r="AO64" i="12" s="1"/>
  <c r="AU64" i="12" a="1"/>
  <c r="AU64" i="12" s="1"/>
  <c r="AR64" i="4" a="1"/>
  <c r="AR64" i="4" s="1"/>
  <c r="AU64" i="4" a="1"/>
  <c r="AU64" i="4" s="1"/>
  <c r="AG64" i="12" a="1"/>
  <c r="AG64" i="12" s="1"/>
  <c r="AK64" i="12" a="1"/>
  <c r="AK64" i="12" s="1"/>
  <c r="AV64" i="12" a="1"/>
  <c r="AV64" i="12" s="1"/>
  <c r="AL64" i="12" a="1"/>
  <c r="AL64" i="12" s="1"/>
  <c r="AP64" i="12" a="1"/>
  <c r="AP64" i="12" s="1"/>
  <c r="AJ64" i="12" a="1"/>
  <c r="AJ64" i="12" s="1"/>
  <c r="AQ64" i="12" a="1"/>
  <c r="AQ64" i="12" s="1"/>
  <c r="AW64" i="12" a="1"/>
  <c r="AW64" i="12" s="1"/>
  <c r="AF64" i="12" a="1"/>
  <c r="AF64" i="12" s="1"/>
  <c r="AR64" i="12" a="1"/>
  <c r="AR64" i="12" s="1"/>
  <c r="AE64" i="12" a="1"/>
  <c r="AE64" i="12" s="1"/>
  <c r="AM64" i="12" a="1"/>
  <c r="AM64" i="12" s="1"/>
  <c r="AY76" i="4" a="1"/>
  <c r="AY76" i="4" s="1"/>
  <c r="BE76" i="4" a="1"/>
  <c r="BE76" i="4" s="1"/>
  <c r="AT76" i="4" a="1"/>
  <c r="AT76" i="4" s="1"/>
  <c r="AZ76" i="4" a="1"/>
  <c r="AZ76" i="4" s="1"/>
  <c r="BF76" i="4" a="1"/>
  <c r="BF76" i="4" s="1"/>
  <c r="BK76" i="4" a="1"/>
  <c r="BK76" i="4" s="1"/>
  <c r="BG76" i="4" a="1"/>
  <c r="BG76" i="4" s="1"/>
  <c r="AQ76" i="4" a="1"/>
  <c r="AQ76" i="4" s="1"/>
  <c r="BI76" i="4" a="1"/>
  <c r="BI76" i="4" s="1"/>
  <c r="AR76" i="4" a="1"/>
  <c r="AR76" i="4" s="1"/>
  <c r="BA76" i="4" a="1"/>
  <c r="BA76" i="4" s="1"/>
  <c r="BB76" i="4" a="1"/>
  <c r="BB76" i="4" s="1"/>
  <c r="BJ76" i="4" a="1"/>
  <c r="BJ76" i="4" s="1"/>
  <c r="AW76" i="4" a="1"/>
  <c r="AW76" i="4" s="1"/>
  <c r="BH76" i="4" a="1"/>
  <c r="BH76" i="4" s="1"/>
  <c r="AV76" i="4" a="1"/>
  <c r="AV76" i="4" s="1"/>
  <c r="AX76" i="4" a="1"/>
  <c r="AX76" i="4" s="1"/>
  <c r="BC76" i="4" a="1"/>
  <c r="BC76" i="4" s="1"/>
  <c r="AU76" i="4" a="1"/>
  <c r="AU76" i="4" s="1"/>
  <c r="AP76" i="4" a="1"/>
  <c r="AP76" i="4" s="1"/>
  <c r="AS76" i="4" a="1"/>
  <c r="AS76" i="4" s="1"/>
  <c r="BD76" i="4" a="1"/>
  <c r="BD76" i="4" s="1"/>
  <c r="AC76" i="12" a="1"/>
  <c r="AC76" i="12" s="1"/>
  <c r="AJ76" i="12" a="1"/>
  <c r="AJ76" i="12" s="1"/>
  <c r="AW76" i="12" a="1"/>
  <c r="AW76" i="12" s="1"/>
  <c r="AD76" i="12" a="1"/>
  <c r="AD76" i="12" s="1"/>
  <c r="AK76" i="12" a="1"/>
  <c r="AK76" i="12" s="1"/>
  <c r="AQ76" i="12" a="1"/>
  <c r="AQ76" i="12" s="1"/>
  <c r="AH76" i="12" a="1"/>
  <c r="AH76" i="12" s="1"/>
  <c r="AM76" i="12" a="1"/>
  <c r="AM76" i="12" s="1"/>
  <c r="AU76" i="12" a="1"/>
  <c r="AU76" i="12" s="1"/>
  <c r="AF76" i="12" a="1"/>
  <c r="AF76" i="12" s="1"/>
  <c r="AI76" i="12" a="1"/>
  <c r="AI76" i="12" s="1"/>
  <c r="AR76" i="12" a="1"/>
  <c r="AR76" i="12" s="1"/>
  <c r="AT76" i="12" a="1"/>
  <c r="AT76" i="12" s="1"/>
  <c r="AO76" i="12" a="1"/>
  <c r="AO76" i="12" s="1"/>
  <c r="AG76" i="12" a="1"/>
  <c r="AG76" i="12" s="1"/>
  <c r="AL76" i="12" a="1"/>
  <c r="AL76" i="12" s="1"/>
  <c r="AS76" i="12" a="1"/>
  <c r="AS76" i="12" s="1"/>
  <c r="AB76" i="12" a="1"/>
  <c r="AB76" i="12" s="1"/>
  <c r="AN76" i="12" a="1"/>
  <c r="AN76" i="12" s="1"/>
  <c r="AV76" i="12" a="1"/>
  <c r="AV76" i="12" s="1"/>
  <c r="AE76" i="12" a="1"/>
  <c r="AE76" i="12" s="1"/>
  <c r="AP76" i="12" a="1"/>
  <c r="AP76" i="12" s="1"/>
  <c r="AP25" i="4" a="1"/>
  <c r="AP25" i="4" s="1"/>
  <c r="AW25" i="4" a="1"/>
  <c r="AW25" i="4" s="1"/>
  <c r="AQ25" i="4" a="1"/>
  <c r="AQ25" i="4" s="1"/>
  <c r="AX25" i="4" a="1"/>
  <c r="AX25" i="4" s="1"/>
  <c r="BD25" i="4" a="1"/>
  <c r="BD25" i="4" s="1"/>
  <c r="BJ25" i="4" a="1"/>
  <c r="BJ25" i="4" s="1"/>
  <c r="AS25" i="4" a="1"/>
  <c r="AS25" i="4" s="1"/>
  <c r="AZ25" i="4" a="1"/>
  <c r="AZ25" i="4" s="1"/>
  <c r="BF25" i="4" a="1"/>
  <c r="BF25" i="4" s="1"/>
  <c r="AT25" i="4" a="1"/>
  <c r="AT25" i="4" s="1"/>
  <c r="BE25" i="4" a="1"/>
  <c r="BE25" i="4" s="1"/>
  <c r="AU25" i="4" a="1"/>
  <c r="AU25" i="4" s="1"/>
  <c r="AV25" i="4" a="1"/>
  <c r="AV25" i="4" s="1"/>
  <c r="BG25" i="4" a="1"/>
  <c r="BG25" i="4" s="1"/>
  <c r="AY25" i="4" a="1"/>
  <c r="AY25" i="4" s="1"/>
  <c r="BH25" i="4" a="1"/>
  <c r="BH25" i="4" s="1"/>
  <c r="BI25" i="4" a="1"/>
  <c r="BI25" i="4" s="1"/>
  <c r="BK25" i="4" a="1"/>
  <c r="BK25" i="4" s="1"/>
  <c r="AR25" i="4" a="1"/>
  <c r="AR25" i="4" s="1"/>
  <c r="BA25" i="4" a="1"/>
  <c r="BA25" i="4" s="1"/>
  <c r="AC25" i="12" a="1"/>
  <c r="AC25" i="12" s="1"/>
  <c r="AJ25" i="12" a="1"/>
  <c r="AJ25" i="12" s="1"/>
  <c r="AQ25" i="12" a="1"/>
  <c r="AQ25" i="12" s="1"/>
  <c r="AD25" i="12" a="1"/>
  <c r="AD25" i="12" s="1"/>
  <c r="AK25" i="12" a="1"/>
  <c r="AK25" i="12" s="1"/>
  <c r="AR25" i="12" a="1"/>
  <c r="AR25" i="12" s="1"/>
  <c r="AW25" i="12" a="1"/>
  <c r="AW25" i="12" s="1"/>
  <c r="AE25" i="12" a="1"/>
  <c r="AE25" i="12" s="1"/>
  <c r="AL25" i="12" a="1"/>
  <c r="AL25" i="12" s="1"/>
  <c r="BC25" i="4" a="1"/>
  <c r="BC25" i="4" s="1"/>
  <c r="AH25" i="12" a="1"/>
  <c r="AH25" i="12" s="1"/>
  <c r="AO25" i="12" a="1"/>
  <c r="AO25" i="12" s="1"/>
  <c r="AN25" i="12" a="1"/>
  <c r="AN25" i="12" s="1"/>
  <c r="AB25" i="12" a="1"/>
  <c r="AB25" i="12" s="1"/>
  <c r="AP25" i="12" a="1"/>
  <c r="AP25" i="12" s="1"/>
  <c r="AF25" i="12" a="1"/>
  <c r="AF25" i="12" s="1"/>
  <c r="AS25" i="12" a="1"/>
  <c r="AS25" i="12" s="1"/>
  <c r="BB25" i="4" a="1"/>
  <c r="BB25" i="4" s="1"/>
  <c r="AM25" i="12" a="1"/>
  <c r="AM25" i="12" s="1"/>
  <c r="AT25" i="12" a="1"/>
  <c r="AT25" i="12" s="1"/>
  <c r="AU25" i="12" a="1"/>
  <c r="AU25" i="12" s="1"/>
  <c r="AI25" i="12" a="1"/>
  <c r="AI25" i="12" s="1"/>
  <c r="AG25" i="12" a="1"/>
  <c r="AG25" i="12" s="1"/>
  <c r="AV25" i="12" a="1"/>
  <c r="AV25" i="12" s="1"/>
  <c r="AV37" i="4" a="1"/>
  <c r="AV37" i="4" s="1"/>
  <c r="BD37" i="4" a="1"/>
  <c r="BD37" i="4" s="1"/>
  <c r="AU37" i="4" a="1"/>
  <c r="AU37" i="4" s="1"/>
  <c r="BE37" i="4" a="1"/>
  <c r="BE37" i="4" s="1"/>
  <c r="AW37" i="4" a="1"/>
  <c r="AW37" i="4" s="1"/>
  <c r="BF37" i="4" a="1"/>
  <c r="BF37" i="4" s="1"/>
  <c r="AP37" i="4" a="1"/>
  <c r="AP37" i="4" s="1"/>
  <c r="AX37" i="4" a="1"/>
  <c r="AX37" i="4" s="1"/>
  <c r="BG37" i="4" a="1"/>
  <c r="BG37" i="4" s="1"/>
  <c r="AY37" i="4" a="1"/>
  <c r="AY37" i="4" s="1"/>
  <c r="BJ37" i="4" a="1"/>
  <c r="BJ37" i="4" s="1"/>
  <c r="AZ37" i="4" a="1"/>
  <c r="AZ37" i="4" s="1"/>
  <c r="BK37" i="4" a="1"/>
  <c r="BK37" i="4" s="1"/>
  <c r="BA37" i="4" a="1"/>
  <c r="BA37" i="4" s="1"/>
  <c r="AQ37" i="4" a="1"/>
  <c r="AQ37" i="4" s="1"/>
  <c r="BB37" i="4" a="1"/>
  <c r="BB37" i="4" s="1"/>
  <c r="BC37" i="4" a="1"/>
  <c r="BC37" i="4" s="1"/>
  <c r="BH37" i="4" a="1"/>
  <c r="BH37" i="4" s="1"/>
  <c r="BI37" i="4" a="1"/>
  <c r="BI37" i="4" s="1"/>
  <c r="AR37" i="4" a="1"/>
  <c r="AR37" i="4" s="1"/>
  <c r="AS37" i="4" a="1"/>
  <c r="AS37" i="4" s="1"/>
  <c r="AT37" i="4" a="1"/>
  <c r="AT37" i="4" s="1"/>
  <c r="AH37" i="12" a="1"/>
  <c r="AH37" i="12" s="1"/>
  <c r="AO37" i="12" a="1"/>
  <c r="AO37" i="12" s="1"/>
  <c r="AT37" i="12" a="1"/>
  <c r="AT37" i="12" s="1"/>
  <c r="AB37" i="12" a="1"/>
  <c r="AB37" i="12" s="1"/>
  <c r="AI37" i="12" a="1"/>
  <c r="AI37" i="12" s="1"/>
  <c r="AP37" i="12" a="1"/>
  <c r="AP37" i="12" s="1"/>
  <c r="AU37" i="12" a="1"/>
  <c r="AU37" i="12" s="1"/>
  <c r="AC37" i="12" a="1"/>
  <c r="AC37" i="12" s="1"/>
  <c r="AJ37" i="12" a="1"/>
  <c r="AJ37" i="12" s="1"/>
  <c r="AQ37" i="12" a="1"/>
  <c r="AQ37" i="12" s="1"/>
  <c r="AV37" i="12" a="1"/>
  <c r="AV37" i="12" s="1"/>
  <c r="AG37" i="12" a="1"/>
  <c r="AG37" i="12" s="1"/>
  <c r="AK37" i="12" a="1"/>
  <c r="AK37" i="12" s="1"/>
  <c r="AS37" i="12" a="1"/>
  <c r="AS37" i="12" s="1"/>
  <c r="AL37" i="12" a="1"/>
  <c r="AL37" i="12" s="1"/>
  <c r="AF37" i="12" a="1"/>
  <c r="AF37" i="12" s="1"/>
  <c r="AR37" i="12" a="1"/>
  <c r="AR37" i="12" s="1"/>
  <c r="AN37" i="12" a="1"/>
  <c r="AN37" i="12" s="1"/>
  <c r="AW37" i="12" a="1"/>
  <c r="AW37" i="12" s="1"/>
  <c r="AM37" i="12" a="1"/>
  <c r="AM37" i="12" s="1"/>
  <c r="AD37" i="12" a="1"/>
  <c r="AD37" i="12" s="1"/>
  <c r="AE37" i="12" a="1"/>
  <c r="AE37" i="12" s="1"/>
  <c r="AR49" i="4" a="1"/>
  <c r="AR49" i="4" s="1"/>
  <c r="AX49" i="4" a="1"/>
  <c r="AX49" i="4" s="1"/>
  <c r="BE49" i="4" a="1"/>
  <c r="BE49" i="4" s="1"/>
  <c r="AS49" i="4" a="1"/>
  <c r="AS49" i="4" s="1"/>
  <c r="BF49" i="4" a="1"/>
  <c r="BF49" i="4" s="1"/>
  <c r="AY49" i="4" a="1"/>
  <c r="AY49" i="4" s="1"/>
  <c r="AQ49" i="4" a="1"/>
  <c r="AQ49" i="4" s="1"/>
  <c r="BB49" i="4" a="1"/>
  <c r="BB49" i="4" s="1"/>
  <c r="AT49" i="4" a="1"/>
  <c r="AT49" i="4" s="1"/>
  <c r="BC49" i="4" a="1"/>
  <c r="BC49" i="4" s="1"/>
  <c r="AU49" i="4" a="1"/>
  <c r="AU49" i="4" s="1"/>
  <c r="BD49" i="4" a="1"/>
  <c r="BD49" i="4" s="1"/>
  <c r="AW49" i="4" a="1"/>
  <c r="AW49" i="4" s="1"/>
  <c r="BI49" i="4" a="1"/>
  <c r="BI49" i="4" s="1"/>
  <c r="BJ49" i="4" a="1"/>
  <c r="BJ49" i="4" s="1"/>
  <c r="AP49" i="4" a="1"/>
  <c r="AP49" i="4" s="1"/>
  <c r="BK49" i="4" a="1"/>
  <c r="BK49" i="4" s="1"/>
  <c r="BG49" i="4" a="1"/>
  <c r="BG49" i="4" s="1"/>
  <c r="BA49" i="4" a="1"/>
  <c r="BA49" i="4" s="1"/>
  <c r="BH49" i="4" a="1"/>
  <c r="BH49" i="4" s="1"/>
  <c r="AZ49" i="4" a="1"/>
  <c r="AZ49" i="4" s="1"/>
  <c r="AB49" i="12" a="1"/>
  <c r="AB49" i="12" s="1"/>
  <c r="AI49" i="12" a="1"/>
  <c r="AI49" i="12" s="1"/>
  <c r="AO49" i="12" a="1"/>
  <c r="AO49" i="12" s="1"/>
  <c r="AV49" i="12" a="1"/>
  <c r="AV49" i="12" s="1"/>
  <c r="AV49" i="4" a="1"/>
  <c r="AV49" i="4" s="1"/>
  <c r="AP49" i="12" a="1"/>
  <c r="AP49" i="12" s="1"/>
  <c r="AW49" i="12" a="1"/>
  <c r="AW49" i="12" s="1"/>
  <c r="AC49" i="12" a="1"/>
  <c r="AC49" i="12" s="1"/>
  <c r="AJ49" i="12" a="1"/>
  <c r="AJ49" i="12" s="1"/>
  <c r="AQ49" i="12" a="1"/>
  <c r="AQ49" i="12" s="1"/>
  <c r="AH49" i="12" a="1"/>
  <c r="AH49" i="12" s="1"/>
  <c r="AN49" i="12" a="1"/>
  <c r="AN49" i="12" s="1"/>
  <c r="AU49" i="12" a="1"/>
  <c r="AU49" i="12" s="1"/>
  <c r="AE49" i="12" a="1"/>
  <c r="AE49" i="12" s="1"/>
  <c r="AF49" i="12" a="1"/>
  <c r="AF49" i="12" s="1"/>
  <c r="AS49" i="12" a="1"/>
  <c r="AS49" i="12" s="1"/>
  <c r="AK49" i="12" a="1"/>
  <c r="AK49" i="12" s="1"/>
  <c r="AD49" i="12" a="1"/>
  <c r="AD49" i="12" s="1"/>
  <c r="AR49" i="12" a="1"/>
  <c r="AR49" i="12" s="1"/>
  <c r="AL49" i="12" a="1"/>
  <c r="AL49" i="12" s="1"/>
  <c r="AG49" i="12" a="1"/>
  <c r="AG49" i="12" s="1"/>
  <c r="AM49" i="12" a="1"/>
  <c r="AM49" i="12" s="1"/>
  <c r="AT49" i="12" a="1"/>
  <c r="AT49" i="12" s="1"/>
  <c r="AT69" i="4" a="1"/>
  <c r="AT69" i="4" s="1"/>
  <c r="BB69" i="4" a="1"/>
  <c r="BB69" i="4" s="1"/>
  <c r="AU69" i="4" a="1"/>
  <c r="AU69" i="4" s="1"/>
  <c r="BH69" i="4" a="1"/>
  <c r="BH69" i="4" s="1"/>
  <c r="AP69" i="4" a="1"/>
  <c r="AP69" i="4" s="1"/>
  <c r="AV69" i="4" a="1"/>
  <c r="AV69" i="4" s="1"/>
  <c r="BC69" i="4" a="1"/>
  <c r="BC69" i="4" s="1"/>
  <c r="BI69" i="4" a="1"/>
  <c r="BI69" i="4" s="1"/>
  <c r="BD69" i="4" a="1"/>
  <c r="BD69" i="4" s="1"/>
  <c r="AS69" i="4" a="1"/>
  <c r="AS69" i="4" s="1"/>
  <c r="BE69" i="4" a="1"/>
  <c r="BE69" i="4" s="1"/>
  <c r="AW69" i="4" a="1"/>
  <c r="AW69" i="4" s="1"/>
  <c r="BF69" i="4" a="1"/>
  <c r="BF69" i="4" s="1"/>
  <c r="AQ69" i="4" a="1"/>
  <c r="AQ69" i="4" s="1"/>
  <c r="BA69" i="4" a="1"/>
  <c r="BA69" i="4" s="1"/>
  <c r="BK69" i="4" a="1"/>
  <c r="BK69" i="4" s="1"/>
  <c r="AZ69" i="4" a="1"/>
  <c r="AZ69" i="4" s="1"/>
  <c r="BG69" i="4" a="1"/>
  <c r="BG69" i="4" s="1"/>
  <c r="AY69" i="4" a="1"/>
  <c r="AY69" i="4" s="1"/>
  <c r="AE69" i="12" a="1"/>
  <c r="AE69" i="12" s="1"/>
  <c r="AK69" i="12" a="1"/>
  <c r="AK69" i="12" s="1"/>
  <c r="AP69" i="12" a="1"/>
  <c r="AP69" i="12" s="1"/>
  <c r="AU69" i="12" a="1"/>
  <c r="AU69" i="12" s="1"/>
  <c r="AF69" i="12" a="1"/>
  <c r="AF69" i="12" s="1"/>
  <c r="AV69" i="12" a="1"/>
  <c r="AV69" i="12" s="1"/>
  <c r="AG69" i="12" a="1"/>
  <c r="AG69" i="12" s="1"/>
  <c r="AL69" i="12" a="1"/>
  <c r="AL69" i="12" s="1"/>
  <c r="AQ69" i="12" a="1"/>
  <c r="AQ69" i="12" s="1"/>
  <c r="AR69" i="4" a="1"/>
  <c r="AR69" i="4" s="1"/>
  <c r="AX69" i="4" a="1"/>
  <c r="AX69" i="4" s="1"/>
  <c r="BJ69" i="4" a="1"/>
  <c r="BJ69" i="4" s="1"/>
  <c r="AB69" i="12" a="1"/>
  <c r="AB69" i="12" s="1"/>
  <c r="AI69" i="12" a="1"/>
  <c r="AI69" i="12" s="1"/>
  <c r="AS69" i="12" a="1"/>
  <c r="AS69" i="12" s="1"/>
  <c r="AC69" i="12" a="1"/>
  <c r="AC69" i="12" s="1"/>
  <c r="AJ69" i="12" a="1"/>
  <c r="AJ69" i="12" s="1"/>
  <c r="AD69" i="12" a="1"/>
  <c r="AD69" i="12" s="1"/>
  <c r="AM69" i="12" a="1"/>
  <c r="AM69" i="12" s="1"/>
  <c r="AR69" i="12" a="1"/>
  <c r="AR69" i="12" s="1"/>
  <c r="AN69" i="12" a="1"/>
  <c r="AN69" i="12" s="1"/>
  <c r="AO69" i="12" a="1"/>
  <c r="AO69" i="12" s="1"/>
  <c r="AT69" i="12" a="1"/>
  <c r="AT69" i="12" s="1"/>
  <c r="AW69" i="12" a="1"/>
  <c r="AW69" i="12" s="1"/>
  <c r="AH69" i="12" a="1"/>
  <c r="AH69" i="12" s="1"/>
  <c r="AV85" i="4" a="1"/>
  <c r="AV85" i="4" s="1"/>
  <c r="BB85" i="4" a="1"/>
  <c r="BB85" i="4" s="1"/>
  <c r="AT85" i="4" a="1"/>
  <c r="AT85" i="4" s="1"/>
  <c r="BA85" i="4" a="1"/>
  <c r="BA85" i="4" s="1"/>
  <c r="BG85" i="4" a="1"/>
  <c r="BG85" i="4" s="1"/>
  <c r="AU85" i="4" a="1"/>
  <c r="AU85" i="4" s="1"/>
  <c r="BC85" i="4" a="1"/>
  <c r="BC85" i="4" s="1"/>
  <c r="BH85" i="4" a="1"/>
  <c r="BH85" i="4" s="1"/>
  <c r="AY85" i="4" a="1"/>
  <c r="AY85" i="4" s="1"/>
  <c r="BE85" i="4" a="1"/>
  <c r="BE85" i="4" s="1"/>
  <c r="BK85" i="4" a="1"/>
  <c r="BK85" i="4" s="1"/>
  <c r="AZ85" i="4" a="1"/>
  <c r="AZ85" i="4" s="1"/>
  <c r="AP85" i="4" a="1"/>
  <c r="AP85" i="4" s="1"/>
  <c r="AX85" i="4" a="1"/>
  <c r="AX85" i="4" s="1"/>
  <c r="BJ85" i="4" a="1"/>
  <c r="BJ85" i="4" s="1"/>
  <c r="BI85" i="4" a="1"/>
  <c r="BI85" i="4" s="1"/>
  <c r="AQ85" i="4" a="1"/>
  <c r="AQ85" i="4" s="1"/>
  <c r="AR85" i="4" a="1"/>
  <c r="AR85" i="4" s="1"/>
  <c r="AS85" i="4" a="1"/>
  <c r="AS85" i="4" s="1"/>
  <c r="AW85" i="4" a="1"/>
  <c r="AW85" i="4" s="1"/>
  <c r="BD85" i="4" a="1"/>
  <c r="BD85" i="4" s="1"/>
  <c r="BF85" i="4" a="1"/>
  <c r="BF85" i="4" s="1"/>
  <c r="AD85" i="12" a="1"/>
  <c r="AD85" i="12" s="1"/>
  <c r="AK85" i="12" a="1"/>
  <c r="AK85" i="12" s="1"/>
  <c r="AQ85" i="12" a="1"/>
  <c r="AQ85" i="12" s="1"/>
  <c r="AV85" i="12" a="1"/>
  <c r="AV85" i="12" s="1"/>
  <c r="AH85" i="12" a="1"/>
  <c r="AH85" i="12" s="1"/>
  <c r="AB85" i="12" a="1"/>
  <c r="AB85" i="12" s="1"/>
  <c r="AO85" i="12" a="1"/>
  <c r="AO85" i="12" s="1"/>
  <c r="AE85" i="12" a="1"/>
  <c r="AE85" i="12" s="1"/>
  <c r="AW85" i="12" a="1"/>
  <c r="AW85" i="12" s="1"/>
  <c r="AS85" i="12" a="1"/>
  <c r="AS85" i="12" s="1"/>
  <c r="AM85" i="12" a="1"/>
  <c r="AM85" i="12" s="1"/>
  <c r="AN85" i="12" a="1"/>
  <c r="AN85" i="12" s="1"/>
  <c r="AI85" i="12" a="1"/>
  <c r="AI85" i="12" s="1"/>
  <c r="AF85" i="12" a="1"/>
  <c r="AF85" i="12" s="1"/>
  <c r="AL85" i="12" a="1"/>
  <c r="AL85" i="12" s="1"/>
  <c r="AR85" i="12" a="1"/>
  <c r="AR85" i="12" s="1"/>
  <c r="AG85" i="12" a="1"/>
  <c r="AG85" i="12" s="1"/>
  <c r="AT85" i="12" a="1"/>
  <c r="AT85" i="12" s="1"/>
  <c r="AC85" i="12" a="1"/>
  <c r="AC85" i="12" s="1"/>
  <c r="AU85" i="12" a="1"/>
  <c r="AU85" i="12" s="1"/>
  <c r="AJ85" i="12" a="1"/>
  <c r="AJ85" i="12" s="1"/>
  <c r="AP85" i="12" a="1"/>
  <c r="AP85" i="12" s="1"/>
  <c r="AU30" i="4" a="1"/>
  <c r="AU30" i="4" s="1"/>
  <c r="BC30" i="4" a="1"/>
  <c r="BC30" i="4" s="1"/>
  <c r="AQ30" i="4" a="1"/>
  <c r="AQ30" i="4" s="1"/>
  <c r="AX30" i="4" a="1"/>
  <c r="AX30" i="4" s="1"/>
  <c r="BE30" i="4" a="1"/>
  <c r="BE30" i="4" s="1"/>
  <c r="AT30" i="4" a="1"/>
  <c r="AT30" i="4" s="1"/>
  <c r="BD30" i="4" a="1"/>
  <c r="BD30" i="4" s="1"/>
  <c r="AV30" i="4" a="1"/>
  <c r="AV30" i="4" s="1"/>
  <c r="BF30" i="4" a="1"/>
  <c r="BF30" i="4" s="1"/>
  <c r="AW30" i="4" a="1"/>
  <c r="AW30" i="4" s="1"/>
  <c r="BG30" i="4" a="1"/>
  <c r="BG30" i="4" s="1"/>
  <c r="BJ30" i="4" a="1"/>
  <c r="BJ30" i="4" s="1"/>
  <c r="AY30" i="4" a="1"/>
  <c r="AY30" i="4" s="1"/>
  <c r="BK30" i="4" a="1"/>
  <c r="BK30" i="4" s="1"/>
  <c r="AZ30" i="4" a="1"/>
  <c r="AZ30" i="4" s="1"/>
  <c r="BA30" i="4" a="1"/>
  <c r="BA30" i="4" s="1"/>
  <c r="BB30" i="4" a="1"/>
  <c r="BB30" i="4" s="1"/>
  <c r="BH30" i="4" a="1"/>
  <c r="BH30" i="4" s="1"/>
  <c r="AP30" i="4" a="1"/>
  <c r="AP30" i="4" s="1"/>
  <c r="AR30" i="4" a="1"/>
  <c r="AR30" i="4" s="1"/>
  <c r="AF30" i="12" a="1"/>
  <c r="AF30" i="12" s="1"/>
  <c r="AL30" i="12" a="1"/>
  <c r="AL30" i="12" s="1"/>
  <c r="AQ30" i="12" a="1"/>
  <c r="AQ30" i="12" s="1"/>
  <c r="AS30" i="4" a="1"/>
  <c r="AS30" i="4" s="1"/>
  <c r="AG30" i="12" a="1"/>
  <c r="AG30" i="12" s="1"/>
  <c r="BI30" i="4" a="1"/>
  <c r="BI30" i="4" s="1"/>
  <c r="AH30" i="12" a="1"/>
  <c r="AH30" i="12" s="1"/>
  <c r="AM30" i="12" a="1"/>
  <c r="AM30" i="12" s="1"/>
  <c r="AR30" i="12" a="1"/>
  <c r="AR30" i="12" s="1"/>
  <c r="AD30" i="12" a="1"/>
  <c r="AD30" i="12" s="1"/>
  <c r="AU30" i="12" a="1"/>
  <c r="AU30" i="12" s="1"/>
  <c r="AN30" i="12" a="1"/>
  <c r="AN30" i="12" s="1"/>
  <c r="AV30" i="12" a="1"/>
  <c r="AV30" i="12" s="1"/>
  <c r="AE30" i="12" a="1"/>
  <c r="AE30" i="12" s="1"/>
  <c r="AO30" i="12" a="1"/>
  <c r="AO30" i="12" s="1"/>
  <c r="AW30" i="12" a="1"/>
  <c r="AW30" i="12" s="1"/>
  <c r="AC30" i="12" a="1"/>
  <c r="AC30" i="12" s="1"/>
  <c r="AK30" i="12" a="1"/>
  <c r="AK30" i="12" s="1"/>
  <c r="AB30" i="12" a="1"/>
  <c r="AB30" i="12" s="1"/>
  <c r="AT30" i="12" a="1"/>
  <c r="AT30" i="12" s="1"/>
  <c r="AI30" i="12" a="1"/>
  <c r="AI30" i="12" s="1"/>
  <c r="AS30" i="12" a="1"/>
  <c r="AS30" i="12" s="1"/>
  <c r="AJ30" i="12" a="1"/>
  <c r="AJ30" i="12" s="1"/>
  <c r="AP30" i="12" a="1"/>
  <c r="AP30" i="12" s="1"/>
  <c r="AT42" i="4" a="1"/>
  <c r="AT42" i="4" s="1"/>
  <c r="BI42" i="4" a="1"/>
  <c r="BI42" i="4" s="1"/>
  <c r="AU42" i="4" a="1"/>
  <c r="AU42" i="4" s="1"/>
  <c r="BB42" i="4" a="1"/>
  <c r="BB42" i="4" s="1"/>
  <c r="BJ42" i="4" a="1"/>
  <c r="BJ42" i="4" s="1"/>
  <c r="AV42" i="4" a="1"/>
  <c r="AV42" i="4" s="1"/>
  <c r="BC42" i="4" a="1"/>
  <c r="BC42" i="4" s="1"/>
  <c r="BK42" i="4" a="1"/>
  <c r="BK42" i="4" s="1"/>
  <c r="BD42" i="4" a="1"/>
  <c r="BD42" i="4" s="1"/>
  <c r="AR42" i="4" a="1"/>
  <c r="AR42" i="4" s="1"/>
  <c r="BE42" i="4" a="1"/>
  <c r="BE42" i="4" s="1"/>
  <c r="AS42" i="4" a="1"/>
  <c r="AS42" i="4" s="1"/>
  <c r="BF42" i="4" a="1"/>
  <c r="BF42" i="4" s="1"/>
  <c r="AW42" i="4" a="1"/>
  <c r="AW42" i="4" s="1"/>
  <c r="BG42" i="4" a="1"/>
  <c r="BG42" i="4" s="1"/>
  <c r="BH42" i="4" a="1"/>
  <c r="BH42" i="4" s="1"/>
  <c r="AP42" i="4" a="1"/>
  <c r="AP42" i="4" s="1"/>
  <c r="AY42" i="4" a="1"/>
  <c r="AY42" i="4" s="1"/>
  <c r="AQ42" i="4" a="1"/>
  <c r="AQ42" i="4" s="1"/>
  <c r="AI42" i="12" a="1"/>
  <c r="AI42" i="12" s="1"/>
  <c r="AP42" i="12" a="1"/>
  <c r="AP42" i="12" s="1"/>
  <c r="AX42" i="4" a="1"/>
  <c r="AX42" i="4" s="1"/>
  <c r="AZ42" i="4" a="1"/>
  <c r="AZ42" i="4" s="1"/>
  <c r="AB42" i="12" a="1"/>
  <c r="AB42" i="12" s="1"/>
  <c r="AQ42" i="12" a="1"/>
  <c r="AQ42" i="12" s="1"/>
  <c r="BA42" i="4" a="1"/>
  <c r="BA42" i="4" s="1"/>
  <c r="AC42" i="12" a="1"/>
  <c r="AC42" i="12" s="1"/>
  <c r="AJ42" i="12" a="1"/>
  <c r="AJ42" i="12" s="1"/>
  <c r="AR42" i="12" a="1"/>
  <c r="AR42" i="12" s="1"/>
  <c r="AD42" i="12" a="1"/>
  <c r="AD42" i="12" s="1"/>
  <c r="AK42" i="12" a="1"/>
  <c r="AK42" i="12" s="1"/>
  <c r="AS42" i="12" a="1"/>
  <c r="AS42" i="12" s="1"/>
  <c r="AH42" i="12" a="1"/>
  <c r="AH42" i="12" s="1"/>
  <c r="AO42" i="12" a="1"/>
  <c r="AO42" i="12" s="1"/>
  <c r="AF42" i="12" a="1"/>
  <c r="AF42" i="12" s="1"/>
  <c r="AU42" i="12" a="1"/>
  <c r="AU42" i="12" s="1"/>
  <c r="AG42" i="12" a="1"/>
  <c r="AG42" i="12" s="1"/>
  <c r="AV42" i="12" a="1"/>
  <c r="AV42" i="12" s="1"/>
  <c r="AL42" i="12" a="1"/>
  <c r="AL42" i="12" s="1"/>
  <c r="AE42" i="12" a="1"/>
  <c r="AE42" i="12" s="1"/>
  <c r="AT42" i="12" a="1"/>
  <c r="AT42" i="12" s="1"/>
  <c r="AM42" i="12" a="1"/>
  <c r="AM42" i="12" s="1"/>
  <c r="AW42" i="12" a="1"/>
  <c r="AW42" i="12" s="1"/>
  <c r="AN42" i="12" a="1"/>
  <c r="AN42" i="12" s="1"/>
  <c r="AT23" i="4" a="1"/>
  <c r="AT23" i="4" s="1"/>
  <c r="BA23" i="4" a="1"/>
  <c r="BA23" i="4" s="1"/>
  <c r="BI23" i="4" a="1"/>
  <c r="BI23" i="4" s="1"/>
  <c r="AU23" i="4" a="1"/>
  <c r="AU23" i="4" s="1"/>
  <c r="BB23" i="4" a="1"/>
  <c r="BB23" i="4" s="1"/>
  <c r="BJ23" i="4" a="1"/>
  <c r="BJ23" i="4" s="1"/>
  <c r="BC23" i="4" a="1"/>
  <c r="BC23" i="4" s="1"/>
  <c r="BK23" i="4" a="1"/>
  <c r="BK23" i="4" s="1"/>
  <c r="AQ23" i="4" a="1"/>
  <c r="AQ23" i="4" s="1"/>
  <c r="AX23" i="4" a="1"/>
  <c r="AX23" i="4" s="1"/>
  <c r="BF23" i="4" a="1"/>
  <c r="BF23" i="4" s="1"/>
  <c r="AS23" i="4" a="1"/>
  <c r="AS23" i="4" s="1"/>
  <c r="BH23" i="4" a="1"/>
  <c r="BH23" i="4" s="1"/>
  <c r="AV23" i="4" a="1"/>
  <c r="AV23" i="4" s="1"/>
  <c r="AW23" i="4" a="1"/>
  <c r="AW23" i="4" s="1"/>
  <c r="AY23" i="4" a="1"/>
  <c r="AY23" i="4" s="1"/>
  <c r="AZ23" i="4" a="1"/>
  <c r="AZ23" i="4" s="1"/>
  <c r="BD23" i="4" a="1"/>
  <c r="BD23" i="4" s="1"/>
  <c r="BE23" i="4" a="1"/>
  <c r="BE23" i="4" s="1"/>
  <c r="BG23" i="4" a="1"/>
  <c r="BG23" i="4" s="1"/>
  <c r="AF23" i="12" a="1"/>
  <c r="AF23" i="12" s="1"/>
  <c r="AW23" i="12" a="1"/>
  <c r="AW23" i="12" s="1"/>
  <c r="AG23" i="12" a="1"/>
  <c r="AG23" i="12" s="1"/>
  <c r="AL23" i="12" a="1"/>
  <c r="AL23" i="12" s="1"/>
  <c r="AR23" i="12" a="1"/>
  <c r="AR23" i="12" s="1"/>
  <c r="AP23" i="4" a="1"/>
  <c r="AP23" i="4" s="1"/>
  <c r="AM23" i="12" a="1"/>
  <c r="AM23" i="12" s="1"/>
  <c r="AS23" i="12" a="1"/>
  <c r="AS23" i="12" s="1"/>
  <c r="AR23" i="4" a="1"/>
  <c r="AR23" i="4" s="1"/>
  <c r="AD23" i="12" a="1"/>
  <c r="AD23" i="12" s="1"/>
  <c r="AP23" i="12" a="1"/>
  <c r="AP23" i="12" s="1"/>
  <c r="AV23" i="12" a="1"/>
  <c r="AV23" i="12" s="1"/>
  <c r="AJ23" i="12" a="1"/>
  <c r="AJ23" i="12" s="1"/>
  <c r="AU23" i="12" a="1"/>
  <c r="AU23" i="12" s="1"/>
  <c r="AK23" i="12" a="1"/>
  <c r="AK23" i="12" s="1"/>
  <c r="AI23" i="12" a="1"/>
  <c r="AI23" i="12" s="1"/>
  <c r="AT23" i="12" a="1"/>
  <c r="AT23" i="12" s="1"/>
  <c r="AH23" i="12" a="1"/>
  <c r="AH23" i="12" s="1"/>
  <c r="AN23" i="12" a="1"/>
  <c r="AN23" i="12" s="1"/>
  <c r="AO23" i="12" a="1"/>
  <c r="AO23" i="12" s="1"/>
  <c r="AE23" i="12" a="1"/>
  <c r="AE23" i="12" s="1"/>
  <c r="AB23" i="12" a="1"/>
  <c r="AB23" i="12" s="1"/>
  <c r="AQ23" i="12" a="1"/>
  <c r="AQ23" i="12" s="1"/>
  <c r="AC23" i="12" a="1"/>
  <c r="AC23" i="12" s="1"/>
  <c r="AU27" i="4" a="1"/>
  <c r="AU27" i="4" s="1"/>
  <c r="BC27" i="4" a="1"/>
  <c r="BC27" i="4" s="1"/>
  <c r="BI27" i="4" a="1"/>
  <c r="BI27" i="4" s="1"/>
  <c r="AP27" i="4" a="1"/>
  <c r="AP27" i="4" s="1"/>
  <c r="AX27" i="4" a="1"/>
  <c r="AX27" i="4" s="1"/>
  <c r="BF27" i="4" a="1"/>
  <c r="BF27" i="4" s="1"/>
  <c r="AZ27" i="4" a="1"/>
  <c r="AZ27" i="4" s="1"/>
  <c r="BH27" i="4" a="1"/>
  <c r="BH27" i="4" s="1"/>
  <c r="AQ27" i="4" a="1"/>
  <c r="AQ27" i="4" s="1"/>
  <c r="BA27" i="4" a="1"/>
  <c r="BA27" i="4" s="1"/>
  <c r="BJ27" i="4" a="1"/>
  <c r="BJ27" i="4" s="1"/>
  <c r="AR27" i="4" a="1"/>
  <c r="AR27" i="4" s="1"/>
  <c r="BB27" i="4" a="1"/>
  <c r="BB27" i="4" s="1"/>
  <c r="BK27" i="4" a="1"/>
  <c r="BK27" i="4" s="1"/>
  <c r="AS27" i="4" a="1"/>
  <c r="AS27" i="4" s="1"/>
  <c r="BD27" i="4" a="1"/>
  <c r="BD27" i="4" s="1"/>
  <c r="BE27" i="4" a="1"/>
  <c r="BE27" i="4" s="1"/>
  <c r="BG27" i="4" a="1"/>
  <c r="BG27" i="4" s="1"/>
  <c r="AV27" i="4" a="1"/>
  <c r="AV27" i="4" s="1"/>
  <c r="AW27" i="4" a="1"/>
  <c r="AW27" i="4" s="1"/>
  <c r="AC27" i="12" a="1"/>
  <c r="AC27" i="12" s="1"/>
  <c r="AJ27" i="12" a="1"/>
  <c r="AJ27" i="12" s="1"/>
  <c r="AS27" i="12" a="1"/>
  <c r="AS27" i="12" s="1"/>
  <c r="AY27" i="4" a="1"/>
  <c r="AY27" i="4" s="1"/>
  <c r="AD27" i="12" a="1"/>
  <c r="AD27" i="12" s="1"/>
  <c r="AO27" i="12" a="1"/>
  <c r="AO27" i="12" s="1"/>
  <c r="AE27" i="12" a="1"/>
  <c r="AE27" i="12" s="1"/>
  <c r="AK27" i="12" a="1"/>
  <c r="AK27" i="12" s="1"/>
  <c r="AT27" i="12" a="1"/>
  <c r="AT27" i="12" s="1"/>
  <c r="AB27" i="12" a="1"/>
  <c r="AB27" i="12" s="1"/>
  <c r="AI27" i="12" a="1"/>
  <c r="AI27" i="12" s="1"/>
  <c r="AR27" i="12" a="1"/>
  <c r="AR27" i="12" s="1"/>
  <c r="AH27" i="12" a="1"/>
  <c r="AH27" i="12" s="1"/>
  <c r="AU27" i="12" a="1"/>
  <c r="AU27" i="12" s="1"/>
  <c r="AG27" i="12" a="1"/>
  <c r="AG27" i="12" s="1"/>
  <c r="AQ27" i="12" a="1"/>
  <c r="AQ27" i="12" s="1"/>
  <c r="AP27" i="12" a="1"/>
  <c r="AP27" i="12" s="1"/>
  <c r="AT27" i="4" a="1"/>
  <c r="AT27" i="4" s="1"/>
  <c r="AV27" i="12" a="1"/>
  <c r="AV27" i="12" s="1"/>
  <c r="AN27" i="12" a="1"/>
  <c r="AN27" i="12" s="1"/>
  <c r="AF27" i="12" a="1"/>
  <c r="AF27" i="12" s="1"/>
  <c r="AL27" i="12" a="1"/>
  <c r="AL27" i="12" s="1"/>
  <c r="AW27" i="12" a="1"/>
  <c r="AW27" i="12" s="1"/>
  <c r="AM27" i="12" a="1"/>
  <c r="AM27" i="12" s="1"/>
  <c r="AT31" i="4" a="1"/>
  <c r="AT31" i="4" s="1"/>
  <c r="AZ31" i="4" a="1"/>
  <c r="AZ31" i="4" s="1"/>
  <c r="BG31" i="4" a="1"/>
  <c r="BG31" i="4" s="1"/>
  <c r="AP31" i="4" a="1"/>
  <c r="AP31" i="4" s="1"/>
  <c r="AW31" i="4" a="1"/>
  <c r="AW31" i="4" s="1"/>
  <c r="BC31" i="4" a="1"/>
  <c r="BC31" i="4" s="1"/>
  <c r="BI31" i="4" a="1"/>
  <c r="BI31" i="4" s="1"/>
  <c r="AR31" i="4" a="1"/>
  <c r="AR31" i="4" s="1"/>
  <c r="BA31" i="4" a="1"/>
  <c r="BA31" i="4" s="1"/>
  <c r="BJ31" i="4" a="1"/>
  <c r="BJ31" i="4" s="1"/>
  <c r="AS31" i="4" a="1"/>
  <c r="AS31" i="4" s="1"/>
  <c r="BB31" i="4" a="1"/>
  <c r="BB31" i="4" s="1"/>
  <c r="BD31" i="4" a="1"/>
  <c r="BD31" i="4" s="1"/>
  <c r="BE31" i="4" a="1"/>
  <c r="BE31" i="4" s="1"/>
  <c r="AQ31" i="4" a="1"/>
  <c r="AQ31" i="4" s="1"/>
  <c r="AU31" i="4" a="1"/>
  <c r="AU31" i="4" s="1"/>
  <c r="BF31" i="4" a="1"/>
  <c r="BF31" i="4" s="1"/>
  <c r="BH31" i="4" a="1"/>
  <c r="BH31" i="4" s="1"/>
  <c r="BK31" i="4" a="1"/>
  <c r="BK31" i="4" s="1"/>
  <c r="AX31" i="4" a="1"/>
  <c r="AX31" i="4" s="1"/>
  <c r="AB31" i="12" a="1"/>
  <c r="AB31" i="12" s="1"/>
  <c r="AH31" i="12" a="1"/>
  <c r="AH31" i="12" s="1"/>
  <c r="AN31" i="12" a="1"/>
  <c r="AN31" i="12" s="1"/>
  <c r="AV31" i="4" a="1"/>
  <c r="AV31" i="4" s="1"/>
  <c r="AG31" i="12" a="1"/>
  <c r="AG31" i="12" s="1"/>
  <c r="AM31" i="12" a="1"/>
  <c r="AM31" i="12" s="1"/>
  <c r="AT31" i="12" a="1"/>
  <c r="AT31" i="12" s="1"/>
  <c r="AU31" i="12" a="1"/>
  <c r="AU31" i="12" s="1"/>
  <c r="AY31" i="4" a="1"/>
  <c r="AY31" i="4" s="1"/>
  <c r="AI31" i="12" a="1"/>
  <c r="AI31" i="12" s="1"/>
  <c r="AO31" i="12" a="1"/>
  <c r="AO31" i="12" s="1"/>
  <c r="AV31" i="12" a="1"/>
  <c r="AV31" i="12" s="1"/>
  <c r="AL31" i="12" a="1"/>
  <c r="AL31" i="12" s="1"/>
  <c r="AS31" i="12" a="1"/>
  <c r="AS31" i="12" s="1"/>
  <c r="AC31" i="12" a="1"/>
  <c r="AC31" i="12" s="1"/>
  <c r="AP31" i="12" a="1"/>
  <c r="AP31" i="12" s="1"/>
  <c r="AD31" i="12" a="1"/>
  <c r="AD31" i="12" s="1"/>
  <c r="AQ31" i="12" a="1"/>
  <c r="AQ31" i="12" s="1"/>
  <c r="AK31" i="12" a="1"/>
  <c r="AK31" i="12" s="1"/>
  <c r="AE31" i="12" a="1"/>
  <c r="AE31" i="12" s="1"/>
  <c r="AR31" i="12" a="1"/>
  <c r="AR31" i="12" s="1"/>
  <c r="AF31" i="12" a="1"/>
  <c r="AF31" i="12" s="1"/>
  <c r="AJ31" i="12" a="1"/>
  <c r="AJ31" i="12" s="1"/>
  <c r="AW31" i="12" a="1"/>
  <c r="AW31" i="12" s="1"/>
  <c r="BG35" i="4" a="1"/>
  <c r="BG35" i="4" s="1"/>
  <c r="AU35" i="4" a="1"/>
  <c r="AU35" i="4" s="1"/>
  <c r="BA35" i="4" a="1"/>
  <c r="BA35" i="4" s="1"/>
  <c r="BI35" i="4" a="1"/>
  <c r="BI35" i="4" s="1"/>
  <c r="AV35" i="4" a="1"/>
  <c r="AV35" i="4" s="1"/>
  <c r="BB35" i="4" a="1"/>
  <c r="BB35" i="4" s="1"/>
  <c r="AW35" i="4" a="1"/>
  <c r="AW35" i="4" s="1"/>
  <c r="BC35" i="4" a="1"/>
  <c r="BC35" i="4" s="1"/>
  <c r="BJ35" i="4" a="1"/>
  <c r="BJ35" i="4" s="1"/>
  <c r="AS35" i="4" a="1"/>
  <c r="AS35" i="4" s="1"/>
  <c r="BE35" i="4" a="1"/>
  <c r="BE35" i="4" s="1"/>
  <c r="AT35" i="4" a="1"/>
  <c r="AT35" i="4" s="1"/>
  <c r="BF35" i="4" a="1"/>
  <c r="BF35" i="4" s="1"/>
  <c r="AX35" i="4" a="1"/>
  <c r="AX35" i="4" s="1"/>
  <c r="BH35" i="4" a="1"/>
  <c r="BH35" i="4" s="1"/>
  <c r="AY35" i="4" a="1"/>
  <c r="AY35" i="4" s="1"/>
  <c r="AZ35" i="4" a="1"/>
  <c r="AZ35" i="4" s="1"/>
  <c r="AP35" i="4" a="1"/>
  <c r="AP35" i="4" s="1"/>
  <c r="AQ35" i="4" a="1"/>
  <c r="AQ35" i="4" s="1"/>
  <c r="AR35" i="4" a="1"/>
  <c r="AR35" i="4" s="1"/>
  <c r="BD35" i="4" a="1"/>
  <c r="BD35" i="4" s="1"/>
  <c r="AF35" i="12" a="1"/>
  <c r="AF35" i="12" s="1"/>
  <c r="BK35" i="4" a="1"/>
  <c r="BK35" i="4" s="1"/>
  <c r="AJ35" i="12" a="1"/>
  <c r="AJ35" i="12" s="1"/>
  <c r="AP35" i="12" a="1"/>
  <c r="AP35" i="12" s="1"/>
  <c r="AB35" i="12" a="1"/>
  <c r="AB35" i="12" s="1"/>
  <c r="AQ35" i="12" a="1"/>
  <c r="AQ35" i="12" s="1"/>
  <c r="AC35" i="12" a="1"/>
  <c r="AC35" i="12" s="1"/>
  <c r="AK35" i="12" a="1"/>
  <c r="AK35" i="12" s="1"/>
  <c r="AR35" i="12" a="1"/>
  <c r="AR35" i="12" s="1"/>
  <c r="AG35" i="12" a="1"/>
  <c r="AG35" i="12" s="1"/>
  <c r="AS35" i="12" a="1"/>
  <c r="AS35" i="12" s="1"/>
  <c r="AH35" i="12" a="1"/>
  <c r="AH35" i="12" s="1"/>
  <c r="AT35" i="12" a="1"/>
  <c r="AT35" i="12" s="1"/>
  <c r="AI35" i="12" a="1"/>
  <c r="AI35" i="12" s="1"/>
  <c r="AU35" i="12" a="1"/>
  <c r="AU35" i="12" s="1"/>
  <c r="AE35" i="12" a="1"/>
  <c r="AE35" i="12" s="1"/>
  <c r="AM35" i="12" a="1"/>
  <c r="AM35" i="12" s="1"/>
  <c r="AN35" i="12" a="1"/>
  <c r="AN35" i="12" s="1"/>
  <c r="AV35" i="12" a="1"/>
  <c r="AV35" i="12" s="1"/>
  <c r="AL35" i="12" a="1"/>
  <c r="AL35" i="12" s="1"/>
  <c r="AW35" i="12" a="1"/>
  <c r="AW35" i="12" s="1"/>
  <c r="AD35" i="12" a="1"/>
  <c r="AD35" i="12" s="1"/>
  <c r="AO35" i="12" a="1"/>
  <c r="AO35" i="12" s="1"/>
  <c r="AU39" i="4" a="1"/>
  <c r="AU39" i="4" s="1"/>
  <c r="AS39" i="4" a="1"/>
  <c r="AS39" i="4" s="1"/>
  <c r="AZ39" i="4" a="1"/>
  <c r="AZ39" i="4" s="1"/>
  <c r="BF39" i="4" a="1"/>
  <c r="BF39" i="4" s="1"/>
  <c r="AT39" i="4" a="1"/>
  <c r="AT39" i="4" s="1"/>
  <c r="BA39" i="4" a="1"/>
  <c r="BA39" i="4" s="1"/>
  <c r="BG39" i="4" a="1"/>
  <c r="BG39" i="4" s="1"/>
  <c r="BB39" i="4" a="1"/>
  <c r="BB39" i="4" s="1"/>
  <c r="BH39" i="4" a="1"/>
  <c r="BH39" i="4" s="1"/>
  <c r="AR39" i="4" a="1"/>
  <c r="AR39" i="4" s="1"/>
  <c r="BD39" i="4" a="1"/>
  <c r="BD39" i="4" s="1"/>
  <c r="AV39" i="4" a="1"/>
  <c r="AV39" i="4" s="1"/>
  <c r="BE39" i="4" a="1"/>
  <c r="BE39" i="4" s="1"/>
  <c r="AW39" i="4" a="1"/>
  <c r="AW39" i="4" s="1"/>
  <c r="AX39" i="4" a="1"/>
  <c r="AX39" i="4" s="1"/>
  <c r="BI39" i="4" a="1"/>
  <c r="BI39" i="4" s="1"/>
  <c r="BJ39" i="4" a="1"/>
  <c r="BJ39" i="4" s="1"/>
  <c r="BK39" i="4" a="1"/>
  <c r="BK39" i="4" s="1"/>
  <c r="AP39" i="4" a="1"/>
  <c r="AP39" i="4" s="1"/>
  <c r="AY39" i="4" a="1"/>
  <c r="AY39" i="4" s="1"/>
  <c r="BC39" i="4" a="1"/>
  <c r="BC39" i="4" s="1"/>
  <c r="AQ39" i="4" a="1"/>
  <c r="AQ39" i="4" s="1"/>
  <c r="AE39" i="12" a="1"/>
  <c r="AE39" i="12" s="1"/>
  <c r="AK39" i="12" a="1"/>
  <c r="AK39" i="12" s="1"/>
  <c r="AQ39" i="12" a="1"/>
  <c r="AQ39" i="12" s="1"/>
  <c r="AW39" i="12" a="1"/>
  <c r="AW39" i="12" s="1"/>
  <c r="AL39" i="12" a="1"/>
  <c r="AL39" i="12" s="1"/>
  <c r="AF39" i="12" a="1"/>
  <c r="AF39" i="12" s="1"/>
  <c r="AM39" i="12" a="1"/>
  <c r="AM39" i="12" s="1"/>
  <c r="AR39" i="12" a="1"/>
  <c r="AR39" i="12" s="1"/>
  <c r="AJ39" i="12" a="1"/>
  <c r="AJ39" i="12" s="1"/>
  <c r="AU39" i="12" a="1"/>
  <c r="AU39" i="12" s="1"/>
  <c r="AB39" i="12" a="1"/>
  <c r="AB39" i="12" s="1"/>
  <c r="AC39" i="12" a="1"/>
  <c r="AC39" i="12" s="1"/>
  <c r="AN39" i="12" a="1"/>
  <c r="AN39" i="12" s="1"/>
  <c r="AV39" i="12" a="1"/>
  <c r="AV39" i="12" s="1"/>
  <c r="AT39" i="12" a="1"/>
  <c r="AT39" i="12" s="1"/>
  <c r="AG39" i="12" a="1"/>
  <c r="AG39" i="12" s="1"/>
  <c r="AH39" i="12" a="1"/>
  <c r="AH39" i="12" s="1"/>
  <c r="AD39" i="12" a="1"/>
  <c r="AD39" i="12" s="1"/>
  <c r="AO39" i="12" a="1"/>
  <c r="AO39" i="12" s="1"/>
  <c r="AP39" i="12" a="1"/>
  <c r="AP39" i="12" s="1"/>
  <c r="AS39" i="12" a="1"/>
  <c r="AS39" i="12" s="1"/>
  <c r="AI39" i="12" a="1"/>
  <c r="AI39" i="12" s="1"/>
  <c r="AT43" i="4" a="1"/>
  <c r="AT43" i="4" s="1"/>
  <c r="AZ43" i="4" a="1"/>
  <c r="AZ43" i="4" s="1"/>
  <c r="BG43" i="4" a="1"/>
  <c r="BG43" i="4" s="1"/>
  <c r="AU43" i="4" a="1"/>
  <c r="AU43" i="4" s="1"/>
  <c r="BA43" i="4" a="1"/>
  <c r="BA43" i="4" s="1"/>
  <c r="BH43" i="4" a="1"/>
  <c r="BH43" i="4" s="1"/>
  <c r="AV43" i="4" a="1"/>
  <c r="AV43" i="4" s="1"/>
  <c r="BB43" i="4" a="1"/>
  <c r="BB43" i="4" s="1"/>
  <c r="BI43" i="4" a="1"/>
  <c r="BI43" i="4" s="1"/>
  <c r="AS43" i="4" a="1"/>
  <c r="AS43" i="4" s="1"/>
  <c r="BC43" i="4" a="1"/>
  <c r="BC43" i="4" s="1"/>
  <c r="BD43" i="4" a="1"/>
  <c r="BD43" i="4" s="1"/>
  <c r="AW43" i="4" a="1"/>
  <c r="AW43" i="4" s="1"/>
  <c r="BE43" i="4" a="1"/>
  <c r="BE43" i="4" s="1"/>
  <c r="BF43" i="4" a="1"/>
  <c r="BF43" i="4" s="1"/>
  <c r="BJ43" i="4" a="1"/>
  <c r="BJ43" i="4" s="1"/>
  <c r="AP43" i="4" a="1"/>
  <c r="AP43" i="4" s="1"/>
  <c r="AQ43" i="4" a="1"/>
  <c r="AQ43" i="4" s="1"/>
  <c r="BK43" i="4" a="1"/>
  <c r="BK43" i="4" s="1"/>
  <c r="AY43" i="4" a="1"/>
  <c r="AY43" i="4" s="1"/>
  <c r="AR43" i="4" a="1"/>
  <c r="AR43" i="4" s="1"/>
  <c r="AG43" i="12" a="1"/>
  <c r="AG43" i="12" s="1"/>
  <c r="AN43" i="12" a="1"/>
  <c r="AN43" i="12" s="1"/>
  <c r="AU43" i="12" a="1"/>
  <c r="AU43" i="12" s="1"/>
  <c r="AJ43" i="12" a="1"/>
  <c r="AJ43" i="12" s="1"/>
  <c r="AC43" i="12" a="1"/>
  <c r="AC43" i="12" s="1"/>
  <c r="AK43" i="12" a="1"/>
  <c r="AK43" i="12" s="1"/>
  <c r="AR43" i="12" a="1"/>
  <c r="AR43" i="12" s="1"/>
  <c r="AX43" i="4" a="1"/>
  <c r="AX43" i="4" s="1"/>
  <c r="AD43" i="12" a="1"/>
  <c r="AD43" i="12" s="1"/>
  <c r="AL43" i="12" a="1"/>
  <c r="AL43" i="12" s="1"/>
  <c r="AS43" i="12" a="1"/>
  <c r="AS43" i="12" s="1"/>
  <c r="AB43" i="12" a="1"/>
  <c r="AB43" i="12" s="1"/>
  <c r="AI43" i="12" a="1"/>
  <c r="AI43" i="12" s="1"/>
  <c r="AQ43" i="12" a="1"/>
  <c r="AQ43" i="12" s="1"/>
  <c r="AO43" i="12" a="1"/>
  <c r="AO43" i="12" s="1"/>
  <c r="AE43" i="12" a="1"/>
  <c r="AE43" i="12" s="1"/>
  <c r="AT43" i="12" a="1"/>
  <c r="AT43" i="12" s="1"/>
  <c r="AM43" i="12" a="1"/>
  <c r="AM43" i="12" s="1"/>
  <c r="AV43" i="12" a="1"/>
  <c r="AV43" i="12" s="1"/>
  <c r="AF43" i="12" a="1"/>
  <c r="AF43" i="12" s="1"/>
  <c r="AH43" i="12" a="1"/>
  <c r="AH43" i="12" s="1"/>
  <c r="AW43" i="12" a="1"/>
  <c r="AW43" i="12" s="1"/>
  <c r="AP43" i="12" a="1"/>
  <c r="AP43" i="12" s="1"/>
  <c r="AT47" i="4" a="1"/>
  <c r="AT47" i="4" s="1"/>
  <c r="BB47" i="4" a="1"/>
  <c r="BB47" i="4" s="1"/>
  <c r="AV47" i="4" a="1"/>
  <c r="AV47" i="4" s="1"/>
  <c r="BE47" i="4" a="1"/>
  <c r="BE47" i="4" s="1"/>
  <c r="AW47" i="4" a="1"/>
  <c r="AW47" i="4" s="1"/>
  <c r="BF47" i="4" a="1"/>
  <c r="BF47" i="4" s="1"/>
  <c r="AP47" i="4" a="1"/>
  <c r="AP47" i="4" s="1"/>
  <c r="AX47" i="4" a="1"/>
  <c r="AX47" i="4" s="1"/>
  <c r="BG47" i="4" a="1"/>
  <c r="BG47" i="4" s="1"/>
  <c r="AY47" i="4" a="1"/>
  <c r="AY47" i="4" s="1"/>
  <c r="BK47" i="4" a="1"/>
  <c r="BK47" i="4" s="1"/>
  <c r="AZ47" i="4" a="1"/>
  <c r="AZ47" i="4" s="1"/>
  <c r="BA47" i="4" a="1"/>
  <c r="BA47" i="4" s="1"/>
  <c r="AR47" i="4" a="1"/>
  <c r="AR47" i="4" s="1"/>
  <c r="BH47" i="4" a="1"/>
  <c r="BH47" i="4" s="1"/>
  <c r="BI47" i="4" a="1"/>
  <c r="BI47" i="4" s="1"/>
  <c r="BJ47" i="4" a="1"/>
  <c r="BJ47" i="4" s="1"/>
  <c r="AQ47" i="4" a="1"/>
  <c r="AQ47" i="4" s="1"/>
  <c r="BC47" i="4" a="1"/>
  <c r="BC47" i="4" s="1"/>
  <c r="AU47" i="4" a="1"/>
  <c r="AU47" i="4" s="1"/>
  <c r="BD47" i="4" a="1"/>
  <c r="BD47" i="4" s="1"/>
  <c r="AS47" i="4" a="1"/>
  <c r="AS47" i="4" s="1"/>
  <c r="AF47" i="12" a="1"/>
  <c r="AF47" i="12" s="1"/>
  <c r="AL47" i="12" a="1"/>
  <c r="AL47" i="12" s="1"/>
  <c r="AS47" i="12" a="1"/>
  <c r="AS47" i="12" s="1"/>
  <c r="AG47" i="12" a="1"/>
  <c r="AG47" i="12" s="1"/>
  <c r="AM47" i="12" a="1"/>
  <c r="AM47" i="12" s="1"/>
  <c r="AT47" i="12" a="1"/>
  <c r="AT47" i="12" s="1"/>
  <c r="AH47" i="12" a="1"/>
  <c r="AH47" i="12" s="1"/>
  <c r="AN47" i="12" a="1"/>
  <c r="AN47" i="12" s="1"/>
  <c r="AU47" i="12" a="1"/>
  <c r="AU47" i="12" s="1"/>
  <c r="AE47" i="12" a="1"/>
  <c r="AE47" i="12" s="1"/>
  <c r="AK47" i="12" a="1"/>
  <c r="AK47" i="12" s="1"/>
  <c r="AR47" i="12" a="1"/>
  <c r="AR47" i="12" s="1"/>
  <c r="AV47" i="12" a="1"/>
  <c r="AV47" i="12" s="1"/>
  <c r="AJ47" i="12" a="1"/>
  <c r="AJ47" i="12" s="1"/>
  <c r="AW47" i="12" a="1"/>
  <c r="AW47" i="12" s="1"/>
  <c r="AI47" i="12" a="1"/>
  <c r="AI47" i="12" s="1"/>
  <c r="AO47" i="12" a="1"/>
  <c r="AO47" i="12" s="1"/>
  <c r="AD47" i="12" a="1"/>
  <c r="AD47" i="12" s="1"/>
  <c r="AP47" i="12" a="1"/>
  <c r="AP47" i="12" s="1"/>
  <c r="AB47" i="12" a="1"/>
  <c r="AB47" i="12" s="1"/>
  <c r="AQ47" i="12" a="1"/>
  <c r="AQ47" i="12" s="1"/>
  <c r="AC47" i="12" a="1"/>
  <c r="AC47" i="12" s="1"/>
  <c r="BA51" i="4" a="1"/>
  <c r="BA51" i="4" s="1"/>
  <c r="BG51" i="4" a="1"/>
  <c r="BG51" i="4" s="1"/>
  <c r="AU51" i="4" a="1"/>
  <c r="AU51" i="4" s="1"/>
  <c r="BB51" i="4" a="1"/>
  <c r="BB51" i="4" s="1"/>
  <c r="BH51" i="4" a="1"/>
  <c r="BH51" i="4" s="1"/>
  <c r="AP51" i="4" a="1"/>
  <c r="AP51" i="4" s="1"/>
  <c r="BC51" i="4" a="1"/>
  <c r="BC51" i="4" s="1"/>
  <c r="BI51" i="4" a="1"/>
  <c r="BI51" i="4" s="1"/>
  <c r="AQ51" i="4" a="1"/>
  <c r="AQ51" i="4" s="1"/>
  <c r="AZ51" i="4" a="1"/>
  <c r="AZ51" i="4" s="1"/>
  <c r="AR51" i="4" a="1"/>
  <c r="AR51" i="4" s="1"/>
  <c r="AS51" i="4" a="1"/>
  <c r="AS51" i="4" s="1"/>
  <c r="BD51" i="4" a="1"/>
  <c r="BD51" i="4" s="1"/>
  <c r="AW51" i="4" a="1"/>
  <c r="AW51" i="4" s="1"/>
  <c r="BJ51" i="4" a="1"/>
  <c r="BJ51" i="4" s="1"/>
  <c r="BK51" i="4" a="1"/>
  <c r="BK51" i="4" s="1"/>
  <c r="AT51" i="4" a="1"/>
  <c r="AT51" i="4" s="1"/>
  <c r="BE51" i="4" a="1"/>
  <c r="BE51" i="4" s="1"/>
  <c r="AY51" i="4" a="1"/>
  <c r="AY51" i="4" s="1"/>
  <c r="BF51" i="4" a="1"/>
  <c r="BF51" i="4" s="1"/>
  <c r="AX51" i="4" a="1"/>
  <c r="AX51" i="4" s="1"/>
  <c r="AE51" i="12" a="1"/>
  <c r="AE51" i="12" s="1"/>
  <c r="AL51" i="12" a="1"/>
  <c r="AL51" i="12" s="1"/>
  <c r="AS51" i="12" a="1"/>
  <c r="AS51" i="12" s="1"/>
  <c r="AF51" i="12" a="1"/>
  <c r="AF51" i="12" s="1"/>
  <c r="AM51" i="12" a="1"/>
  <c r="AM51" i="12" s="1"/>
  <c r="AT51" i="12" a="1"/>
  <c r="AT51" i="12" s="1"/>
  <c r="AN51" i="12" a="1"/>
  <c r="AN51" i="12" s="1"/>
  <c r="AU51" i="12" a="1"/>
  <c r="AU51" i="12" s="1"/>
  <c r="AV51" i="4" a="1"/>
  <c r="AV51" i="4" s="1"/>
  <c r="AD51" i="12" a="1"/>
  <c r="AD51" i="12" s="1"/>
  <c r="AK51" i="12" a="1"/>
  <c r="AK51" i="12" s="1"/>
  <c r="AR51" i="12" a="1"/>
  <c r="AR51" i="12" s="1"/>
  <c r="AP51" i="12" a="1"/>
  <c r="AP51" i="12" s="1"/>
  <c r="AB51" i="12" a="1"/>
  <c r="AB51" i="12" s="1"/>
  <c r="AQ51" i="12" a="1"/>
  <c r="AQ51" i="12" s="1"/>
  <c r="AG51" i="12" a="1"/>
  <c r="AG51" i="12" s="1"/>
  <c r="AV51" i="12" a="1"/>
  <c r="AV51" i="12" s="1"/>
  <c r="AO51" i="12" a="1"/>
  <c r="AO51" i="12" s="1"/>
  <c r="AH51" i="12" a="1"/>
  <c r="AH51" i="12" s="1"/>
  <c r="AI51" i="12" a="1"/>
  <c r="AI51" i="12" s="1"/>
  <c r="AJ51" i="12" a="1"/>
  <c r="AJ51" i="12" s="1"/>
  <c r="AW51" i="12" a="1"/>
  <c r="AW51" i="12" s="1"/>
  <c r="AC51" i="12" a="1"/>
  <c r="AC51" i="12" s="1"/>
  <c r="AX55" i="4" a="1"/>
  <c r="AX55" i="4" s="1"/>
  <c r="BD55" i="4" a="1"/>
  <c r="BD55" i="4" s="1"/>
  <c r="BK55" i="4" a="1"/>
  <c r="BK55" i="4" s="1"/>
  <c r="AR55" i="4" a="1"/>
  <c r="AR55" i="4" s="1"/>
  <c r="AY55" i="4" a="1"/>
  <c r="AY55" i="4" s="1"/>
  <c r="AS55" i="4" a="1"/>
  <c r="AS55" i="4" s="1"/>
  <c r="AZ55" i="4" a="1"/>
  <c r="AZ55" i="4" s="1"/>
  <c r="BE55" i="4" a="1"/>
  <c r="BE55" i="4" s="1"/>
  <c r="AT55" i="4" a="1"/>
  <c r="AT55" i="4" s="1"/>
  <c r="BC55" i="4" a="1"/>
  <c r="BC55" i="4" s="1"/>
  <c r="AU55" i="4" a="1"/>
  <c r="AU55" i="4" s="1"/>
  <c r="BF55" i="4" a="1"/>
  <c r="BF55" i="4" s="1"/>
  <c r="BI55" i="4" a="1"/>
  <c r="BI55" i="4" s="1"/>
  <c r="AP55" i="4" a="1"/>
  <c r="AP55" i="4" s="1"/>
  <c r="BJ55" i="4" a="1"/>
  <c r="BJ55" i="4" s="1"/>
  <c r="AQ55" i="4" a="1"/>
  <c r="AQ55" i="4" s="1"/>
  <c r="AV55" i="4" a="1"/>
  <c r="AV55" i="4" s="1"/>
  <c r="BG55" i="4" a="1"/>
  <c r="BG55" i="4" s="1"/>
  <c r="BB55" i="4" a="1"/>
  <c r="BB55" i="4" s="1"/>
  <c r="BH55" i="4" a="1"/>
  <c r="BH55" i="4" s="1"/>
  <c r="BA55" i="4" a="1"/>
  <c r="BA55" i="4" s="1"/>
  <c r="AL55" i="12" a="1"/>
  <c r="AL55" i="12" s="1"/>
  <c r="AS55" i="12" a="1"/>
  <c r="AS55" i="12" s="1"/>
  <c r="AF55" i="12" a="1"/>
  <c r="AF55" i="12" s="1"/>
  <c r="AM55" i="12" a="1"/>
  <c r="AM55" i="12" s="1"/>
  <c r="AT55" i="12" a="1"/>
  <c r="AT55" i="12" s="1"/>
  <c r="AG55" i="12" a="1"/>
  <c r="AG55" i="12" s="1"/>
  <c r="AN55" i="12" a="1"/>
  <c r="AN55" i="12" s="1"/>
  <c r="AU55" i="12" a="1"/>
  <c r="AU55" i="12" s="1"/>
  <c r="AW55" i="4" a="1"/>
  <c r="AW55" i="4" s="1"/>
  <c r="AE55" i="12" a="1"/>
  <c r="AE55" i="12" s="1"/>
  <c r="AK55" i="12" a="1"/>
  <c r="AK55" i="12" s="1"/>
  <c r="AR55" i="12" a="1"/>
  <c r="AR55" i="12" s="1"/>
  <c r="AI55" i="12" a="1"/>
  <c r="AI55" i="12" s="1"/>
  <c r="AW55" i="12" a="1"/>
  <c r="AW55" i="12" s="1"/>
  <c r="AH55" i="12" a="1"/>
  <c r="AH55" i="12" s="1"/>
  <c r="AV55" i="12" a="1"/>
  <c r="AV55" i="12" s="1"/>
  <c r="AB55" i="12" a="1"/>
  <c r="AB55" i="12" s="1"/>
  <c r="AP55" i="12" a="1"/>
  <c r="AP55" i="12" s="1"/>
  <c r="AC55" i="12" a="1"/>
  <c r="AC55" i="12" s="1"/>
  <c r="AJ55" i="12" a="1"/>
  <c r="AJ55" i="12" s="1"/>
  <c r="AO55" i="12" a="1"/>
  <c r="AO55" i="12" s="1"/>
  <c r="AQ55" i="12" a="1"/>
  <c r="AQ55" i="12" s="1"/>
  <c r="AD55" i="12" a="1"/>
  <c r="AD55" i="12" s="1"/>
  <c r="AQ59" i="4" a="1"/>
  <c r="AQ59" i="4" s="1"/>
  <c r="AX59" i="4" a="1"/>
  <c r="AX59" i="4" s="1"/>
  <c r="BD59" i="4" a="1"/>
  <c r="BD59" i="4" s="1"/>
  <c r="BI59" i="4" a="1"/>
  <c r="BI59" i="4" s="1"/>
  <c r="AR59" i="4" a="1"/>
  <c r="AR59" i="4" s="1"/>
  <c r="AY59" i="4" a="1"/>
  <c r="AY59" i="4" s="1"/>
  <c r="BJ59" i="4" a="1"/>
  <c r="BJ59" i="4" s="1"/>
  <c r="AZ59" i="4" a="1"/>
  <c r="AZ59" i="4" s="1"/>
  <c r="BE59" i="4" a="1"/>
  <c r="BE59" i="4" s="1"/>
  <c r="BK59" i="4" a="1"/>
  <c r="BK59" i="4" s="1"/>
  <c r="AU59" i="4" a="1"/>
  <c r="AU59" i="4" s="1"/>
  <c r="BB59" i="4" a="1"/>
  <c r="BB59" i="4" s="1"/>
  <c r="AV59" i="4" a="1"/>
  <c r="AV59" i="4" s="1"/>
  <c r="BH59" i="4" a="1"/>
  <c r="BH59" i="4" s="1"/>
  <c r="AW59" i="4" a="1"/>
  <c r="AW59" i="4" s="1"/>
  <c r="AS59" i="4" a="1"/>
  <c r="AS59" i="4" s="1"/>
  <c r="BF59" i="4" a="1"/>
  <c r="BF59" i="4" s="1"/>
  <c r="AP59" i="4" a="1"/>
  <c r="AP59" i="4" s="1"/>
  <c r="AT59" i="4" a="1"/>
  <c r="AT59" i="4" s="1"/>
  <c r="BA59" i="4" a="1"/>
  <c r="BA59" i="4" s="1"/>
  <c r="AF59" i="12" a="1"/>
  <c r="AF59" i="12" s="1"/>
  <c r="AM59" i="12" a="1"/>
  <c r="AM59" i="12" s="1"/>
  <c r="AS59" i="12" a="1"/>
  <c r="AS59" i="12" s="1"/>
  <c r="AT59" i="12" a="1"/>
  <c r="AT59" i="12" s="1"/>
  <c r="AG59" i="12" a="1"/>
  <c r="AG59" i="12" s="1"/>
  <c r="AN59" i="12" a="1"/>
  <c r="AN59" i="12" s="1"/>
  <c r="AU59" i="12" a="1"/>
  <c r="AU59" i="12" s="1"/>
  <c r="BG59" i="4" a="1"/>
  <c r="BG59" i="4" s="1"/>
  <c r="AE59" i="12" a="1"/>
  <c r="AE59" i="12" s="1"/>
  <c r="AL59" i="12" a="1"/>
  <c r="AL59" i="12" s="1"/>
  <c r="AR59" i="12" a="1"/>
  <c r="AR59" i="12" s="1"/>
  <c r="AP59" i="12" a="1"/>
  <c r="AP59" i="12" s="1"/>
  <c r="AC59" i="12" a="1"/>
  <c r="AC59" i="12" s="1"/>
  <c r="AQ59" i="12" a="1"/>
  <c r="AQ59" i="12" s="1"/>
  <c r="AH59" i="12" a="1"/>
  <c r="AH59" i="12" s="1"/>
  <c r="AV59" i="12" a="1"/>
  <c r="AV59" i="12" s="1"/>
  <c r="AB59" i="12" a="1"/>
  <c r="AB59" i="12" s="1"/>
  <c r="AO59" i="12" a="1"/>
  <c r="AO59" i="12" s="1"/>
  <c r="BC59" i="4" a="1"/>
  <c r="BC59" i="4" s="1"/>
  <c r="AW59" i="12" a="1"/>
  <c r="AW59" i="12" s="1"/>
  <c r="AD59" i="12" a="1"/>
  <c r="AD59" i="12" s="1"/>
  <c r="AI59" i="12" a="1"/>
  <c r="AI59" i="12" s="1"/>
  <c r="AK59" i="12" a="1"/>
  <c r="AK59" i="12" s="1"/>
  <c r="AJ59" i="12" a="1"/>
  <c r="AJ59" i="12" s="1"/>
  <c r="AQ63" i="4" a="1"/>
  <c r="AQ63" i="4" s="1"/>
  <c r="BC63" i="4" a="1"/>
  <c r="BC63" i="4" s="1"/>
  <c r="BI63" i="4" a="1"/>
  <c r="BI63" i="4" s="1"/>
  <c r="AW63" i="4" a="1"/>
  <c r="AW63" i="4" s="1"/>
  <c r="BD63" i="4" a="1"/>
  <c r="BD63" i="4" s="1"/>
  <c r="BJ63" i="4" a="1"/>
  <c r="BJ63" i="4" s="1"/>
  <c r="AR63" i="4" a="1"/>
  <c r="AR63" i="4" s="1"/>
  <c r="AX63" i="4" a="1"/>
  <c r="AX63" i="4" s="1"/>
  <c r="BE63" i="4" a="1"/>
  <c r="BE63" i="4" s="1"/>
  <c r="BK63" i="4" a="1"/>
  <c r="BK63" i="4" s="1"/>
  <c r="BA63" i="4" a="1"/>
  <c r="BA63" i="4" s="1"/>
  <c r="BG63" i="4" a="1"/>
  <c r="BG63" i="4" s="1"/>
  <c r="AU63" i="4" a="1"/>
  <c r="AU63" i="4" s="1"/>
  <c r="AV63" i="4" a="1"/>
  <c r="AV63" i="4" s="1"/>
  <c r="BH63" i="4" a="1"/>
  <c r="BH63" i="4" s="1"/>
  <c r="AY63" i="4" a="1"/>
  <c r="AY63" i="4" s="1"/>
  <c r="AS63" i="4" a="1"/>
  <c r="AS63" i="4" s="1"/>
  <c r="BF63" i="4" a="1"/>
  <c r="BF63" i="4" s="1"/>
  <c r="BB63" i="4" a="1"/>
  <c r="BB63" i="4" s="1"/>
  <c r="AF63" i="12" a="1"/>
  <c r="AF63" i="12" s="1"/>
  <c r="AM63" i="12" a="1"/>
  <c r="AM63" i="12" s="1"/>
  <c r="AP63" i="4" a="1"/>
  <c r="AP63" i="4" s="1"/>
  <c r="AG63" i="12" a="1"/>
  <c r="AG63" i="12" s="1"/>
  <c r="AN63" i="12" a="1"/>
  <c r="AN63" i="12" s="1"/>
  <c r="AS63" i="12" a="1"/>
  <c r="AS63" i="12" s="1"/>
  <c r="AH63" i="12" a="1"/>
  <c r="AH63" i="12" s="1"/>
  <c r="AT63" i="4" a="1"/>
  <c r="AT63" i="4" s="1"/>
  <c r="AZ63" i="4" a="1"/>
  <c r="AZ63" i="4" s="1"/>
  <c r="AE63" i="12" a="1"/>
  <c r="AE63" i="12" s="1"/>
  <c r="AL63" i="12" a="1"/>
  <c r="AL63" i="12" s="1"/>
  <c r="AR63" i="12" a="1"/>
  <c r="AR63" i="12" s="1"/>
  <c r="AU63" i="12" a="1"/>
  <c r="AU63" i="12" s="1"/>
  <c r="AJ63" i="12" a="1"/>
  <c r="AJ63" i="12" s="1"/>
  <c r="AV63" i="12" a="1"/>
  <c r="AV63" i="12" s="1"/>
  <c r="AO63" i="12" a="1"/>
  <c r="AO63" i="12" s="1"/>
  <c r="AI63" i="12" a="1"/>
  <c r="AI63" i="12" s="1"/>
  <c r="AT63" i="12" a="1"/>
  <c r="AT63" i="12" s="1"/>
  <c r="AP63" i="12" a="1"/>
  <c r="AP63" i="12" s="1"/>
  <c r="AW63" i="12" a="1"/>
  <c r="AW63" i="12" s="1"/>
  <c r="AB63" i="12" a="1"/>
  <c r="AB63" i="12" s="1"/>
  <c r="AQ63" i="12" a="1"/>
  <c r="AQ63" i="12" s="1"/>
  <c r="AC63" i="12" a="1"/>
  <c r="AC63" i="12" s="1"/>
  <c r="AD63" i="12" a="1"/>
  <c r="AD63" i="12" s="1"/>
  <c r="AK63" i="12" a="1"/>
  <c r="AK63" i="12" s="1"/>
  <c r="AV67" i="4" a="1"/>
  <c r="AV67" i="4" s="1"/>
  <c r="BA67" i="4" a="1"/>
  <c r="BA67" i="4" s="1"/>
  <c r="BG67" i="4" a="1"/>
  <c r="BG67" i="4" s="1"/>
  <c r="AQ67" i="4" a="1"/>
  <c r="AQ67" i="4" s="1"/>
  <c r="BB67" i="4" a="1"/>
  <c r="BB67" i="4" s="1"/>
  <c r="BH67" i="4" a="1"/>
  <c r="BH67" i="4" s="1"/>
  <c r="AR67" i="4" a="1"/>
  <c r="AR67" i="4" s="1"/>
  <c r="AW67" i="4" a="1"/>
  <c r="AW67" i="4" s="1"/>
  <c r="BC67" i="4" a="1"/>
  <c r="BC67" i="4" s="1"/>
  <c r="BI67" i="4" a="1"/>
  <c r="BI67" i="4" s="1"/>
  <c r="AP67" i="4" a="1"/>
  <c r="AP67" i="4" s="1"/>
  <c r="AY67" i="4" a="1"/>
  <c r="AY67" i="4" s="1"/>
  <c r="BJ67" i="4" a="1"/>
  <c r="BJ67" i="4" s="1"/>
  <c r="BK67" i="4" a="1"/>
  <c r="BK67" i="4" s="1"/>
  <c r="AU67" i="4" a="1"/>
  <c r="AU67" i="4" s="1"/>
  <c r="BE67" i="4" a="1"/>
  <c r="BE67" i="4" s="1"/>
  <c r="BF67" i="4" a="1"/>
  <c r="BF67" i="4" s="1"/>
  <c r="AS67" i="4" a="1"/>
  <c r="AS67" i="4" s="1"/>
  <c r="BD67" i="4" a="1"/>
  <c r="BD67" i="4" s="1"/>
  <c r="AG67" i="12" a="1"/>
  <c r="AG67" i="12" s="1"/>
  <c r="AL67" i="12" a="1"/>
  <c r="AL67" i="12" s="1"/>
  <c r="AQ67" i="12" a="1"/>
  <c r="AQ67" i="12" s="1"/>
  <c r="AW67" i="12" a="1"/>
  <c r="AW67" i="12" s="1"/>
  <c r="AT67" i="4" a="1"/>
  <c r="AT67" i="4" s="1"/>
  <c r="AB67" i="12" a="1"/>
  <c r="AB67" i="12" s="1"/>
  <c r="AR67" i="12" a="1"/>
  <c r="AR67" i="12" s="1"/>
  <c r="AC67" i="12" a="1"/>
  <c r="AC67" i="12" s="1"/>
  <c r="AH67" i="12" a="1"/>
  <c r="AH67" i="12" s="1"/>
  <c r="AM67" i="12" a="1"/>
  <c r="AM67" i="12" s="1"/>
  <c r="AS67" i="12" a="1"/>
  <c r="AS67" i="12" s="1"/>
  <c r="AX67" i="4" a="1"/>
  <c r="AX67" i="4" s="1"/>
  <c r="AZ67" i="4" a="1"/>
  <c r="AZ67" i="4" s="1"/>
  <c r="AK67" i="12" a="1"/>
  <c r="AK67" i="12" s="1"/>
  <c r="AT67" i="12" a="1"/>
  <c r="AT67" i="12" s="1"/>
  <c r="AD67" i="12" a="1"/>
  <c r="AD67" i="12" s="1"/>
  <c r="AE67" i="12" a="1"/>
  <c r="AE67" i="12" s="1"/>
  <c r="AO67" i="12" a="1"/>
  <c r="AO67" i="12" s="1"/>
  <c r="AV67" i="12" a="1"/>
  <c r="AV67" i="12" s="1"/>
  <c r="AJ67" i="12" a="1"/>
  <c r="AJ67" i="12" s="1"/>
  <c r="AF67" i="12" a="1"/>
  <c r="AF67" i="12" s="1"/>
  <c r="AN67" i="12" a="1"/>
  <c r="AN67" i="12" s="1"/>
  <c r="AI67" i="12" a="1"/>
  <c r="AI67" i="12" s="1"/>
  <c r="AP67" i="12" a="1"/>
  <c r="AP67" i="12" s="1"/>
  <c r="AU67" i="12" a="1"/>
  <c r="AU67" i="12" s="1"/>
  <c r="BD71" i="4" a="1"/>
  <c r="BD71" i="4" s="1"/>
  <c r="BJ71" i="4" a="1"/>
  <c r="BJ71" i="4" s="1"/>
  <c r="AS71" i="4" a="1"/>
  <c r="AS71" i="4" s="1"/>
  <c r="AY71" i="4" a="1"/>
  <c r="AY71" i="4" s="1"/>
  <c r="BE71" i="4" a="1"/>
  <c r="BE71" i="4" s="1"/>
  <c r="AT71" i="4" a="1"/>
  <c r="AT71" i="4" s="1"/>
  <c r="BF71" i="4" a="1"/>
  <c r="BF71" i="4" s="1"/>
  <c r="BK71" i="4" a="1"/>
  <c r="BK71" i="4" s="1"/>
  <c r="AP71" i="4" a="1"/>
  <c r="AP71" i="4" s="1"/>
  <c r="AW71" i="4" a="1"/>
  <c r="AW71" i="4" s="1"/>
  <c r="AX71" i="4" a="1"/>
  <c r="AX71" i="4" s="1"/>
  <c r="BH71" i="4" a="1"/>
  <c r="BH71" i="4" s="1"/>
  <c r="AQ71" i="4" a="1"/>
  <c r="AQ71" i="4" s="1"/>
  <c r="AZ71" i="4" a="1"/>
  <c r="AZ71" i="4" s="1"/>
  <c r="AV71" i="4" a="1"/>
  <c r="AV71" i="4" s="1"/>
  <c r="BC71" i="4" a="1"/>
  <c r="BC71" i="4" s="1"/>
  <c r="AU71" i="4" a="1"/>
  <c r="AU71" i="4" s="1"/>
  <c r="AR71" i="4" a="1"/>
  <c r="AR71" i="4" s="1"/>
  <c r="BI71" i="4" a="1"/>
  <c r="BI71" i="4" s="1"/>
  <c r="AD71" i="12" a="1"/>
  <c r="AD71" i="12" s="1"/>
  <c r="AJ71" i="12" a="1"/>
  <c r="AJ71" i="12" s="1"/>
  <c r="AU71" i="12" a="1"/>
  <c r="AU71" i="12" s="1"/>
  <c r="AE71" i="12" a="1"/>
  <c r="AE71" i="12" s="1"/>
  <c r="AK71" i="12" a="1"/>
  <c r="AK71" i="12" s="1"/>
  <c r="AP71" i="12" a="1"/>
  <c r="AP71" i="12" s="1"/>
  <c r="BA71" i="4" a="1"/>
  <c r="BA71" i="4" s="1"/>
  <c r="BG71" i="4" a="1"/>
  <c r="BG71" i="4" s="1"/>
  <c r="AC71" i="12" a="1"/>
  <c r="AC71" i="12" s="1"/>
  <c r="AL71" i="12" a="1"/>
  <c r="AL71" i="12" s="1"/>
  <c r="AS71" i="12" a="1"/>
  <c r="AS71" i="12" s="1"/>
  <c r="AT71" i="12" a="1"/>
  <c r="AT71" i="12" s="1"/>
  <c r="AB71" i="12" a="1"/>
  <c r="AB71" i="12" s="1"/>
  <c r="AI71" i="12" a="1"/>
  <c r="AI71" i="12" s="1"/>
  <c r="AR71" i="12" a="1"/>
  <c r="AR71" i="12" s="1"/>
  <c r="AN71" i="12" a="1"/>
  <c r="AN71" i="12" s="1"/>
  <c r="AO71" i="12" a="1"/>
  <c r="AO71" i="12" s="1"/>
  <c r="BB71" i="4" a="1"/>
  <c r="BB71" i="4" s="1"/>
  <c r="AF71" i="12" a="1"/>
  <c r="AF71" i="12" s="1"/>
  <c r="AV71" i="12" a="1"/>
  <c r="AV71" i="12" s="1"/>
  <c r="AW71" i="12" a="1"/>
  <c r="AW71" i="12" s="1"/>
  <c r="AQ71" i="12" a="1"/>
  <c r="AQ71" i="12" s="1"/>
  <c r="AG71" i="12" a="1"/>
  <c r="AG71" i="12" s="1"/>
  <c r="AH71" i="12" a="1"/>
  <c r="AH71" i="12" s="1"/>
  <c r="AM71" i="12" a="1"/>
  <c r="AM71" i="12" s="1"/>
  <c r="AQ75" i="4" a="1"/>
  <c r="AQ75" i="4" s="1"/>
  <c r="AX75" i="4" a="1"/>
  <c r="AX75" i="4" s="1"/>
  <c r="BC75" i="4" a="1"/>
  <c r="BC75" i="4" s="1"/>
  <c r="BI75" i="4" a="1"/>
  <c r="BI75" i="4" s="1"/>
  <c r="AR75" i="4" a="1"/>
  <c r="AR75" i="4" s="1"/>
  <c r="BD75" i="4" a="1"/>
  <c r="BD75" i="4" s="1"/>
  <c r="BJ75" i="4" a="1"/>
  <c r="BJ75" i="4" s="1"/>
  <c r="AS75" i="4" a="1"/>
  <c r="AS75" i="4" s="1"/>
  <c r="AY75" i="4" a="1"/>
  <c r="AY75" i="4" s="1"/>
  <c r="BE75" i="4" a="1"/>
  <c r="BE75" i="4" s="1"/>
  <c r="BK75" i="4" a="1"/>
  <c r="BK75" i="4" s="1"/>
  <c r="AT75" i="4" a="1"/>
  <c r="AT75" i="4" s="1"/>
  <c r="BA75" i="4" a="1"/>
  <c r="BA75" i="4" s="1"/>
  <c r="BB75" i="4" a="1"/>
  <c r="BB75" i="4" s="1"/>
  <c r="AU75" i="4" a="1"/>
  <c r="AU75" i="4" s="1"/>
  <c r="BF75" i="4" a="1"/>
  <c r="BF75" i="4" s="1"/>
  <c r="AZ75" i="4" a="1"/>
  <c r="AZ75" i="4" s="1"/>
  <c r="BH75" i="4" a="1"/>
  <c r="BH75" i="4" s="1"/>
  <c r="AW75" i="4" a="1"/>
  <c r="AW75" i="4" s="1"/>
  <c r="AV75" i="4" a="1"/>
  <c r="AV75" i="4" s="1"/>
  <c r="BG75" i="4" a="1"/>
  <c r="BG75" i="4" s="1"/>
  <c r="AP75" i="4" a="1"/>
  <c r="AP75" i="4" s="1"/>
  <c r="AG75" i="12" a="1"/>
  <c r="AG75" i="12" s="1"/>
  <c r="AS75" i="12" a="1"/>
  <c r="AS75" i="12" s="1"/>
  <c r="AB75" i="12" a="1"/>
  <c r="AB75" i="12" s="1"/>
  <c r="AN75" i="12" a="1"/>
  <c r="AN75" i="12" s="1"/>
  <c r="AT75" i="12" a="1"/>
  <c r="AT75" i="12" s="1"/>
  <c r="AF75" i="12" a="1"/>
  <c r="AF75" i="12" s="1"/>
  <c r="AV75" i="12" a="1"/>
  <c r="AV75" i="12" s="1"/>
  <c r="AP75" i="12" a="1"/>
  <c r="AP75" i="12" s="1"/>
  <c r="AQ75" i="12" a="1"/>
  <c r="AQ75" i="12" s="1"/>
  <c r="AD75" i="12" a="1"/>
  <c r="AD75" i="12" s="1"/>
  <c r="AE75" i="12" a="1"/>
  <c r="AE75" i="12" s="1"/>
  <c r="AU75" i="12" a="1"/>
  <c r="AU75" i="12" s="1"/>
  <c r="AO75" i="12" a="1"/>
  <c r="AO75" i="12" s="1"/>
  <c r="AW75" i="12" a="1"/>
  <c r="AW75" i="12" s="1"/>
  <c r="AI75" i="12" a="1"/>
  <c r="AI75" i="12" s="1"/>
  <c r="AJ75" i="12" a="1"/>
  <c r="AJ75" i="12" s="1"/>
  <c r="AK75" i="12" a="1"/>
  <c r="AK75" i="12" s="1"/>
  <c r="AH75" i="12" a="1"/>
  <c r="AH75" i="12" s="1"/>
  <c r="AC75" i="12" a="1"/>
  <c r="AC75" i="12" s="1"/>
  <c r="AR75" i="12" a="1"/>
  <c r="AR75" i="12" s="1"/>
  <c r="AL75" i="12" a="1"/>
  <c r="AL75" i="12" s="1"/>
  <c r="AM75" i="12" a="1"/>
  <c r="AM75" i="12" s="1"/>
  <c r="AQ79" i="4" a="1"/>
  <c r="AQ79" i="4" s="1"/>
  <c r="BC79" i="4" a="1"/>
  <c r="BC79" i="4" s="1"/>
  <c r="BI79" i="4" a="1"/>
  <c r="BI79" i="4" s="1"/>
  <c r="AW79" i="4" a="1"/>
  <c r="AW79" i="4" s="1"/>
  <c r="BD79" i="4" a="1"/>
  <c r="BD79" i="4" s="1"/>
  <c r="BJ79" i="4" a="1"/>
  <c r="BJ79" i="4" s="1"/>
  <c r="AR79" i="4" a="1"/>
  <c r="AR79" i="4" s="1"/>
  <c r="AX79" i="4" a="1"/>
  <c r="AX79" i="4" s="1"/>
  <c r="BE79" i="4" a="1"/>
  <c r="BE79" i="4" s="1"/>
  <c r="AY79" i="4" a="1"/>
  <c r="AY79" i="4" s="1"/>
  <c r="BH79" i="4" a="1"/>
  <c r="BH79" i="4" s="1"/>
  <c r="AZ79" i="4" a="1"/>
  <c r="AZ79" i="4" s="1"/>
  <c r="AP79" i="4" a="1"/>
  <c r="AP79" i="4" s="1"/>
  <c r="BK79" i="4" a="1"/>
  <c r="BK79" i="4" s="1"/>
  <c r="AU79" i="4" a="1"/>
  <c r="AU79" i="4" s="1"/>
  <c r="BF79" i="4" a="1"/>
  <c r="BF79" i="4" s="1"/>
  <c r="BG79" i="4" a="1"/>
  <c r="BG79" i="4" s="1"/>
  <c r="BB79" i="4" a="1"/>
  <c r="BB79" i="4" s="1"/>
  <c r="AS79" i="4" a="1"/>
  <c r="AS79" i="4" s="1"/>
  <c r="AT79" i="4" a="1"/>
  <c r="AT79" i="4" s="1"/>
  <c r="AV79" i="4" a="1"/>
  <c r="AV79" i="4" s="1"/>
  <c r="BA79" i="4" a="1"/>
  <c r="BA79" i="4" s="1"/>
  <c r="AE79" i="12" a="1"/>
  <c r="AE79" i="12" s="1"/>
  <c r="AL79" i="12" a="1"/>
  <c r="AL79" i="12" s="1"/>
  <c r="AR79" i="12" a="1"/>
  <c r="AR79" i="12" s="1"/>
  <c r="AD79" i="12" a="1"/>
  <c r="AD79" i="12" s="1"/>
  <c r="AM79" i="12" a="1"/>
  <c r="AM79" i="12" s="1"/>
  <c r="AT79" i="12" a="1"/>
  <c r="AT79" i="12" s="1"/>
  <c r="AH79" i="12" a="1"/>
  <c r="AH79" i="12" s="1"/>
  <c r="AW79" i="12" a="1"/>
  <c r="AW79" i="12" s="1"/>
  <c r="AJ79" i="12" a="1"/>
  <c r="AJ79" i="12" s="1"/>
  <c r="AU79" i="12" a="1"/>
  <c r="AU79" i="12" s="1"/>
  <c r="AB79" i="12" a="1"/>
  <c r="AB79" i="12" s="1"/>
  <c r="AP79" i="12" a="1"/>
  <c r="AP79" i="12" s="1"/>
  <c r="AF79" i="12" a="1"/>
  <c r="AF79" i="12" s="1"/>
  <c r="AN79" i="12" a="1"/>
  <c r="AN79" i="12" s="1"/>
  <c r="AV79" i="12" a="1"/>
  <c r="AV79" i="12" s="1"/>
  <c r="AG79" i="12" a="1"/>
  <c r="AG79" i="12" s="1"/>
  <c r="AO79" i="12" a="1"/>
  <c r="AO79" i="12" s="1"/>
  <c r="AI79" i="12" a="1"/>
  <c r="AI79" i="12" s="1"/>
  <c r="AQ79" i="12" a="1"/>
  <c r="AQ79" i="12" s="1"/>
  <c r="AC79" i="12" a="1"/>
  <c r="AC79" i="12" s="1"/>
  <c r="AK79" i="12" a="1"/>
  <c r="AK79" i="12" s="1"/>
  <c r="AS79" i="12" a="1"/>
  <c r="AS79" i="12" s="1"/>
  <c r="AV83" i="4" a="1"/>
  <c r="AV83" i="4" s="1"/>
  <c r="BA83" i="4" a="1"/>
  <c r="BA83" i="4" s="1"/>
  <c r="BG83" i="4" a="1"/>
  <c r="BG83" i="4" s="1"/>
  <c r="AQ83" i="4" a="1"/>
  <c r="AQ83" i="4" s="1"/>
  <c r="AW83" i="4" a="1"/>
  <c r="AW83" i="4" s="1"/>
  <c r="AT83" i="4" a="1"/>
  <c r="AT83" i="4" s="1"/>
  <c r="BB83" i="4" a="1"/>
  <c r="BB83" i="4" s="1"/>
  <c r="BH83" i="4" a="1"/>
  <c r="BH83" i="4" s="1"/>
  <c r="AU83" i="4" a="1"/>
  <c r="AU83" i="4" s="1"/>
  <c r="AR83" i="4" a="1"/>
  <c r="AR83" i="4" s="1"/>
  <c r="BE83" i="4" a="1"/>
  <c r="BE83" i="4" s="1"/>
  <c r="BK83" i="4" a="1"/>
  <c r="BK83" i="4" s="1"/>
  <c r="AP83" i="4" a="1"/>
  <c r="AP83" i="4" s="1"/>
  <c r="AS83" i="4" a="1"/>
  <c r="AS83" i="4" s="1"/>
  <c r="BF83" i="4" a="1"/>
  <c r="BF83" i="4" s="1"/>
  <c r="AX83" i="4" a="1"/>
  <c r="AX83" i="4" s="1"/>
  <c r="BI83" i="4" a="1"/>
  <c r="BI83" i="4" s="1"/>
  <c r="BD83" i="4" a="1"/>
  <c r="BD83" i="4" s="1"/>
  <c r="BC83" i="4" a="1"/>
  <c r="BC83" i="4" s="1"/>
  <c r="BJ83" i="4" a="1"/>
  <c r="BJ83" i="4" s="1"/>
  <c r="AZ83" i="4" a="1"/>
  <c r="AZ83" i="4" s="1"/>
  <c r="AE83" i="12" a="1"/>
  <c r="AE83" i="12" s="1"/>
  <c r="AK83" i="12" a="1"/>
  <c r="AK83" i="12" s="1"/>
  <c r="AY83" i="4" a="1"/>
  <c r="AY83" i="4" s="1"/>
  <c r="AB83" i="12" a="1"/>
  <c r="AB83" i="12" s="1"/>
  <c r="AI83" i="12" a="1"/>
  <c r="AI83" i="12" s="1"/>
  <c r="AQ83" i="12" a="1"/>
  <c r="AQ83" i="12" s="1"/>
  <c r="AM83" i="12" a="1"/>
  <c r="AM83" i="12" s="1"/>
  <c r="AG83" i="12" a="1"/>
  <c r="AG83" i="12" s="1"/>
  <c r="AC83" i="12" a="1"/>
  <c r="AC83" i="12" s="1"/>
  <c r="AJ83" i="12" a="1"/>
  <c r="AJ83" i="12" s="1"/>
  <c r="AR83" i="12" a="1"/>
  <c r="AR83" i="12" s="1"/>
  <c r="AW83" i="12" a="1"/>
  <c r="AW83" i="12" s="1"/>
  <c r="AS83" i="12" a="1"/>
  <c r="AS83" i="12" s="1"/>
  <c r="AT83" i="12" a="1"/>
  <c r="AT83" i="12" s="1"/>
  <c r="AU83" i="12" a="1"/>
  <c r="AU83" i="12" s="1"/>
  <c r="AD83" i="12" a="1"/>
  <c r="AD83" i="12" s="1"/>
  <c r="AL83" i="12" a="1"/>
  <c r="AL83" i="12" s="1"/>
  <c r="AF83" i="12" a="1"/>
  <c r="AF83" i="12" s="1"/>
  <c r="AN83" i="12" a="1"/>
  <c r="AN83" i="12" s="1"/>
  <c r="AO83" i="12" a="1"/>
  <c r="AO83" i="12" s="1"/>
  <c r="AH83" i="12" a="1"/>
  <c r="AH83" i="12" s="1"/>
  <c r="AP83" i="12" a="1"/>
  <c r="AP83" i="12" s="1"/>
  <c r="AV83" i="12" a="1"/>
  <c r="AV83" i="12" s="1"/>
  <c r="AR87" i="4" a="1"/>
  <c r="AR87" i="4" s="1"/>
  <c r="AW87" i="4" a="1"/>
  <c r="AW87" i="4" s="1"/>
  <c r="BC87" i="4" a="1"/>
  <c r="BC87" i="4" s="1"/>
  <c r="BH87" i="4" a="1"/>
  <c r="BH87" i="4" s="1"/>
  <c r="AP87" i="4" a="1"/>
  <c r="AP87" i="4" s="1"/>
  <c r="AV87" i="4" a="1"/>
  <c r="AV87" i="4" s="1"/>
  <c r="BB87" i="4" a="1"/>
  <c r="BB87" i="4" s="1"/>
  <c r="BI87" i="4" a="1"/>
  <c r="BI87" i="4" s="1"/>
  <c r="AQ87" i="4" a="1"/>
  <c r="AQ87" i="4" s="1"/>
  <c r="BD87" i="4" a="1"/>
  <c r="BD87" i="4" s="1"/>
  <c r="BJ87" i="4" a="1"/>
  <c r="BJ87" i="4" s="1"/>
  <c r="AX87" i="4" a="1"/>
  <c r="AX87" i="4" s="1"/>
  <c r="AU87" i="4" a="1"/>
  <c r="AU87" i="4" s="1"/>
  <c r="BG87" i="4" a="1"/>
  <c r="BG87" i="4" s="1"/>
  <c r="AT87" i="4" a="1"/>
  <c r="AT87" i="4" s="1"/>
  <c r="BK87" i="4" a="1"/>
  <c r="BK87" i="4" s="1"/>
  <c r="AS87" i="4" a="1"/>
  <c r="AS87" i="4" s="1"/>
  <c r="BF87" i="4" a="1"/>
  <c r="BF87" i="4" s="1"/>
  <c r="AY87" i="4" a="1"/>
  <c r="AY87" i="4" s="1"/>
  <c r="AZ87" i="4" a="1"/>
  <c r="AZ87" i="4" s="1"/>
  <c r="BA87" i="4" a="1"/>
  <c r="BA87" i="4" s="1"/>
  <c r="BE87" i="4" a="1"/>
  <c r="BE87" i="4" s="1"/>
  <c r="AD87" i="12" a="1"/>
  <c r="AD87" i="12" s="1"/>
  <c r="AQ87" i="12" a="1"/>
  <c r="AQ87" i="12" s="1"/>
  <c r="AW87" i="12" a="1"/>
  <c r="AW87" i="12" s="1"/>
  <c r="AF87" i="12" a="1"/>
  <c r="AF87" i="12" s="1"/>
  <c r="AG87" i="12" a="1"/>
  <c r="AG87" i="12" s="1"/>
  <c r="AH87" i="12" a="1"/>
  <c r="AH87" i="12" s="1"/>
  <c r="AO87" i="12" a="1"/>
  <c r="AO87" i="12" s="1"/>
  <c r="AE87" i="12" a="1"/>
  <c r="AE87" i="12" s="1"/>
  <c r="AJ87" i="12" a="1"/>
  <c r="AJ87" i="12" s="1"/>
  <c r="AL87" i="12" a="1"/>
  <c r="AL87" i="12" s="1"/>
  <c r="AM87" i="12" a="1"/>
  <c r="AM87" i="12" s="1"/>
  <c r="AU87" i="12" a="1"/>
  <c r="AU87" i="12" s="1"/>
  <c r="AK87" i="12" a="1"/>
  <c r="AK87" i="12" s="1"/>
  <c r="AR87" i="12" a="1"/>
  <c r="AR87" i="12" s="1"/>
  <c r="AS87" i="12" a="1"/>
  <c r="AS87" i="12" s="1"/>
  <c r="AN87" i="12" a="1"/>
  <c r="AN87" i="12" s="1"/>
  <c r="AT87" i="12" a="1"/>
  <c r="AT87" i="12" s="1"/>
  <c r="AB87" i="12" a="1"/>
  <c r="AB87" i="12" s="1"/>
  <c r="AC87" i="12" a="1"/>
  <c r="AC87" i="12" s="1"/>
  <c r="AI87" i="12" a="1"/>
  <c r="AI87" i="12" s="1"/>
  <c r="AP87" i="12" a="1"/>
  <c r="AP87" i="12" s="1"/>
  <c r="AV87" i="12" a="1"/>
  <c r="AV87" i="12" s="1"/>
  <c r="AT20" i="4" a="1"/>
  <c r="AT20" i="4" s="1"/>
  <c r="BA20" i="4" a="1"/>
  <c r="BA20" i="4" s="1"/>
  <c r="BI20" i="4" a="1"/>
  <c r="BI20" i="4" s="1"/>
  <c r="AU20" i="4" a="1"/>
  <c r="AU20" i="4" s="1"/>
  <c r="BB20" i="4" a="1"/>
  <c r="BB20" i="4" s="1"/>
  <c r="BJ20" i="4" a="1"/>
  <c r="BJ20" i="4" s="1"/>
  <c r="AV20" i="4" a="1"/>
  <c r="AV20" i="4" s="1"/>
  <c r="BC20" i="4" a="1"/>
  <c r="BC20" i="4" s="1"/>
  <c r="BK20" i="4" a="1"/>
  <c r="BK20" i="4" s="1"/>
  <c r="AQ20" i="4" a="1"/>
  <c r="AQ20" i="4" s="1"/>
  <c r="AX20" i="4" a="1"/>
  <c r="AX20" i="4" s="1"/>
  <c r="BF20" i="4" a="1"/>
  <c r="BF20" i="4" s="1"/>
  <c r="AZ20" i="4" a="1"/>
  <c r="AZ20" i="4" s="1"/>
  <c r="BD20" i="4" a="1"/>
  <c r="BD20" i="4" s="1"/>
  <c r="AP20" i="4" a="1"/>
  <c r="AP20" i="4" s="1"/>
  <c r="BE20" i="4" a="1"/>
  <c r="BE20" i="4" s="1"/>
  <c r="AR20" i="4" a="1"/>
  <c r="AR20" i="4" s="1"/>
  <c r="BG20" i="4" a="1"/>
  <c r="BG20" i="4" s="1"/>
  <c r="BH20" i="4" a="1"/>
  <c r="BH20" i="4" s="1"/>
  <c r="AW20" i="4" a="1"/>
  <c r="AW20" i="4" s="1"/>
  <c r="AY20" i="4" a="1"/>
  <c r="AY20" i="4" s="1"/>
  <c r="AD20" i="12" a="1"/>
  <c r="AD20" i="12" s="1"/>
  <c r="AK20" i="12" a="1"/>
  <c r="AK20" i="12" s="1"/>
  <c r="AQ20" i="12" a="1"/>
  <c r="AQ20" i="12" s="1"/>
  <c r="AL20" i="12" a="1"/>
  <c r="AL20" i="12" s="1"/>
  <c r="AR20" i="12" a="1"/>
  <c r="AR20" i="12" s="1"/>
  <c r="AE20" i="12" a="1"/>
  <c r="AE20" i="12" s="1"/>
  <c r="AM20" i="12" a="1"/>
  <c r="AM20" i="12" s="1"/>
  <c r="AS20" i="12" a="1"/>
  <c r="AS20" i="12" s="1"/>
  <c r="AS20" i="4" a="1"/>
  <c r="AS20" i="4" s="1"/>
  <c r="AB20" i="12" a="1"/>
  <c r="AB20" i="12" s="1"/>
  <c r="AI20" i="12" a="1"/>
  <c r="AI20" i="12" s="1"/>
  <c r="AP20" i="12" a="1"/>
  <c r="AP20" i="12" s="1"/>
  <c r="AV20" i="12" a="1"/>
  <c r="AV20" i="12" s="1"/>
  <c r="AH20" i="12" a="1"/>
  <c r="AH20" i="12" s="1"/>
  <c r="AU20" i="12" a="1"/>
  <c r="AU20" i="12" s="1"/>
  <c r="AJ20" i="12" a="1"/>
  <c r="AJ20" i="12" s="1"/>
  <c r="AW20" i="12" a="1"/>
  <c r="AW20" i="12" s="1"/>
  <c r="AN20" i="12" a="1"/>
  <c r="AN20" i="12" s="1"/>
  <c r="AG20" i="12" a="1"/>
  <c r="AG20" i="12" s="1"/>
  <c r="AT20" i="12" a="1"/>
  <c r="AT20" i="12" s="1"/>
  <c r="AF20" i="12" a="1"/>
  <c r="AF20" i="12" s="1"/>
  <c r="AO20" i="12" a="1"/>
  <c r="AO20" i="12" s="1"/>
  <c r="AC20" i="12" a="1"/>
  <c r="AC20" i="12" s="1"/>
  <c r="AQ40" i="4" a="1"/>
  <c r="AQ40" i="4" s="1"/>
  <c r="AX40" i="4" a="1"/>
  <c r="AX40" i="4" s="1"/>
  <c r="BD40" i="4" a="1"/>
  <c r="BD40" i="4" s="1"/>
  <c r="BK40" i="4" a="1"/>
  <c r="BK40" i="4" s="1"/>
  <c r="AR40" i="4" a="1"/>
  <c r="AR40" i="4" s="1"/>
  <c r="AY40" i="4" a="1"/>
  <c r="AY40" i="4" s="1"/>
  <c r="AS40" i="4" a="1"/>
  <c r="AS40" i="4" s="1"/>
  <c r="BE40" i="4" a="1"/>
  <c r="BE40" i="4" s="1"/>
  <c r="AT40" i="4" a="1"/>
  <c r="AT40" i="4" s="1"/>
  <c r="BB40" i="4" a="1"/>
  <c r="BB40" i="4" s="1"/>
  <c r="AU40" i="4" a="1"/>
  <c r="AU40" i="4" s="1"/>
  <c r="BC40" i="4" a="1"/>
  <c r="BC40" i="4" s="1"/>
  <c r="BF40" i="4" a="1"/>
  <c r="BF40" i="4" s="1"/>
  <c r="AV40" i="4" a="1"/>
  <c r="AV40" i="4" s="1"/>
  <c r="BG40" i="4" a="1"/>
  <c r="BG40" i="4" s="1"/>
  <c r="BH40" i="4" a="1"/>
  <c r="BH40" i="4" s="1"/>
  <c r="BI40" i="4" a="1"/>
  <c r="BI40" i="4" s="1"/>
  <c r="BJ40" i="4" a="1"/>
  <c r="BJ40" i="4" s="1"/>
  <c r="AZ40" i="4" a="1"/>
  <c r="AZ40" i="4" s="1"/>
  <c r="AP40" i="4" a="1"/>
  <c r="AP40" i="4" s="1"/>
  <c r="AM40" i="12" a="1"/>
  <c r="AM40" i="12" s="1"/>
  <c r="AB40" i="12" a="1"/>
  <c r="AB40" i="12" s="1"/>
  <c r="AC40" i="12" a="1"/>
  <c r="AC40" i="12" s="1"/>
  <c r="BA40" i="4" a="1"/>
  <c r="BA40" i="4" s="1"/>
  <c r="AW40" i="4" a="1"/>
  <c r="AW40" i="4" s="1"/>
  <c r="AH40" i="12" a="1"/>
  <c r="AH40" i="12" s="1"/>
  <c r="AO40" i="12" a="1"/>
  <c r="AO40" i="12" s="1"/>
  <c r="AV40" i="12" a="1"/>
  <c r="AV40" i="12" s="1"/>
  <c r="AW40" i="12" a="1"/>
  <c r="AW40" i="12" s="1"/>
  <c r="AI40" i="12" a="1"/>
  <c r="AI40" i="12" s="1"/>
  <c r="AP40" i="12" a="1"/>
  <c r="AP40" i="12" s="1"/>
  <c r="AG40" i="12" a="1"/>
  <c r="AG40" i="12" s="1"/>
  <c r="AN40" i="12" a="1"/>
  <c r="AN40" i="12" s="1"/>
  <c r="AU40" i="12" a="1"/>
  <c r="AU40" i="12" s="1"/>
  <c r="AD40" i="12" a="1"/>
  <c r="AD40" i="12" s="1"/>
  <c r="AR40" i="12" a="1"/>
  <c r="AR40" i="12" s="1"/>
  <c r="AE40" i="12" a="1"/>
  <c r="AE40" i="12" s="1"/>
  <c r="AS40" i="12" a="1"/>
  <c r="AS40" i="12" s="1"/>
  <c r="AJ40" i="12" a="1"/>
  <c r="AJ40" i="12" s="1"/>
  <c r="AQ40" i="12" a="1"/>
  <c r="AQ40" i="12" s="1"/>
  <c r="AF40" i="12" a="1"/>
  <c r="AF40" i="12" s="1"/>
  <c r="AK40" i="12" a="1"/>
  <c r="AK40" i="12" s="1"/>
  <c r="AL40" i="12" a="1"/>
  <c r="AL40" i="12" s="1"/>
  <c r="AT40" i="12" a="1"/>
  <c r="AT40" i="12" s="1"/>
  <c r="AT60" i="4" a="1"/>
  <c r="AT60" i="4" s="1"/>
  <c r="AZ60" i="4" a="1"/>
  <c r="AZ60" i="4" s="1"/>
  <c r="BG60" i="4" a="1"/>
  <c r="BG60" i="4" s="1"/>
  <c r="BA60" i="4" a="1"/>
  <c r="BA60" i="4" s="1"/>
  <c r="BH60" i="4" a="1"/>
  <c r="BH60" i="4" s="1"/>
  <c r="AU60" i="4" a="1"/>
  <c r="AU60" i="4" s="1"/>
  <c r="BB60" i="4" a="1"/>
  <c r="BB60" i="4" s="1"/>
  <c r="BI60" i="4" a="1"/>
  <c r="BI60" i="4" s="1"/>
  <c r="AQ60" i="4" a="1"/>
  <c r="AQ60" i="4" s="1"/>
  <c r="AW60" i="4" a="1"/>
  <c r="AW60" i="4" s="1"/>
  <c r="AX60" i="4" a="1"/>
  <c r="AX60" i="4" s="1"/>
  <c r="BK60" i="4" a="1"/>
  <c r="BK60" i="4" s="1"/>
  <c r="AY60" i="4" a="1"/>
  <c r="AY60" i="4" s="1"/>
  <c r="BC60" i="4" a="1"/>
  <c r="BC60" i="4" s="1"/>
  <c r="AV60" i="4" a="1"/>
  <c r="AV60" i="4" s="1"/>
  <c r="AS60" i="4" a="1"/>
  <c r="AS60" i="4" s="1"/>
  <c r="BD60" i="4" a="1"/>
  <c r="BD60" i="4" s="1"/>
  <c r="AR60" i="4" a="1"/>
  <c r="AR60" i="4" s="1"/>
  <c r="AP60" i="4" a="1"/>
  <c r="AP60" i="4" s="1"/>
  <c r="AD60" i="12" a="1"/>
  <c r="AD60" i="12" s="1"/>
  <c r="AQ60" i="12" a="1"/>
  <c r="AQ60" i="12" s="1"/>
  <c r="BE60" i="4" a="1"/>
  <c r="BE60" i="4" s="1"/>
  <c r="AE60" i="12" a="1"/>
  <c r="AE60" i="12" s="1"/>
  <c r="AL60" i="12" a="1"/>
  <c r="AL60" i="12" s="1"/>
  <c r="AR60" i="12" a="1"/>
  <c r="AR60" i="12" s="1"/>
  <c r="BF60" i="4" a="1"/>
  <c r="BF60" i="4" s="1"/>
  <c r="AF60" i="12" a="1"/>
  <c r="AF60" i="12" s="1"/>
  <c r="AS60" i="12" a="1"/>
  <c r="AS60" i="12" s="1"/>
  <c r="BJ60" i="4" a="1"/>
  <c r="BJ60" i="4" s="1"/>
  <c r="AC60" i="12" a="1"/>
  <c r="AC60" i="12" s="1"/>
  <c r="AK60" i="12" a="1"/>
  <c r="AK60" i="12" s="1"/>
  <c r="AH60" i="12" a="1"/>
  <c r="AH60" i="12" s="1"/>
  <c r="AU60" i="12" a="1"/>
  <c r="AU60" i="12" s="1"/>
  <c r="AI60" i="12" a="1"/>
  <c r="AI60" i="12" s="1"/>
  <c r="AV60" i="12" a="1"/>
  <c r="AV60" i="12" s="1"/>
  <c r="AM60" i="12" a="1"/>
  <c r="AM60" i="12" s="1"/>
  <c r="AG60" i="12" a="1"/>
  <c r="AG60" i="12" s="1"/>
  <c r="AT60" i="12" a="1"/>
  <c r="AT60" i="12" s="1"/>
  <c r="AP60" i="12" a="1"/>
  <c r="AP60" i="12" s="1"/>
  <c r="AJ60" i="12" a="1"/>
  <c r="AJ60" i="12" s="1"/>
  <c r="AO60" i="12" a="1"/>
  <c r="AO60" i="12" s="1"/>
  <c r="AB60" i="12" a="1"/>
  <c r="AB60" i="12" s="1"/>
  <c r="AN60" i="12" a="1"/>
  <c r="AN60" i="12" s="1"/>
  <c r="AW60" i="12" a="1"/>
  <c r="AW60" i="12" s="1"/>
  <c r="AP84" i="4" a="1"/>
  <c r="AP84" i="4" s="1"/>
  <c r="AU84" i="4" a="1"/>
  <c r="AU84" i="4" s="1"/>
  <c r="BA84" i="4" a="1"/>
  <c r="BA84" i="4" s="1"/>
  <c r="BK84" i="4" a="1"/>
  <c r="BK84" i="4" s="1"/>
  <c r="AQ84" i="4" a="1"/>
  <c r="AQ84" i="4" s="1"/>
  <c r="AW84" i="4" a="1"/>
  <c r="AW84" i="4" s="1"/>
  <c r="BC84" i="4" a="1"/>
  <c r="BC84" i="4" s="1"/>
  <c r="AR84" i="4" a="1"/>
  <c r="AR84" i="4" s="1"/>
  <c r="AX84" i="4" a="1"/>
  <c r="AX84" i="4" s="1"/>
  <c r="BD84" i="4" a="1"/>
  <c r="BD84" i="4" s="1"/>
  <c r="BJ84" i="4" a="1"/>
  <c r="BJ84" i="4" s="1"/>
  <c r="AY84" i="4" a="1"/>
  <c r="AY84" i="4" s="1"/>
  <c r="AV84" i="4" a="1"/>
  <c r="AV84" i="4" s="1"/>
  <c r="BB84" i="4" a="1"/>
  <c r="BB84" i="4" s="1"/>
  <c r="BH84" i="4" a="1"/>
  <c r="BH84" i="4" s="1"/>
  <c r="AT84" i="4" a="1"/>
  <c r="AT84" i="4" s="1"/>
  <c r="BG84" i="4" a="1"/>
  <c r="BG84" i="4" s="1"/>
  <c r="BI84" i="4" a="1"/>
  <c r="BI84" i="4" s="1"/>
  <c r="AZ84" i="4" a="1"/>
  <c r="AZ84" i="4" s="1"/>
  <c r="BF84" i="4" a="1"/>
  <c r="BF84" i="4" s="1"/>
  <c r="BE84" i="4" a="1"/>
  <c r="BE84" i="4" s="1"/>
  <c r="AS84" i="4" a="1"/>
  <c r="AS84" i="4" s="1"/>
  <c r="AH84" i="12" a="1"/>
  <c r="AH84" i="12" s="1"/>
  <c r="AM84" i="12" a="1"/>
  <c r="AM84" i="12" s="1"/>
  <c r="AT84" i="12" a="1"/>
  <c r="AT84" i="12" s="1"/>
  <c r="AV84" i="12" a="1"/>
  <c r="AV84" i="12" s="1"/>
  <c r="AJ84" i="12" a="1"/>
  <c r="AJ84" i="12" s="1"/>
  <c r="AE84" i="12" a="1"/>
  <c r="AE84" i="12" s="1"/>
  <c r="AF84" i="12" a="1"/>
  <c r="AF84" i="12" s="1"/>
  <c r="AN84" i="12" a="1"/>
  <c r="AN84" i="12" s="1"/>
  <c r="AU84" i="12" a="1"/>
  <c r="AU84" i="12" s="1"/>
  <c r="AP84" i="12" a="1"/>
  <c r="AP84" i="12" s="1"/>
  <c r="AQ84" i="12" a="1"/>
  <c r="AQ84" i="12" s="1"/>
  <c r="AR84" i="12" a="1"/>
  <c r="AR84" i="12" s="1"/>
  <c r="AB84" i="12" a="1"/>
  <c r="AB84" i="12" s="1"/>
  <c r="AI84" i="12" a="1"/>
  <c r="AI84" i="12" s="1"/>
  <c r="AO84" i="12" a="1"/>
  <c r="AO84" i="12" s="1"/>
  <c r="AC84" i="12" a="1"/>
  <c r="AC84" i="12" s="1"/>
  <c r="AD84" i="12" a="1"/>
  <c r="AD84" i="12" s="1"/>
  <c r="AW84" i="12" a="1"/>
  <c r="AW84" i="12" s="1"/>
  <c r="AK84" i="12" a="1"/>
  <c r="AK84" i="12" s="1"/>
  <c r="AS84" i="12" a="1"/>
  <c r="AS84" i="12" s="1"/>
  <c r="AG84" i="12" a="1"/>
  <c r="AG84" i="12" s="1"/>
  <c r="AL84" i="12" a="1"/>
  <c r="AL84" i="12" s="1"/>
  <c r="AS29" i="4" a="1"/>
  <c r="AS29" i="4" s="1"/>
  <c r="AY29" i="4" a="1"/>
  <c r="AY29" i="4" s="1"/>
  <c r="BK29" i="4" a="1"/>
  <c r="BK29" i="4" s="1"/>
  <c r="BB29" i="4" a="1"/>
  <c r="BB29" i="4" s="1"/>
  <c r="AR29" i="4" a="1"/>
  <c r="AR29" i="4" s="1"/>
  <c r="BA29" i="4" a="1"/>
  <c r="BA29" i="4" s="1"/>
  <c r="BI29" i="4" a="1"/>
  <c r="BI29" i="4" s="1"/>
  <c r="AT29" i="4" a="1"/>
  <c r="AT29" i="4" s="1"/>
  <c r="BJ29" i="4" a="1"/>
  <c r="BJ29" i="4" s="1"/>
  <c r="AU29" i="4" a="1"/>
  <c r="AU29" i="4" s="1"/>
  <c r="BC29" i="4" a="1"/>
  <c r="BC29" i="4" s="1"/>
  <c r="AQ29" i="4" a="1"/>
  <c r="AQ29" i="4" s="1"/>
  <c r="BE29" i="4" a="1"/>
  <c r="BE29" i="4" s="1"/>
  <c r="BF29" i="4" a="1"/>
  <c r="BF29" i="4" s="1"/>
  <c r="AV29" i="4" a="1"/>
  <c r="AV29" i="4" s="1"/>
  <c r="BG29" i="4" a="1"/>
  <c r="BG29" i="4" s="1"/>
  <c r="AW29" i="4" a="1"/>
  <c r="AW29" i="4" s="1"/>
  <c r="BH29" i="4" a="1"/>
  <c r="BH29" i="4" s="1"/>
  <c r="AX29" i="4" a="1"/>
  <c r="AX29" i="4" s="1"/>
  <c r="AZ29" i="4" a="1"/>
  <c r="AZ29" i="4" s="1"/>
  <c r="AQ29" i="12" a="1"/>
  <c r="AQ29" i="12" s="1"/>
  <c r="AF29" i="12" a="1"/>
  <c r="AF29" i="12" s="1"/>
  <c r="AK29" i="12" a="1"/>
  <c r="AK29" i="12" s="1"/>
  <c r="AR29" i="12" a="1"/>
  <c r="AR29" i="12" s="1"/>
  <c r="AW29" i="12" a="1"/>
  <c r="AW29" i="12" s="1"/>
  <c r="AL29" i="12" a="1"/>
  <c r="AL29" i="12" s="1"/>
  <c r="BD29" i="4" a="1"/>
  <c r="BD29" i="4" s="1"/>
  <c r="AP29" i="12" a="1"/>
  <c r="AP29" i="12" s="1"/>
  <c r="AH29" i="12" a="1"/>
  <c r="AH29" i="12" s="1"/>
  <c r="AS29" i="12" a="1"/>
  <c r="AS29" i="12" s="1"/>
  <c r="AB29" i="12" a="1"/>
  <c r="AB29" i="12" s="1"/>
  <c r="AI29" i="12" a="1"/>
  <c r="AI29" i="12" s="1"/>
  <c r="AP29" i="4" a="1"/>
  <c r="AP29" i="4" s="1"/>
  <c r="AG29" i="12" a="1"/>
  <c r="AG29" i="12" s="1"/>
  <c r="AO29" i="12" a="1"/>
  <c r="AO29" i="12" s="1"/>
  <c r="AE29" i="12" a="1"/>
  <c r="AE29" i="12" s="1"/>
  <c r="AJ29" i="12" a="1"/>
  <c r="AJ29" i="12" s="1"/>
  <c r="AM29" i="12" a="1"/>
  <c r="AM29" i="12" s="1"/>
  <c r="AD29" i="12" a="1"/>
  <c r="AD29" i="12" s="1"/>
  <c r="AV29" i="12" a="1"/>
  <c r="AV29" i="12" s="1"/>
  <c r="AN29" i="12" a="1"/>
  <c r="AN29" i="12" s="1"/>
  <c r="AC29" i="12" a="1"/>
  <c r="AC29" i="12" s="1"/>
  <c r="AT29" i="12" a="1"/>
  <c r="AT29" i="12" s="1"/>
  <c r="AU29" i="12" a="1"/>
  <c r="AU29" i="12" s="1"/>
  <c r="AS53" i="4" a="1"/>
  <c r="AS53" i="4" s="1"/>
  <c r="AZ53" i="4" a="1"/>
  <c r="AZ53" i="4" s="1"/>
  <c r="AT53" i="4" a="1"/>
  <c r="AT53" i="4" s="1"/>
  <c r="BA53" i="4" a="1"/>
  <c r="BA53" i="4" s="1"/>
  <c r="BG53" i="4" a="1"/>
  <c r="BG53" i="4" s="1"/>
  <c r="AU53" i="4" a="1"/>
  <c r="AU53" i="4" s="1"/>
  <c r="BB53" i="4" a="1"/>
  <c r="BB53" i="4" s="1"/>
  <c r="BH53" i="4" a="1"/>
  <c r="BH53" i="4" s="1"/>
  <c r="AQ53" i="4" a="1"/>
  <c r="AQ53" i="4" s="1"/>
  <c r="AR53" i="4" a="1"/>
  <c r="AR53" i="4" s="1"/>
  <c r="BD53" i="4" a="1"/>
  <c r="BD53" i="4" s="1"/>
  <c r="AV53" i="4" a="1"/>
  <c r="AV53" i="4" s="1"/>
  <c r="BE53" i="4" a="1"/>
  <c r="BE53" i="4" s="1"/>
  <c r="AX53" i="4" a="1"/>
  <c r="AX53" i="4" s="1"/>
  <c r="BJ53" i="4" a="1"/>
  <c r="BJ53" i="4" s="1"/>
  <c r="AP53" i="4" a="1"/>
  <c r="AP53" i="4" s="1"/>
  <c r="BK53" i="4" a="1"/>
  <c r="BK53" i="4" s="1"/>
  <c r="AW53" i="4" a="1"/>
  <c r="AW53" i="4" s="1"/>
  <c r="BF53" i="4" a="1"/>
  <c r="BF53" i="4" s="1"/>
  <c r="BC53" i="4" a="1"/>
  <c r="BC53" i="4" s="1"/>
  <c r="BI53" i="4" a="1"/>
  <c r="BI53" i="4" s="1"/>
  <c r="AY53" i="4" a="1"/>
  <c r="AY53" i="4" s="1"/>
  <c r="AC53" i="12" a="1"/>
  <c r="AC53" i="12" s="1"/>
  <c r="AI53" i="12" a="1"/>
  <c r="AI53" i="12" s="1"/>
  <c r="AP53" i="12" a="1"/>
  <c r="AP53" i="12" s="1"/>
  <c r="AV53" i="12" a="1"/>
  <c r="AV53" i="12" s="1"/>
  <c r="AD53" i="12" a="1"/>
  <c r="AD53" i="12" s="1"/>
  <c r="AJ53" i="12" a="1"/>
  <c r="AJ53" i="12" s="1"/>
  <c r="AQ53" i="12" a="1"/>
  <c r="AQ53" i="12" s="1"/>
  <c r="AW53" i="12" a="1"/>
  <c r="AW53" i="12" s="1"/>
  <c r="AE53" i="12" a="1"/>
  <c r="AE53" i="12" s="1"/>
  <c r="AB53" i="12" a="1"/>
  <c r="AB53" i="12" s="1"/>
  <c r="AH53" i="12" a="1"/>
  <c r="AH53" i="12" s="1"/>
  <c r="AO53" i="12" a="1"/>
  <c r="AO53" i="12" s="1"/>
  <c r="AL53" i="12" a="1"/>
  <c r="AL53" i="12" s="1"/>
  <c r="AM53" i="12" a="1"/>
  <c r="AM53" i="12" s="1"/>
  <c r="AR53" i="12" a="1"/>
  <c r="AR53" i="12" s="1"/>
  <c r="AK53" i="12" a="1"/>
  <c r="AK53" i="12" s="1"/>
  <c r="AS53" i="12" a="1"/>
  <c r="AS53" i="12" s="1"/>
  <c r="AT53" i="12" a="1"/>
  <c r="AT53" i="12" s="1"/>
  <c r="AU53" i="12" a="1"/>
  <c r="AU53" i="12" s="1"/>
  <c r="AF53" i="12" a="1"/>
  <c r="AF53" i="12" s="1"/>
  <c r="AG53" i="12" a="1"/>
  <c r="AG53" i="12" s="1"/>
  <c r="AN53" i="12" a="1"/>
  <c r="AN53" i="12" s="1"/>
  <c r="BE65" i="4" a="1"/>
  <c r="BE65" i="4" s="1"/>
  <c r="AU65" i="4" a="1"/>
  <c r="AU65" i="4" s="1"/>
  <c r="BA65" i="4" a="1"/>
  <c r="BA65" i="4" s="1"/>
  <c r="BF65" i="4" a="1"/>
  <c r="BF65" i="4" s="1"/>
  <c r="AP65" i="4" a="1"/>
  <c r="AP65" i="4" s="1"/>
  <c r="BB65" i="4" a="1"/>
  <c r="BB65" i="4" s="1"/>
  <c r="BG65" i="4" a="1"/>
  <c r="BG65" i="4" s="1"/>
  <c r="AR65" i="4" a="1"/>
  <c r="AR65" i="4" s="1"/>
  <c r="AX65" i="4" a="1"/>
  <c r="AX65" i="4" s="1"/>
  <c r="BJ65" i="4" a="1"/>
  <c r="BJ65" i="4" s="1"/>
  <c r="AY65" i="4" a="1"/>
  <c r="AY65" i="4" s="1"/>
  <c r="AZ65" i="4" a="1"/>
  <c r="AZ65" i="4" s="1"/>
  <c r="BK65" i="4" a="1"/>
  <c r="BK65" i="4" s="1"/>
  <c r="AV65" i="4" a="1"/>
  <c r="AV65" i="4" s="1"/>
  <c r="BH65" i="4" a="1"/>
  <c r="BH65" i="4" s="1"/>
  <c r="BI65" i="4" a="1"/>
  <c r="BI65" i="4" s="1"/>
  <c r="AQ65" i="4" a="1"/>
  <c r="AQ65" i="4" s="1"/>
  <c r="BD65" i="4" a="1"/>
  <c r="BD65" i="4" s="1"/>
  <c r="AC65" i="12" a="1"/>
  <c r="AC65" i="12" s="1"/>
  <c r="AH65" i="12" a="1"/>
  <c r="AH65" i="12" s="1"/>
  <c r="AM65" i="12" a="1"/>
  <c r="AM65" i="12" s="1"/>
  <c r="AS65" i="12" a="1"/>
  <c r="AS65" i="12" s="1"/>
  <c r="AS65" i="4" a="1"/>
  <c r="AS65" i="4" s="1"/>
  <c r="AN65" i="12" a="1"/>
  <c r="AN65" i="12" s="1"/>
  <c r="AT65" i="4" a="1"/>
  <c r="AT65" i="4" s="1"/>
  <c r="AD65" i="12" a="1"/>
  <c r="AD65" i="12" s="1"/>
  <c r="AI65" i="12" a="1"/>
  <c r="AI65" i="12" s="1"/>
  <c r="AO65" i="12" a="1"/>
  <c r="AO65" i="12" s="1"/>
  <c r="AT65" i="12" a="1"/>
  <c r="AT65" i="12" s="1"/>
  <c r="AW65" i="4" a="1"/>
  <c r="AW65" i="4" s="1"/>
  <c r="BC65" i="4" a="1"/>
  <c r="BC65" i="4" s="1"/>
  <c r="AB65" i="12" a="1"/>
  <c r="AB65" i="12" s="1"/>
  <c r="AR65" i="12" a="1"/>
  <c r="AR65" i="12" s="1"/>
  <c r="AK65" i="12" a="1"/>
  <c r="AK65" i="12" s="1"/>
  <c r="AU65" i="12" a="1"/>
  <c r="AU65" i="12" s="1"/>
  <c r="AV65" i="12" a="1"/>
  <c r="AV65" i="12" s="1"/>
  <c r="AJ65" i="12" a="1"/>
  <c r="AJ65" i="12" s="1"/>
  <c r="AP65" i="12" a="1"/>
  <c r="AP65" i="12" s="1"/>
  <c r="AF65" i="12" a="1"/>
  <c r="AF65" i="12" s="1"/>
  <c r="AG65" i="12" a="1"/>
  <c r="AG65" i="12" s="1"/>
  <c r="AW65" i="12" a="1"/>
  <c r="AW65" i="12" s="1"/>
  <c r="AQ65" i="12" a="1"/>
  <c r="AQ65" i="12" s="1"/>
  <c r="AE65" i="12" a="1"/>
  <c r="AE65" i="12" s="1"/>
  <c r="AL65" i="12" a="1"/>
  <c r="AL65" i="12" s="1"/>
  <c r="BF81" i="4" a="1"/>
  <c r="BF81" i="4" s="1"/>
  <c r="AP81" i="4" a="1"/>
  <c r="AP81" i="4" s="1"/>
  <c r="AV81" i="4" a="1"/>
  <c r="AV81" i="4" s="1"/>
  <c r="BA81" i="4" a="1"/>
  <c r="BA81" i="4" s="1"/>
  <c r="BG81" i="4" a="1"/>
  <c r="BG81" i="4" s="1"/>
  <c r="BB81" i="4" a="1"/>
  <c r="BB81" i="4" s="1"/>
  <c r="BH81" i="4" a="1"/>
  <c r="BH81" i="4" s="1"/>
  <c r="AS81" i="4" a="1"/>
  <c r="AS81" i="4" s="1"/>
  <c r="AT81" i="4" a="1"/>
  <c r="AT81" i="4" s="1"/>
  <c r="BC81" i="4" a="1"/>
  <c r="BC81" i="4" s="1"/>
  <c r="BK81" i="4" a="1"/>
  <c r="BK81" i="4" s="1"/>
  <c r="AU81" i="4" a="1"/>
  <c r="AU81" i="4" s="1"/>
  <c r="BD81" i="4" a="1"/>
  <c r="BD81" i="4" s="1"/>
  <c r="AQ81" i="4" a="1"/>
  <c r="AQ81" i="4" s="1"/>
  <c r="BI81" i="4" a="1"/>
  <c r="BI81" i="4" s="1"/>
  <c r="AY81" i="4" a="1"/>
  <c r="AY81" i="4" s="1"/>
  <c r="AZ81" i="4" a="1"/>
  <c r="AZ81" i="4" s="1"/>
  <c r="AX81" i="4" a="1"/>
  <c r="AX81" i="4" s="1"/>
  <c r="AR81" i="4" a="1"/>
  <c r="AR81" i="4" s="1"/>
  <c r="AW81" i="4" a="1"/>
  <c r="AW81" i="4" s="1"/>
  <c r="BE81" i="4" a="1"/>
  <c r="BE81" i="4" s="1"/>
  <c r="BJ81" i="4" a="1"/>
  <c r="BJ81" i="4" s="1"/>
  <c r="AE81" i="12" a="1"/>
  <c r="AE81" i="12" s="1"/>
  <c r="AK81" i="12" a="1"/>
  <c r="AK81" i="12" s="1"/>
  <c r="AR81" i="12" a="1"/>
  <c r="AR81" i="12" s="1"/>
  <c r="AM81" i="12" a="1"/>
  <c r="AM81" i="12" s="1"/>
  <c r="AN81" i="12" a="1"/>
  <c r="AN81" i="12" s="1"/>
  <c r="AO81" i="12" a="1"/>
  <c r="AO81" i="12" s="1"/>
  <c r="AD81" i="12" a="1"/>
  <c r="AD81" i="12" s="1"/>
  <c r="AS81" i="12" a="1"/>
  <c r="AS81" i="12" s="1"/>
  <c r="AG81" i="12" a="1"/>
  <c r="AG81" i="12" s="1"/>
  <c r="AT81" i="12" a="1"/>
  <c r="AT81" i="12" s="1"/>
  <c r="AH81" i="12" a="1"/>
  <c r="AH81" i="12" s="1"/>
  <c r="AB81" i="12" a="1"/>
  <c r="AB81" i="12" s="1"/>
  <c r="AW81" i="12" a="1"/>
  <c r="AW81" i="12" s="1"/>
  <c r="AF81" i="12" a="1"/>
  <c r="AF81" i="12" s="1"/>
  <c r="AL81" i="12" a="1"/>
  <c r="AL81" i="12" s="1"/>
  <c r="AU81" i="12" a="1"/>
  <c r="AU81" i="12" s="1"/>
  <c r="AI81" i="12" a="1"/>
  <c r="AI81" i="12" s="1"/>
  <c r="AV81" i="12" a="1"/>
  <c r="AV81" i="12" s="1"/>
  <c r="AP81" i="12" a="1"/>
  <c r="AP81" i="12" s="1"/>
  <c r="AC81" i="12" a="1"/>
  <c r="AC81" i="12" s="1"/>
  <c r="AJ81" i="12" a="1"/>
  <c r="AJ81" i="12" s="1"/>
  <c r="AQ81" i="12" a="1"/>
  <c r="AQ81" i="12" s="1"/>
  <c r="AT22" i="4" a="1"/>
  <c r="AT22" i="4" s="1"/>
  <c r="BA22" i="4" a="1"/>
  <c r="BA22" i="4" s="1"/>
  <c r="BI22" i="4" a="1"/>
  <c r="BI22" i="4" s="1"/>
  <c r="AU22" i="4" a="1"/>
  <c r="AU22" i="4" s="1"/>
  <c r="BB22" i="4" a="1"/>
  <c r="BB22" i="4" s="1"/>
  <c r="BC22" i="4" a="1"/>
  <c r="BC22" i="4" s="1"/>
  <c r="BJ22" i="4" a="1"/>
  <c r="BJ22" i="4" s="1"/>
  <c r="AR22" i="4" a="1"/>
  <c r="AR22" i="4" s="1"/>
  <c r="AX22" i="4" a="1"/>
  <c r="AX22" i="4" s="1"/>
  <c r="BF22" i="4" a="1"/>
  <c r="BF22" i="4" s="1"/>
  <c r="AZ22" i="4" a="1"/>
  <c r="AZ22" i="4" s="1"/>
  <c r="AP22" i="4" a="1"/>
  <c r="AP22" i="4" s="1"/>
  <c r="BD22" i="4" a="1"/>
  <c r="BD22" i="4" s="1"/>
  <c r="AQ22" i="4" a="1"/>
  <c r="AQ22" i="4" s="1"/>
  <c r="BE22" i="4" a="1"/>
  <c r="BE22" i="4" s="1"/>
  <c r="AS22" i="4" a="1"/>
  <c r="AS22" i="4" s="1"/>
  <c r="BG22" i="4" a="1"/>
  <c r="BG22" i="4" s="1"/>
  <c r="AV22" i="4" a="1"/>
  <c r="AV22" i="4" s="1"/>
  <c r="AW22" i="4" a="1"/>
  <c r="AW22" i="4" s="1"/>
  <c r="AY22" i="4" a="1"/>
  <c r="AY22" i="4" s="1"/>
  <c r="BK22" i="4" a="1"/>
  <c r="BK22" i="4" s="1"/>
  <c r="AG22" i="12" a="1"/>
  <c r="AG22" i="12" s="1"/>
  <c r="AN22" i="12" a="1"/>
  <c r="AN22" i="12" s="1"/>
  <c r="AT22" i="12" a="1"/>
  <c r="AT22" i="12" s="1"/>
  <c r="BH22" i="4" a="1"/>
  <c r="BH22" i="4" s="1"/>
  <c r="AB22" i="12" a="1"/>
  <c r="AB22" i="12" s="1"/>
  <c r="AH22" i="12" a="1"/>
  <c r="AH22" i="12" s="1"/>
  <c r="AO22" i="12" a="1"/>
  <c r="AO22" i="12" s="1"/>
  <c r="AU22" i="12" a="1"/>
  <c r="AU22" i="12" s="1"/>
  <c r="AC22" i="12" a="1"/>
  <c r="AC22" i="12" s="1"/>
  <c r="AV22" i="12" a="1"/>
  <c r="AV22" i="12" s="1"/>
  <c r="AE22" i="12" a="1"/>
  <c r="AE22" i="12" s="1"/>
  <c r="AL22" i="12" a="1"/>
  <c r="AL22" i="12" s="1"/>
  <c r="AS22" i="12" a="1"/>
  <c r="AS22" i="12" s="1"/>
  <c r="AR22" i="12" a="1"/>
  <c r="AR22" i="12" s="1"/>
  <c r="AF22" i="12" a="1"/>
  <c r="AF22" i="12" s="1"/>
  <c r="AI22" i="12" a="1"/>
  <c r="AI22" i="12" s="1"/>
  <c r="AW22" i="12" a="1"/>
  <c r="AW22" i="12" s="1"/>
  <c r="AD22" i="12" a="1"/>
  <c r="AD22" i="12" s="1"/>
  <c r="AQ22" i="12" a="1"/>
  <c r="AQ22" i="12" s="1"/>
  <c r="AJ22" i="12" a="1"/>
  <c r="AJ22" i="12" s="1"/>
  <c r="AK22" i="12" a="1"/>
  <c r="AK22" i="12" s="1"/>
  <c r="AP22" i="12" a="1"/>
  <c r="AP22" i="12" s="1"/>
  <c r="AM22" i="12" a="1"/>
  <c r="AM22" i="12" s="1"/>
  <c r="AV34" i="4" a="1"/>
  <c r="AV34" i="4" s="1"/>
  <c r="BC34" i="4" a="1"/>
  <c r="BC34" i="4" s="1"/>
  <c r="BI34" i="4" a="1"/>
  <c r="BI34" i="4" s="1"/>
  <c r="BA34" i="4" a="1"/>
  <c r="BA34" i="4" s="1"/>
  <c r="AT34" i="4" a="1"/>
  <c r="AT34" i="4" s="1"/>
  <c r="BB34" i="4" a="1"/>
  <c r="BB34" i="4" s="1"/>
  <c r="BJ34" i="4" a="1"/>
  <c r="BJ34" i="4" s="1"/>
  <c r="AU34" i="4" a="1"/>
  <c r="AU34" i="4" s="1"/>
  <c r="BK34" i="4" a="1"/>
  <c r="BK34" i="4" s="1"/>
  <c r="AQ34" i="4" a="1"/>
  <c r="AQ34" i="4" s="1"/>
  <c r="BD34" i="4" a="1"/>
  <c r="BD34" i="4" s="1"/>
  <c r="AR34" i="4" a="1"/>
  <c r="AR34" i="4" s="1"/>
  <c r="BE34" i="4" a="1"/>
  <c r="BE34" i="4" s="1"/>
  <c r="AS34" i="4" a="1"/>
  <c r="AS34" i="4" s="1"/>
  <c r="BF34" i="4" a="1"/>
  <c r="BF34" i="4" s="1"/>
  <c r="AW34" i="4" a="1"/>
  <c r="AW34" i="4" s="1"/>
  <c r="BG34" i="4" a="1"/>
  <c r="BG34" i="4" s="1"/>
  <c r="AX34" i="4" a="1"/>
  <c r="AX34" i="4" s="1"/>
  <c r="AY34" i="4" a="1"/>
  <c r="AY34" i="4" s="1"/>
  <c r="AF34" i="12" a="1"/>
  <c r="AF34" i="12" s="1"/>
  <c r="AN34" i="12" a="1"/>
  <c r="AN34" i="12" s="1"/>
  <c r="AU34" i="12" a="1"/>
  <c r="AU34" i="12" s="1"/>
  <c r="AZ34" i="4" a="1"/>
  <c r="AZ34" i="4" s="1"/>
  <c r="AG34" i="12" a="1"/>
  <c r="AG34" i="12" s="1"/>
  <c r="AP34" i="12" a="1"/>
  <c r="AP34" i="12" s="1"/>
  <c r="AW34" i="12" a="1"/>
  <c r="AW34" i="12" s="1"/>
  <c r="AH34" i="12" a="1"/>
  <c r="AH34" i="12" s="1"/>
  <c r="AI34" i="12" a="1"/>
  <c r="AI34" i="12" s="1"/>
  <c r="AQ34" i="12" a="1"/>
  <c r="AQ34" i="12" s="1"/>
  <c r="AC34" i="12" a="1"/>
  <c r="AC34" i="12" s="1"/>
  <c r="AO34" i="12" a="1"/>
  <c r="AO34" i="12" s="1"/>
  <c r="AD34" i="12" a="1"/>
  <c r="AD34" i="12" s="1"/>
  <c r="AR34" i="12" a="1"/>
  <c r="AR34" i="12" s="1"/>
  <c r="AE34" i="12" a="1"/>
  <c r="AE34" i="12" s="1"/>
  <c r="AS34" i="12" a="1"/>
  <c r="AS34" i="12" s="1"/>
  <c r="AP34" i="4" a="1"/>
  <c r="AP34" i="4" s="1"/>
  <c r="BH34" i="4" a="1"/>
  <c r="BH34" i="4" s="1"/>
  <c r="AB34" i="12" a="1"/>
  <c r="AB34" i="12" s="1"/>
  <c r="AM34" i="12" a="1"/>
  <c r="AM34" i="12" s="1"/>
  <c r="AJ34" i="12" a="1"/>
  <c r="AJ34" i="12" s="1"/>
  <c r="AK34" i="12" a="1"/>
  <c r="AK34" i="12" s="1"/>
  <c r="AT34" i="12" a="1"/>
  <c r="AT34" i="12" s="1"/>
  <c r="AL34" i="12" a="1"/>
  <c r="AL34" i="12" s="1"/>
  <c r="AV34" i="12" a="1"/>
  <c r="AV34" i="12" s="1"/>
  <c r="BB46" i="4" a="1"/>
  <c r="BB46" i="4" s="1"/>
  <c r="BI46" i="4" a="1"/>
  <c r="BI46" i="4" s="1"/>
  <c r="AT46" i="4" a="1"/>
  <c r="AT46" i="4" s="1"/>
  <c r="BA46" i="4" a="1"/>
  <c r="BA46" i="4" s="1"/>
  <c r="BJ46" i="4" a="1"/>
  <c r="BJ46" i="4" s="1"/>
  <c r="AU46" i="4" a="1"/>
  <c r="AU46" i="4" s="1"/>
  <c r="BC46" i="4" a="1"/>
  <c r="BC46" i="4" s="1"/>
  <c r="BK46" i="4" a="1"/>
  <c r="BK46" i="4" s="1"/>
  <c r="AV46" i="4" a="1"/>
  <c r="AV46" i="4" s="1"/>
  <c r="BD46" i="4" a="1"/>
  <c r="BD46" i="4" s="1"/>
  <c r="AS46" i="4" a="1"/>
  <c r="AS46" i="4" s="1"/>
  <c r="BG46" i="4" a="1"/>
  <c r="BG46" i="4" s="1"/>
  <c r="AW46" i="4" a="1"/>
  <c r="AW46" i="4" s="1"/>
  <c r="BH46" i="4" a="1"/>
  <c r="BH46" i="4" s="1"/>
  <c r="AX46" i="4" a="1"/>
  <c r="AX46" i="4" s="1"/>
  <c r="AP46" i="4" a="1"/>
  <c r="AP46" i="4" s="1"/>
  <c r="BE46" i="4" a="1"/>
  <c r="BE46" i="4" s="1"/>
  <c r="BF46" i="4" a="1"/>
  <c r="BF46" i="4" s="1"/>
  <c r="AY46" i="4" a="1"/>
  <c r="AY46" i="4" s="1"/>
  <c r="AQ46" i="4" a="1"/>
  <c r="AQ46" i="4" s="1"/>
  <c r="AG46" i="12" a="1"/>
  <c r="AG46" i="12" s="1"/>
  <c r="AN46" i="12" a="1"/>
  <c r="AN46" i="12" s="1"/>
  <c r="AH46" i="12" a="1"/>
  <c r="AH46" i="12" s="1"/>
  <c r="AO46" i="12" a="1"/>
  <c r="AO46" i="12" s="1"/>
  <c r="AU46" i="12" a="1"/>
  <c r="AU46" i="12" s="1"/>
  <c r="AB46" i="12" a="1"/>
  <c r="AB46" i="12" s="1"/>
  <c r="AI46" i="12" a="1"/>
  <c r="AI46" i="12" s="1"/>
  <c r="AV46" i="12" a="1"/>
  <c r="AV46" i="12" s="1"/>
  <c r="AR46" i="4" a="1"/>
  <c r="AR46" i="4" s="1"/>
  <c r="AZ46" i="4" a="1"/>
  <c r="AZ46" i="4" s="1"/>
  <c r="AF46" i="12" a="1"/>
  <c r="AF46" i="12" s="1"/>
  <c r="AM46" i="12" a="1"/>
  <c r="AM46" i="12" s="1"/>
  <c r="AT46" i="12" a="1"/>
  <c r="AT46" i="12" s="1"/>
  <c r="AD46" i="12" a="1"/>
  <c r="AD46" i="12" s="1"/>
  <c r="AQ46" i="12" a="1"/>
  <c r="AQ46" i="12" s="1"/>
  <c r="AR46" i="12" a="1"/>
  <c r="AR46" i="12" s="1"/>
  <c r="AJ46" i="12" a="1"/>
  <c r="AJ46" i="12" s="1"/>
  <c r="AW46" i="12" a="1"/>
  <c r="AW46" i="12" s="1"/>
  <c r="AC46" i="12" a="1"/>
  <c r="AC46" i="12" s="1"/>
  <c r="AP46" i="12" a="1"/>
  <c r="AP46" i="12" s="1"/>
  <c r="AK46" i="12" a="1"/>
  <c r="AK46" i="12" s="1"/>
  <c r="AS46" i="12" a="1"/>
  <c r="AS46" i="12" s="1"/>
  <c r="AL46" i="12" a="1"/>
  <c r="AL46" i="12" s="1"/>
  <c r="AE46" i="12" a="1"/>
  <c r="AE46" i="12" s="1"/>
  <c r="AT19" i="4" a="1"/>
  <c r="AT19" i="4" s="1"/>
  <c r="BA19" i="4" a="1"/>
  <c r="BA19" i="4" s="1"/>
  <c r="BH19" i="4" a="1"/>
  <c r="BH19" i="4" s="1"/>
  <c r="AU19" i="4" a="1"/>
  <c r="AU19" i="4" s="1"/>
  <c r="BB19" i="4" a="1"/>
  <c r="BB19" i="4" s="1"/>
  <c r="BI19" i="4" a="1"/>
  <c r="BI19" i="4" s="1"/>
  <c r="BC19" i="4" a="1"/>
  <c r="BC19" i="4" s="1"/>
  <c r="BJ19" i="4" a="1"/>
  <c r="BJ19" i="4" s="1"/>
  <c r="AQ19" i="4" a="1"/>
  <c r="AQ19" i="4" s="1"/>
  <c r="AX19" i="4" a="1"/>
  <c r="AX19" i="4" s="1"/>
  <c r="BE19" i="4" a="1"/>
  <c r="BE19" i="4" s="1"/>
  <c r="AS19" i="4" a="1"/>
  <c r="AS19" i="4" s="1"/>
  <c r="BG19" i="4" a="1"/>
  <c r="BG19" i="4" s="1"/>
  <c r="AV19" i="4" a="1"/>
  <c r="AV19" i="4" s="1"/>
  <c r="BK19" i="4" a="1"/>
  <c r="BK19" i="4" s="1"/>
  <c r="AW19" i="4" a="1"/>
  <c r="AW19" i="4" s="1"/>
  <c r="AY19" i="4" a="1"/>
  <c r="AY19" i="4" s="1"/>
  <c r="AZ19" i="4" a="1"/>
  <c r="AZ19" i="4" s="1"/>
  <c r="BD19" i="4" a="1"/>
  <c r="BD19" i="4" s="1"/>
  <c r="BF19" i="4" a="1"/>
  <c r="BF19" i="4" s="1"/>
  <c r="AP19" i="4" a="1"/>
  <c r="AP19" i="4" s="1"/>
  <c r="AR19" i="4" a="1"/>
  <c r="AR19" i="4" s="1"/>
  <c r="AK19" i="12" a="1"/>
  <c r="AK19" i="12" s="1"/>
  <c r="AR19" i="12" a="1"/>
  <c r="AR19" i="12" s="1"/>
  <c r="AF19" i="12" a="1"/>
  <c r="AF19" i="12" s="1"/>
  <c r="AL19" i="12" a="1"/>
  <c r="AL19" i="12" s="1"/>
  <c r="AS19" i="12" a="1"/>
  <c r="AS19" i="12" s="1"/>
  <c r="AM19" i="12" a="1"/>
  <c r="AM19" i="12" s="1"/>
  <c r="AT19" i="12" a="1"/>
  <c r="AT19" i="12" s="1"/>
  <c r="AD19" i="12" a="1"/>
  <c r="AD19" i="12" s="1"/>
  <c r="AJ19" i="12" a="1"/>
  <c r="AJ19" i="12" s="1"/>
  <c r="AQ19" i="12" a="1"/>
  <c r="AQ19" i="12" s="1"/>
  <c r="AC19" i="12" a="1"/>
  <c r="AC19" i="12" s="1"/>
  <c r="AP19" i="12" a="1"/>
  <c r="AP19" i="12" s="1"/>
  <c r="AE19" i="12" a="1"/>
  <c r="AE19" i="12" s="1"/>
  <c r="AG19" i="12" a="1"/>
  <c r="AG19" i="12" s="1"/>
  <c r="AU19" i="12" a="1"/>
  <c r="AU19" i="12" s="1"/>
  <c r="AB19" i="12" a="1"/>
  <c r="AB19" i="12" s="1"/>
  <c r="AO19" i="12" a="1"/>
  <c r="AO19" i="12" s="1"/>
  <c r="AN19" i="12" a="1"/>
  <c r="AN19" i="12" s="1"/>
  <c r="AV19" i="12" a="1"/>
  <c r="AV19" i="12" s="1"/>
  <c r="AW19" i="12" a="1"/>
  <c r="AW19" i="12" s="1"/>
  <c r="AH19" i="12" a="1"/>
  <c r="AH19" i="12" s="1"/>
  <c r="AI19" i="12" a="1"/>
  <c r="AI19" i="12" s="1"/>
  <c r="AH58" i="13"/>
  <c r="AK35" i="13"/>
  <c r="U74" i="13"/>
  <c r="V74" i="13"/>
  <c r="AN44" i="13"/>
  <c r="W74" i="13"/>
  <c r="AJ44" i="13"/>
  <c r="AK14" i="13"/>
  <c r="BH14" i="13" s="1" a="1"/>
  <c r="BH14" i="13" s="1"/>
  <c r="AC74" i="13"/>
  <c r="K29" i="1"/>
  <c r="L29" i="1"/>
  <c r="M29" i="1"/>
  <c r="O26" i="1"/>
  <c r="P26" i="1"/>
  <c r="I26" i="1"/>
  <c r="Q26" i="1"/>
  <c r="M26" i="1"/>
  <c r="O38" i="1"/>
  <c r="H38" i="1"/>
  <c r="P38" i="1"/>
  <c r="I38" i="1"/>
  <c r="Q38" i="1"/>
  <c r="J38" i="1"/>
  <c r="K38" i="1"/>
  <c r="L38" i="1"/>
  <c r="N38" i="1"/>
  <c r="O50" i="1"/>
  <c r="H50" i="1"/>
  <c r="Q50" i="1"/>
  <c r="J50" i="1"/>
  <c r="K50" i="1"/>
  <c r="L50" i="1"/>
  <c r="T66" i="12" a="1"/>
  <c r="T66" i="12" s="1"/>
  <c r="J66" i="1"/>
  <c r="L66" i="1"/>
  <c r="O66" i="1"/>
  <c r="I66" i="1"/>
  <c r="V27" i="13"/>
  <c r="K20" i="1"/>
  <c r="H20" i="1"/>
  <c r="Q24" i="1"/>
  <c r="J24" i="1"/>
  <c r="N24" i="1"/>
  <c r="N28" i="1"/>
  <c r="M32" i="1"/>
  <c r="I32" i="1"/>
  <c r="O32" i="1"/>
  <c r="K36" i="1"/>
  <c r="L36" i="1"/>
  <c r="O36" i="1"/>
  <c r="H36" i="1"/>
  <c r="J36" i="1"/>
  <c r="L40" i="1"/>
  <c r="J40" i="1"/>
  <c r="N40" i="1"/>
  <c r="Q44" i="1"/>
  <c r="O44" i="1"/>
  <c r="P44" i="1"/>
  <c r="H44" i="1"/>
  <c r="K52" i="1"/>
  <c r="L52" i="1"/>
  <c r="Q52" i="1"/>
  <c r="H52" i="1"/>
  <c r="J52" i="1"/>
  <c r="N56" i="1"/>
  <c r="O56" i="1"/>
  <c r="I68" i="1"/>
  <c r="Q68" i="1"/>
  <c r="J68" i="1"/>
  <c r="M68" i="1"/>
  <c r="O68" i="1"/>
  <c r="P68" i="1"/>
  <c r="Q72" i="1"/>
  <c r="N72" i="1"/>
  <c r="K76" i="1"/>
  <c r="P76" i="1"/>
  <c r="P80" i="1"/>
  <c r="H80" i="1"/>
  <c r="K80" i="1"/>
  <c r="I84" i="1"/>
  <c r="M84" i="1"/>
  <c r="N84" i="1"/>
  <c r="K84" i="1"/>
  <c r="L84" i="1"/>
  <c r="N88" i="1"/>
  <c r="J88" i="1"/>
  <c r="K88" i="1"/>
  <c r="L88" i="1"/>
  <c r="AJ14" i="13"/>
  <c r="BG14" i="13" s="1" a="1"/>
  <c r="BG14" i="13" s="1"/>
  <c r="AC67" i="13"/>
  <c r="I21" i="1"/>
  <c r="Q21" i="1"/>
  <c r="J21" i="1"/>
  <c r="O21" i="1"/>
  <c r="L21" i="1"/>
  <c r="Q37" i="1"/>
  <c r="O37" i="1"/>
  <c r="M37" i="1"/>
  <c r="N37" i="1"/>
  <c r="P37" i="1"/>
  <c r="I41" i="1"/>
  <c r="Q41" i="1"/>
  <c r="K41" i="1"/>
  <c r="H41" i="1"/>
  <c r="O49" i="1"/>
  <c r="L49" i="1"/>
  <c r="M49" i="1"/>
  <c r="P49" i="1"/>
  <c r="H49" i="1"/>
  <c r="I53" i="1"/>
  <c r="J53" i="1"/>
  <c r="K53" i="1"/>
  <c r="H53" i="1"/>
  <c r="M53" i="1"/>
  <c r="O57" i="1"/>
  <c r="I57" i="1"/>
  <c r="J57" i="1"/>
  <c r="N57" i="1"/>
  <c r="O61" i="1"/>
  <c r="N61" i="1"/>
  <c r="P61" i="1"/>
  <c r="H61" i="1"/>
  <c r="Q61" i="1"/>
  <c r="J61" i="1"/>
  <c r="K61" i="1"/>
  <c r="L61" i="1"/>
  <c r="L65" i="1"/>
  <c r="P65" i="1"/>
  <c r="I65" i="1"/>
  <c r="J65" i="1"/>
  <c r="X69" i="12" a="1"/>
  <c r="X69" i="12" s="1"/>
  <c r="H69" i="1"/>
  <c r="Q69" i="1"/>
  <c r="I69" i="1"/>
  <c r="J69" i="1"/>
  <c r="L69" i="1"/>
  <c r="N69" i="1"/>
  <c r="P69" i="1"/>
  <c r="O73" i="1"/>
  <c r="N73" i="1"/>
  <c r="P73" i="1"/>
  <c r="Q73" i="1"/>
  <c r="J73" i="1"/>
  <c r="K73" i="1"/>
  <c r="L73" i="1"/>
  <c r="J77" i="1"/>
  <c r="P77" i="1"/>
  <c r="Q77" i="1"/>
  <c r="O81" i="1"/>
  <c r="Q81" i="1"/>
  <c r="I81" i="1"/>
  <c r="J81" i="1"/>
  <c r="V85" i="12" a="1"/>
  <c r="V85" i="12" s="1"/>
  <c r="L85" i="1"/>
  <c r="M85" i="1"/>
  <c r="N85" i="1"/>
  <c r="I85" i="1"/>
  <c r="J85" i="1"/>
  <c r="K85" i="1"/>
  <c r="L89" i="1"/>
  <c r="Q89" i="1"/>
  <c r="J89" i="1"/>
  <c r="AG68" i="13"/>
  <c r="K25" i="1"/>
  <c r="O25" i="1"/>
  <c r="L25" i="1"/>
  <c r="M25" i="1"/>
  <c r="N25" i="1"/>
  <c r="I17" i="1"/>
  <c r="Q17" i="1"/>
  <c r="J17" i="1"/>
  <c r="K17" i="1"/>
  <c r="M17" i="1"/>
  <c r="P17" i="1"/>
  <c r="I33" i="1"/>
  <c r="K33" i="1"/>
  <c r="O33" i="1"/>
  <c r="M33" i="1"/>
  <c r="N33" i="1"/>
  <c r="P33" i="1"/>
  <c r="H33" i="1"/>
  <c r="I45" i="1"/>
  <c r="Q45" i="1"/>
  <c r="J45" i="1"/>
  <c r="H45" i="1"/>
  <c r="L45" i="1"/>
  <c r="M45" i="1"/>
  <c r="N45" i="1"/>
  <c r="P45" i="1"/>
  <c r="Z27" i="13"/>
  <c r="AM74" i="13"/>
  <c r="O22" i="1"/>
  <c r="H22" i="1"/>
  <c r="P22" i="1"/>
  <c r="M22" i="1"/>
  <c r="J22" i="1"/>
  <c r="L22" i="1"/>
  <c r="N22" i="1"/>
  <c r="O34" i="1"/>
  <c r="H34" i="1"/>
  <c r="Q34" i="1"/>
  <c r="K34" i="1"/>
  <c r="L34" i="1"/>
  <c r="N34" i="1"/>
  <c r="O46" i="1"/>
  <c r="H46" i="1"/>
  <c r="I46" i="1"/>
  <c r="Q46" i="1"/>
  <c r="M46" i="1"/>
  <c r="J46" i="1"/>
  <c r="M58" i="1"/>
  <c r="Q58" i="1"/>
  <c r="I58" i="1"/>
  <c r="J58" i="1"/>
  <c r="K58" i="1"/>
  <c r="L58" i="1"/>
  <c r="N58" i="1"/>
  <c r="M62" i="1"/>
  <c r="N62" i="1"/>
  <c r="O62" i="1"/>
  <c r="K62" i="1"/>
  <c r="L62" i="1"/>
  <c r="M70" i="1"/>
  <c r="H70" i="1"/>
  <c r="Q70" i="1"/>
  <c r="J70" i="1"/>
  <c r="K70" i="1"/>
  <c r="L70" i="1"/>
  <c r="N70" i="1"/>
  <c r="I78" i="1"/>
  <c r="L78" i="1"/>
  <c r="N78" i="1"/>
  <c r="O78" i="1"/>
  <c r="P78" i="1"/>
  <c r="Q78" i="1"/>
  <c r="K82" i="12" a="1"/>
  <c r="K82" i="12" s="1"/>
  <c r="P82" i="1"/>
  <c r="H82" i="1"/>
  <c r="Q82" i="1"/>
  <c r="I82" i="1"/>
  <c r="J82" i="1"/>
  <c r="K82" i="1"/>
  <c r="L82" i="1"/>
  <c r="N82" i="1"/>
  <c r="J86" i="1"/>
  <c r="K86" i="1"/>
  <c r="L86" i="1"/>
  <c r="O86" i="1"/>
  <c r="P86" i="1"/>
  <c r="I86" i="1"/>
  <c r="Q86" i="1"/>
  <c r="J90" i="1"/>
  <c r="M90" i="1"/>
  <c r="N90" i="1"/>
  <c r="O90" i="1"/>
  <c r="H90" i="1"/>
  <c r="I90" i="1"/>
  <c r="N19" i="1"/>
  <c r="K19" i="1"/>
  <c r="H19" i="1"/>
  <c r="I19" i="1"/>
  <c r="J19" i="1"/>
  <c r="P19" i="1"/>
  <c r="Q19" i="1"/>
  <c r="M23" i="1"/>
  <c r="N23" i="1"/>
  <c r="O23" i="1"/>
  <c r="K23" i="1"/>
  <c r="P23" i="1"/>
  <c r="H23" i="1"/>
  <c r="I23" i="1"/>
  <c r="L23" i="1"/>
  <c r="M27" i="1"/>
  <c r="N27" i="1"/>
  <c r="O27" i="1"/>
  <c r="K27" i="1"/>
  <c r="L27" i="1"/>
  <c r="P27" i="1"/>
  <c r="Q27" i="1"/>
  <c r="M31" i="1"/>
  <c r="O31" i="1"/>
  <c r="Q31" i="1"/>
  <c r="H31" i="1"/>
  <c r="I31" i="1"/>
  <c r="J31" i="1"/>
  <c r="M35" i="1"/>
  <c r="N35" i="1"/>
  <c r="K35" i="1"/>
  <c r="I35" i="1"/>
  <c r="J35" i="1"/>
  <c r="N39" i="1"/>
  <c r="O39" i="1"/>
  <c r="K39" i="1"/>
  <c r="P39" i="1"/>
  <c r="Q39" i="1"/>
  <c r="I39" i="1"/>
  <c r="L39" i="1"/>
  <c r="M43" i="1"/>
  <c r="N43" i="1"/>
  <c r="O43" i="1"/>
  <c r="H43" i="1"/>
  <c r="J43" i="1"/>
  <c r="L43" i="1"/>
  <c r="P43" i="1"/>
  <c r="Q43" i="1"/>
  <c r="M47" i="1"/>
  <c r="K47" i="1"/>
  <c r="Q47" i="1"/>
  <c r="H47" i="1"/>
  <c r="I47" i="1"/>
  <c r="J47" i="1"/>
  <c r="L47" i="1"/>
  <c r="N51" i="1"/>
  <c r="K51" i="1"/>
  <c r="H51" i="1"/>
  <c r="I51" i="1"/>
  <c r="J51" i="1"/>
  <c r="Q51" i="1"/>
  <c r="K55" i="1"/>
  <c r="J55" i="1"/>
  <c r="L55" i="1"/>
  <c r="M55" i="1"/>
  <c r="N55" i="1"/>
  <c r="P55" i="1"/>
  <c r="I55" i="1"/>
  <c r="M59" i="12" a="1"/>
  <c r="M59" i="12" s="1"/>
  <c r="K59" i="1"/>
  <c r="P59" i="1"/>
  <c r="I59" i="1"/>
  <c r="J59" i="1"/>
  <c r="L59" i="1"/>
  <c r="M59" i="1"/>
  <c r="N59" i="1"/>
  <c r="O59" i="1"/>
  <c r="M63" i="12" a="1"/>
  <c r="M63" i="12" s="1"/>
  <c r="O63" i="1"/>
  <c r="P63" i="1"/>
  <c r="H63" i="1"/>
  <c r="L63" i="1"/>
  <c r="U67" i="12" a="1"/>
  <c r="U67" i="12" s="1"/>
  <c r="K67" i="1"/>
  <c r="I67" i="1"/>
  <c r="J67" i="1"/>
  <c r="L67" i="1"/>
  <c r="H67" i="1"/>
  <c r="Q67" i="1"/>
  <c r="K71" i="1"/>
  <c r="O71" i="1"/>
  <c r="P71" i="1"/>
  <c r="Q71" i="1"/>
  <c r="J71" i="1"/>
  <c r="L71" i="1"/>
  <c r="M71" i="1"/>
  <c r="N71" i="1"/>
  <c r="U75" i="12" a="1"/>
  <c r="U75" i="12" s="1"/>
  <c r="L75" i="1"/>
  <c r="N75" i="1"/>
  <c r="O75" i="1"/>
  <c r="P75" i="1"/>
  <c r="H75" i="1"/>
  <c r="I75" i="1"/>
  <c r="J75" i="1"/>
  <c r="P79" i="12" a="1"/>
  <c r="P79" i="12" s="1"/>
  <c r="K79" i="1"/>
  <c r="H79" i="1"/>
  <c r="Q79" i="1"/>
  <c r="I79" i="1"/>
  <c r="L79" i="1"/>
  <c r="M79" i="1"/>
  <c r="O79" i="1"/>
  <c r="P79" i="1"/>
  <c r="G83" i="12" a="1"/>
  <c r="G83" i="12" s="1"/>
  <c r="K83" i="1"/>
  <c r="P83" i="1"/>
  <c r="Q83" i="1"/>
  <c r="I83" i="1"/>
  <c r="J83" i="1"/>
  <c r="L83" i="1"/>
  <c r="M87" i="12" a="1"/>
  <c r="M87" i="12" s="1"/>
  <c r="H87" i="1"/>
  <c r="I87" i="1"/>
  <c r="Q87" i="1"/>
  <c r="J87" i="1"/>
  <c r="K87" i="1"/>
  <c r="N87" i="1"/>
  <c r="O87" i="1"/>
  <c r="V14" i="13"/>
  <c r="AS14" i="13" s="1" a="1"/>
  <c r="AS14" i="13" s="1"/>
  <c r="AD27" i="13"/>
  <c r="AD49" i="13"/>
  <c r="S67" i="13"/>
  <c r="O18" i="1"/>
  <c r="P18" i="1"/>
  <c r="I18" i="1"/>
  <c r="Q18" i="1"/>
  <c r="M18" i="1"/>
  <c r="J18" i="1"/>
  <c r="K18" i="1"/>
  <c r="N18" i="1"/>
  <c r="O30" i="1"/>
  <c r="H30" i="1"/>
  <c r="P30" i="1"/>
  <c r="I30" i="1"/>
  <c r="Q30" i="1"/>
  <c r="M30" i="1"/>
  <c r="J30" i="1"/>
  <c r="L30" i="1"/>
  <c r="N30" i="1"/>
  <c r="O42" i="1"/>
  <c r="H42" i="1"/>
  <c r="P42" i="1"/>
  <c r="I42" i="1"/>
  <c r="Q42" i="1"/>
  <c r="J42" i="1"/>
  <c r="L42" i="1"/>
  <c r="N42" i="1"/>
  <c r="O54" i="1"/>
  <c r="I54" i="1"/>
  <c r="M54" i="1"/>
  <c r="J54" i="1"/>
  <c r="K54" i="1"/>
  <c r="L54" i="1"/>
  <c r="N54" i="1"/>
  <c r="P54" i="1"/>
  <c r="Q54" i="1"/>
  <c r="N74" i="1"/>
  <c r="P74" i="1"/>
  <c r="H74" i="1"/>
  <c r="Q74" i="1"/>
  <c r="I74" i="1"/>
  <c r="J74" i="1"/>
  <c r="AK68" i="13"/>
  <c r="W14" i="13"/>
  <c r="AT14" i="13" s="1" a="1"/>
  <c r="AT14" i="13" s="1"/>
  <c r="AN49" i="13"/>
  <c r="AB67" i="13"/>
  <c r="U23" i="13"/>
  <c r="AB76" i="13"/>
  <c r="T72" i="13"/>
  <c r="V23" i="13"/>
  <c r="AC25" i="13"/>
  <c r="AI31" i="13"/>
  <c r="S66" i="13"/>
  <c r="U72" i="13"/>
  <c r="AK76" i="13"/>
  <c r="AD13" i="13"/>
  <c r="BA13" i="13" s="1" a="1"/>
  <c r="BA13" i="13" s="1"/>
  <c r="W22" i="13"/>
  <c r="AG23" i="13"/>
  <c r="V35" i="13"/>
  <c r="AK45" i="13"/>
  <c r="AG60" i="13"/>
  <c r="AB66" i="13"/>
  <c r="V22" i="13"/>
  <c r="U66" i="13"/>
  <c r="AI22" i="13"/>
  <c r="AH23" i="13"/>
  <c r="W35" i="13"/>
  <c r="W41" i="13"/>
  <c r="V44" i="13"/>
  <c r="X49" i="13"/>
  <c r="AB51" i="13"/>
  <c r="T68" i="13"/>
  <c r="Z13" i="13"/>
  <c r="AW13" i="13" s="1" a="1"/>
  <c r="AW13" i="13" s="1"/>
  <c r="AF23" i="13"/>
  <c r="AK31" i="13"/>
  <c r="AG45" i="13"/>
  <c r="AI57" i="13"/>
  <c r="AI35" i="13"/>
  <c r="AJ38" i="13"/>
  <c r="X41" i="13"/>
  <c r="X44" i="13"/>
  <c r="AC49" i="13"/>
  <c r="AD51" i="13"/>
  <c r="Z58" i="13"/>
  <c r="U68" i="13"/>
  <c r="AB48" i="13"/>
  <c r="AM11" i="13"/>
  <c r="BJ11" i="13" s="1" a="1"/>
  <c r="BJ11" i="13" s="1"/>
  <c r="V13" i="13"/>
  <c r="AS13" i="13" s="1" a="1"/>
  <c r="AS13" i="13" s="1"/>
  <c r="U27" i="13"/>
  <c r="AJ33" i="13"/>
  <c r="U35" i="13"/>
  <c r="AG35" i="13"/>
  <c r="AJ36" i="13"/>
  <c r="AI38" i="13"/>
  <c r="AI47" i="13"/>
  <c r="W58" i="13"/>
  <c r="T74" i="13"/>
  <c r="AI74" i="13"/>
  <c r="X76" i="13"/>
  <c r="AF80" i="13"/>
  <c r="AI13" i="13"/>
  <c r="BF13" i="13" s="1" a="1"/>
  <c r="BF13" i="13" s="1"/>
  <c r="AA35" i="13"/>
  <c r="AL35" i="13"/>
  <c r="AJ13" i="13"/>
  <c r="BG13" i="13" s="1" a="1"/>
  <c r="BG13" i="13" s="1"/>
  <c r="W18" i="13"/>
  <c r="AB35" i="13"/>
  <c r="AM35" i="13"/>
  <c r="AM58" i="13"/>
  <c r="W64" i="13"/>
  <c r="AL75" i="13"/>
  <c r="U80" i="13"/>
  <c r="V11" i="13"/>
  <c r="AS11" i="13" s="1" a="1"/>
  <c r="AS11" i="13" s="1"/>
  <c r="S13" i="13"/>
  <c r="AP13" i="13" s="1" a="1"/>
  <c r="AP13" i="13" s="1"/>
  <c r="AK13" i="13"/>
  <c r="BH13" i="13" s="1" a="1"/>
  <c r="BH13" i="13" s="1"/>
  <c r="X18" i="13"/>
  <c r="X20" i="13"/>
  <c r="AI27" i="13"/>
  <c r="AC35" i="13"/>
  <c r="W38" i="13"/>
  <c r="AK48" i="13"/>
  <c r="AI52" i="13"/>
  <c r="S58" i="13"/>
  <c r="AD74" i="13"/>
  <c r="V80" i="13"/>
  <c r="AI82" i="13"/>
  <c r="AL58" i="13"/>
  <c r="U64" i="13"/>
  <c r="AI70" i="13"/>
  <c r="W11" i="13"/>
  <c r="AT11" i="13" s="1" a="1"/>
  <c r="AT11" i="13" s="1"/>
  <c r="T13" i="13"/>
  <c r="AQ13" i="13" s="1" a="1"/>
  <c r="AQ13" i="13" s="1"/>
  <c r="AI18" i="13"/>
  <c r="S27" i="13"/>
  <c r="AJ27" i="13"/>
  <c r="S35" i="13"/>
  <c r="AD35" i="13"/>
  <c r="X38" i="13"/>
  <c r="W40" i="13"/>
  <c r="S47" i="13"/>
  <c r="AL48" i="13"/>
  <c r="AJ52" i="13"/>
  <c r="U58" i="13"/>
  <c r="S62" i="13"/>
  <c r="AD66" i="13"/>
  <c r="AD67" i="13"/>
  <c r="AE74" i="13"/>
  <c r="X80" i="13"/>
  <c r="AH90" i="13"/>
  <c r="U11" i="13"/>
  <c r="AR11" i="13" s="1" a="1"/>
  <c r="AR11" i="13" s="1"/>
  <c r="AE27" i="13"/>
  <c r="AG32" i="13"/>
  <c r="AC48" i="13"/>
  <c r="AL11" i="13"/>
  <c r="BI11" i="13" s="1" a="1"/>
  <c r="BI11" i="13" s="1"/>
  <c r="U13" i="13"/>
  <c r="AR13" i="13" s="1" a="1"/>
  <c r="AR13" i="13" s="1"/>
  <c r="AL18" i="13"/>
  <c r="T27" i="13"/>
  <c r="AK27" i="13"/>
  <c r="AA33" i="13"/>
  <c r="T35" i="13"/>
  <c r="AE35" i="13"/>
  <c r="AG36" i="13"/>
  <c r="AH38" i="13"/>
  <c r="X40" i="13"/>
  <c r="V58" i="13"/>
  <c r="V65" i="13"/>
  <c r="AE66" i="13"/>
  <c r="S74" i="13"/>
  <c r="AG74" i="13"/>
  <c r="T76" i="13"/>
  <c r="AA78" i="13"/>
  <c r="AD80" i="13"/>
  <c r="U14" i="13"/>
  <c r="AR14" i="13" s="1" a="1"/>
  <c r="AR14" i="13" s="1"/>
  <c r="AG14" i="13"/>
  <c r="BD14" i="13" s="1" a="1"/>
  <c r="BD14" i="13" s="1"/>
  <c r="V18" i="13"/>
  <c r="AG18" i="13"/>
  <c r="AF32" i="13"/>
  <c r="Y33" i="13"/>
  <c r="AA36" i="13"/>
  <c r="U44" i="13"/>
  <c r="AI44" i="13"/>
  <c r="AF45" i="13"/>
  <c r="X57" i="13"/>
  <c r="W59" i="13"/>
  <c r="AJ59" i="13"/>
  <c r="Y60" i="13"/>
  <c r="AH61" i="13"/>
  <c r="AI62" i="13"/>
  <c r="X63" i="13"/>
  <c r="AN64" i="13"/>
  <c r="AA81" i="13"/>
  <c r="AL81" i="13"/>
  <c r="AG84" i="13"/>
  <c r="AE87" i="13"/>
  <c r="AM89" i="13"/>
  <c r="W63" i="12" a="1"/>
  <c r="W63" i="12" s="1"/>
  <c r="AF57" i="13"/>
  <c r="Z59" i="13"/>
  <c r="AK59" i="13"/>
  <c r="AF60" i="13"/>
  <c r="AM62" i="13"/>
  <c r="AC63" i="13"/>
  <c r="W76" i="13"/>
  <c r="AN76" i="13"/>
  <c r="AG78" i="13"/>
  <c r="AB81" i="13"/>
  <c r="AM81" i="13"/>
  <c r="AJ82" i="13"/>
  <c r="AI84" i="13"/>
  <c r="AF87" i="13"/>
  <c r="AA59" i="13"/>
  <c r="AL59" i="13"/>
  <c r="AD63" i="13"/>
  <c r="AC81" i="13"/>
  <c r="AM82" i="13"/>
  <c r="AN84" i="13"/>
  <c r="T87" i="13"/>
  <c r="AG87" i="13"/>
  <c r="S89" i="13"/>
  <c r="AE63" i="13"/>
  <c r="S81" i="13"/>
  <c r="AD81" i="13"/>
  <c r="S84" i="13"/>
  <c r="U87" i="13"/>
  <c r="AK87" i="13"/>
  <c r="T89" i="13"/>
  <c r="AL32" i="13"/>
  <c r="AB44" i="13"/>
  <c r="AN45" i="13"/>
  <c r="AL57" i="13"/>
  <c r="AN18" i="13"/>
  <c r="T32" i="13"/>
  <c r="AB40" i="13"/>
  <c r="AC44" i="13"/>
  <c r="AM57" i="13"/>
  <c r="X64" i="13"/>
  <c r="AC76" i="13"/>
  <c r="T81" i="13"/>
  <c r="V87" i="13"/>
  <c r="AM87" i="13"/>
  <c r="U89" i="13"/>
  <c r="AL14" i="13"/>
  <c r="BI14" i="13" s="1" a="1"/>
  <c r="BI14" i="13" s="1"/>
  <c r="AA18" i="13"/>
  <c r="AM18" i="13"/>
  <c r="AB59" i="13"/>
  <c r="AB14" i="13"/>
  <c r="AY14" i="13" s="1" a="1"/>
  <c r="AY14" i="13" s="1"/>
  <c r="AC18" i="13"/>
  <c r="Y41" i="13"/>
  <c r="AE51" i="13"/>
  <c r="AC59" i="13"/>
  <c r="U62" i="13"/>
  <c r="AF63" i="13"/>
  <c r="W65" i="13"/>
  <c r="AE81" i="13"/>
  <c r="Z21" i="13"/>
  <c r="V33" i="13"/>
  <c r="U36" i="13"/>
  <c r="AC40" i="13"/>
  <c r="AD41" i="13"/>
  <c r="AD44" i="13"/>
  <c r="S45" i="13"/>
  <c r="S57" i="13"/>
  <c r="AN57" i="13"/>
  <c r="S59" i="13"/>
  <c r="T60" i="13"/>
  <c r="Z62" i="13"/>
  <c r="AK63" i="13"/>
  <c r="AD64" i="13"/>
  <c r="Z74" i="13"/>
  <c r="AJ74" i="13"/>
  <c r="AE76" i="13"/>
  <c r="AI80" i="13"/>
  <c r="U81" i="13"/>
  <c r="AH81" i="13"/>
  <c r="U82" i="13"/>
  <c r="AH83" i="13"/>
  <c r="X84" i="13"/>
  <c r="X87" i="13"/>
  <c r="AC89" i="13"/>
  <c r="AC14" i="13"/>
  <c r="AZ14" i="13" s="1" a="1"/>
  <c r="AZ14" i="13" s="1"/>
  <c r="AA27" i="13"/>
  <c r="U32" i="13"/>
  <c r="AE59" i="13"/>
  <c r="S14" i="13"/>
  <c r="AP14" i="13" s="1" a="1"/>
  <c r="AP14" i="13" s="1"/>
  <c r="AD14" i="13"/>
  <c r="BA14" i="13" s="1" a="1"/>
  <c r="BA14" i="13" s="1"/>
  <c r="S18" i="13"/>
  <c r="AE18" i="13"/>
  <c r="AI21" i="13"/>
  <c r="AB27" i="13"/>
  <c r="AM27" i="13"/>
  <c r="V32" i="13"/>
  <c r="W33" i="13"/>
  <c r="V36" i="13"/>
  <c r="AK40" i="13"/>
  <c r="AF41" i="13"/>
  <c r="S44" i="13"/>
  <c r="AF44" i="13"/>
  <c r="T45" i="13"/>
  <c r="AG46" i="13"/>
  <c r="X48" i="13"/>
  <c r="V49" i="13"/>
  <c r="V50" i="13"/>
  <c r="U57" i="13"/>
  <c r="AI58" i="13"/>
  <c r="T59" i="13"/>
  <c r="AG59" i="13"/>
  <c r="U60" i="13"/>
  <c r="W61" i="13"/>
  <c r="AA62" i="13"/>
  <c r="U63" i="13"/>
  <c r="AL63" i="13"/>
  <c r="AF64" i="13"/>
  <c r="AA74" i="13"/>
  <c r="AK74" i="13"/>
  <c r="AF76" i="13"/>
  <c r="X78" i="13"/>
  <c r="AJ80" i="13"/>
  <c r="V81" i="13"/>
  <c r="AI81" i="13"/>
  <c r="Y82" i="13"/>
  <c r="AI83" i="13"/>
  <c r="Y84" i="13"/>
  <c r="Y87" i="13"/>
  <c r="AD89" i="13"/>
  <c r="AA14" i="13"/>
  <c r="AX14" i="13" s="1" a="1"/>
  <c r="AX14" i="13" s="1"/>
  <c r="AN33" i="13"/>
  <c r="AM14" i="13"/>
  <c r="BJ14" i="13" s="1" a="1"/>
  <c r="BJ14" i="13" s="1"/>
  <c r="W84" i="13"/>
  <c r="AD18" i="13"/>
  <c r="AN23" i="13"/>
  <c r="AL27" i="13"/>
  <c r="T63" i="13"/>
  <c r="AH13" i="13"/>
  <c r="BE13" i="13" s="1" a="1"/>
  <c r="BE13" i="13" s="1"/>
  <c r="T14" i="13"/>
  <c r="AQ14" i="13" s="1" a="1"/>
  <c r="AQ14" i="13" s="1"/>
  <c r="AE14" i="13"/>
  <c r="BB14" i="13" s="1" a="1"/>
  <c r="BB14" i="13" s="1"/>
  <c r="U18" i="13"/>
  <c r="AF18" i="13"/>
  <c r="S23" i="13"/>
  <c r="AC27" i="13"/>
  <c r="AE32" i="13"/>
  <c r="X33" i="13"/>
  <c r="Z35" i="13"/>
  <c r="AJ35" i="13"/>
  <c r="T44" i="13"/>
  <c r="V57" i="13"/>
  <c r="V59" i="13"/>
  <c r="AI59" i="13"/>
  <c r="AF61" i="13"/>
  <c r="W63" i="13"/>
  <c r="AN63" i="13"/>
  <c r="AB74" i="13"/>
  <c r="AL74" i="13"/>
  <c r="S76" i="13"/>
  <c r="AJ76" i="13"/>
  <c r="Y78" i="13"/>
  <c r="T80" i="13"/>
  <c r="AN80" i="13"/>
  <c r="W81" i="13"/>
  <c r="AK81" i="13"/>
  <c r="Z82" i="13"/>
  <c r="AF84" i="13"/>
  <c r="AD87" i="13"/>
  <c r="AE89" i="13"/>
  <c r="L20" i="12" a="1"/>
  <c r="L20" i="12" s="1"/>
  <c r="T20" i="12" a="1"/>
  <c r="T20" i="12" s="1"/>
  <c r="F20" i="12" a="1"/>
  <c r="F20" i="12" s="1"/>
  <c r="N20" i="12" a="1"/>
  <c r="N20" i="12" s="1"/>
  <c r="V20" i="12" a="1"/>
  <c r="V20" i="12" s="1"/>
  <c r="K20" i="12" a="1"/>
  <c r="K20" i="12" s="1"/>
  <c r="S20" i="12" a="1"/>
  <c r="S20" i="12" s="1"/>
  <c r="G20" i="12" a="1"/>
  <c r="G20" i="12" s="1"/>
  <c r="R20" i="12" a="1"/>
  <c r="R20" i="12" s="1"/>
  <c r="H20" i="12" a="1"/>
  <c r="H20" i="12" s="1"/>
  <c r="U20" i="12" a="1"/>
  <c r="U20" i="12" s="1"/>
  <c r="I20" i="12" a="1"/>
  <c r="I20" i="12" s="1"/>
  <c r="W20" i="12" a="1"/>
  <c r="W20" i="12" s="1"/>
  <c r="P20" i="12" a="1"/>
  <c r="P20" i="12" s="1"/>
  <c r="M20" i="12" a="1"/>
  <c r="M20" i="12" s="1"/>
  <c r="O20" i="12" a="1"/>
  <c r="O20" i="12" s="1"/>
  <c r="Q20" i="12" a="1"/>
  <c r="Q20" i="12" s="1"/>
  <c r="X20" i="12" a="1"/>
  <c r="X20" i="12" s="1"/>
  <c r="Y20" i="12" a="1"/>
  <c r="Y20" i="12" s="1"/>
  <c r="E20" i="12" a="1"/>
  <c r="E20" i="12" s="1"/>
  <c r="J20" i="12" a="1"/>
  <c r="J20" i="12" s="1"/>
  <c r="Z20" i="12" a="1"/>
  <c r="Z20" i="12" s="1"/>
  <c r="L24" i="12" a="1"/>
  <c r="L24" i="12" s="1"/>
  <c r="T24" i="12" a="1"/>
  <c r="T24" i="12" s="1"/>
  <c r="F24" i="12" a="1"/>
  <c r="F24" i="12" s="1"/>
  <c r="N24" i="12" a="1"/>
  <c r="N24" i="12" s="1"/>
  <c r="V24" i="12" a="1"/>
  <c r="V24" i="12" s="1"/>
  <c r="K24" i="12" a="1"/>
  <c r="K24" i="12" s="1"/>
  <c r="S24" i="12" a="1"/>
  <c r="S24" i="12" s="1"/>
  <c r="H24" i="12" a="1"/>
  <c r="H24" i="12" s="1"/>
  <c r="U24" i="12" a="1"/>
  <c r="U24" i="12" s="1"/>
  <c r="I24" i="12" a="1"/>
  <c r="I24" i="12" s="1"/>
  <c r="W24" i="12" a="1"/>
  <c r="W24" i="12" s="1"/>
  <c r="J24" i="12" a="1"/>
  <c r="J24" i="12" s="1"/>
  <c r="X24" i="12" a="1"/>
  <c r="X24" i="12" s="1"/>
  <c r="E24" i="12" a="1"/>
  <c r="E24" i="12" s="1"/>
  <c r="Q24" i="12" a="1"/>
  <c r="Q24" i="12" s="1"/>
  <c r="Z24" i="12" a="1"/>
  <c r="Z24" i="12" s="1"/>
  <c r="G24" i="12" a="1"/>
  <c r="G24" i="12" s="1"/>
  <c r="M24" i="12" a="1"/>
  <c r="M24" i="12" s="1"/>
  <c r="O24" i="12" a="1"/>
  <c r="O24" i="12" s="1"/>
  <c r="R24" i="12" a="1"/>
  <c r="R24" i="12" s="1"/>
  <c r="Y24" i="12" a="1"/>
  <c r="Y24" i="12" s="1"/>
  <c r="P24" i="12" a="1"/>
  <c r="P24" i="12" s="1"/>
  <c r="L28" i="12" a="1"/>
  <c r="L28" i="12" s="1"/>
  <c r="T28" i="12" a="1"/>
  <c r="T28" i="12" s="1"/>
  <c r="F28" i="12" a="1"/>
  <c r="F28" i="12" s="1"/>
  <c r="N28" i="12" a="1"/>
  <c r="N28" i="12" s="1"/>
  <c r="V28" i="12" a="1"/>
  <c r="V28" i="12" s="1"/>
  <c r="K28" i="12" a="1"/>
  <c r="K28" i="12" s="1"/>
  <c r="S28" i="12" a="1"/>
  <c r="S28" i="12" s="1"/>
  <c r="I28" i="12" a="1"/>
  <c r="I28" i="12" s="1"/>
  <c r="W28" i="12" a="1"/>
  <c r="W28" i="12" s="1"/>
  <c r="J28" i="12" a="1"/>
  <c r="J28" i="12" s="1"/>
  <c r="X28" i="12" a="1"/>
  <c r="X28" i="12" s="1"/>
  <c r="M28" i="12" a="1"/>
  <c r="M28" i="12" s="1"/>
  <c r="Y28" i="12" a="1"/>
  <c r="Y28" i="12" s="1"/>
  <c r="G28" i="12" a="1"/>
  <c r="G28" i="12" s="1"/>
  <c r="R28" i="12" a="1"/>
  <c r="R28" i="12" s="1"/>
  <c r="P28" i="12" a="1"/>
  <c r="P28" i="12" s="1"/>
  <c r="Q28" i="12" a="1"/>
  <c r="Q28" i="12" s="1"/>
  <c r="U28" i="12" a="1"/>
  <c r="U28" i="12" s="1"/>
  <c r="Z28" i="12" a="1"/>
  <c r="Z28" i="12" s="1"/>
  <c r="H28" i="12" a="1"/>
  <c r="H28" i="12" s="1"/>
  <c r="O28" i="12" a="1"/>
  <c r="O28" i="12" s="1"/>
  <c r="E28" i="12" a="1"/>
  <c r="E28" i="12" s="1"/>
  <c r="K32" i="12" a="1"/>
  <c r="K32" i="12" s="1"/>
  <c r="S32" i="12" a="1"/>
  <c r="S32" i="12" s="1"/>
  <c r="E32" i="12" a="1"/>
  <c r="E32" i="12" s="1"/>
  <c r="M32" i="12" a="1"/>
  <c r="M32" i="12" s="1"/>
  <c r="U32" i="12" a="1"/>
  <c r="U32" i="12" s="1"/>
  <c r="J32" i="12" a="1"/>
  <c r="J32" i="12" s="1"/>
  <c r="R32" i="12" a="1"/>
  <c r="R32" i="12" s="1"/>
  <c r="Z32" i="12" a="1"/>
  <c r="Z32" i="12" s="1"/>
  <c r="I32" i="12" a="1"/>
  <c r="I32" i="12" s="1"/>
  <c r="W32" i="12" a="1"/>
  <c r="W32" i="12" s="1"/>
  <c r="L32" i="12" a="1"/>
  <c r="L32" i="12" s="1"/>
  <c r="X32" i="12" a="1"/>
  <c r="X32" i="12" s="1"/>
  <c r="N32" i="12" a="1"/>
  <c r="N32" i="12" s="1"/>
  <c r="Y32" i="12" a="1"/>
  <c r="Y32" i="12" s="1"/>
  <c r="G32" i="12" a="1"/>
  <c r="G32" i="12" s="1"/>
  <c r="T32" i="12" a="1"/>
  <c r="T32" i="12" s="1"/>
  <c r="F32" i="12" a="1"/>
  <c r="F32" i="12" s="1"/>
  <c r="H32" i="12" a="1"/>
  <c r="H32" i="12" s="1"/>
  <c r="O32" i="12" a="1"/>
  <c r="O32" i="12" s="1"/>
  <c r="P32" i="12" a="1"/>
  <c r="P32" i="12" s="1"/>
  <c r="V32" i="12" a="1"/>
  <c r="V32" i="12" s="1"/>
  <c r="Q32" i="12" a="1"/>
  <c r="Q32" i="12" s="1"/>
  <c r="K36" i="12" a="1"/>
  <c r="K36" i="12" s="1"/>
  <c r="S36" i="12" a="1"/>
  <c r="S36" i="12" s="1"/>
  <c r="E36" i="12" a="1"/>
  <c r="E36" i="12" s="1"/>
  <c r="M36" i="12" a="1"/>
  <c r="M36" i="12" s="1"/>
  <c r="U36" i="12" a="1"/>
  <c r="U36" i="12" s="1"/>
  <c r="J36" i="12" a="1"/>
  <c r="J36" i="12" s="1"/>
  <c r="R36" i="12" a="1"/>
  <c r="R36" i="12" s="1"/>
  <c r="Z36" i="12" a="1"/>
  <c r="Z36" i="12" s="1"/>
  <c r="L36" i="12" a="1"/>
  <c r="L36" i="12" s="1"/>
  <c r="X36" i="12" a="1"/>
  <c r="X36" i="12" s="1"/>
  <c r="N36" i="12" a="1"/>
  <c r="N36" i="12" s="1"/>
  <c r="Y36" i="12" a="1"/>
  <c r="Y36" i="12" s="1"/>
  <c r="O36" i="12" a="1"/>
  <c r="O36" i="12" s="1"/>
  <c r="H36" i="12" a="1"/>
  <c r="H36" i="12" s="1"/>
  <c r="V36" i="12" a="1"/>
  <c r="V36" i="12" s="1"/>
  <c r="Q36" i="12" a="1"/>
  <c r="Q36" i="12" s="1"/>
  <c r="T36" i="12" a="1"/>
  <c r="T36" i="12" s="1"/>
  <c r="W36" i="12" a="1"/>
  <c r="W36" i="12" s="1"/>
  <c r="I36" i="12" a="1"/>
  <c r="I36" i="12" s="1"/>
  <c r="P36" i="12" a="1"/>
  <c r="P36" i="12" s="1"/>
  <c r="F36" i="12" a="1"/>
  <c r="F36" i="12" s="1"/>
  <c r="G36" i="12" a="1"/>
  <c r="G36" i="12" s="1"/>
  <c r="I40" i="12" a="1"/>
  <c r="I40" i="12" s="1"/>
  <c r="Q40" i="12" a="1"/>
  <c r="Q40" i="12" s="1"/>
  <c r="Y40" i="12" a="1"/>
  <c r="Y40" i="12" s="1"/>
  <c r="H40" i="12" a="1"/>
  <c r="H40" i="12" s="1"/>
  <c r="P40" i="12" a="1"/>
  <c r="P40" i="12" s="1"/>
  <c r="X40" i="12" a="1"/>
  <c r="X40" i="12" s="1"/>
  <c r="E40" i="12" a="1"/>
  <c r="E40" i="12" s="1"/>
  <c r="O40" i="12" a="1"/>
  <c r="O40" i="12" s="1"/>
  <c r="F40" i="12" a="1"/>
  <c r="F40" i="12" s="1"/>
  <c r="R40" i="12" a="1"/>
  <c r="R40" i="12" s="1"/>
  <c r="G40" i="12" a="1"/>
  <c r="G40" i="12" s="1"/>
  <c r="S40" i="12" a="1"/>
  <c r="S40" i="12" s="1"/>
  <c r="M40" i="12" a="1"/>
  <c r="M40" i="12" s="1"/>
  <c r="W40" i="12" a="1"/>
  <c r="W40" i="12" s="1"/>
  <c r="U40" i="12" a="1"/>
  <c r="U40" i="12" s="1"/>
  <c r="V40" i="12" a="1"/>
  <c r="V40" i="12" s="1"/>
  <c r="Z40" i="12" a="1"/>
  <c r="Z40" i="12" s="1"/>
  <c r="J40" i="12" a="1"/>
  <c r="J40" i="12" s="1"/>
  <c r="N40" i="12" a="1"/>
  <c r="N40" i="12" s="1"/>
  <c r="T40" i="12" a="1"/>
  <c r="T40" i="12" s="1"/>
  <c r="K40" i="12" a="1"/>
  <c r="K40" i="12" s="1"/>
  <c r="L40" i="12" a="1"/>
  <c r="L40" i="12" s="1"/>
  <c r="J44" i="12" a="1"/>
  <c r="J44" i="12" s="1"/>
  <c r="R44" i="12" a="1"/>
  <c r="R44" i="12" s="1"/>
  <c r="Y44" i="12" a="1"/>
  <c r="Y44" i="12" s="1"/>
  <c r="I44" i="12" a="1"/>
  <c r="I44" i="12" s="1"/>
  <c r="Q44" i="12" a="1"/>
  <c r="Q44" i="12" s="1"/>
  <c r="X44" i="12" a="1"/>
  <c r="X44" i="12" s="1"/>
  <c r="F44" i="12" a="1"/>
  <c r="F44" i="12" s="1"/>
  <c r="P44" i="12" a="1"/>
  <c r="P44" i="12" s="1"/>
  <c r="G44" i="12" a="1"/>
  <c r="G44" i="12" s="1"/>
  <c r="S44" i="12" a="1"/>
  <c r="S44" i="12" s="1"/>
  <c r="H44" i="12" a="1"/>
  <c r="H44" i="12" s="1"/>
  <c r="T44" i="12" a="1"/>
  <c r="T44" i="12" s="1"/>
  <c r="N44" i="12" a="1"/>
  <c r="N44" i="12" s="1"/>
  <c r="W44" i="12" a="1"/>
  <c r="W44" i="12" s="1"/>
  <c r="L44" i="12" a="1"/>
  <c r="L44" i="12" s="1"/>
  <c r="M44" i="12" a="1"/>
  <c r="M44" i="12" s="1"/>
  <c r="O44" i="12" a="1"/>
  <c r="O44" i="12" s="1"/>
  <c r="E44" i="12" a="1"/>
  <c r="E44" i="12" s="1"/>
  <c r="Z44" i="12" a="1"/>
  <c r="Z44" i="12" s="1"/>
  <c r="K44" i="12" a="1"/>
  <c r="K44" i="12" s="1"/>
  <c r="V44" i="12" a="1"/>
  <c r="V44" i="12" s="1"/>
  <c r="U44" i="12" a="1"/>
  <c r="U44" i="12" s="1"/>
  <c r="P48" i="1"/>
  <c r="G48" i="12" a="1"/>
  <c r="G48" i="12" s="1"/>
  <c r="O48" i="12" a="1"/>
  <c r="O48" i="12" s="1"/>
  <c r="W48" i="12" a="1"/>
  <c r="W48" i="12" s="1"/>
  <c r="H48" i="12" a="1"/>
  <c r="H48" i="12" s="1"/>
  <c r="Q48" i="12" a="1"/>
  <c r="Q48" i="12" s="1"/>
  <c r="Z48" i="12" a="1"/>
  <c r="Z48" i="12" s="1"/>
  <c r="I48" i="12" a="1"/>
  <c r="I48" i="12" s="1"/>
  <c r="R48" i="12" a="1"/>
  <c r="R48" i="12" s="1"/>
  <c r="J48" i="12" a="1"/>
  <c r="J48" i="12" s="1"/>
  <c r="S48" i="12" a="1"/>
  <c r="S48" i="12" s="1"/>
  <c r="E48" i="12" a="1"/>
  <c r="E48" i="12" s="1"/>
  <c r="N48" i="12" a="1"/>
  <c r="N48" i="12" s="1"/>
  <c r="X48" i="12" a="1"/>
  <c r="X48" i="12" s="1"/>
  <c r="U48" i="12" a="1"/>
  <c r="U48" i="12" s="1"/>
  <c r="V48" i="12" a="1"/>
  <c r="V48" i="12" s="1"/>
  <c r="F48" i="12" a="1"/>
  <c r="F48" i="12" s="1"/>
  <c r="Y48" i="12" a="1"/>
  <c r="Y48" i="12" s="1"/>
  <c r="P48" i="12" a="1"/>
  <c r="P48" i="12" s="1"/>
  <c r="T48" i="12" a="1"/>
  <c r="T48" i="12" s="1"/>
  <c r="K48" i="12" a="1"/>
  <c r="K48" i="12" s="1"/>
  <c r="L48" i="12" a="1"/>
  <c r="L48" i="12" s="1"/>
  <c r="M48" i="12" a="1"/>
  <c r="M48" i="12" s="1"/>
  <c r="E52" i="12" a="1"/>
  <c r="E52" i="12" s="1"/>
  <c r="L52" i="12" a="1"/>
  <c r="L52" i="12" s="1"/>
  <c r="Z52" i="12" a="1"/>
  <c r="Z52" i="12" s="1"/>
  <c r="H52" i="12" a="1"/>
  <c r="H52" i="12" s="1"/>
  <c r="P52" i="12" a="1"/>
  <c r="P52" i="12" s="1"/>
  <c r="X52" i="12" a="1"/>
  <c r="X52" i="12" s="1"/>
  <c r="I52" i="12" a="1"/>
  <c r="I52" i="12" s="1"/>
  <c r="Q52" i="12" a="1"/>
  <c r="Q52" i="12" s="1"/>
  <c r="Y52" i="12" a="1"/>
  <c r="Y52" i="12" s="1"/>
  <c r="J52" i="12" a="1"/>
  <c r="J52" i="12" s="1"/>
  <c r="R52" i="12" a="1"/>
  <c r="R52" i="12" s="1"/>
  <c r="N52" i="12" a="1"/>
  <c r="N52" i="12" s="1"/>
  <c r="V52" i="12" a="1"/>
  <c r="V52" i="12" s="1"/>
  <c r="T52" i="12" a="1"/>
  <c r="T52" i="12" s="1"/>
  <c r="F52" i="12" a="1"/>
  <c r="F52" i="12" s="1"/>
  <c r="U52" i="12" a="1"/>
  <c r="U52" i="12" s="1"/>
  <c r="G52" i="12" a="1"/>
  <c r="G52" i="12" s="1"/>
  <c r="W52" i="12" a="1"/>
  <c r="W52" i="12" s="1"/>
  <c r="O52" i="12" a="1"/>
  <c r="O52" i="12" s="1"/>
  <c r="S52" i="12" a="1"/>
  <c r="S52" i="12" s="1"/>
  <c r="K52" i="12" a="1"/>
  <c r="K52" i="12" s="1"/>
  <c r="M52" i="12" a="1"/>
  <c r="M52" i="12" s="1"/>
  <c r="H56" i="12" a="1"/>
  <c r="H56" i="12" s="1"/>
  <c r="P56" i="12" a="1"/>
  <c r="P56" i="12" s="1"/>
  <c r="W56" i="12" a="1"/>
  <c r="W56" i="12" s="1"/>
  <c r="G56" i="12" a="1"/>
  <c r="G56" i="12" s="1"/>
  <c r="Q56" i="12" a="1"/>
  <c r="Q56" i="12" s="1"/>
  <c r="X56" i="12" a="1"/>
  <c r="X56" i="12" s="1"/>
  <c r="I56" i="12" a="1"/>
  <c r="I56" i="12" s="1"/>
  <c r="R56" i="12" a="1"/>
  <c r="R56" i="12" s="1"/>
  <c r="Y56" i="12" a="1"/>
  <c r="Y56" i="12" s="1"/>
  <c r="J56" i="12" a="1"/>
  <c r="J56" i="12" s="1"/>
  <c r="S56" i="12" a="1"/>
  <c r="S56" i="12" s="1"/>
  <c r="Z56" i="12" a="1"/>
  <c r="Z56" i="12" s="1"/>
  <c r="E56" i="12" a="1"/>
  <c r="E56" i="12" s="1"/>
  <c r="N56" i="12" a="1"/>
  <c r="N56" i="12" s="1"/>
  <c r="U56" i="12" a="1"/>
  <c r="U56" i="12" s="1"/>
  <c r="V56" i="12" a="1"/>
  <c r="V56" i="12" s="1"/>
  <c r="F56" i="12" a="1"/>
  <c r="F56" i="12" s="1"/>
  <c r="O56" i="12" a="1"/>
  <c r="O56" i="12" s="1"/>
  <c r="T56" i="12" a="1"/>
  <c r="T56" i="12" s="1"/>
  <c r="K56" i="12" a="1"/>
  <c r="K56" i="12" s="1"/>
  <c r="L56" i="12" a="1"/>
  <c r="L56" i="12" s="1"/>
  <c r="M56" i="12" a="1"/>
  <c r="M56" i="12" s="1"/>
  <c r="J60" i="1"/>
  <c r="H60" i="12" a="1"/>
  <c r="H60" i="12" s="1"/>
  <c r="N60" i="12" a="1"/>
  <c r="N60" i="12" s="1"/>
  <c r="V60" i="12" a="1"/>
  <c r="V60" i="12" s="1"/>
  <c r="K60" i="12" a="1"/>
  <c r="K60" i="12" s="1"/>
  <c r="S60" i="12" a="1"/>
  <c r="S60" i="12" s="1"/>
  <c r="E60" i="12" a="1"/>
  <c r="E60" i="12" s="1"/>
  <c r="L60" i="12" a="1"/>
  <c r="L60" i="12" s="1"/>
  <c r="T60" i="12" a="1"/>
  <c r="T60" i="12" s="1"/>
  <c r="F60" i="12" a="1"/>
  <c r="F60" i="12" s="1"/>
  <c r="M60" i="12" a="1"/>
  <c r="M60" i="12" s="1"/>
  <c r="U60" i="12" a="1"/>
  <c r="U60" i="12" s="1"/>
  <c r="I60" i="12" a="1"/>
  <c r="I60" i="12" s="1"/>
  <c r="W60" i="12" a="1"/>
  <c r="W60" i="12" s="1"/>
  <c r="X60" i="12" a="1"/>
  <c r="X60" i="12" s="1"/>
  <c r="J60" i="12" a="1"/>
  <c r="J60" i="12" s="1"/>
  <c r="Y60" i="12" a="1"/>
  <c r="Y60" i="12" s="1"/>
  <c r="G60" i="12" a="1"/>
  <c r="G60" i="12" s="1"/>
  <c r="Q60" i="12" a="1"/>
  <c r="Q60" i="12" s="1"/>
  <c r="R60" i="12" a="1"/>
  <c r="R60" i="12" s="1"/>
  <c r="O60" i="12" a="1"/>
  <c r="O60" i="12" s="1"/>
  <c r="P60" i="12" a="1"/>
  <c r="P60" i="12" s="1"/>
  <c r="Z60" i="12" a="1"/>
  <c r="Z60" i="12" s="1"/>
  <c r="H64" i="12" a="1"/>
  <c r="H64" i="12" s="1"/>
  <c r="P64" i="12" a="1"/>
  <c r="P64" i="12" s="1"/>
  <c r="W64" i="12" a="1"/>
  <c r="W64" i="12" s="1"/>
  <c r="I64" i="12" a="1"/>
  <c r="I64" i="12" s="1"/>
  <c r="Q64" i="12" a="1"/>
  <c r="Q64" i="12" s="1"/>
  <c r="X64" i="12" a="1"/>
  <c r="X64" i="12" s="1"/>
  <c r="J64" i="12" a="1"/>
  <c r="J64" i="12" s="1"/>
  <c r="Y64" i="12" a="1"/>
  <c r="Y64" i="12" s="1"/>
  <c r="G64" i="12" a="1"/>
  <c r="G64" i="12" s="1"/>
  <c r="S64" i="12" a="1"/>
  <c r="S64" i="12" s="1"/>
  <c r="T64" i="12" a="1"/>
  <c r="T64" i="12" s="1"/>
  <c r="K64" i="12" a="1"/>
  <c r="K64" i="12" s="1"/>
  <c r="U64" i="12" a="1"/>
  <c r="U64" i="12" s="1"/>
  <c r="E64" i="12" a="1"/>
  <c r="E64" i="12" s="1"/>
  <c r="O64" i="12" a="1"/>
  <c r="O64" i="12" s="1"/>
  <c r="F64" i="12" a="1"/>
  <c r="F64" i="12" s="1"/>
  <c r="R64" i="12" a="1"/>
  <c r="R64" i="12" s="1"/>
  <c r="L64" i="12" a="1"/>
  <c r="L64" i="12" s="1"/>
  <c r="M64" i="12" a="1"/>
  <c r="M64" i="12" s="1"/>
  <c r="N64" i="12" a="1"/>
  <c r="N64" i="12" s="1"/>
  <c r="Z64" i="12" a="1"/>
  <c r="Z64" i="12" s="1"/>
  <c r="V64" i="12" a="1"/>
  <c r="V64" i="12" s="1"/>
  <c r="R68" i="12" a="1"/>
  <c r="R68" i="12" s="1"/>
  <c r="Z68" i="12" a="1"/>
  <c r="Z68" i="12" s="1"/>
  <c r="K68" i="12" a="1"/>
  <c r="K68" i="12" s="1"/>
  <c r="S68" i="12" a="1"/>
  <c r="S68" i="12" s="1"/>
  <c r="E68" i="12" a="1"/>
  <c r="E68" i="12" s="1"/>
  <c r="L68" i="12" a="1"/>
  <c r="L68" i="12" s="1"/>
  <c r="T68" i="12" a="1"/>
  <c r="T68" i="12" s="1"/>
  <c r="O68" i="12" a="1"/>
  <c r="O68" i="12" s="1"/>
  <c r="F68" i="12" a="1"/>
  <c r="F68" i="12" s="1"/>
  <c r="P68" i="12" a="1"/>
  <c r="P68" i="12" s="1"/>
  <c r="G68" i="12" a="1"/>
  <c r="G68" i="12" s="1"/>
  <c r="Q68" i="12" a="1"/>
  <c r="Q68" i="12" s="1"/>
  <c r="M68" i="12" a="1"/>
  <c r="M68" i="12" s="1"/>
  <c r="X68" i="12" a="1"/>
  <c r="X68" i="12" s="1"/>
  <c r="N68" i="12" a="1"/>
  <c r="N68" i="12" s="1"/>
  <c r="Y68" i="12" a="1"/>
  <c r="Y68" i="12" s="1"/>
  <c r="U68" i="12" a="1"/>
  <c r="U68" i="12" s="1"/>
  <c r="V68" i="12" a="1"/>
  <c r="V68" i="12" s="1"/>
  <c r="W68" i="12" a="1"/>
  <c r="W68" i="12" s="1"/>
  <c r="J68" i="12" a="1"/>
  <c r="J68" i="12" s="1"/>
  <c r="H68" i="12" a="1"/>
  <c r="H68" i="12" s="1"/>
  <c r="I68" i="12" a="1"/>
  <c r="I68" i="12" s="1"/>
  <c r="F72" i="12" a="1"/>
  <c r="F72" i="12" s="1"/>
  <c r="M72" i="12" a="1"/>
  <c r="M72" i="12" s="1"/>
  <c r="T72" i="12" a="1"/>
  <c r="T72" i="12" s="1"/>
  <c r="G72" i="12" a="1"/>
  <c r="G72" i="12" s="1"/>
  <c r="N72" i="12" a="1"/>
  <c r="N72" i="12" s="1"/>
  <c r="U72" i="12" a="1"/>
  <c r="U72" i="12" s="1"/>
  <c r="H72" i="12" a="1"/>
  <c r="H72" i="12" s="1"/>
  <c r="V72" i="12" a="1"/>
  <c r="V72" i="12" s="1"/>
  <c r="K72" i="12" a="1"/>
  <c r="K72" i="12" s="1"/>
  <c r="X72" i="12" a="1"/>
  <c r="X72" i="12" s="1"/>
  <c r="L72" i="12" a="1"/>
  <c r="L72" i="12" s="1"/>
  <c r="Y72" i="12" a="1"/>
  <c r="Y72" i="12" s="1"/>
  <c r="O72" i="12" a="1"/>
  <c r="O72" i="12" s="1"/>
  <c r="Z72" i="12" a="1"/>
  <c r="Z72" i="12" s="1"/>
  <c r="J72" i="12" a="1"/>
  <c r="J72" i="12" s="1"/>
  <c r="S72" i="12" a="1"/>
  <c r="S72" i="12" s="1"/>
  <c r="W72" i="12" a="1"/>
  <c r="W72" i="12" s="1"/>
  <c r="R72" i="12" a="1"/>
  <c r="R72" i="12" s="1"/>
  <c r="E72" i="12" a="1"/>
  <c r="E72" i="12" s="1"/>
  <c r="I72" i="12" a="1"/>
  <c r="I72" i="12" s="1"/>
  <c r="P72" i="12" a="1"/>
  <c r="P72" i="12" s="1"/>
  <c r="Q72" i="12" a="1"/>
  <c r="Q72" i="12" s="1"/>
  <c r="J76" i="1"/>
  <c r="J76" i="12" a="1"/>
  <c r="J76" i="12" s="1"/>
  <c r="R76" i="12" a="1"/>
  <c r="R76" i="12" s="1"/>
  <c r="Z76" i="12" a="1"/>
  <c r="Z76" i="12" s="1"/>
  <c r="K76" i="12" a="1"/>
  <c r="K76" i="12" s="1"/>
  <c r="S76" i="12" a="1"/>
  <c r="S76" i="12" s="1"/>
  <c r="E76" i="12" a="1"/>
  <c r="E76" i="12" s="1"/>
  <c r="L76" i="12" a="1"/>
  <c r="L76" i="12" s="1"/>
  <c r="T76" i="12" a="1"/>
  <c r="T76" i="12" s="1"/>
  <c r="I76" i="12" a="1"/>
  <c r="I76" i="12" s="1"/>
  <c r="P76" i="12" a="1"/>
  <c r="P76" i="12" s="1"/>
  <c r="X76" i="12" a="1"/>
  <c r="X76" i="12" s="1"/>
  <c r="Q76" i="12" a="1"/>
  <c r="Q76" i="12" s="1"/>
  <c r="Y76" i="12" a="1"/>
  <c r="Y76" i="12" s="1"/>
  <c r="F76" i="12" a="1"/>
  <c r="F76" i="12" s="1"/>
  <c r="W76" i="12" a="1"/>
  <c r="W76" i="12" s="1"/>
  <c r="G76" i="12" a="1"/>
  <c r="G76" i="12" s="1"/>
  <c r="H76" i="12" a="1"/>
  <c r="H76" i="12" s="1"/>
  <c r="V76" i="12" a="1"/>
  <c r="V76" i="12" s="1"/>
  <c r="M76" i="12" a="1"/>
  <c r="M76" i="12" s="1"/>
  <c r="N76" i="12" a="1"/>
  <c r="N76" i="12" s="1"/>
  <c r="O76" i="12" a="1"/>
  <c r="O76" i="12" s="1"/>
  <c r="U76" i="12" a="1"/>
  <c r="U76" i="12" s="1"/>
  <c r="F80" i="12" a="1"/>
  <c r="F80" i="12" s="1"/>
  <c r="N80" i="12" a="1"/>
  <c r="N80" i="12" s="1"/>
  <c r="U80" i="12" a="1"/>
  <c r="U80" i="12" s="1"/>
  <c r="G80" i="12" a="1"/>
  <c r="G80" i="12" s="1"/>
  <c r="O80" i="12" a="1"/>
  <c r="O80" i="12" s="1"/>
  <c r="V80" i="12" a="1"/>
  <c r="V80" i="12" s="1"/>
  <c r="H80" i="12" a="1"/>
  <c r="H80" i="12" s="1"/>
  <c r="P80" i="12" a="1"/>
  <c r="P80" i="12" s="1"/>
  <c r="W80" i="12" a="1"/>
  <c r="W80" i="12" s="1"/>
  <c r="L80" i="12" a="1"/>
  <c r="L80" i="12" s="1"/>
  <c r="S80" i="12" a="1"/>
  <c r="S80" i="12" s="1"/>
  <c r="E80" i="12" a="1"/>
  <c r="E80" i="12" s="1"/>
  <c r="M80" i="12" a="1"/>
  <c r="M80" i="12" s="1"/>
  <c r="T80" i="12" a="1"/>
  <c r="T80" i="12" s="1"/>
  <c r="R80" i="12" a="1"/>
  <c r="R80" i="12" s="1"/>
  <c r="X80" i="12" a="1"/>
  <c r="X80" i="12" s="1"/>
  <c r="Q80" i="12" a="1"/>
  <c r="Q80" i="12" s="1"/>
  <c r="Z80" i="12" a="1"/>
  <c r="Z80" i="12" s="1"/>
  <c r="I80" i="12" a="1"/>
  <c r="I80" i="12" s="1"/>
  <c r="J80" i="12" a="1"/>
  <c r="J80" i="12" s="1"/>
  <c r="Y80" i="12" a="1"/>
  <c r="Y80" i="12" s="1"/>
  <c r="K80" i="12" a="1"/>
  <c r="K80" i="12" s="1"/>
  <c r="J84" i="1"/>
  <c r="P84" i="12" a="1"/>
  <c r="P84" i="12" s="1"/>
  <c r="W84" i="12" a="1"/>
  <c r="W84" i="12" s="1"/>
  <c r="J84" i="12" a="1"/>
  <c r="J84" i="12" s="1"/>
  <c r="Q84" i="12" a="1"/>
  <c r="Q84" i="12" s="1"/>
  <c r="X84" i="12" a="1"/>
  <c r="X84" i="12" s="1"/>
  <c r="K84" i="12" a="1"/>
  <c r="K84" i="12" s="1"/>
  <c r="R84" i="12" a="1"/>
  <c r="R84" i="12" s="1"/>
  <c r="Y84" i="12" a="1"/>
  <c r="Y84" i="12" s="1"/>
  <c r="H84" i="12" a="1"/>
  <c r="H84" i="12" s="1"/>
  <c r="I84" i="12" a="1"/>
  <c r="I84" i="12" s="1"/>
  <c r="O84" i="12" a="1"/>
  <c r="O84" i="12" s="1"/>
  <c r="V84" i="12" a="1"/>
  <c r="V84" i="12" s="1"/>
  <c r="L84" i="12" a="1"/>
  <c r="L84" i="12" s="1"/>
  <c r="M84" i="12" a="1"/>
  <c r="M84" i="12" s="1"/>
  <c r="N84" i="12" a="1"/>
  <c r="N84" i="12" s="1"/>
  <c r="G84" i="12" a="1"/>
  <c r="G84" i="12" s="1"/>
  <c r="T84" i="12" a="1"/>
  <c r="T84" i="12" s="1"/>
  <c r="U84" i="12" a="1"/>
  <c r="U84" i="12" s="1"/>
  <c r="Z84" i="12" a="1"/>
  <c r="Z84" i="12" s="1"/>
  <c r="E84" i="12" a="1"/>
  <c r="E84" i="12" s="1"/>
  <c r="S84" i="12" a="1"/>
  <c r="S84" i="12" s="1"/>
  <c r="F84" i="12" a="1"/>
  <c r="F84" i="12" s="1"/>
  <c r="J88" i="12" a="1"/>
  <c r="J88" i="12" s="1"/>
  <c r="R88" i="12" a="1"/>
  <c r="R88" i="12" s="1"/>
  <c r="Z88" i="12" a="1"/>
  <c r="Z88" i="12" s="1"/>
  <c r="K88" i="12" a="1"/>
  <c r="K88" i="12" s="1"/>
  <c r="S88" i="12" a="1"/>
  <c r="S88" i="12" s="1"/>
  <c r="L88" i="12" a="1"/>
  <c r="L88" i="12" s="1"/>
  <c r="T88" i="12" a="1"/>
  <c r="T88" i="12" s="1"/>
  <c r="H88" i="12" a="1"/>
  <c r="H88" i="12" s="1"/>
  <c r="P88" i="12" a="1"/>
  <c r="P88" i="12" s="1"/>
  <c r="X88" i="12" a="1"/>
  <c r="X88" i="12" s="1"/>
  <c r="I88" i="12" a="1"/>
  <c r="I88" i="12" s="1"/>
  <c r="Q88" i="12" a="1"/>
  <c r="Q88" i="12" s="1"/>
  <c r="Y88" i="12" a="1"/>
  <c r="Y88" i="12" s="1"/>
  <c r="V88" i="12" a="1"/>
  <c r="V88" i="12" s="1"/>
  <c r="E88" i="12" a="1"/>
  <c r="E88" i="12" s="1"/>
  <c r="W88" i="12" a="1"/>
  <c r="W88" i="12" s="1"/>
  <c r="F88" i="12" a="1"/>
  <c r="F88" i="12" s="1"/>
  <c r="U88" i="12" a="1"/>
  <c r="U88" i="12" s="1"/>
  <c r="M88" i="12" a="1"/>
  <c r="M88" i="12" s="1"/>
  <c r="N88" i="12" a="1"/>
  <c r="N88" i="12" s="1"/>
  <c r="O88" i="12" a="1"/>
  <c r="O88" i="12" s="1"/>
  <c r="G88" i="12" a="1"/>
  <c r="G88" i="12" s="1"/>
  <c r="AJ53" i="13"/>
  <c r="W53" i="13"/>
  <c r="AN53" i="13"/>
  <c r="AB53" i="13"/>
  <c r="AG53" i="13"/>
  <c r="S53" i="13"/>
  <c r="AF53" i="13"/>
  <c r="AE53" i="13"/>
  <c r="AK53" i="13"/>
  <c r="T53" i="13"/>
  <c r="AA53" i="13"/>
  <c r="X53" i="13"/>
  <c r="U53" i="13"/>
  <c r="AC53" i="13"/>
  <c r="F17" i="12" a="1"/>
  <c r="F17" i="12" s="1"/>
  <c r="N17" i="12" a="1"/>
  <c r="N17" i="12" s="1"/>
  <c r="V17" i="12" a="1"/>
  <c r="V17" i="12" s="1"/>
  <c r="H17" i="12" a="1"/>
  <c r="H17" i="12" s="1"/>
  <c r="P17" i="12" a="1"/>
  <c r="P17" i="12" s="1"/>
  <c r="X17" i="12" a="1"/>
  <c r="X17" i="12" s="1"/>
  <c r="E17" i="12" a="1"/>
  <c r="E17" i="12" s="1"/>
  <c r="M17" i="12" a="1"/>
  <c r="M17" i="12" s="1"/>
  <c r="U17" i="12" a="1"/>
  <c r="U17" i="12" s="1"/>
  <c r="I17" i="12" a="1"/>
  <c r="I17" i="12" s="1"/>
  <c r="T17" i="12" a="1"/>
  <c r="T17" i="12" s="1"/>
  <c r="J17" i="12" a="1"/>
  <c r="J17" i="12" s="1"/>
  <c r="W17" i="12" a="1"/>
  <c r="W17" i="12" s="1"/>
  <c r="K17" i="12" a="1"/>
  <c r="K17" i="12" s="1"/>
  <c r="Y17" i="12" a="1"/>
  <c r="Y17" i="12" s="1"/>
  <c r="L17" i="12" a="1"/>
  <c r="L17" i="12" s="1"/>
  <c r="Z17" i="12" a="1"/>
  <c r="Z17" i="12" s="1"/>
  <c r="R17" i="12" a="1"/>
  <c r="R17" i="12" s="1"/>
  <c r="O17" i="12" a="1"/>
  <c r="O17" i="12" s="1"/>
  <c r="Q17" i="12" a="1"/>
  <c r="Q17" i="12" s="1"/>
  <c r="S17" i="12" a="1"/>
  <c r="S17" i="12" s="1"/>
  <c r="G17" i="12" a="1"/>
  <c r="G17" i="12" s="1"/>
  <c r="E37" i="12" a="1"/>
  <c r="E37" i="12" s="1"/>
  <c r="M37" i="12" a="1"/>
  <c r="M37" i="12" s="1"/>
  <c r="U37" i="12" a="1"/>
  <c r="U37" i="12" s="1"/>
  <c r="G37" i="12" a="1"/>
  <c r="G37" i="12" s="1"/>
  <c r="O37" i="12" a="1"/>
  <c r="O37" i="12" s="1"/>
  <c r="W37" i="12" a="1"/>
  <c r="W37" i="12" s="1"/>
  <c r="L37" i="12" a="1"/>
  <c r="L37" i="12" s="1"/>
  <c r="T37" i="12" a="1"/>
  <c r="T37" i="12" s="1"/>
  <c r="P37" i="12" a="1"/>
  <c r="P37" i="12" s="1"/>
  <c r="Q37" i="12" a="1"/>
  <c r="Q37" i="12" s="1"/>
  <c r="F37" i="12" a="1"/>
  <c r="F37" i="12" s="1"/>
  <c r="R37" i="12" a="1"/>
  <c r="R37" i="12" s="1"/>
  <c r="K37" i="12" a="1"/>
  <c r="K37" i="12" s="1"/>
  <c r="Y37" i="12" a="1"/>
  <c r="Y37" i="12" s="1"/>
  <c r="V37" i="12" a="1"/>
  <c r="V37" i="12" s="1"/>
  <c r="X37" i="12" a="1"/>
  <c r="X37" i="12" s="1"/>
  <c r="Z37" i="12" a="1"/>
  <c r="Z37" i="12" s="1"/>
  <c r="H37" i="12" a="1"/>
  <c r="H37" i="12" s="1"/>
  <c r="N37" i="12" a="1"/>
  <c r="N37" i="12" s="1"/>
  <c r="S37" i="12" a="1"/>
  <c r="S37" i="12" s="1"/>
  <c r="J37" i="12" a="1"/>
  <c r="J37" i="12" s="1"/>
  <c r="I37" i="12" a="1"/>
  <c r="I37" i="12" s="1"/>
  <c r="I49" i="12" a="1"/>
  <c r="I49" i="12" s="1"/>
  <c r="Q49" i="12" a="1"/>
  <c r="Q49" i="12" s="1"/>
  <c r="X49" i="12" a="1"/>
  <c r="X49" i="12" s="1"/>
  <c r="M49" i="12" a="1"/>
  <c r="M49" i="12" s="1"/>
  <c r="U49" i="12" a="1"/>
  <c r="U49" i="12" s="1"/>
  <c r="E49" i="12" a="1"/>
  <c r="E49" i="12" s="1"/>
  <c r="N49" i="12" a="1"/>
  <c r="N49" i="12" s="1"/>
  <c r="V49" i="12" a="1"/>
  <c r="V49" i="12" s="1"/>
  <c r="F49" i="12" a="1"/>
  <c r="F49" i="12" s="1"/>
  <c r="O49" i="12" a="1"/>
  <c r="O49" i="12" s="1"/>
  <c r="W49" i="12" a="1"/>
  <c r="W49" i="12" s="1"/>
  <c r="K49" i="12" a="1"/>
  <c r="K49" i="12" s="1"/>
  <c r="T49" i="12" a="1"/>
  <c r="T49" i="12" s="1"/>
  <c r="R49" i="12" a="1"/>
  <c r="R49" i="12" s="1"/>
  <c r="S49" i="12" a="1"/>
  <c r="S49" i="12" s="1"/>
  <c r="L49" i="12" a="1"/>
  <c r="L49" i="12" s="1"/>
  <c r="P49" i="12" a="1"/>
  <c r="P49" i="12" s="1"/>
  <c r="J49" i="12" a="1"/>
  <c r="J49" i="12" s="1"/>
  <c r="Y49" i="12" a="1"/>
  <c r="Y49" i="12" s="1"/>
  <c r="Z49" i="12" a="1"/>
  <c r="Z49" i="12" s="1"/>
  <c r="H49" i="12" a="1"/>
  <c r="H49" i="12" s="1"/>
  <c r="L69" i="12" a="1"/>
  <c r="L69" i="12" s="1"/>
  <c r="T69" i="12" a="1"/>
  <c r="T69" i="12" s="1"/>
  <c r="E69" i="12" a="1"/>
  <c r="E69" i="12" s="1"/>
  <c r="M69" i="12" a="1"/>
  <c r="M69" i="12" s="1"/>
  <c r="U69" i="12" a="1"/>
  <c r="U69" i="12" s="1"/>
  <c r="F69" i="12" a="1"/>
  <c r="F69" i="12" s="1"/>
  <c r="N69" i="12" a="1"/>
  <c r="N69" i="12" s="1"/>
  <c r="V69" i="12" a="1"/>
  <c r="V69" i="12" s="1"/>
  <c r="G69" i="12" a="1"/>
  <c r="G69" i="12" s="1"/>
  <c r="R69" i="12" a="1"/>
  <c r="R69" i="12" s="1"/>
  <c r="H69" i="12" a="1"/>
  <c r="H69" i="12" s="1"/>
  <c r="S69" i="12" a="1"/>
  <c r="S69" i="12" s="1"/>
  <c r="I69" i="12" a="1"/>
  <c r="I69" i="12" s="1"/>
  <c r="W69" i="12" a="1"/>
  <c r="W69" i="12" s="1"/>
  <c r="P69" i="12" a="1"/>
  <c r="P69" i="12" s="1"/>
  <c r="Z69" i="12" a="1"/>
  <c r="Z69" i="12" s="1"/>
  <c r="Q69" i="12" a="1"/>
  <c r="Q69" i="12" s="1"/>
  <c r="Y69" i="12" a="1"/>
  <c r="Y69" i="12" s="1"/>
  <c r="J69" i="12" a="1"/>
  <c r="J69" i="12" s="1"/>
  <c r="K69" i="12" a="1"/>
  <c r="K69" i="12" s="1"/>
  <c r="O69" i="12" a="1"/>
  <c r="O69" i="12" s="1"/>
  <c r="I85" i="12" a="1"/>
  <c r="I85" i="12" s="1"/>
  <c r="Q85" i="12" a="1"/>
  <c r="Q85" i="12" s="1"/>
  <c r="Y85" i="12" a="1"/>
  <c r="Y85" i="12" s="1"/>
  <c r="J85" i="12" a="1"/>
  <c r="J85" i="12" s="1"/>
  <c r="R85" i="12" a="1"/>
  <c r="R85" i="12" s="1"/>
  <c r="Z85" i="12" a="1"/>
  <c r="Z85" i="12" s="1"/>
  <c r="K85" i="12" a="1"/>
  <c r="K85" i="12" s="1"/>
  <c r="S85" i="12" a="1"/>
  <c r="S85" i="12" s="1"/>
  <c r="G85" i="12" a="1"/>
  <c r="G85" i="12" s="1"/>
  <c r="O85" i="12" a="1"/>
  <c r="O85" i="12" s="1"/>
  <c r="W85" i="12" a="1"/>
  <c r="W85" i="12" s="1"/>
  <c r="H85" i="12" a="1"/>
  <c r="H85" i="12" s="1"/>
  <c r="P85" i="12" a="1"/>
  <c r="P85" i="12" s="1"/>
  <c r="X85" i="12" a="1"/>
  <c r="X85" i="12" s="1"/>
  <c r="F85" i="12" a="1"/>
  <c r="F85" i="12" s="1"/>
  <c r="L85" i="12" a="1"/>
  <c r="L85" i="12" s="1"/>
  <c r="M85" i="12" a="1"/>
  <c r="M85" i="12" s="1"/>
  <c r="E85" i="12" a="1"/>
  <c r="E85" i="12" s="1"/>
  <c r="N85" i="12" a="1"/>
  <c r="N85" i="12" s="1"/>
  <c r="T85" i="12" a="1"/>
  <c r="T85" i="12" s="1"/>
  <c r="U85" i="12" a="1"/>
  <c r="U85" i="12" s="1"/>
  <c r="AC15" i="13"/>
  <c r="AZ15" i="13" s="1" a="1"/>
  <c r="AZ15" i="13" s="1"/>
  <c r="U15" i="13"/>
  <c r="AR15" i="13" s="1" a="1"/>
  <c r="AR15" i="13" s="1"/>
  <c r="T15" i="13"/>
  <c r="AQ15" i="13" s="1" a="1"/>
  <c r="AQ15" i="13" s="1"/>
  <c r="V15" i="13"/>
  <c r="AS15" i="13" s="1" a="1"/>
  <c r="AS15" i="13" s="1"/>
  <c r="AK26" i="13"/>
  <c r="AM26" i="13"/>
  <c r="AB26" i="13"/>
  <c r="AM53" i="13"/>
  <c r="S85" i="13"/>
  <c r="AD85" i="13"/>
  <c r="AA85" i="13"/>
  <c r="AE85" i="13"/>
  <c r="Z85" i="13"/>
  <c r="F21" i="12" a="1"/>
  <c r="F21" i="12" s="1"/>
  <c r="N21" i="12" a="1"/>
  <c r="N21" i="12" s="1"/>
  <c r="V21" i="12" a="1"/>
  <c r="V21" i="12" s="1"/>
  <c r="H21" i="12" a="1"/>
  <c r="H21" i="12" s="1"/>
  <c r="P21" i="12" a="1"/>
  <c r="P21" i="12" s="1"/>
  <c r="X21" i="12" a="1"/>
  <c r="X21" i="12" s="1"/>
  <c r="E21" i="12" a="1"/>
  <c r="E21" i="12" s="1"/>
  <c r="M21" i="12" a="1"/>
  <c r="M21" i="12" s="1"/>
  <c r="U21" i="12" a="1"/>
  <c r="U21" i="12" s="1"/>
  <c r="J21" i="12" a="1"/>
  <c r="J21" i="12" s="1"/>
  <c r="W21" i="12" a="1"/>
  <c r="W21" i="12" s="1"/>
  <c r="K21" i="12" a="1"/>
  <c r="K21" i="12" s="1"/>
  <c r="Y21" i="12" a="1"/>
  <c r="Y21" i="12" s="1"/>
  <c r="L21" i="12" a="1"/>
  <c r="L21" i="12" s="1"/>
  <c r="Z21" i="12" a="1"/>
  <c r="Z21" i="12" s="1"/>
  <c r="G21" i="12" a="1"/>
  <c r="G21" i="12" s="1"/>
  <c r="S21" i="12" a="1"/>
  <c r="S21" i="12" s="1"/>
  <c r="Q21" i="12" a="1"/>
  <c r="Q21" i="12" s="1"/>
  <c r="R21" i="12" a="1"/>
  <c r="R21" i="12" s="1"/>
  <c r="T21" i="12" a="1"/>
  <c r="T21" i="12" s="1"/>
  <c r="I21" i="12" a="1"/>
  <c r="I21" i="12" s="1"/>
  <c r="O21" i="12" a="1"/>
  <c r="O21" i="12" s="1"/>
  <c r="E33" i="12" a="1"/>
  <c r="E33" i="12" s="1"/>
  <c r="M33" i="12" a="1"/>
  <c r="M33" i="12" s="1"/>
  <c r="U33" i="12" a="1"/>
  <c r="U33" i="12" s="1"/>
  <c r="G33" i="12" a="1"/>
  <c r="G33" i="12" s="1"/>
  <c r="O33" i="12" a="1"/>
  <c r="O33" i="12" s="1"/>
  <c r="W33" i="12" a="1"/>
  <c r="W33" i="12" s="1"/>
  <c r="L33" i="12" a="1"/>
  <c r="L33" i="12" s="1"/>
  <c r="T33" i="12" a="1"/>
  <c r="T33" i="12" s="1"/>
  <c r="N33" i="12" a="1"/>
  <c r="N33" i="12" s="1"/>
  <c r="Z33" i="12" a="1"/>
  <c r="Z33" i="12" s="1"/>
  <c r="P33" i="12" a="1"/>
  <c r="P33" i="12" s="1"/>
  <c r="Q33" i="12" a="1"/>
  <c r="Q33" i="12" s="1"/>
  <c r="J33" i="12" a="1"/>
  <c r="J33" i="12" s="1"/>
  <c r="X33" i="12" a="1"/>
  <c r="X33" i="12" s="1"/>
  <c r="H33" i="12" a="1"/>
  <c r="H33" i="12" s="1"/>
  <c r="I33" i="12" a="1"/>
  <c r="I33" i="12" s="1"/>
  <c r="K33" i="12" a="1"/>
  <c r="K33" i="12" s="1"/>
  <c r="R33" i="12" a="1"/>
  <c r="R33" i="12" s="1"/>
  <c r="S33" i="12" a="1"/>
  <c r="S33" i="12" s="1"/>
  <c r="Y33" i="12" a="1"/>
  <c r="Y33" i="12" s="1"/>
  <c r="F33" i="12" a="1"/>
  <c r="F33" i="12" s="1"/>
  <c r="V33" i="12" a="1"/>
  <c r="V33" i="12" s="1"/>
  <c r="J41" i="12" a="1"/>
  <c r="J41" i="12" s="1"/>
  <c r="P41" i="12" a="1"/>
  <c r="P41" i="12" s="1"/>
  <c r="X41" i="12" a="1"/>
  <c r="X41" i="12" s="1"/>
  <c r="I41" i="12" a="1"/>
  <c r="I41" i="12" s="1"/>
  <c r="W41" i="12" a="1"/>
  <c r="W41" i="12" s="1"/>
  <c r="M41" i="12" a="1"/>
  <c r="M41" i="12" s="1"/>
  <c r="V41" i="12" a="1"/>
  <c r="V41" i="12" s="1"/>
  <c r="E41" i="12" a="1"/>
  <c r="E41" i="12" s="1"/>
  <c r="N41" i="12" a="1"/>
  <c r="N41" i="12" s="1"/>
  <c r="Y41" i="12" a="1"/>
  <c r="Y41" i="12" s="1"/>
  <c r="F41" i="12" a="1"/>
  <c r="F41" i="12" s="1"/>
  <c r="O41" i="12" a="1"/>
  <c r="O41" i="12" s="1"/>
  <c r="Z41" i="12" a="1"/>
  <c r="Z41" i="12" s="1"/>
  <c r="K41" i="12" a="1"/>
  <c r="K41" i="12" s="1"/>
  <c r="T41" i="12" a="1"/>
  <c r="T41" i="12" s="1"/>
  <c r="R41" i="12" a="1"/>
  <c r="R41" i="12" s="1"/>
  <c r="S41" i="12" a="1"/>
  <c r="S41" i="12" s="1"/>
  <c r="U41" i="12" a="1"/>
  <c r="U41" i="12" s="1"/>
  <c r="G41" i="12" a="1"/>
  <c r="G41" i="12" s="1"/>
  <c r="L41" i="12" a="1"/>
  <c r="L41" i="12" s="1"/>
  <c r="Q41" i="12" a="1"/>
  <c r="Q41" i="12" s="1"/>
  <c r="H41" i="12" a="1"/>
  <c r="H41" i="12" s="1"/>
  <c r="K45" i="12" a="1"/>
  <c r="K45" i="12" s="1"/>
  <c r="S45" i="12" a="1"/>
  <c r="S45" i="12" s="1"/>
  <c r="Z45" i="12" a="1"/>
  <c r="Z45" i="12" s="1"/>
  <c r="J45" i="12" a="1"/>
  <c r="J45" i="12" s="1"/>
  <c r="R45" i="12" a="1"/>
  <c r="R45" i="12" s="1"/>
  <c r="Y45" i="12" a="1"/>
  <c r="Y45" i="12" s="1"/>
  <c r="E45" i="12" a="1"/>
  <c r="E45" i="12" s="1"/>
  <c r="O45" i="12" a="1"/>
  <c r="O45" i="12" s="1"/>
  <c r="X45" i="12" a="1"/>
  <c r="X45" i="12" s="1"/>
  <c r="F45" i="12" a="1"/>
  <c r="F45" i="12" s="1"/>
  <c r="P45" i="12" a="1"/>
  <c r="P45" i="12" s="1"/>
  <c r="G45" i="12" a="1"/>
  <c r="G45" i="12" s="1"/>
  <c r="Q45" i="12" a="1"/>
  <c r="Q45" i="12" s="1"/>
  <c r="M45" i="12" a="1"/>
  <c r="M45" i="12" s="1"/>
  <c r="V45" i="12" a="1"/>
  <c r="V45" i="12" s="1"/>
  <c r="I45" i="12" a="1"/>
  <c r="I45" i="12" s="1"/>
  <c r="L45" i="12" a="1"/>
  <c r="L45" i="12" s="1"/>
  <c r="N45" i="12" a="1"/>
  <c r="N45" i="12" s="1"/>
  <c r="W45" i="12" a="1"/>
  <c r="W45" i="12" s="1"/>
  <c r="H45" i="12" a="1"/>
  <c r="H45" i="12" s="1"/>
  <c r="T45" i="12" a="1"/>
  <c r="T45" i="12" s="1"/>
  <c r="U45" i="12" a="1"/>
  <c r="U45" i="12" s="1"/>
  <c r="K53" i="12" a="1"/>
  <c r="K53" i="12" s="1"/>
  <c r="S53" i="12" a="1"/>
  <c r="S53" i="12" s="1"/>
  <c r="T53" i="12" a="1"/>
  <c r="T53" i="12" s="1"/>
  <c r="L53" i="12" a="1"/>
  <c r="L53" i="12" s="1"/>
  <c r="U53" i="12" a="1"/>
  <c r="U53" i="12" s="1"/>
  <c r="E53" i="12" a="1"/>
  <c r="E53" i="12" s="1"/>
  <c r="M53" i="12" a="1"/>
  <c r="M53" i="12" s="1"/>
  <c r="V53" i="12" a="1"/>
  <c r="V53" i="12" s="1"/>
  <c r="I53" i="12" a="1"/>
  <c r="I53" i="12" s="1"/>
  <c r="Q53" i="12" a="1"/>
  <c r="Q53" i="12" s="1"/>
  <c r="Z53" i="12" a="1"/>
  <c r="Z53" i="12" s="1"/>
  <c r="O53" i="12" a="1"/>
  <c r="O53" i="12" s="1"/>
  <c r="P53" i="12" a="1"/>
  <c r="P53" i="12" s="1"/>
  <c r="R53" i="12" a="1"/>
  <c r="R53" i="12" s="1"/>
  <c r="J53" i="12" a="1"/>
  <c r="J53" i="12" s="1"/>
  <c r="N53" i="12" a="1"/>
  <c r="N53" i="12" s="1"/>
  <c r="W53" i="12" a="1"/>
  <c r="W53" i="12" s="1"/>
  <c r="X53" i="12" a="1"/>
  <c r="X53" i="12" s="1"/>
  <c r="Y53" i="12" a="1"/>
  <c r="Y53" i="12" s="1"/>
  <c r="H53" i="12" a="1"/>
  <c r="H53" i="12" s="1"/>
  <c r="F53" i="12" a="1"/>
  <c r="F53" i="12" s="1"/>
  <c r="G61" i="12" a="1"/>
  <c r="G61" i="12" s="1"/>
  <c r="O61" i="12" a="1"/>
  <c r="O61" i="12" s="1"/>
  <c r="V61" i="12" a="1"/>
  <c r="V61" i="12" s="1"/>
  <c r="N61" i="12" a="1"/>
  <c r="N61" i="12" s="1"/>
  <c r="W61" i="12" a="1"/>
  <c r="W61" i="12" s="1"/>
  <c r="F61" i="12" a="1"/>
  <c r="F61" i="12" s="1"/>
  <c r="P61" i="12" a="1"/>
  <c r="P61" i="12" s="1"/>
  <c r="X61" i="12" a="1"/>
  <c r="X61" i="12" s="1"/>
  <c r="H61" i="12" a="1"/>
  <c r="H61" i="12" s="1"/>
  <c r="Q61" i="12" a="1"/>
  <c r="Q61" i="12" s="1"/>
  <c r="Y61" i="12" a="1"/>
  <c r="Y61" i="12" s="1"/>
  <c r="L61" i="12" a="1"/>
  <c r="L61" i="12" s="1"/>
  <c r="M61" i="12" a="1"/>
  <c r="M61" i="12" s="1"/>
  <c r="R61" i="12" a="1"/>
  <c r="R61" i="12" s="1"/>
  <c r="J61" i="12" a="1"/>
  <c r="J61" i="12" s="1"/>
  <c r="U61" i="12" a="1"/>
  <c r="U61" i="12" s="1"/>
  <c r="K61" i="12" a="1"/>
  <c r="K61" i="12" s="1"/>
  <c r="Z61" i="12" a="1"/>
  <c r="Z61" i="12" s="1"/>
  <c r="I61" i="12" a="1"/>
  <c r="I61" i="12" s="1"/>
  <c r="S61" i="12" a="1"/>
  <c r="S61" i="12" s="1"/>
  <c r="E61" i="12" a="1"/>
  <c r="E61" i="12" s="1"/>
  <c r="T61" i="12" a="1"/>
  <c r="T61" i="12" s="1"/>
  <c r="F73" i="12" a="1"/>
  <c r="F73" i="12" s="1"/>
  <c r="N73" i="12" a="1"/>
  <c r="N73" i="12" s="1"/>
  <c r="V73" i="12" a="1"/>
  <c r="V73" i="12" s="1"/>
  <c r="G73" i="12" a="1"/>
  <c r="G73" i="12" s="1"/>
  <c r="O73" i="12" a="1"/>
  <c r="O73" i="12" s="1"/>
  <c r="H73" i="12" a="1"/>
  <c r="H73" i="12" s="1"/>
  <c r="P73" i="12" a="1"/>
  <c r="P73" i="12" s="1"/>
  <c r="M73" i="12" a="1"/>
  <c r="M73" i="12" s="1"/>
  <c r="Y73" i="12" a="1"/>
  <c r="Y73" i="12" s="1"/>
  <c r="Q73" i="12" a="1"/>
  <c r="Q73" i="12" s="1"/>
  <c r="Z73" i="12" a="1"/>
  <c r="Z73" i="12" s="1"/>
  <c r="R73" i="12" a="1"/>
  <c r="R73" i="12" s="1"/>
  <c r="K73" i="12" a="1"/>
  <c r="K73" i="12" s="1"/>
  <c r="W73" i="12" a="1"/>
  <c r="W73" i="12" s="1"/>
  <c r="L73" i="12" a="1"/>
  <c r="L73" i="12" s="1"/>
  <c r="X73" i="12" a="1"/>
  <c r="X73" i="12" s="1"/>
  <c r="E73" i="12" a="1"/>
  <c r="E73" i="12" s="1"/>
  <c r="I73" i="12" a="1"/>
  <c r="I73" i="12" s="1"/>
  <c r="J73" i="12" a="1"/>
  <c r="J73" i="12" s="1"/>
  <c r="T73" i="12" a="1"/>
  <c r="T73" i="12" s="1"/>
  <c r="U73" i="12" a="1"/>
  <c r="U73" i="12" s="1"/>
  <c r="S73" i="12" a="1"/>
  <c r="S73" i="12" s="1"/>
  <c r="L77" i="12" a="1"/>
  <c r="L77" i="12" s="1"/>
  <c r="T77" i="12" a="1"/>
  <c r="T77" i="12" s="1"/>
  <c r="E77" i="12" a="1"/>
  <c r="E77" i="12" s="1"/>
  <c r="M77" i="12" a="1"/>
  <c r="M77" i="12" s="1"/>
  <c r="U77" i="12" a="1"/>
  <c r="U77" i="12" s="1"/>
  <c r="F77" i="12" a="1"/>
  <c r="F77" i="12" s="1"/>
  <c r="N77" i="12" a="1"/>
  <c r="N77" i="12" s="1"/>
  <c r="V77" i="12" a="1"/>
  <c r="V77" i="12" s="1"/>
  <c r="J77" i="12" a="1"/>
  <c r="J77" i="12" s="1"/>
  <c r="R77" i="12" a="1"/>
  <c r="R77" i="12" s="1"/>
  <c r="Y77" i="12" a="1"/>
  <c r="Y77" i="12" s="1"/>
  <c r="K77" i="12" a="1"/>
  <c r="K77" i="12" s="1"/>
  <c r="S77" i="12" a="1"/>
  <c r="S77" i="12" s="1"/>
  <c r="Z77" i="12" a="1"/>
  <c r="Z77" i="12" s="1"/>
  <c r="X77" i="12" a="1"/>
  <c r="X77" i="12" s="1"/>
  <c r="G77" i="12" a="1"/>
  <c r="G77" i="12" s="1"/>
  <c r="H77" i="12" a="1"/>
  <c r="H77" i="12" s="1"/>
  <c r="W77" i="12" a="1"/>
  <c r="W77" i="12" s="1"/>
  <c r="O77" i="12" a="1"/>
  <c r="O77" i="12" s="1"/>
  <c r="P77" i="12" a="1"/>
  <c r="P77" i="12" s="1"/>
  <c r="Q77" i="12" a="1"/>
  <c r="Q77" i="12" s="1"/>
  <c r="I77" i="12" a="1"/>
  <c r="I77" i="12" s="1"/>
  <c r="G81" i="12" a="1"/>
  <c r="G81" i="12" s="1"/>
  <c r="N81" i="12" a="1"/>
  <c r="N81" i="12" s="1"/>
  <c r="V81" i="12" a="1"/>
  <c r="V81" i="12" s="1"/>
  <c r="H81" i="12" a="1"/>
  <c r="H81" i="12" s="1"/>
  <c r="O81" i="12" a="1"/>
  <c r="O81" i="12" s="1"/>
  <c r="W81" i="12" a="1"/>
  <c r="W81" i="12" s="1"/>
  <c r="I81" i="12" a="1"/>
  <c r="I81" i="12" s="1"/>
  <c r="P81" i="12" a="1"/>
  <c r="P81" i="12" s="1"/>
  <c r="X81" i="12" a="1"/>
  <c r="X81" i="12" s="1"/>
  <c r="E81" i="12" a="1"/>
  <c r="E81" i="12" s="1"/>
  <c r="L81" i="12" a="1"/>
  <c r="L81" i="12" s="1"/>
  <c r="T81" i="12" a="1"/>
  <c r="T81" i="12" s="1"/>
  <c r="F81" i="12" a="1"/>
  <c r="F81" i="12" s="1"/>
  <c r="M81" i="12" a="1"/>
  <c r="M81" i="12" s="1"/>
  <c r="U81" i="12" a="1"/>
  <c r="U81" i="12" s="1"/>
  <c r="Q81" i="12" a="1"/>
  <c r="Q81" i="12" s="1"/>
  <c r="R81" i="12" a="1"/>
  <c r="R81" i="12" s="1"/>
  <c r="S81" i="12" a="1"/>
  <c r="S81" i="12" s="1"/>
  <c r="J81" i="12" a="1"/>
  <c r="J81" i="12" s="1"/>
  <c r="K81" i="12" a="1"/>
  <c r="K81" i="12" s="1"/>
  <c r="Y81" i="12" a="1"/>
  <c r="Y81" i="12" s="1"/>
  <c r="Z81" i="12" a="1"/>
  <c r="Z81" i="12" s="1"/>
  <c r="O89" i="1"/>
  <c r="L89" i="12" a="1"/>
  <c r="L89" i="12" s="1"/>
  <c r="T89" i="12" a="1"/>
  <c r="T89" i="12" s="1"/>
  <c r="E89" i="12" a="1"/>
  <c r="E89" i="12" s="1"/>
  <c r="M89" i="12" a="1"/>
  <c r="M89" i="12" s="1"/>
  <c r="U89" i="12" a="1"/>
  <c r="U89" i="12" s="1"/>
  <c r="F89" i="12" a="1"/>
  <c r="F89" i="12" s="1"/>
  <c r="N89" i="12" a="1"/>
  <c r="N89" i="12" s="1"/>
  <c r="V89" i="12" a="1"/>
  <c r="V89" i="12" s="1"/>
  <c r="J89" i="12" a="1"/>
  <c r="J89" i="12" s="1"/>
  <c r="R89" i="12" a="1"/>
  <c r="R89" i="12" s="1"/>
  <c r="Z89" i="12" a="1"/>
  <c r="Z89" i="12" s="1"/>
  <c r="K89" i="12" a="1"/>
  <c r="K89" i="12" s="1"/>
  <c r="S89" i="12" a="1"/>
  <c r="S89" i="12" s="1"/>
  <c r="W89" i="12" a="1"/>
  <c r="W89" i="12" s="1"/>
  <c r="X89" i="12" a="1"/>
  <c r="X89" i="12" s="1"/>
  <c r="G89" i="12" a="1"/>
  <c r="G89" i="12" s="1"/>
  <c r="Y89" i="12" a="1"/>
  <c r="Y89" i="12" s="1"/>
  <c r="Q89" i="12" a="1"/>
  <c r="Q89" i="12" s="1"/>
  <c r="H89" i="12" a="1"/>
  <c r="H89" i="12" s="1"/>
  <c r="I89" i="12" a="1"/>
  <c r="I89" i="12" s="1"/>
  <c r="O89" i="12" a="1"/>
  <c r="O89" i="12" s="1"/>
  <c r="AN43" i="13"/>
  <c r="AG43" i="13"/>
  <c r="W43" i="13"/>
  <c r="AE43" i="13"/>
  <c r="U43" i="13"/>
  <c r="AD43" i="13"/>
  <c r="T43" i="13"/>
  <c r="AM43" i="13"/>
  <c r="AC43" i="13"/>
  <c r="S43" i="13"/>
  <c r="AH43" i="13"/>
  <c r="V43" i="13"/>
  <c r="AB43" i="13"/>
  <c r="AA43" i="13"/>
  <c r="Z43" i="13"/>
  <c r="AI43" i="13"/>
  <c r="J29" i="1"/>
  <c r="F29" i="12" a="1"/>
  <c r="F29" i="12" s="1"/>
  <c r="N29" i="12" a="1"/>
  <c r="N29" i="12" s="1"/>
  <c r="V29" i="12" a="1"/>
  <c r="V29" i="12" s="1"/>
  <c r="H29" i="12" a="1"/>
  <c r="H29" i="12" s="1"/>
  <c r="P29" i="12" a="1"/>
  <c r="P29" i="12" s="1"/>
  <c r="X29" i="12" a="1"/>
  <c r="X29" i="12" s="1"/>
  <c r="E29" i="12" a="1"/>
  <c r="E29" i="12" s="1"/>
  <c r="M29" i="12" a="1"/>
  <c r="M29" i="12" s="1"/>
  <c r="U29" i="12" a="1"/>
  <c r="U29" i="12" s="1"/>
  <c r="L29" i="12" a="1"/>
  <c r="L29" i="12" s="1"/>
  <c r="Z29" i="12" a="1"/>
  <c r="Z29" i="12" s="1"/>
  <c r="O29" i="12" a="1"/>
  <c r="O29" i="12" s="1"/>
  <c r="Q29" i="12" a="1"/>
  <c r="Q29" i="12" s="1"/>
  <c r="J29" i="12" a="1"/>
  <c r="J29" i="12" s="1"/>
  <c r="W29" i="12" a="1"/>
  <c r="W29" i="12" s="1"/>
  <c r="S29" i="12" a="1"/>
  <c r="S29" i="12" s="1"/>
  <c r="T29" i="12" a="1"/>
  <c r="T29" i="12" s="1"/>
  <c r="Y29" i="12" a="1"/>
  <c r="Y29" i="12" s="1"/>
  <c r="G29" i="12" a="1"/>
  <c r="G29" i="12" s="1"/>
  <c r="K29" i="12" a="1"/>
  <c r="K29" i="12" s="1"/>
  <c r="R29" i="12" a="1"/>
  <c r="R29" i="12" s="1"/>
  <c r="I29" i="12" a="1"/>
  <c r="I29" i="12" s="1"/>
  <c r="K65" i="1"/>
  <c r="I65" i="12" a="1"/>
  <c r="I65" i="12" s="1"/>
  <c r="Q65" i="12" a="1"/>
  <c r="Q65" i="12" s="1"/>
  <c r="X65" i="12" a="1"/>
  <c r="X65" i="12" s="1"/>
  <c r="J65" i="12" a="1"/>
  <c r="J65" i="12" s="1"/>
  <c r="R65" i="12" a="1"/>
  <c r="R65" i="12" s="1"/>
  <c r="Y65" i="12" a="1"/>
  <c r="Y65" i="12" s="1"/>
  <c r="K65" i="12" a="1"/>
  <c r="K65" i="12" s="1"/>
  <c r="S65" i="12" a="1"/>
  <c r="S65" i="12" s="1"/>
  <c r="Z65" i="12" a="1"/>
  <c r="Z65" i="12" s="1"/>
  <c r="H65" i="12" a="1"/>
  <c r="H65" i="12" s="1"/>
  <c r="V65" i="12" a="1"/>
  <c r="V65" i="12" s="1"/>
  <c r="L65" i="12" a="1"/>
  <c r="L65" i="12" s="1"/>
  <c r="W65" i="12" a="1"/>
  <c r="W65" i="12" s="1"/>
  <c r="M65" i="12" a="1"/>
  <c r="M65" i="12" s="1"/>
  <c r="F65" i="12" a="1"/>
  <c r="F65" i="12" s="1"/>
  <c r="T65" i="12" a="1"/>
  <c r="T65" i="12" s="1"/>
  <c r="G65" i="12" a="1"/>
  <c r="G65" i="12" s="1"/>
  <c r="U65" i="12" a="1"/>
  <c r="U65" i="12" s="1"/>
  <c r="P65" i="12" a="1"/>
  <c r="P65" i="12" s="1"/>
  <c r="O65" i="12" a="1"/>
  <c r="O65" i="12" s="1"/>
  <c r="E65" i="12" a="1"/>
  <c r="E65" i="12" s="1"/>
  <c r="N65" i="12" a="1"/>
  <c r="N65" i="12" s="1"/>
  <c r="J26" i="1"/>
  <c r="H26" i="12" a="1"/>
  <c r="H26" i="12" s="1"/>
  <c r="P26" i="12" a="1"/>
  <c r="P26" i="12" s="1"/>
  <c r="X26" i="12" a="1"/>
  <c r="X26" i="12" s="1"/>
  <c r="J26" i="12" a="1"/>
  <c r="J26" i="12" s="1"/>
  <c r="R26" i="12" a="1"/>
  <c r="R26" i="12" s="1"/>
  <c r="Z26" i="12" a="1"/>
  <c r="Z26" i="12" s="1"/>
  <c r="G26" i="12" a="1"/>
  <c r="G26" i="12" s="1"/>
  <c r="O26" i="12" a="1"/>
  <c r="O26" i="12" s="1"/>
  <c r="W26" i="12" a="1"/>
  <c r="W26" i="12" s="1"/>
  <c r="N26" i="12" a="1"/>
  <c r="N26" i="12" s="1"/>
  <c r="Q26" i="12" a="1"/>
  <c r="Q26" i="12" s="1"/>
  <c r="E26" i="12" a="1"/>
  <c r="E26" i="12" s="1"/>
  <c r="S26" i="12" a="1"/>
  <c r="S26" i="12" s="1"/>
  <c r="L26" i="12" a="1"/>
  <c r="L26" i="12" s="1"/>
  <c r="Y26" i="12" a="1"/>
  <c r="Y26" i="12" s="1"/>
  <c r="I26" i="12" a="1"/>
  <c r="I26" i="12" s="1"/>
  <c r="K26" i="12" a="1"/>
  <c r="K26" i="12" s="1"/>
  <c r="M26" i="12" a="1"/>
  <c r="M26" i="12" s="1"/>
  <c r="T26" i="12" a="1"/>
  <c r="T26" i="12" s="1"/>
  <c r="U26" i="12" a="1"/>
  <c r="U26" i="12" s="1"/>
  <c r="F26" i="12" a="1"/>
  <c r="F26" i="12" s="1"/>
  <c r="V26" i="12" a="1"/>
  <c r="V26" i="12" s="1"/>
  <c r="H30" i="12" a="1"/>
  <c r="H30" i="12" s="1"/>
  <c r="P30" i="12" a="1"/>
  <c r="P30" i="12" s="1"/>
  <c r="W30" i="12" a="1"/>
  <c r="W30" i="12" s="1"/>
  <c r="J30" i="12" a="1"/>
  <c r="J30" i="12" s="1"/>
  <c r="R30" i="12" a="1"/>
  <c r="R30" i="12" s="1"/>
  <c r="Y30" i="12" a="1"/>
  <c r="Y30" i="12" s="1"/>
  <c r="G30" i="12" a="1"/>
  <c r="G30" i="12" s="1"/>
  <c r="O30" i="12" a="1"/>
  <c r="O30" i="12" s="1"/>
  <c r="V30" i="12" a="1"/>
  <c r="V30" i="12" s="1"/>
  <c r="Q30" i="12" a="1"/>
  <c r="Q30" i="12" s="1"/>
  <c r="E30" i="12" a="1"/>
  <c r="E30" i="12" s="1"/>
  <c r="S30" i="12" a="1"/>
  <c r="S30" i="12" s="1"/>
  <c r="F30" i="12" a="1"/>
  <c r="F30" i="12" s="1"/>
  <c r="T30" i="12" a="1"/>
  <c r="T30" i="12" s="1"/>
  <c r="M30" i="12" a="1"/>
  <c r="M30" i="12" s="1"/>
  <c r="Z30" i="12" a="1"/>
  <c r="Z30" i="12" s="1"/>
  <c r="U30" i="12" a="1"/>
  <c r="U30" i="12" s="1"/>
  <c r="X30" i="12" a="1"/>
  <c r="X30" i="12" s="1"/>
  <c r="I30" i="12" a="1"/>
  <c r="I30" i="12" s="1"/>
  <c r="K30" i="12" a="1"/>
  <c r="K30" i="12" s="1"/>
  <c r="N30" i="12" a="1"/>
  <c r="N30" i="12" s="1"/>
  <c r="L30" i="12" a="1"/>
  <c r="L30" i="12" s="1"/>
  <c r="G34" i="12" a="1"/>
  <c r="G34" i="12" s="1"/>
  <c r="O34" i="12" a="1"/>
  <c r="O34" i="12" s="1"/>
  <c r="W34" i="12" a="1"/>
  <c r="W34" i="12" s="1"/>
  <c r="I34" i="12" a="1"/>
  <c r="I34" i="12" s="1"/>
  <c r="Q34" i="12" a="1"/>
  <c r="Q34" i="12" s="1"/>
  <c r="Y34" i="12" a="1"/>
  <c r="Y34" i="12" s="1"/>
  <c r="F34" i="12" a="1"/>
  <c r="F34" i="12" s="1"/>
  <c r="N34" i="12" a="1"/>
  <c r="N34" i="12" s="1"/>
  <c r="V34" i="12" a="1"/>
  <c r="V34" i="12" s="1"/>
  <c r="R34" i="12" a="1"/>
  <c r="R34" i="12" s="1"/>
  <c r="E34" i="12" a="1"/>
  <c r="E34" i="12" s="1"/>
  <c r="S34" i="12" a="1"/>
  <c r="S34" i="12" s="1"/>
  <c r="H34" i="12" a="1"/>
  <c r="H34" i="12" s="1"/>
  <c r="T34" i="12" a="1"/>
  <c r="T34" i="12" s="1"/>
  <c r="M34" i="12" a="1"/>
  <c r="M34" i="12" s="1"/>
  <c r="K34" i="12" a="1"/>
  <c r="K34" i="12" s="1"/>
  <c r="L34" i="12" a="1"/>
  <c r="L34" i="12" s="1"/>
  <c r="P34" i="12" a="1"/>
  <c r="P34" i="12" s="1"/>
  <c r="U34" i="12" a="1"/>
  <c r="U34" i="12" s="1"/>
  <c r="X34" i="12" a="1"/>
  <c r="X34" i="12" s="1"/>
  <c r="J34" i="12" a="1"/>
  <c r="J34" i="12" s="1"/>
  <c r="Z34" i="12" a="1"/>
  <c r="Z34" i="12" s="1"/>
  <c r="G38" i="12" a="1"/>
  <c r="G38" i="12" s="1"/>
  <c r="O38" i="12" a="1"/>
  <c r="O38" i="12" s="1"/>
  <c r="W38" i="12" a="1"/>
  <c r="W38" i="12" s="1"/>
  <c r="I38" i="12" a="1"/>
  <c r="I38" i="12" s="1"/>
  <c r="Q38" i="12" a="1"/>
  <c r="Q38" i="12" s="1"/>
  <c r="F38" i="12" a="1"/>
  <c r="F38" i="12" s="1"/>
  <c r="N38" i="12" a="1"/>
  <c r="N38" i="12" s="1"/>
  <c r="V38" i="12" a="1"/>
  <c r="V38" i="12" s="1"/>
  <c r="E38" i="12" a="1"/>
  <c r="E38" i="12" s="1"/>
  <c r="S38" i="12" a="1"/>
  <c r="S38" i="12" s="1"/>
  <c r="H38" i="12" a="1"/>
  <c r="H38" i="12" s="1"/>
  <c r="T38" i="12" a="1"/>
  <c r="T38" i="12" s="1"/>
  <c r="J38" i="12" a="1"/>
  <c r="J38" i="12" s="1"/>
  <c r="U38" i="12" a="1"/>
  <c r="U38" i="12" s="1"/>
  <c r="P38" i="12" a="1"/>
  <c r="P38" i="12" s="1"/>
  <c r="Y38" i="12" a="1"/>
  <c r="Y38" i="12" s="1"/>
  <c r="Z38" i="12" a="1"/>
  <c r="Z38" i="12" s="1"/>
  <c r="K38" i="12" a="1"/>
  <c r="K38" i="12" s="1"/>
  <c r="R38" i="12" a="1"/>
  <c r="R38" i="12" s="1"/>
  <c r="X38" i="12" a="1"/>
  <c r="X38" i="12" s="1"/>
  <c r="L38" i="12" a="1"/>
  <c r="L38" i="12" s="1"/>
  <c r="M38" i="12" a="1"/>
  <c r="M38" i="12" s="1"/>
  <c r="M42" i="1"/>
  <c r="I42" i="12" a="1"/>
  <c r="I42" i="12" s="1"/>
  <c r="Q42" i="12" a="1"/>
  <c r="Q42" i="12" s="1"/>
  <c r="Y42" i="12" a="1"/>
  <c r="Y42" i="12" s="1"/>
  <c r="H42" i="12" a="1"/>
  <c r="H42" i="12" s="1"/>
  <c r="P42" i="12" a="1"/>
  <c r="P42" i="12" s="1"/>
  <c r="X42" i="12" a="1"/>
  <c r="X42" i="12" s="1"/>
  <c r="K42" i="12" a="1"/>
  <c r="K42" i="12" s="1"/>
  <c r="U42" i="12" a="1"/>
  <c r="U42" i="12" s="1"/>
  <c r="L42" i="12" a="1"/>
  <c r="L42" i="12" s="1"/>
  <c r="V42" i="12" a="1"/>
  <c r="V42" i="12" s="1"/>
  <c r="M42" i="12" a="1"/>
  <c r="M42" i="12" s="1"/>
  <c r="W42" i="12" a="1"/>
  <c r="W42" i="12" s="1"/>
  <c r="G42" i="12" a="1"/>
  <c r="G42" i="12" s="1"/>
  <c r="S42" i="12" a="1"/>
  <c r="S42" i="12" s="1"/>
  <c r="O42" i="12" a="1"/>
  <c r="O42" i="12" s="1"/>
  <c r="R42" i="12" a="1"/>
  <c r="R42" i="12" s="1"/>
  <c r="T42" i="12" a="1"/>
  <c r="T42" i="12" s="1"/>
  <c r="E42" i="12" a="1"/>
  <c r="E42" i="12" s="1"/>
  <c r="Z42" i="12" a="1"/>
  <c r="Z42" i="12" s="1"/>
  <c r="J42" i="12" a="1"/>
  <c r="J42" i="12" s="1"/>
  <c r="N42" i="12" a="1"/>
  <c r="N42" i="12" s="1"/>
  <c r="F42" i="12" a="1"/>
  <c r="F42" i="12" s="1"/>
  <c r="L46" i="12" a="1"/>
  <c r="L46" i="12" s="1"/>
  <c r="T46" i="12" a="1"/>
  <c r="T46" i="12" s="1"/>
  <c r="K46" i="12" a="1"/>
  <c r="K46" i="12" s="1"/>
  <c r="S46" i="12" a="1"/>
  <c r="S46" i="12" s="1"/>
  <c r="N46" i="12" a="1"/>
  <c r="N46" i="12" s="1"/>
  <c r="X46" i="12" a="1"/>
  <c r="X46" i="12" s="1"/>
  <c r="E46" i="12" a="1"/>
  <c r="E46" i="12" s="1"/>
  <c r="O46" i="12" a="1"/>
  <c r="O46" i="12" s="1"/>
  <c r="Y46" i="12" a="1"/>
  <c r="Y46" i="12" s="1"/>
  <c r="F46" i="12" a="1"/>
  <c r="F46" i="12" s="1"/>
  <c r="P46" i="12" a="1"/>
  <c r="P46" i="12" s="1"/>
  <c r="Z46" i="12" a="1"/>
  <c r="Z46" i="12" s="1"/>
  <c r="J46" i="12" a="1"/>
  <c r="J46" i="12" s="1"/>
  <c r="V46" i="12" a="1"/>
  <c r="V46" i="12" s="1"/>
  <c r="H46" i="12" a="1"/>
  <c r="H46" i="12" s="1"/>
  <c r="I46" i="12" a="1"/>
  <c r="I46" i="12" s="1"/>
  <c r="M46" i="12" a="1"/>
  <c r="M46" i="12" s="1"/>
  <c r="W46" i="12" a="1"/>
  <c r="W46" i="12" s="1"/>
  <c r="G46" i="12" a="1"/>
  <c r="G46" i="12" s="1"/>
  <c r="U46" i="12" a="1"/>
  <c r="U46" i="12" s="1"/>
  <c r="Q46" i="12" a="1"/>
  <c r="Q46" i="12" s="1"/>
  <c r="R46" i="12" a="1"/>
  <c r="R46" i="12" s="1"/>
  <c r="J50" i="12" a="1"/>
  <c r="J50" i="12" s="1"/>
  <c r="Q50" i="12" a="1"/>
  <c r="Q50" i="12" s="1"/>
  <c r="Y50" i="12" a="1"/>
  <c r="Y50" i="12" s="1"/>
  <c r="H50" i="12" a="1"/>
  <c r="H50" i="12" s="1"/>
  <c r="P50" i="12" a="1"/>
  <c r="P50" i="12" s="1"/>
  <c r="Z50" i="12" a="1"/>
  <c r="Z50" i="12" s="1"/>
  <c r="I50" i="12" a="1"/>
  <c r="I50" i="12" s="1"/>
  <c r="R50" i="12" a="1"/>
  <c r="R50" i="12" s="1"/>
  <c r="K50" i="12" a="1"/>
  <c r="K50" i="12" s="1"/>
  <c r="S50" i="12" a="1"/>
  <c r="S50" i="12" s="1"/>
  <c r="F50" i="12" a="1"/>
  <c r="F50" i="12" s="1"/>
  <c r="W50" i="12" a="1"/>
  <c r="W50" i="12" s="1"/>
  <c r="M50" i="12" a="1"/>
  <c r="M50" i="12" s="1"/>
  <c r="N50" i="12" a="1"/>
  <c r="N50" i="12" s="1"/>
  <c r="O50" i="12" a="1"/>
  <c r="O50" i="12" s="1"/>
  <c r="G50" i="12" a="1"/>
  <c r="G50" i="12" s="1"/>
  <c r="X50" i="12" a="1"/>
  <c r="X50" i="12" s="1"/>
  <c r="L50" i="12" a="1"/>
  <c r="L50" i="12" s="1"/>
  <c r="T50" i="12" a="1"/>
  <c r="T50" i="12" s="1"/>
  <c r="U50" i="12" a="1"/>
  <c r="U50" i="12" s="1"/>
  <c r="V50" i="12" a="1"/>
  <c r="V50" i="12" s="1"/>
  <c r="E50" i="12" a="1"/>
  <c r="E50" i="12" s="1"/>
  <c r="E54" i="12" a="1"/>
  <c r="E54" i="12" s="1"/>
  <c r="T54" i="12" a="1"/>
  <c r="T54" i="12" s="1"/>
  <c r="G54" i="12" a="1"/>
  <c r="G54" i="12" s="1"/>
  <c r="O54" i="12" a="1"/>
  <c r="O54" i="12" s="1"/>
  <c r="X54" i="12" a="1"/>
  <c r="X54" i="12" s="1"/>
  <c r="H54" i="12" a="1"/>
  <c r="H54" i="12" s="1"/>
  <c r="P54" i="12" a="1"/>
  <c r="P54" i="12" s="1"/>
  <c r="Y54" i="12" a="1"/>
  <c r="Y54" i="12" s="1"/>
  <c r="I54" i="12" a="1"/>
  <c r="I54" i="12" s="1"/>
  <c r="Q54" i="12" a="1"/>
  <c r="Q54" i="12" s="1"/>
  <c r="Z54" i="12" a="1"/>
  <c r="Z54" i="12" s="1"/>
  <c r="M54" i="12" a="1"/>
  <c r="M54" i="12" s="1"/>
  <c r="V54" i="12" a="1"/>
  <c r="V54" i="12" s="1"/>
  <c r="K54" i="12" a="1"/>
  <c r="K54" i="12" s="1"/>
  <c r="L54" i="12" a="1"/>
  <c r="L54" i="12" s="1"/>
  <c r="N54" i="12" a="1"/>
  <c r="N54" i="12" s="1"/>
  <c r="F54" i="12" a="1"/>
  <c r="F54" i="12" s="1"/>
  <c r="W54" i="12" a="1"/>
  <c r="W54" i="12" s="1"/>
  <c r="J54" i="12" a="1"/>
  <c r="J54" i="12" s="1"/>
  <c r="S54" i="12" a="1"/>
  <c r="S54" i="12" s="1"/>
  <c r="U54" i="12" a="1"/>
  <c r="U54" i="12" s="1"/>
  <c r="R54" i="12" a="1"/>
  <c r="R54" i="12" s="1"/>
  <c r="H58" i="12" a="1"/>
  <c r="H58" i="12" s="1"/>
  <c r="P58" i="12" a="1"/>
  <c r="P58" i="12" s="1"/>
  <c r="W58" i="12" a="1"/>
  <c r="W58" i="12" s="1"/>
  <c r="E58" i="12" a="1"/>
  <c r="E58" i="12" s="1"/>
  <c r="N58" i="12" a="1"/>
  <c r="N58" i="12" s="1"/>
  <c r="V58" i="12" a="1"/>
  <c r="V58" i="12" s="1"/>
  <c r="F58" i="12" a="1"/>
  <c r="F58" i="12" s="1"/>
  <c r="O58" i="12" a="1"/>
  <c r="O58" i="12" s="1"/>
  <c r="X58" i="12" a="1"/>
  <c r="X58" i="12" s="1"/>
  <c r="G58" i="12" a="1"/>
  <c r="G58" i="12" s="1"/>
  <c r="Q58" i="12" a="1"/>
  <c r="Q58" i="12" s="1"/>
  <c r="Y58" i="12" a="1"/>
  <c r="Y58" i="12" s="1"/>
  <c r="L58" i="12" a="1"/>
  <c r="L58" i="12" s="1"/>
  <c r="T58" i="12" a="1"/>
  <c r="T58" i="12" s="1"/>
  <c r="J58" i="12" a="1"/>
  <c r="J58" i="12" s="1"/>
  <c r="K58" i="12" a="1"/>
  <c r="K58" i="12" s="1"/>
  <c r="M58" i="12" a="1"/>
  <c r="M58" i="12" s="1"/>
  <c r="U58" i="12" a="1"/>
  <c r="U58" i="12" s="1"/>
  <c r="I58" i="12" a="1"/>
  <c r="I58" i="12" s="1"/>
  <c r="Z58" i="12" a="1"/>
  <c r="Z58" i="12" s="1"/>
  <c r="S58" i="12" a="1"/>
  <c r="S58" i="12" s="1"/>
  <c r="R58" i="12" a="1"/>
  <c r="R58" i="12" s="1"/>
  <c r="Q62" i="1"/>
  <c r="I62" i="12" a="1"/>
  <c r="I62" i="12" s="1"/>
  <c r="P62" i="12" a="1"/>
  <c r="P62" i="12" s="1"/>
  <c r="X62" i="12" a="1"/>
  <c r="X62" i="12" s="1"/>
  <c r="J62" i="12" a="1"/>
  <c r="J62" i="12" s="1"/>
  <c r="Q62" i="12" a="1"/>
  <c r="Q62" i="12" s="1"/>
  <c r="Y62" i="12" a="1"/>
  <c r="Y62" i="12" s="1"/>
  <c r="R62" i="12" a="1"/>
  <c r="R62" i="12" s="1"/>
  <c r="Z62" i="12" a="1"/>
  <c r="Z62" i="12" s="1"/>
  <c r="E62" i="12" a="1"/>
  <c r="E62" i="12" s="1"/>
  <c r="O62" i="12" a="1"/>
  <c r="O62" i="12" s="1"/>
  <c r="F62" i="12" a="1"/>
  <c r="F62" i="12" s="1"/>
  <c r="S62" i="12" a="1"/>
  <c r="S62" i="12" s="1"/>
  <c r="G62" i="12" a="1"/>
  <c r="G62" i="12" s="1"/>
  <c r="T62" i="12" a="1"/>
  <c r="T62" i="12" s="1"/>
  <c r="M62" i="12" a="1"/>
  <c r="M62" i="12" s="1"/>
  <c r="N62" i="12" a="1"/>
  <c r="N62" i="12" s="1"/>
  <c r="V62" i="12" a="1"/>
  <c r="V62" i="12" s="1"/>
  <c r="W62" i="12" a="1"/>
  <c r="W62" i="12" s="1"/>
  <c r="U62" i="12" a="1"/>
  <c r="U62" i="12" s="1"/>
  <c r="H62" i="12" a="1"/>
  <c r="H62" i="12" s="1"/>
  <c r="K62" i="12" a="1"/>
  <c r="K62" i="12" s="1"/>
  <c r="L62" i="12" a="1"/>
  <c r="L62" i="12" s="1"/>
  <c r="K66" i="1"/>
  <c r="Q66" i="1"/>
  <c r="Q66" i="12" a="1"/>
  <c r="Q66" i="12" s="1"/>
  <c r="Y66" i="12" a="1"/>
  <c r="Y66" i="12" s="1"/>
  <c r="J66" i="12" a="1"/>
  <c r="J66" i="12" s="1"/>
  <c r="R66" i="12" a="1"/>
  <c r="R66" i="12" s="1"/>
  <c r="Z66" i="12" a="1"/>
  <c r="Z66" i="12" s="1"/>
  <c r="K66" i="12" a="1"/>
  <c r="K66" i="12" s="1"/>
  <c r="S66" i="12" a="1"/>
  <c r="S66" i="12" s="1"/>
  <c r="L66" i="12" a="1"/>
  <c r="L66" i="12" s="1"/>
  <c r="W66" i="12" a="1"/>
  <c r="W66" i="12" s="1"/>
  <c r="M66" i="12" a="1"/>
  <c r="M66" i="12" s="1"/>
  <c r="X66" i="12" a="1"/>
  <c r="X66" i="12" s="1"/>
  <c r="N66" i="12" a="1"/>
  <c r="N66" i="12" s="1"/>
  <c r="H66" i="12" a="1"/>
  <c r="H66" i="12" s="1"/>
  <c r="U66" i="12" a="1"/>
  <c r="U66" i="12" s="1"/>
  <c r="I66" i="12" a="1"/>
  <c r="I66" i="12" s="1"/>
  <c r="V66" i="12" a="1"/>
  <c r="V66" i="12" s="1"/>
  <c r="E66" i="12" a="1"/>
  <c r="E66" i="12" s="1"/>
  <c r="F66" i="12" a="1"/>
  <c r="F66" i="12" s="1"/>
  <c r="G66" i="12" a="1"/>
  <c r="G66" i="12" s="1"/>
  <c r="O66" i="12" a="1"/>
  <c r="O66" i="12" s="1"/>
  <c r="P66" i="12" a="1"/>
  <c r="P66" i="12" s="1"/>
  <c r="E70" i="12" a="1"/>
  <c r="E70" i="12" s="1"/>
  <c r="L70" i="12" a="1"/>
  <c r="L70" i="12" s="1"/>
  <c r="S70" i="12" a="1"/>
  <c r="S70" i="12" s="1"/>
  <c r="F70" i="12" a="1"/>
  <c r="F70" i="12" s="1"/>
  <c r="M70" i="12" a="1"/>
  <c r="M70" i="12" s="1"/>
  <c r="T70" i="12" a="1"/>
  <c r="T70" i="12" s="1"/>
  <c r="G70" i="12" a="1"/>
  <c r="G70" i="12" s="1"/>
  <c r="N70" i="12" a="1"/>
  <c r="N70" i="12" s="1"/>
  <c r="U70" i="12" a="1"/>
  <c r="U70" i="12" s="1"/>
  <c r="I70" i="12" a="1"/>
  <c r="I70" i="12" s="1"/>
  <c r="R70" i="12" a="1"/>
  <c r="R70" i="12" s="1"/>
  <c r="J70" i="12" a="1"/>
  <c r="J70" i="12" s="1"/>
  <c r="V70" i="12" a="1"/>
  <c r="V70" i="12" s="1"/>
  <c r="K70" i="12" a="1"/>
  <c r="K70" i="12" s="1"/>
  <c r="W70" i="12" a="1"/>
  <c r="W70" i="12" s="1"/>
  <c r="Q70" i="12" a="1"/>
  <c r="Q70" i="12" s="1"/>
  <c r="H70" i="12" a="1"/>
  <c r="H70" i="12" s="1"/>
  <c r="O70" i="12" a="1"/>
  <c r="O70" i="12" s="1"/>
  <c r="X70" i="12" a="1"/>
  <c r="X70" i="12" s="1"/>
  <c r="Y70" i="12" a="1"/>
  <c r="Y70" i="12" s="1"/>
  <c r="Z70" i="12" a="1"/>
  <c r="Z70" i="12" s="1"/>
  <c r="P70" i="12" a="1"/>
  <c r="P70" i="12" s="1"/>
  <c r="J74" i="12" a="1"/>
  <c r="J74" i="12" s="1"/>
  <c r="Q74" i="12" a="1"/>
  <c r="Q74" i="12" s="1"/>
  <c r="X74" i="12" a="1"/>
  <c r="X74" i="12" s="1"/>
  <c r="Y74" i="12" a="1"/>
  <c r="Y74" i="12" s="1"/>
  <c r="E74" i="12" a="1"/>
  <c r="E74" i="12" s="1"/>
  <c r="K74" i="12" a="1"/>
  <c r="K74" i="12" s="1"/>
  <c r="R74" i="12" a="1"/>
  <c r="R74" i="12" s="1"/>
  <c r="Z74" i="12" a="1"/>
  <c r="Z74" i="12" s="1"/>
  <c r="H74" i="12" a="1"/>
  <c r="H74" i="12" s="1"/>
  <c r="O74" i="12" a="1"/>
  <c r="O74" i="12" s="1"/>
  <c r="V74" i="12" a="1"/>
  <c r="V74" i="12" s="1"/>
  <c r="I74" i="12" a="1"/>
  <c r="I74" i="12" s="1"/>
  <c r="P74" i="12" a="1"/>
  <c r="P74" i="12" s="1"/>
  <c r="W74" i="12" a="1"/>
  <c r="W74" i="12" s="1"/>
  <c r="L74" i="12" a="1"/>
  <c r="L74" i="12" s="1"/>
  <c r="M74" i="12" a="1"/>
  <c r="M74" i="12" s="1"/>
  <c r="G74" i="12" a="1"/>
  <c r="G74" i="12" s="1"/>
  <c r="F74" i="12" a="1"/>
  <c r="F74" i="12" s="1"/>
  <c r="N74" i="12" a="1"/>
  <c r="N74" i="12" s="1"/>
  <c r="S74" i="12" a="1"/>
  <c r="S74" i="12" s="1"/>
  <c r="T74" i="12" a="1"/>
  <c r="T74" i="12" s="1"/>
  <c r="K78" i="1"/>
  <c r="E78" i="12" a="1"/>
  <c r="E78" i="12" s="1"/>
  <c r="L78" i="12" a="1"/>
  <c r="L78" i="12" s="1"/>
  <c r="S78" i="12" a="1"/>
  <c r="S78" i="12" s="1"/>
  <c r="F78" i="12" a="1"/>
  <c r="F78" i="12" s="1"/>
  <c r="M78" i="12" a="1"/>
  <c r="M78" i="12" s="1"/>
  <c r="T78" i="12" a="1"/>
  <c r="T78" i="12" s="1"/>
  <c r="G78" i="12" a="1"/>
  <c r="G78" i="12" s="1"/>
  <c r="N78" i="12" a="1"/>
  <c r="N78" i="12" s="1"/>
  <c r="U78" i="12" a="1"/>
  <c r="U78" i="12" s="1"/>
  <c r="J78" i="12" a="1"/>
  <c r="J78" i="12" s="1"/>
  <c r="Q78" i="12" a="1"/>
  <c r="Q78" i="12" s="1"/>
  <c r="Y78" i="12" a="1"/>
  <c r="Y78" i="12" s="1"/>
  <c r="K78" i="12" a="1"/>
  <c r="K78" i="12" s="1"/>
  <c r="R78" i="12" a="1"/>
  <c r="R78" i="12" s="1"/>
  <c r="Z78" i="12" a="1"/>
  <c r="Z78" i="12" s="1"/>
  <c r="V78" i="12" a="1"/>
  <c r="V78" i="12" s="1"/>
  <c r="W78" i="12" a="1"/>
  <c r="W78" i="12" s="1"/>
  <c r="H78" i="12" a="1"/>
  <c r="H78" i="12" s="1"/>
  <c r="X78" i="12" a="1"/>
  <c r="X78" i="12" s="1"/>
  <c r="P78" i="12" a="1"/>
  <c r="P78" i="12" s="1"/>
  <c r="I78" i="12" a="1"/>
  <c r="I78" i="12" s="1"/>
  <c r="O78" i="12" a="1"/>
  <c r="O78" i="12" s="1"/>
  <c r="H82" i="12" a="1"/>
  <c r="H82" i="12" s="1"/>
  <c r="P82" i="12" a="1"/>
  <c r="P82" i="12" s="1"/>
  <c r="X82" i="12" a="1"/>
  <c r="X82" i="12" s="1"/>
  <c r="I82" i="12" a="1"/>
  <c r="I82" i="12" s="1"/>
  <c r="Q82" i="12" a="1"/>
  <c r="Q82" i="12" s="1"/>
  <c r="Y82" i="12" a="1"/>
  <c r="Y82" i="12" s="1"/>
  <c r="J82" i="12" a="1"/>
  <c r="J82" i="12" s="1"/>
  <c r="R82" i="12" a="1"/>
  <c r="R82" i="12" s="1"/>
  <c r="Z82" i="12" a="1"/>
  <c r="Z82" i="12" s="1"/>
  <c r="F82" i="12" a="1"/>
  <c r="F82" i="12" s="1"/>
  <c r="N82" i="12" a="1"/>
  <c r="N82" i="12" s="1"/>
  <c r="V82" i="12" a="1"/>
  <c r="V82" i="12" s="1"/>
  <c r="G82" i="12" a="1"/>
  <c r="G82" i="12" s="1"/>
  <c r="O82" i="12" a="1"/>
  <c r="O82" i="12" s="1"/>
  <c r="W82" i="12" a="1"/>
  <c r="W82" i="12" s="1"/>
  <c r="M82" i="12" a="1"/>
  <c r="M82" i="12" s="1"/>
  <c r="S82" i="12" a="1"/>
  <c r="S82" i="12" s="1"/>
  <c r="T82" i="12" a="1"/>
  <c r="T82" i="12" s="1"/>
  <c r="L82" i="12" a="1"/>
  <c r="L82" i="12" s="1"/>
  <c r="E82" i="12" a="1"/>
  <c r="E82" i="12" s="1"/>
  <c r="U82" i="12" a="1"/>
  <c r="U82" i="12" s="1"/>
  <c r="N86" i="1"/>
  <c r="K86" i="12" a="1"/>
  <c r="K86" i="12" s="1"/>
  <c r="Q86" i="12" a="1"/>
  <c r="Q86" i="12" s="1"/>
  <c r="Y86" i="12" a="1"/>
  <c r="Y86" i="12" s="1"/>
  <c r="L86" i="12" a="1"/>
  <c r="L86" i="12" s="1"/>
  <c r="R86" i="12" a="1"/>
  <c r="R86" i="12" s="1"/>
  <c r="Z86" i="12" a="1"/>
  <c r="Z86" i="12" s="1"/>
  <c r="E86" i="12" a="1"/>
  <c r="E86" i="12" s="1"/>
  <c r="M86" i="12" a="1"/>
  <c r="M86" i="12" s="1"/>
  <c r="S86" i="12" a="1"/>
  <c r="S86" i="12" s="1"/>
  <c r="I86" i="12" a="1"/>
  <c r="I86" i="12" s="1"/>
  <c r="O86" i="12" a="1"/>
  <c r="O86" i="12" s="1"/>
  <c r="W86" i="12" a="1"/>
  <c r="W86" i="12" s="1"/>
  <c r="J86" i="12" a="1"/>
  <c r="J86" i="12" s="1"/>
  <c r="P86" i="12" a="1"/>
  <c r="P86" i="12" s="1"/>
  <c r="X86" i="12" a="1"/>
  <c r="X86" i="12" s="1"/>
  <c r="G86" i="12" a="1"/>
  <c r="G86" i="12" s="1"/>
  <c r="H86" i="12" a="1"/>
  <c r="H86" i="12" s="1"/>
  <c r="F86" i="12" a="1"/>
  <c r="F86" i="12" s="1"/>
  <c r="V86" i="12" a="1"/>
  <c r="V86" i="12" s="1"/>
  <c r="T86" i="12" a="1"/>
  <c r="T86" i="12" s="1"/>
  <c r="U86" i="12" a="1"/>
  <c r="U86" i="12" s="1"/>
  <c r="N86" i="12" a="1"/>
  <c r="N86" i="12" s="1"/>
  <c r="F90" i="12" a="1"/>
  <c r="F90" i="12" s="1"/>
  <c r="N90" i="12" a="1"/>
  <c r="N90" i="12" s="1"/>
  <c r="G90" i="12" a="1"/>
  <c r="G90" i="12" s="1"/>
  <c r="O90" i="12" a="1"/>
  <c r="O90" i="12" s="1"/>
  <c r="V90" i="12" a="1"/>
  <c r="V90" i="12" s="1"/>
  <c r="H90" i="12" a="1"/>
  <c r="H90" i="12" s="1"/>
  <c r="P90" i="12" a="1"/>
  <c r="P90" i="12" s="1"/>
  <c r="W90" i="12" a="1"/>
  <c r="W90" i="12" s="1"/>
  <c r="L90" i="12" a="1"/>
  <c r="L90" i="12" s="1"/>
  <c r="T90" i="12" a="1"/>
  <c r="T90" i="12" s="1"/>
  <c r="E90" i="12" a="1"/>
  <c r="E90" i="12" s="1"/>
  <c r="M90" i="12" a="1"/>
  <c r="M90" i="12" s="1"/>
  <c r="U90" i="12" a="1"/>
  <c r="U90" i="12" s="1"/>
  <c r="S90" i="12" a="1"/>
  <c r="S90" i="12" s="1"/>
  <c r="X90" i="12" a="1"/>
  <c r="X90" i="12" s="1"/>
  <c r="Y90" i="12" a="1"/>
  <c r="Y90" i="12" s="1"/>
  <c r="R90" i="12" a="1"/>
  <c r="R90" i="12" s="1"/>
  <c r="J90" i="12" a="1"/>
  <c r="J90" i="12" s="1"/>
  <c r="K90" i="12" a="1"/>
  <c r="K90" i="12" s="1"/>
  <c r="Q90" i="12" a="1"/>
  <c r="Q90" i="12" s="1"/>
  <c r="Z90" i="12" a="1"/>
  <c r="Z90" i="12" s="1"/>
  <c r="I90" i="12" a="1"/>
  <c r="I90" i="12" s="1"/>
  <c r="X15" i="13"/>
  <c r="AU15" i="13" s="1" a="1"/>
  <c r="AU15" i="13" s="1"/>
  <c r="AN31" i="13"/>
  <c r="AD31" i="13"/>
  <c r="S31" i="13"/>
  <c r="AM31" i="13"/>
  <c r="AC31" i="13"/>
  <c r="AL31" i="13"/>
  <c r="AA31" i="13"/>
  <c r="AE31" i="13"/>
  <c r="U31" i="13"/>
  <c r="X31" i="13"/>
  <c r="W31" i="13"/>
  <c r="V31" i="13"/>
  <c r="Z31" i="13"/>
  <c r="Y43" i="13"/>
  <c r="G53" i="12" a="1"/>
  <c r="G53" i="12" s="1"/>
  <c r="H25" i="1"/>
  <c r="P25" i="1"/>
  <c r="F25" i="12" a="1"/>
  <c r="F25" i="12" s="1"/>
  <c r="N25" i="12" a="1"/>
  <c r="N25" i="12" s="1"/>
  <c r="V25" i="12" a="1"/>
  <c r="V25" i="12" s="1"/>
  <c r="H25" i="12" a="1"/>
  <c r="H25" i="12" s="1"/>
  <c r="P25" i="12" a="1"/>
  <c r="P25" i="12" s="1"/>
  <c r="X25" i="12" a="1"/>
  <c r="X25" i="12" s="1"/>
  <c r="E25" i="12" a="1"/>
  <c r="E25" i="12" s="1"/>
  <c r="M25" i="12" a="1"/>
  <c r="M25" i="12" s="1"/>
  <c r="U25" i="12" a="1"/>
  <c r="U25" i="12" s="1"/>
  <c r="K25" i="12" a="1"/>
  <c r="K25" i="12" s="1"/>
  <c r="Y25" i="12" a="1"/>
  <c r="Y25" i="12" s="1"/>
  <c r="L25" i="12" a="1"/>
  <c r="L25" i="12" s="1"/>
  <c r="Z25" i="12" a="1"/>
  <c r="Z25" i="12" s="1"/>
  <c r="O25" i="12" a="1"/>
  <c r="O25" i="12" s="1"/>
  <c r="I25" i="12" a="1"/>
  <c r="I25" i="12" s="1"/>
  <c r="T25" i="12" a="1"/>
  <c r="T25" i="12" s="1"/>
  <c r="G25" i="12" a="1"/>
  <c r="G25" i="12" s="1"/>
  <c r="J25" i="12" a="1"/>
  <c r="J25" i="12" s="1"/>
  <c r="Q25" i="12" a="1"/>
  <c r="Q25" i="12" s="1"/>
  <c r="R25" i="12" a="1"/>
  <c r="R25" i="12" s="1"/>
  <c r="W25" i="12" a="1"/>
  <c r="W25" i="12" s="1"/>
  <c r="S25" i="12" a="1"/>
  <c r="S25" i="12" s="1"/>
  <c r="P57" i="1"/>
  <c r="L57" i="1"/>
  <c r="M57" i="1"/>
  <c r="H57" i="12" a="1"/>
  <c r="H57" i="12" s="1"/>
  <c r="W57" i="12" a="1"/>
  <c r="W57" i="12" s="1"/>
  <c r="K57" i="12" a="1"/>
  <c r="K57" i="12" s="1"/>
  <c r="S57" i="12" a="1"/>
  <c r="S57" i="12" s="1"/>
  <c r="L57" i="12" a="1"/>
  <c r="L57" i="12" s="1"/>
  <c r="T57" i="12" a="1"/>
  <c r="T57" i="12" s="1"/>
  <c r="M57" i="12" a="1"/>
  <c r="M57" i="12" s="1"/>
  <c r="U57" i="12" a="1"/>
  <c r="U57" i="12" s="1"/>
  <c r="I57" i="12" a="1"/>
  <c r="I57" i="12" s="1"/>
  <c r="Q57" i="12" a="1"/>
  <c r="Q57" i="12" s="1"/>
  <c r="Y57" i="12" a="1"/>
  <c r="Y57" i="12" s="1"/>
  <c r="O57" i="12" a="1"/>
  <c r="O57" i="12" s="1"/>
  <c r="P57" i="12" a="1"/>
  <c r="P57" i="12" s="1"/>
  <c r="R57" i="12" a="1"/>
  <c r="R57" i="12" s="1"/>
  <c r="J57" i="12" a="1"/>
  <c r="J57" i="12" s="1"/>
  <c r="Z57" i="12" a="1"/>
  <c r="Z57" i="12" s="1"/>
  <c r="N57" i="12" a="1"/>
  <c r="N57" i="12" s="1"/>
  <c r="X57" i="12" a="1"/>
  <c r="X57" i="12" s="1"/>
  <c r="V57" i="12" a="1"/>
  <c r="V57" i="12" s="1"/>
  <c r="E57" i="12" a="1"/>
  <c r="E57" i="12" s="1"/>
  <c r="F57" i="12" a="1"/>
  <c r="F57" i="12" s="1"/>
  <c r="AM19" i="13"/>
  <c r="W19" i="13"/>
  <c r="AL19" i="13"/>
  <c r="V19" i="13"/>
  <c r="AG19" i="13"/>
  <c r="U19" i="13"/>
  <c r="AN19" i="13"/>
  <c r="X19" i="13"/>
  <c r="AE19" i="13"/>
  <c r="AD19" i="13"/>
  <c r="AC19" i="13"/>
  <c r="AF19" i="13"/>
  <c r="X54" i="13"/>
  <c r="AF54" i="13"/>
  <c r="AE54" i="13"/>
  <c r="Y54" i="13"/>
  <c r="W54" i="13"/>
  <c r="AH54" i="13"/>
  <c r="G57" i="12" a="1"/>
  <c r="G57" i="12" s="1"/>
  <c r="K22" i="1"/>
  <c r="Q22" i="1"/>
  <c r="H22" i="12" a="1"/>
  <c r="H22" i="12" s="1"/>
  <c r="P22" i="12" a="1"/>
  <c r="P22" i="12" s="1"/>
  <c r="X22" i="12" a="1"/>
  <c r="X22" i="12" s="1"/>
  <c r="J22" i="12" a="1"/>
  <c r="J22" i="12" s="1"/>
  <c r="R22" i="12" a="1"/>
  <c r="R22" i="12" s="1"/>
  <c r="Z22" i="12" a="1"/>
  <c r="Z22" i="12" s="1"/>
  <c r="G22" i="12" a="1"/>
  <c r="G22" i="12" s="1"/>
  <c r="O22" i="12" a="1"/>
  <c r="O22" i="12" s="1"/>
  <c r="W22" i="12" a="1"/>
  <c r="W22" i="12" s="1"/>
  <c r="M22" i="12" a="1"/>
  <c r="M22" i="12" s="1"/>
  <c r="N22" i="12" a="1"/>
  <c r="N22" i="12" s="1"/>
  <c r="Q22" i="12" a="1"/>
  <c r="Q22" i="12" s="1"/>
  <c r="K22" i="12" a="1"/>
  <c r="K22" i="12" s="1"/>
  <c r="V22" i="12" a="1"/>
  <c r="V22" i="12" s="1"/>
  <c r="T22" i="12" a="1"/>
  <c r="T22" i="12" s="1"/>
  <c r="U22" i="12" a="1"/>
  <c r="U22" i="12" s="1"/>
  <c r="Y22" i="12" a="1"/>
  <c r="Y22" i="12" s="1"/>
  <c r="E22" i="12" a="1"/>
  <c r="E22" i="12" s="1"/>
  <c r="F22" i="12" a="1"/>
  <c r="F22" i="12" s="1"/>
  <c r="L22" i="12" a="1"/>
  <c r="L22" i="12" s="1"/>
  <c r="S22" i="12" a="1"/>
  <c r="S22" i="12" s="1"/>
  <c r="I22" i="12" a="1"/>
  <c r="I22" i="12" s="1"/>
  <c r="T19" i="13"/>
  <c r="AH39" i="13"/>
  <c r="Z39" i="13"/>
  <c r="Y39" i="13"/>
  <c r="AA39" i="13"/>
  <c r="AM39" i="13"/>
  <c r="AJ43" i="13"/>
  <c r="AN51" i="13"/>
  <c r="AI51" i="13"/>
  <c r="Z51" i="13"/>
  <c r="AL51" i="13"/>
  <c r="AC51" i="13"/>
  <c r="T51" i="13"/>
  <c r="AJ51" i="13"/>
  <c r="W51" i="13"/>
  <c r="AH51" i="13"/>
  <c r="V51" i="13"/>
  <c r="AG51" i="13"/>
  <c r="U51" i="13"/>
  <c r="AK51" i="13"/>
  <c r="Y51" i="13"/>
  <c r="S51" i="13"/>
  <c r="AA51" i="13"/>
  <c r="V54" i="13"/>
  <c r="P89" i="12" a="1"/>
  <c r="P89" i="12" s="1"/>
  <c r="U74" i="12" a="1"/>
  <c r="U74" i="12" s="1"/>
  <c r="G49" i="12" a="1"/>
  <c r="G49" i="12" s="1"/>
  <c r="L18" i="1"/>
  <c r="H18" i="12" a="1"/>
  <c r="H18" i="12" s="1"/>
  <c r="P18" i="12" a="1"/>
  <c r="P18" i="12" s="1"/>
  <c r="X18" i="12" a="1"/>
  <c r="X18" i="12" s="1"/>
  <c r="J18" i="12" a="1"/>
  <c r="J18" i="12" s="1"/>
  <c r="R18" i="12" a="1"/>
  <c r="R18" i="12" s="1"/>
  <c r="Z18" i="12" a="1"/>
  <c r="Z18" i="12" s="1"/>
  <c r="G18" i="12" a="1"/>
  <c r="G18" i="12" s="1"/>
  <c r="O18" i="12" a="1"/>
  <c r="O18" i="12" s="1"/>
  <c r="W18" i="12" a="1"/>
  <c r="W18" i="12" s="1"/>
  <c r="L18" i="12" a="1"/>
  <c r="L18" i="12" s="1"/>
  <c r="Y18" i="12" a="1"/>
  <c r="Y18" i="12" s="1"/>
  <c r="M18" i="12" a="1"/>
  <c r="M18" i="12" s="1"/>
  <c r="N18" i="12" a="1"/>
  <c r="N18" i="12" s="1"/>
  <c r="Q18" i="12" a="1"/>
  <c r="Q18" i="12" s="1"/>
  <c r="I18" i="12" a="1"/>
  <c r="I18" i="12" s="1"/>
  <c r="U18" i="12" a="1"/>
  <c r="U18" i="12" s="1"/>
  <c r="V18" i="12" a="1"/>
  <c r="V18" i="12" s="1"/>
  <c r="E18" i="12" a="1"/>
  <c r="E18" i="12" s="1"/>
  <c r="F18" i="12" a="1"/>
  <c r="F18" i="12" s="1"/>
  <c r="K18" i="12" a="1"/>
  <c r="K18" i="12" s="1"/>
  <c r="S18" i="12" a="1"/>
  <c r="S18" i="12" s="1"/>
  <c r="T18" i="12" a="1"/>
  <c r="T18" i="12" s="1"/>
  <c r="L19" i="1"/>
  <c r="M19" i="1"/>
  <c r="O19" i="1"/>
  <c r="J19" i="12" a="1"/>
  <c r="J19" i="12" s="1"/>
  <c r="R19" i="12" a="1"/>
  <c r="R19" i="12" s="1"/>
  <c r="Z19" i="12" a="1"/>
  <c r="Z19" i="12" s="1"/>
  <c r="L19" i="12" a="1"/>
  <c r="L19" i="12" s="1"/>
  <c r="T19" i="12" a="1"/>
  <c r="T19" i="12" s="1"/>
  <c r="I19" i="12" a="1"/>
  <c r="I19" i="12" s="1"/>
  <c r="Q19" i="12" a="1"/>
  <c r="Q19" i="12" s="1"/>
  <c r="Y19" i="12" a="1"/>
  <c r="Y19" i="12" s="1"/>
  <c r="O19" i="12" a="1"/>
  <c r="O19" i="12" s="1"/>
  <c r="E19" i="12" a="1"/>
  <c r="E19" i="12" s="1"/>
  <c r="P19" i="12" a="1"/>
  <c r="P19" i="12" s="1"/>
  <c r="F19" i="12" a="1"/>
  <c r="F19" i="12" s="1"/>
  <c r="S19" i="12" a="1"/>
  <c r="S19" i="12" s="1"/>
  <c r="G19" i="12" a="1"/>
  <c r="G19" i="12" s="1"/>
  <c r="U19" i="12" a="1"/>
  <c r="U19" i="12" s="1"/>
  <c r="M19" i="12" a="1"/>
  <c r="M19" i="12" s="1"/>
  <c r="X19" i="12" a="1"/>
  <c r="X19" i="12" s="1"/>
  <c r="H19" i="12" a="1"/>
  <c r="H19" i="12" s="1"/>
  <c r="K19" i="12" a="1"/>
  <c r="K19" i="12" s="1"/>
  <c r="N19" i="12" a="1"/>
  <c r="N19" i="12" s="1"/>
  <c r="V19" i="12" a="1"/>
  <c r="V19" i="12" s="1"/>
  <c r="W19" i="12" a="1"/>
  <c r="W19" i="12" s="1"/>
  <c r="J23" i="1"/>
  <c r="J23" i="12" a="1"/>
  <c r="J23" i="12" s="1"/>
  <c r="R23" i="12" a="1"/>
  <c r="R23" i="12" s="1"/>
  <c r="Z23" i="12" a="1"/>
  <c r="Z23" i="12" s="1"/>
  <c r="L23" i="12" a="1"/>
  <c r="L23" i="12" s="1"/>
  <c r="T23" i="12" a="1"/>
  <c r="T23" i="12" s="1"/>
  <c r="I23" i="12" a="1"/>
  <c r="I23" i="12" s="1"/>
  <c r="Q23" i="12" a="1"/>
  <c r="Q23" i="12" s="1"/>
  <c r="Y23" i="12" a="1"/>
  <c r="Y23" i="12" s="1"/>
  <c r="E23" i="12" a="1"/>
  <c r="E23" i="12" s="1"/>
  <c r="P23" i="12" a="1"/>
  <c r="P23" i="12" s="1"/>
  <c r="F23" i="12" a="1"/>
  <c r="F23" i="12" s="1"/>
  <c r="S23" i="12" a="1"/>
  <c r="S23" i="12" s="1"/>
  <c r="G23" i="12" a="1"/>
  <c r="G23" i="12" s="1"/>
  <c r="U23" i="12" a="1"/>
  <c r="U23" i="12" s="1"/>
  <c r="N23" i="12" a="1"/>
  <c r="N23" i="12" s="1"/>
  <c r="W23" i="12" a="1"/>
  <c r="W23" i="12" s="1"/>
  <c r="X23" i="12" a="1"/>
  <c r="X23" i="12" s="1"/>
  <c r="H23" i="12" a="1"/>
  <c r="H23" i="12" s="1"/>
  <c r="K23" i="12" a="1"/>
  <c r="K23" i="12" s="1"/>
  <c r="O23" i="12" a="1"/>
  <c r="O23" i="12" s="1"/>
  <c r="V23" i="12" a="1"/>
  <c r="V23" i="12" s="1"/>
  <c r="M23" i="12" a="1"/>
  <c r="M23" i="12" s="1"/>
  <c r="J27" i="12" a="1"/>
  <c r="J27" i="12" s="1"/>
  <c r="R27" i="12" a="1"/>
  <c r="R27" i="12" s="1"/>
  <c r="Z27" i="12" a="1"/>
  <c r="Z27" i="12" s="1"/>
  <c r="L27" i="12" a="1"/>
  <c r="L27" i="12" s="1"/>
  <c r="T27" i="12" a="1"/>
  <c r="T27" i="12" s="1"/>
  <c r="I27" i="12" a="1"/>
  <c r="I27" i="12" s="1"/>
  <c r="Q27" i="12" a="1"/>
  <c r="Q27" i="12" s="1"/>
  <c r="Y27" i="12" a="1"/>
  <c r="Y27" i="12" s="1"/>
  <c r="F27" i="12" a="1"/>
  <c r="F27" i="12" s="1"/>
  <c r="S27" i="12" a="1"/>
  <c r="S27" i="12" s="1"/>
  <c r="G27" i="12" a="1"/>
  <c r="G27" i="12" s="1"/>
  <c r="U27" i="12" a="1"/>
  <c r="U27" i="12" s="1"/>
  <c r="H27" i="12" a="1"/>
  <c r="H27" i="12" s="1"/>
  <c r="V27" i="12" a="1"/>
  <c r="V27" i="12" s="1"/>
  <c r="O27" i="12" a="1"/>
  <c r="O27" i="12" s="1"/>
  <c r="M27" i="12" a="1"/>
  <c r="M27" i="12" s="1"/>
  <c r="N27" i="12" a="1"/>
  <c r="N27" i="12" s="1"/>
  <c r="P27" i="12" a="1"/>
  <c r="P27" i="12" s="1"/>
  <c r="W27" i="12" a="1"/>
  <c r="W27" i="12" s="1"/>
  <c r="X27" i="12" a="1"/>
  <c r="X27" i="12" s="1"/>
  <c r="E27" i="12" a="1"/>
  <c r="E27" i="12" s="1"/>
  <c r="K27" i="12" a="1"/>
  <c r="K27" i="12" s="1"/>
  <c r="N31" i="1"/>
  <c r="I31" i="12" a="1"/>
  <c r="I31" i="12" s="1"/>
  <c r="Q31" i="12" a="1"/>
  <c r="Q31" i="12" s="1"/>
  <c r="Y31" i="12" a="1"/>
  <c r="Y31" i="12" s="1"/>
  <c r="K31" i="12" a="1"/>
  <c r="K31" i="12" s="1"/>
  <c r="S31" i="12" a="1"/>
  <c r="S31" i="12" s="1"/>
  <c r="H31" i="12" a="1"/>
  <c r="H31" i="12" s="1"/>
  <c r="P31" i="12" a="1"/>
  <c r="P31" i="12" s="1"/>
  <c r="X31" i="12" a="1"/>
  <c r="X31" i="12" s="1"/>
  <c r="F31" i="12" a="1"/>
  <c r="F31" i="12" s="1"/>
  <c r="T31" i="12" a="1"/>
  <c r="T31" i="12" s="1"/>
  <c r="G31" i="12" a="1"/>
  <c r="G31" i="12" s="1"/>
  <c r="U31" i="12" a="1"/>
  <c r="U31" i="12" s="1"/>
  <c r="J31" i="12" a="1"/>
  <c r="J31" i="12" s="1"/>
  <c r="V31" i="12" a="1"/>
  <c r="V31" i="12" s="1"/>
  <c r="O31" i="12" a="1"/>
  <c r="O31" i="12" s="1"/>
  <c r="Z31" i="12" a="1"/>
  <c r="Z31" i="12" s="1"/>
  <c r="E31" i="12" a="1"/>
  <c r="E31" i="12" s="1"/>
  <c r="L31" i="12" a="1"/>
  <c r="L31" i="12" s="1"/>
  <c r="M31" i="12" a="1"/>
  <c r="M31" i="12" s="1"/>
  <c r="R31" i="12" a="1"/>
  <c r="R31" i="12" s="1"/>
  <c r="W31" i="12" a="1"/>
  <c r="W31" i="12" s="1"/>
  <c r="N31" i="12" a="1"/>
  <c r="N31" i="12" s="1"/>
  <c r="L35" i="1"/>
  <c r="P35" i="1"/>
  <c r="Q35" i="1"/>
  <c r="I35" i="12" a="1"/>
  <c r="I35" i="12" s="1"/>
  <c r="Q35" i="12" a="1"/>
  <c r="Q35" i="12" s="1"/>
  <c r="Y35" i="12" a="1"/>
  <c r="Y35" i="12" s="1"/>
  <c r="K35" i="12" a="1"/>
  <c r="K35" i="12" s="1"/>
  <c r="S35" i="12" a="1"/>
  <c r="S35" i="12" s="1"/>
  <c r="H35" i="12" a="1"/>
  <c r="H35" i="12" s="1"/>
  <c r="P35" i="12" a="1"/>
  <c r="P35" i="12" s="1"/>
  <c r="X35" i="12" a="1"/>
  <c r="X35" i="12" s="1"/>
  <c r="G35" i="12" a="1"/>
  <c r="G35" i="12" s="1"/>
  <c r="U35" i="12" a="1"/>
  <c r="U35" i="12" s="1"/>
  <c r="J35" i="12" a="1"/>
  <c r="J35" i="12" s="1"/>
  <c r="V35" i="12" a="1"/>
  <c r="V35" i="12" s="1"/>
  <c r="L35" i="12" a="1"/>
  <c r="L35" i="12" s="1"/>
  <c r="W35" i="12" a="1"/>
  <c r="W35" i="12" s="1"/>
  <c r="E35" i="12" a="1"/>
  <c r="E35" i="12" s="1"/>
  <c r="R35" i="12" a="1"/>
  <c r="R35" i="12" s="1"/>
  <c r="N35" i="12" a="1"/>
  <c r="N35" i="12" s="1"/>
  <c r="O35" i="12" a="1"/>
  <c r="O35" i="12" s="1"/>
  <c r="T35" i="12" a="1"/>
  <c r="T35" i="12" s="1"/>
  <c r="Z35" i="12" a="1"/>
  <c r="Z35" i="12" s="1"/>
  <c r="F35" i="12" a="1"/>
  <c r="F35" i="12" s="1"/>
  <c r="M35" i="12" a="1"/>
  <c r="M35" i="12" s="1"/>
  <c r="M39" i="1"/>
  <c r="J39" i="1"/>
  <c r="I39" i="12" a="1"/>
  <c r="I39" i="12" s="1"/>
  <c r="P39" i="12" a="1"/>
  <c r="P39" i="12" s="1"/>
  <c r="W39" i="12" a="1"/>
  <c r="W39" i="12" s="1"/>
  <c r="H39" i="12" a="1"/>
  <c r="H39" i="12" s="1"/>
  <c r="G39" i="12" a="1"/>
  <c r="G39" i="12" s="1"/>
  <c r="R39" i="12" a="1"/>
  <c r="R39" i="12" s="1"/>
  <c r="J39" i="12" a="1"/>
  <c r="J39" i="12" s="1"/>
  <c r="S39" i="12" a="1"/>
  <c r="S39" i="12" s="1"/>
  <c r="K39" i="12" a="1"/>
  <c r="K39" i="12" s="1"/>
  <c r="T39" i="12" a="1"/>
  <c r="T39" i="12" s="1"/>
  <c r="E39" i="12" a="1"/>
  <c r="E39" i="12" s="1"/>
  <c r="O39" i="12" a="1"/>
  <c r="O39" i="12" s="1"/>
  <c r="Y39" i="12" a="1"/>
  <c r="Y39" i="12" s="1"/>
  <c r="V39" i="12" a="1"/>
  <c r="V39" i="12" s="1"/>
  <c r="X39" i="12" a="1"/>
  <c r="X39" i="12" s="1"/>
  <c r="F39" i="12" a="1"/>
  <c r="F39" i="12" s="1"/>
  <c r="Z39" i="12" a="1"/>
  <c r="Z39" i="12" s="1"/>
  <c r="L39" i="12" a="1"/>
  <c r="L39" i="12" s="1"/>
  <c r="Q39" i="12" a="1"/>
  <c r="Q39" i="12" s="1"/>
  <c r="U39" i="12" a="1"/>
  <c r="U39" i="12" s="1"/>
  <c r="N39" i="12" a="1"/>
  <c r="N39" i="12" s="1"/>
  <c r="M39" i="12" a="1"/>
  <c r="M39" i="12" s="1"/>
  <c r="J43" i="12" a="1"/>
  <c r="J43" i="12" s="1"/>
  <c r="Q43" i="12" a="1"/>
  <c r="Q43" i="12" s="1"/>
  <c r="X43" i="12" a="1"/>
  <c r="X43" i="12" s="1"/>
  <c r="I43" i="12" a="1"/>
  <c r="I43" i="12" s="1"/>
  <c r="W43" i="12" a="1"/>
  <c r="W43" i="12" s="1"/>
  <c r="H43" i="12" a="1"/>
  <c r="H43" i="12" s="1"/>
  <c r="S43" i="12" a="1"/>
  <c r="S43" i="12" s="1"/>
  <c r="K43" i="12" a="1"/>
  <c r="K43" i="12" s="1"/>
  <c r="T43" i="12" a="1"/>
  <c r="T43" i="12" s="1"/>
  <c r="L43" i="12" a="1"/>
  <c r="L43" i="12" s="1"/>
  <c r="P43" i="12" a="1"/>
  <c r="P43" i="12" s="1"/>
  <c r="Z43" i="12" a="1"/>
  <c r="Z43" i="12" s="1"/>
  <c r="N43" i="12" a="1"/>
  <c r="N43" i="12" s="1"/>
  <c r="O43" i="12" a="1"/>
  <c r="O43" i="12" s="1"/>
  <c r="R43" i="12" a="1"/>
  <c r="R43" i="12" s="1"/>
  <c r="U43" i="12" a="1"/>
  <c r="U43" i="12" s="1"/>
  <c r="G43" i="12" a="1"/>
  <c r="G43" i="12" s="1"/>
  <c r="M43" i="12" a="1"/>
  <c r="M43" i="12" s="1"/>
  <c r="E43" i="12" a="1"/>
  <c r="E43" i="12" s="1"/>
  <c r="F43" i="12" a="1"/>
  <c r="F43" i="12" s="1"/>
  <c r="V43" i="12" a="1"/>
  <c r="V43" i="12" s="1"/>
  <c r="N47" i="1"/>
  <c r="O47" i="1"/>
  <c r="F47" i="12" a="1"/>
  <c r="F47" i="12" s="1"/>
  <c r="M47" i="12" a="1"/>
  <c r="M47" i="12" s="1"/>
  <c r="U47" i="12" a="1"/>
  <c r="U47" i="12" s="1"/>
  <c r="E47" i="12" a="1"/>
  <c r="E47" i="12" s="1"/>
  <c r="K47" i="12" a="1"/>
  <c r="K47" i="12" s="1"/>
  <c r="T47" i="12" a="1"/>
  <c r="T47" i="12" s="1"/>
  <c r="L47" i="12" a="1"/>
  <c r="L47" i="12" s="1"/>
  <c r="V47" i="12" a="1"/>
  <c r="V47" i="12" s="1"/>
  <c r="N47" i="12" a="1"/>
  <c r="N47" i="12" s="1"/>
  <c r="W47" i="12" a="1"/>
  <c r="W47" i="12" s="1"/>
  <c r="I47" i="12" a="1"/>
  <c r="I47" i="12" s="1"/>
  <c r="R47" i="12" a="1"/>
  <c r="R47" i="12" s="1"/>
  <c r="Y47" i="12" a="1"/>
  <c r="Y47" i="12" s="1"/>
  <c r="H47" i="12" a="1"/>
  <c r="H47" i="12" s="1"/>
  <c r="Z47" i="12" a="1"/>
  <c r="Z47" i="12" s="1"/>
  <c r="J47" i="12" a="1"/>
  <c r="J47" i="12" s="1"/>
  <c r="S47" i="12" a="1"/>
  <c r="S47" i="12" s="1"/>
  <c r="G47" i="12" a="1"/>
  <c r="G47" i="12" s="1"/>
  <c r="X47" i="12" a="1"/>
  <c r="X47" i="12" s="1"/>
  <c r="O47" i="12" a="1"/>
  <c r="O47" i="12" s="1"/>
  <c r="P47" i="12" a="1"/>
  <c r="P47" i="12" s="1"/>
  <c r="Q47" i="12" a="1"/>
  <c r="Q47" i="12" s="1"/>
  <c r="L51" i="1"/>
  <c r="M51" i="1"/>
  <c r="O51" i="1"/>
  <c r="K51" i="12" a="1"/>
  <c r="K51" i="12" s="1"/>
  <c r="S51" i="12" a="1"/>
  <c r="S51" i="12" s="1"/>
  <c r="M51" i="12" a="1"/>
  <c r="M51" i="12" s="1"/>
  <c r="V51" i="12" a="1"/>
  <c r="V51" i="12" s="1"/>
  <c r="E51" i="12" a="1"/>
  <c r="E51" i="12" s="1"/>
  <c r="N51" i="12" a="1"/>
  <c r="N51" i="12" s="1"/>
  <c r="W51" i="12" a="1"/>
  <c r="W51" i="12" s="1"/>
  <c r="F51" i="12" a="1"/>
  <c r="F51" i="12" s="1"/>
  <c r="O51" i="12" a="1"/>
  <c r="O51" i="12" s="1"/>
  <c r="X51" i="12" a="1"/>
  <c r="X51" i="12" s="1"/>
  <c r="J51" i="12" a="1"/>
  <c r="J51" i="12" s="1"/>
  <c r="T51" i="12" a="1"/>
  <c r="T51" i="12" s="1"/>
  <c r="H51" i="12" a="1"/>
  <c r="H51" i="12" s="1"/>
  <c r="Z51" i="12" a="1"/>
  <c r="Z51" i="12" s="1"/>
  <c r="I51" i="12" a="1"/>
  <c r="I51" i="12" s="1"/>
  <c r="L51" i="12" a="1"/>
  <c r="L51" i="12" s="1"/>
  <c r="U51" i="12" a="1"/>
  <c r="U51" i="12" s="1"/>
  <c r="G51" i="12" a="1"/>
  <c r="G51" i="12" s="1"/>
  <c r="Y51" i="12" a="1"/>
  <c r="Y51" i="12" s="1"/>
  <c r="Q51" i="12" a="1"/>
  <c r="Q51" i="12" s="1"/>
  <c r="R51" i="12" a="1"/>
  <c r="R51" i="12" s="1"/>
  <c r="P51" i="12" a="1"/>
  <c r="P51" i="12" s="1"/>
  <c r="O55" i="1"/>
  <c r="F55" i="12" a="1"/>
  <c r="F55" i="12" s="1"/>
  <c r="N55" i="12" a="1"/>
  <c r="N55" i="12" s="1"/>
  <c r="V55" i="12" a="1"/>
  <c r="V55" i="12" s="1"/>
  <c r="K55" i="12" a="1"/>
  <c r="K55" i="12" s="1"/>
  <c r="T55" i="12" a="1"/>
  <c r="T55" i="12" s="1"/>
  <c r="L55" i="12" a="1"/>
  <c r="L55" i="12" s="1"/>
  <c r="U55" i="12" a="1"/>
  <c r="U55" i="12" s="1"/>
  <c r="M55" i="12" a="1"/>
  <c r="M55" i="12" s="1"/>
  <c r="W55" i="12" a="1"/>
  <c r="W55" i="12" s="1"/>
  <c r="I55" i="12" a="1"/>
  <c r="I55" i="12" s="1"/>
  <c r="R55" i="12" a="1"/>
  <c r="R55" i="12" s="1"/>
  <c r="G55" i="12" a="1"/>
  <c r="G55" i="12" s="1"/>
  <c r="Y55" i="12" a="1"/>
  <c r="Y55" i="12" s="1"/>
  <c r="H55" i="12" a="1"/>
  <c r="H55" i="12" s="1"/>
  <c r="Z55" i="12" a="1"/>
  <c r="Z55" i="12" s="1"/>
  <c r="J55" i="12" a="1"/>
  <c r="J55" i="12" s="1"/>
  <c r="S55" i="12" a="1"/>
  <c r="S55" i="12" s="1"/>
  <c r="E55" i="12" a="1"/>
  <c r="E55" i="12" s="1"/>
  <c r="X55" i="12" a="1"/>
  <c r="X55" i="12" s="1"/>
  <c r="Q55" i="12" a="1"/>
  <c r="Q55" i="12" s="1"/>
  <c r="P55" i="12" a="1"/>
  <c r="P55" i="12" s="1"/>
  <c r="O55" i="12" a="1"/>
  <c r="O55" i="12" s="1"/>
  <c r="AN20" i="13"/>
  <c r="AG20" i="13"/>
  <c r="AF20" i="13"/>
  <c r="AN22" i="13"/>
  <c r="AD22" i="13"/>
  <c r="T22" i="13"/>
  <c r="AM22" i="13"/>
  <c r="AB22" i="13"/>
  <c r="S22" i="13"/>
  <c r="AL22" i="13"/>
  <c r="AA22" i="13"/>
  <c r="AE22" i="13"/>
  <c r="U22" i="13"/>
  <c r="AF22" i="13"/>
  <c r="Z22" i="13"/>
  <c r="Y22" i="13"/>
  <c r="AH22" i="13"/>
  <c r="AF31" i="13"/>
  <c r="AK43" i="13"/>
  <c r="Y43" i="12" a="1"/>
  <c r="Y43" i="12" s="1"/>
  <c r="AK47" i="13"/>
  <c r="AA47" i="13"/>
  <c r="Z47" i="13"/>
  <c r="Y47" i="13"/>
  <c r="AH47" i="13"/>
  <c r="W50" i="13"/>
  <c r="AE50" i="13"/>
  <c r="AI50" i="13"/>
  <c r="AF50" i="13"/>
  <c r="Z50" i="13"/>
  <c r="AN50" i="13"/>
  <c r="AL56" i="13"/>
  <c r="AB56" i="13"/>
  <c r="AJ56" i="13"/>
  <c r="AN72" i="13"/>
  <c r="X72" i="13"/>
  <c r="AM72" i="13"/>
  <c r="W72" i="13"/>
  <c r="AE72" i="13"/>
  <c r="AD72" i="13"/>
  <c r="AC72" i="13"/>
  <c r="V72" i="13"/>
  <c r="AF72" i="13"/>
  <c r="AL79" i="13"/>
  <c r="AK79" i="13"/>
  <c r="Z79" i="13"/>
  <c r="AN79" i="13"/>
  <c r="U79" i="13"/>
  <c r="AC79" i="13"/>
  <c r="AB79" i="13"/>
  <c r="T79" i="13"/>
  <c r="AD79" i="13"/>
  <c r="H79" i="12" a="1"/>
  <c r="H79" i="12" s="1"/>
  <c r="M75" i="12" a="1"/>
  <c r="M75" i="12" s="1"/>
  <c r="AM71" i="13"/>
  <c r="AC71" i="13"/>
  <c r="AL71" i="13"/>
  <c r="AB71" i="13"/>
  <c r="AF71" i="13"/>
  <c r="V71" i="13"/>
  <c r="AK71" i="13"/>
  <c r="U71" i="13"/>
  <c r="AJ71" i="13"/>
  <c r="T71" i="13"/>
  <c r="AG71" i="13"/>
  <c r="AN71" i="13"/>
  <c r="W71" i="13"/>
  <c r="N87" i="12" a="1"/>
  <c r="N87" i="12" s="1"/>
  <c r="V63" i="12" a="1"/>
  <c r="V63" i="12" s="1"/>
  <c r="U83" i="12" a="1"/>
  <c r="U83" i="12" s="1"/>
  <c r="N63" i="12" a="1"/>
  <c r="N63" i="12" s="1"/>
  <c r="AJ75" i="13"/>
  <c r="AI75" i="13"/>
  <c r="Z75" i="13"/>
  <c r="T75" i="13"/>
  <c r="S75" i="13"/>
  <c r="AA75" i="13"/>
  <c r="T83" i="12" a="1"/>
  <c r="T83" i="12" s="1"/>
  <c r="Y79" i="12" a="1"/>
  <c r="Y79" i="12" s="1"/>
  <c r="AL47" i="13"/>
  <c r="AK52" i="13"/>
  <c r="S52" i="13"/>
  <c r="AA52" i="13"/>
  <c r="AB52" i="13"/>
  <c r="Z52" i="13"/>
  <c r="T52" i="13"/>
  <c r="AC52" i="13"/>
  <c r="AE55" i="13"/>
  <c r="AN55" i="13"/>
  <c r="Z69" i="13"/>
  <c r="AE69" i="13"/>
  <c r="Y69" i="13"/>
  <c r="AF69" i="13"/>
  <c r="Z71" i="13"/>
  <c r="AL72" i="13"/>
  <c r="Q59" i="1"/>
  <c r="H59" i="1"/>
  <c r="I59" i="12" a="1"/>
  <c r="I59" i="12" s="1"/>
  <c r="P59" i="12" a="1"/>
  <c r="P59" i="12" s="1"/>
  <c r="W59" i="12" a="1"/>
  <c r="W59" i="12" s="1"/>
  <c r="J59" i="12" a="1"/>
  <c r="J59" i="12" s="1"/>
  <c r="R59" i="12" a="1"/>
  <c r="R59" i="12" s="1"/>
  <c r="Z59" i="12" a="1"/>
  <c r="Z59" i="12" s="1"/>
  <c r="K59" i="12" a="1"/>
  <c r="K59" i="12" s="1"/>
  <c r="S59" i="12" a="1"/>
  <c r="S59" i="12" s="1"/>
  <c r="L59" i="12" a="1"/>
  <c r="L59" i="12" s="1"/>
  <c r="T59" i="12" a="1"/>
  <c r="T59" i="12" s="1"/>
  <c r="E59" i="12" a="1"/>
  <c r="E59" i="12" s="1"/>
  <c r="Q59" i="12" a="1"/>
  <c r="Q59" i="12" s="1"/>
  <c r="F59" i="12" a="1"/>
  <c r="F59" i="12" s="1"/>
  <c r="G59" i="12" a="1"/>
  <c r="G59" i="12" s="1"/>
  <c r="U59" i="12" a="1"/>
  <c r="U59" i="12" s="1"/>
  <c r="N59" i="12" a="1"/>
  <c r="N59" i="12" s="1"/>
  <c r="O59" i="12" a="1"/>
  <c r="O59" i="12" s="1"/>
  <c r="V59" i="12" a="1"/>
  <c r="V59" i="12" s="1"/>
  <c r="X59" i="12" a="1"/>
  <c r="X59" i="12" s="1"/>
  <c r="Y59" i="12" a="1"/>
  <c r="Y59" i="12" s="1"/>
  <c r="J63" i="1"/>
  <c r="K63" i="1"/>
  <c r="I63" i="1"/>
  <c r="J63" i="12" a="1"/>
  <c r="J63" i="12" s="1"/>
  <c r="Q63" i="12" a="1"/>
  <c r="Q63" i="12" s="1"/>
  <c r="X63" i="12" a="1"/>
  <c r="X63" i="12" s="1"/>
  <c r="K63" i="12" a="1"/>
  <c r="K63" i="12" s="1"/>
  <c r="R63" i="12" a="1"/>
  <c r="R63" i="12" s="1"/>
  <c r="Y63" i="12" a="1"/>
  <c r="Y63" i="12" s="1"/>
  <c r="S63" i="12" a="1"/>
  <c r="S63" i="12" s="1"/>
  <c r="G63" i="12" a="1"/>
  <c r="G63" i="12" s="1"/>
  <c r="T63" i="12" a="1"/>
  <c r="T63" i="12" s="1"/>
  <c r="H63" i="12" a="1"/>
  <c r="H63" i="12" s="1"/>
  <c r="U63" i="12" a="1"/>
  <c r="U63" i="12" s="1"/>
  <c r="I63" i="12" a="1"/>
  <c r="I63" i="12" s="1"/>
  <c r="E63" i="12" a="1"/>
  <c r="E63" i="12" s="1"/>
  <c r="O63" i="12" a="1"/>
  <c r="O63" i="12" s="1"/>
  <c r="F63" i="12" a="1"/>
  <c r="F63" i="12" s="1"/>
  <c r="P63" i="12" a="1"/>
  <c r="P63" i="12" s="1"/>
  <c r="L63" i="12" a="1"/>
  <c r="L63" i="12" s="1"/>
  <c r="Z63" i="12" a="1"/>
  <c r="Z63" i="12" s="1"/>
  <c r="N67" i="1"/>
  <c r="P67" i="1"/>
  <c r="K67" i="12" a="1"/>
  <c r="K67" i="12" s="1"/>
  <c r="S67" i="12" a="1"/>
  <c r="S67" i="12" s="1"/>
  <c r="Y67" i="12" a="1"/>
  <c r="Y67" i="12" s="1"/>
  <c r="L67" i="12" a="1"/>
  <c r="L67" i="12" s="1"/>
  <c r="Z67" i="12" a="1"/>
  <c r="Z67" i="12" s="1"/>
  <c r="E67" i="12" a="1"/>
  <c r="E67" i="12" s="1"/>
  <c r="M67" i="12" a="1"/>
  <c r="M67" i="12" s="1"/>
  <c r="T67" i="12" a="1"/>
  <c r="T67" i="12" s="1"/>
  <c r="O67" i="12" a="1"/>
  <c r="O67" i="12" s="1"/>
  <c r="P67" i="12" a="1"/>
  <c r="P67" i="12" s="1"/>
  <c r="F67" i="12" a="1"/>
  <c r="F67" i="12" s="1"/>
  <c r="Q67" i="12" a="1"/>
  <c r="Q67" i="12" s="1"/>
  <c r="J67" i="12" a="1"/>
  <c r="J67" i="12" s="1"/>
  <c r="W67" i="12" a="1"/>
  <c r="W67" i="12" s="1"/>
  <c r="N67" i="12" a="1"/>
  <c r="N67" i="12" s="1"/>
  <c r="X67" i="12" a="1"/>
  <c r="X67" i="12" s="1"/>
  <c r="H67" i="12" a="1"/>
  <c r="H67" i="12" s="1"/>
  <c r="I67" i="12" a="1"/>
  <c r="I67" i="12" s="1"/>
  <c r="R67" i="12" a="1"/>
  <c r="R67" i="12" s="1"/>
  <c r="G67" i="12" a="1"/>
  <c r="G67" i="12" s="1"/>
  <c r="I71" i="1"/>
  <c r="E71" i="12" a="1"/>
  <c r="E71" i="12" s="1"/>
  <c r="L71" i="12" a="1"/>
  <c r="L71" i="12" s="1"/>
  <c r="T71" i="12" a="1"/>
  <c r="T71" i="12" s="1"/>
  <c r="F71" i="12" a="1"/>
  <c r="F71" i="12" s="1"/>
  <c r="M71" i="12" a="1"/>
  <c r="M71" i="12" s="1"/>
  <c r="U71" i="12" a="1"/>
  <c r="U71" i="12" s="1"/>
  <c r="G71" i="12" a="1"/>
  <c r="G71" i="12" s="1"/>
  <c r="N71" i="12" a="1"/>
  <c r="N71" i="12" s="1"/>
  <c r="V71" i="12" a="1"/>
  <c r="V71" i="12" s="1"/>
  <c r="W71" i="12" a="1"/>
  <c r="W71" i="12" s="1"/>
  <c r="J71" i="12" a="1"/>
  <c r="J71" i="12" s="1"/>
  <c r="X71" i="12" a="1"/>
  <c r="X71" i="12" s="1"/>
  <c r="K71" i="12" a="1"/>
  <c r="K71" i="12" s="1"/>
  <c r="Y71" i="12" a="1"/>
  <c r="Y71" i="12" s="1"/>
  <c r="H71" i="12" a="1"/>
  <c r="H71" i="12" s="1"/>
  <c r="R71" i="12" a="1"/>
  <c r="R71" i="12" s="1"/>
  <c r="I71" i="12" a="1"/>
  <c r="I71" i="12" s="1"/>
  <c r="S71" i="12" a="1"/>
  <c r="S71" i="12" s="1"/>
  <c r="P71" i="12" a="1"/>
  <c r="P71" i="12" s="1"/>
  <c r="Q71" i="12" a="1"/>
  <c r="Q71" i="12" s="1"/>
  <c r="Z71" i="12" a="1"/>
  <c r="Z71" i="12" s="1"/>
  <c r="O71" i="12" a="1"/>
  <c r="O71" i="12" s="1"/>
  <c r="K75" i="1"/>
  <c r="I75" i="12" a="1"/>
  <c r="I75" i="12" s="1"/>
  <c r="Q75" i="12" a="1"/>
  <c r="Q75" i="12" s="1"/>
  <c r="Y75" i="12" a="1"/>
  <c r="Y75" i="12" s="1"/>
  <c r="J75" i="12" a="1"/>
  <c r="J75" i="12" s="1"/>
  <c r="R75" i="12" a="1"/>
  <c r="R75" i="12" s="1"/>
  <c r="Z75" i="12" a="1"/>
  <c r="Z75" i="12" s="1"/>
  <c r="K75" i="12" a="1"/>
  <c r="K75" i="12" s="1"/>
  <c r="S75" i="12" a="1"/>
  <c r="S75" i="12" s="1"/>
  <c r="H75" i="12" a="1"/>
  <c r="H75" i="12" s="1"/>
  <c r="O75" i="12" a="1"/>
  <c r="O75" i="12" s="1"/>
  <c r="W75" i="12" a="1"/>
  <c r="W75" i="12" s="1"/>
  <c r="P75" i="12" a="1"/>
  <c r="P75" i="12" s="1"/>
  <c r="X75" i="12" a="1"/>
  <c r="X75" i="12" s="1"/>
  <c r="F75" i="12" a="1"/>
  <c r="F75" i="12" s="1"/>
  <c r="G75" i="12" a="1"/>
  <c r="G75" i="12" s="1"/>
  <c r="L75" i="12" a="1"/>
  <c r="L75" i="12" s="1"/>
  <c r="E75" i="12" a="1"/>
  <c r="E75" i="12" s="1"/>
  <c r="V75" i="12" a="1"/>
  <c r="V75" i="12" s="1"/>
  <c r="N79" i="1"/>
  <c r="J79" i="1"/>
  <c r="E79" i="12" a="1"/>
  <c r="E79" i="12" s="1"/>
  <c r="M79" i="12" a="1"/>
  <c r="M79" i="12" s="1"/>
  <c r="U79" i="12" a="1"/>
  <c r="U79" i="12" s="1"/>
  <c r="F79" i="12" a="1"/>
  <c r="F79" i="12" s="1"/>
  <c r="N79" i="12" a="1"/>
  <c r="N79" i="12" s="1"/>
  <c r="V79" i="12" a="1"/>
  <c r="V79" i="12" s="1"/>
  <c r="G79" i="12" a="1"/>
  <c r="G79" i="12" s="1"/>
  <c r="O79" i="12" a="1"/>
  <c r="O79" i="12" s="1"/>
  <c r="K79" i="12" a="1"/>
  <c r="K79" i="12" s="1"/>
  <c r="S79" i="12" a="1"/>
  <c r="S79" i="12" s="1"/>
  <c r="Z79" i="12" a="1"/>
  <c r="Z79" i="12" s="1"/>
  <c r="L79" i="12" a="1"/>
  <c r="L79" i="12" s="1"/>
  <c r="T79" i="12" a="1"/>
  <c r="T79" i="12" s="1"/>
  <c r="R79" i="12" a="1"/>
  <c r="R79" i="12" s="1"/>
  <c r="W79" i="12" a="1"/>
  <c r="W79" i="12" s="1"/>
  <c r="X79" i="12" a="1"/>
  <c r="X79" i="12" s="1"/>
  <c r="Q79" i="12" a="1"/>
  <c r="Q79" i="12" s="1"/>
  <c r="J83" i="12" a="1"/>
  <c r="J83" i="12" s="1"/>
  <c r="X83" i="12" a="1"/>
  <c r="X83" i="12" s="1"/>
  <c r="K83" i="12" a="1"/>
  <c r="K83" i="12" s="1"/>
  <c r="Q83" i="12" a="1"/>
  <c r="Q83" i="12" s="1"/>
  <c r="Y83" i="12" a="1"/>
  <c r="Y83" i="12" s="1"/>
  <c r="L83" i="12" a="1"/>
  <c r="L83" i="12" s="1"/>
  <c r="R83" i="12" a="1"/>
  <c r="R83" i="12" s="1"/>
  <c r="Z83" i="12" a="1"/>
  <c r="Z83" i="12" s="1"/>
  <c r="H83" i="12" a="1"/>
  <c r="H83" i="12" s="1"/>
  <c r="V83" i="12" a="1"/>
  <c r="V83" i="12" s="1"/>
  <c r="I83" i="12" a="1"/>
  <c r="I83" i="12" s="1"/>
  <c r="P83" i="12" a="1"/>
  <c r="P83" i="12" s="1"/>
  <c r="W83" i="12" a="1"/>
  <c r="W83" i="12" s="1"/>
  <c r="N83" i="12" a="1"/>
  <c r="N83" i="12" s="1"/>
  <c r="O83" i="12" a="1"/>
  <c r="O83" i="12" s="1"/>
  <c r="S83" i="12" a="1"/>
  <c r="S83" i="12" s="1"/>
  <c r="M83" i="12" a="1"/>
  <c r="M83" i="12" s="1"/>
  <c r="M87" i="1"/>
  <c r="J87" i="12" a="1"/>
  <c r="J87" i="12" s="1"/>
  <c r="Q87" i="12" a="1"/>
  <c r="Q87" i="12" s="1"/>
  <c r="X87" i="12" a="1"/>
  <c r="X87" i="12" s="1"/>
  <c r="K87" i="12" a="1"/>
  <c r="K87" i="12" s="1"/>
  <c r="R87" i="12" a="1"/>
  <c r="R87" i="12" s="1"/>
  <c r="Y87" i="12" a="1"/>
  <c r="Y87" i="12" s="1"/>
  <c r="E87" i="12" a="1"/>
  <c r="E87" i="12" s="1"/>
  <c r="L87" i="12" a="1"/>
  <c r="L87" i="12" s="1"/>
  <c r="S87" i="12" a="1"/>
  <c r="S87" i="12" s="1"/>
  <c r="Z87" i="12" a="1"/>
  <c r="Z87" i="12" s="1"/>
  <c r="H87" i="12" a="1"/>
  <c r="H87" i="12" s="1"/>
  <c r="O87" i="12" a="1"/>
  <c r="O87" i="12" s="1"/>
  <c r="V87" i="12" a="1"/>
  <c r="V87" i="12" s="1"/>
  <c r="I87" i="12" a="1"/>
  <c r="I87" i="12" s="1"/>
  <c r="P87" i="12" a="1"/>
  <c r="P87" i="12" s="1"/>
  <c r="W87" i="12" a="1"/>
  <c r="W87" i="12" s="1"/>
  <c r="F87" i="12" a="1"/>
  <c r="F87" i="12" s="1"/>
  <c r="U87" i="12" a="1"/>
  <c r="U87" i="12" s="1"/>
  <c r="G87" i="12" a="1"/>
  <c r="G87" i="12" s="1"/>
  <c r="T87" i="12" a="1"/>
  <c r="T87" i="12" s="1"/>
  <c r="AD36" i="13"/>
  <c r="S36" i="13"/>
  <c r="AC36" i="13"/>
  <c r="AN36" i="13"/>
  <c r="AB36" i="13"/>
  <c r="AF36" i="13"/>
  <c r="T36" i="13"/>
  <c r="AK36" i="13"/>
  <c r="AF40" i="13"/>
  <c r="U40" i="13"/>
  <c r="AE40" i="13"/>
  <c r="T40" i="13"/>
  <c r="AD40" i="13"/>
  <c r="AG40" i="13"/>
  <c r="V40" i="13"/>
  <c r="AM40" i="13"/>
  <c r="AG48" i="13"/>
  <c r="W48" i="13"/>
  <c r="AF48" i="13"/>
  <c r="U48" i="13"/>
  <c r="AE48" i="13"/>
  <c r="T48" i="13"/>
  <c r="AD48" i="13"/>
  <c r="AJ48" i="13"/>
  <c r="V48" i="13"/>
  <c r="AM48" i="13"/>
  <c r="AG67" i="13"/>
  <c r="V67" i="13"/>
  <c r="AK67" i="13"/>
  <c r="AA67" i="13"/>
  <c r="AL67" i="13"/>
  <c r="X67" i="13"/>
  <c r="AJ67" i="13"/>
  <c r="U67" i="13"/>
  <c r="AI67" i="13"/>
  <c r="T67" i="13"/>
  <c r="AN67" i="13"/>
  <c r="Z67" i="13"/>
  <c r="AF68" i="13"/>
  <c r="S68" i="13"/>
  <c r="AM68" i="13"/>
  <c r="W68" i="13"/>
  <c r="AC68" i="13"/>
  <c r="AB68" i="13"/>
  <c r="X68" i="13"/>
  <c r="AE68" i="13"/>
  <c r="AD71" i="13"/>
  <c r="AN73" i="13"/>
  <c r="V73" i="13"/>
  <c r="AI73" i="13"/>
  <c r="AH73" i="13"/>
  <c r="AF73" i="13"/>
  <c r="AB75" i="13"/>
  <c r="F83" i="12" a="1"/>
  <c r="F83" i="12" s="1"/>
  <c r="J79" i="12" a="1"/>
  <c r="J79" i="12" s="1"/>
  <c r="T75" i="12" a="1"/>
  <c r="T75" i="12" s="1"/>
  <c r="H59" i="12" a="1"/>
  <c r="H59" i="12" s="1"/>
  <c r="AK34" i="13"/>
  <c r="AA34" i="13"/>
  <c r="AL36" i="13"/>
  <c r="AN40" i="13"/>
  <c r="AN48" i="13"/>
  <c r="AE71" i="13"/>
  <c r="AC75" i="13"/>
  <c r="AN90" i="13"/>
  <c r="AL90" i="13"/>
  <c r="AC90" i="13"/>
  <c r="T90" i="13"/>
  <c r="AK90" i="13"/>
  <c r="AB90" i="13"/>
  <c r="S90" i="13"/>
  <c r="AJ90" i="13"/>
  <c r="AA90" i="13"/>
  <c r="AE90" i="13"/>
  <c r="V90" i="13"/>
  <c r="AM90" i="13"/>
  <c r="AD90" i="13"/>
  <c r="U90" i="13"/>
  <c r="Z90" i="13"/>
  <c r="Y90" i="13"/>
  <c r="W90" i="13"/>
  <c r="AG90" i="13"/>
  <c r="E83" i="12" a="1"/>
  <c r="E83" i="12" s="1"/>
  <c r="I79" i="12" a="1"/>
  <c r="I79" i="12" s="1"/>
  <c r="N75" i="12" a="1"/>
  <c r="N75" i="12" s="1"/>
  <c r="V67" i="12" a="1"/>
  <c r="V67" i="12" s="1"/>
  <c r="AK11" i="13"/>
  <c r="BH11" i="13" s="1" a="1"/>
  <c r="BH11" i="13" s="1"/>
  <c r="AE23" i="13"/>
  <c r="AD32" i="13"/>
  <c r="AG38" i="13"/>
  <c r="AM45" i="13"/>
  <c r="W45" i="13"/>
  <c r="AE45" i="13"/>
  <c r="AA65" i="13"/>
  <c r="AN65" i="13"/>
  <c r="AN66" i="13"/>
  <c r="AL66" i="13"/>
  <c r="AC66" i="13"/>
  <c r="T66" i="13"/>
  <c r="AG66" i="13"/>
  <c r="W66" i="13"/>
  <c r="AA66" i="13"/>
  <c r="AM66" i="13"/>
  <c r="AC11" i="13"/>
  <c r="AZ11" i="13" s="1" a="1"/>
  <c r="AZ11" i="13" s="1"/>
  <c r="AA13" i="13"/>
  <c r="AX13" i="13" s="1" a="1"/>
  <c r="AX13" i="13" s="1"/>
  <c r="AL13" i="13"/>
  <c r="BI13" i="13" s="1" a="1"/>
  <c r="BI13" i="13" s="1"/>
  <c r="W23" i="13"/>
  <c r="W32" i="13"/>
  <c r="AM32" i="13"/>
  <c r="Y38" i="13"/>
  <c r="AI41" i="13"/>
  <c r="X45" i="13"/>
  <c r="AF49" i="13"/>
  <c r="T49" i="13"/>
  <c r="AM49" i="13"/>
  <c r="AE49" i="13"/>
  <c r="AB57" i="13"/>
  <c r="AG58" i="13"/>
  <c r="AK58" i="13"/>
  <c r="AA58" i="13"/>
  <c r="AD58" i="13"/>
  <c r="T58" i="13"/>
  <c r="AB58" i="13"/>
  <c r="Z65" i="13"/>
  <c r="V66" i="13"/>
  <c r="AI66" i="13"/>
  <c r="AA82" i="13"/>
  <c r="AD11" i="13"/>
  <c r="BA11" i="13" s="1" a="1"/>
  <c r="BA11" i="13" s="1"/>
  <c r="AB13" i="13"/>
  <c r="AY13" i="13" s="1" a="1"/>
  <c r="AY13" i="13" s="1"/>
  <c r="Y14" i="13"/>
  <c r="AV14" i="13" s="1" a="1"/>
  <c r="AV14" i="13" s="1"/>
  <c r="AH14" i="13"/>
  <c r="BE14" i="13" s="1" a="1"/>
  <c r="BE14" i="13" s="1"/>
  <c r="Z18" i="13"/>
  <c r="X23" i="13"/>
  <c r="W27" i="13"/>
  <c r="AG27" i="13"/>
  <c r="X32" i="13"/>
  <c r="AN32" i="13"/>
  <c r="AE33" i="13"/>
  <c r="Y35" i="13"/>
  <c r="AH35" i="13"/>
  <c r="Z38" i="13"/>
  <c r="AM41" i="13"/>
  <c r="AK44" i="13"/>
  <c r="AA44" i="13"/>
  <c r="Z44" i="13"/>
  <c r="AL44" i="13"/>
  <c r="AB45" i="13"/>
  <c r="AG49" i="13"/>
  <c r="AC58" i="13"/>
  <c r="AC60" i="13"/>
  <c r="AH60" i="13"/>
  <c r="S60" i="13"/>
  <c r="AI60" i="13"/>
  <c r="AK62" i="13"/>
  <c r="Y62" i="13"/>
  <c r="AL62" i="13"/>
  <c r="AM64" i="13"/>
  <c r="V64" i="13"/>
  <c r="Y64" i="13"/>
  <c r="AI64" i="13"/>
  <c r="AI65" i="13"/>
  <c r="Y66" i="13"/>
  <c r="AJ66" i="13"/>
  <c r="AE11" i="13"/>
  <c r="BB11" i="13" s="1" a="1"/>
  <c r="BB11" i="13" s="1"/>
  <c r="AC13" i="13"/>
  <c r="AZ13" i="13" s="1" a="1"/>
  <c r="AZ13" i="13" s="1"/>
  <c r="Z14" i="13"/>
  <c r="AW14" i="13" s="1" a="1"/>
  <c r="AW14" i="13" s="1"/>
  <c r="AI14" i="13"/>
  <c r="BF14" i="13" s="1" a="1"/>
  <c r="BF14" i="13" s="1"/>
  <c r="AE24" i="13"/>
  <c r="Y27" i="13"/>
  <c r="AH27" i="13"/>
  <c r="AC28" i="13"/>
  <c r="V41" i="13"/>
  <c r="AC45" i="13"/>
  <c r="AE46" i="13"/>
  <c r="U49" i="13"/>
  <c r="AL49" i="13"/>
  <c r="AE57" i="13"/>
  <c r="T57" i="13"/>
  <c r="AJ57" i="13"/>
  <c r="W57" i="13"/>
  <c r="AD57" i="13"/>
  <c r="AE58" i="13"/>
  <c r="S61" i="13"/>
  <c r="AG61" i="13"/>
  <c r="AJ65" i="13"/>
  <c r="Z66" i="13"/>
  <c r="AK66" i="13"/>
  <c r="AN82" i="13"/>
  <c r="AL82" i="13"/>
  <c r="AC82" i="13"/>
  <c r="T82" i="13"/>
  <c r="AK82" i="13"/>
  <c r="AB82" i="13"/>
  <c r="S82" i="13"/>
  <c r="AG82" i="13"/>
  <c r="W82" i="13"/>
  <c r="AE82" i="13"/>
  <c r="V82" i="13"/>
  <c r="AH82" i="13"/>
  <c r="X86" i="13"/>
  <c r="W86" i="13"/>
  <c r="AL86" i="13"/>
  <c r="AK88" i="13"/>
  <c r="AJ88" i="13"/>
  <c r="AA89" i="13"/>
  <c r="AK89" i="13"/>
  <c r="Y59" i="13"/>
  <c r="AH59" i="13"/>
  <c r="AB63" i="13"/>
  <c r="AM63" i="13"/>
  <c r="AA76" i="13"/>
  <c r="AM76" i="13"/>
  <c r="AE80" i="13"/>
  <c r="T84" i="13"/>
  <c r="AH84" i="13"/>
  <c r="AC87" i="13"/>
  <c r="AN87" i="13"/>
  <c r="AB89" i="13"/>
  <c r="AL89" i="13"/>
  <c r="AB84" i="13"/>
  <c r="V89" i="13"/>
  <c r="AH89" i="13"/>
  <c r="U59" i="13"/>
  <c r="AD59" i="13"/>
  <c r="AM59" i="13"/>
  <c r="V63" i="13"/>
  <c r="Y74" i="13"/>
  <c r="AH74" i="13"/>
  <c r="U76" i="13"/>
  <c r="Z81" i="13"/>
  <c r="AJ81" i="13"/>
  <c r="W87" i="13"/>
  <c r="W89" i="13"/>
  <c r="AI89" i="13"/>
  <c r="Z89" i="13"/>
  <c r="AJ89" i="13"/>
  <c r="I16" i="12"/>
  <c r="W16" i="13"/>
  <c r="X16" i="13"/>
  <c r="AF16" i="13"/>
  <c r="P2" i="12"/>
  <c r="J2" i="12"/>
  <c r="N3" i="12"/>
  <c r="I3" i="12"/>
  <c r="O2" i="12"/>
  <c r="I2" i="12"/>
  <c r="H3" i="12"/>
  <c r="H2" i="12"/>
  <c r="M3" i="12"/>
  <c r="G3" i="12"/>
  <c r="N2" i="12"/>
  <c r="G2" i="12"/>
  <c r="E3" i="12"/>
  <c r="H10" i="3"/>
  <c r="L3" i="12"/>
  <c r="M2" i="12"/>
  <c r="O3" i="12"/>
  <c r="K3" i="12"/>
  <c r="F3" i="12"/>
  <c r="L2" i="12"/>
  <c r="J3" i="12"/>
  <c r="P3" i="12"/>
  <c r="K2" i="12"/>
  <c r="AD15" i="13"/>
  <c r="BA15" i="13" s="1" a="1"/>
  <c r="BA15" i="13" s="1"/>
  <c r="S15" i="13"/>
  <c r="AP15" i="13" s="1" a="1"/>
  <c r="AP15" i="13" s="1"/>
  <c r="AF15" i="13"/>
  <c r="BC15" i="13" s="1" a="1"/>
  <c r="BC15" i="13" s="1"/>
  <c r="AG15" i="13"/>
  <c r="BD15" i="13" s="1" a="1"/>
  <c r="BD15" i="13" s="1"/>
  <c r="AK15" i="13"/>
  <c r="BH15" i="13" s="1" a="1"/>
  <c r="BH15" i="13" s="1"/>
  <c r="AL15" i="13"/>
  <c r="BI15" i="13" s="1" a="1"/>
  <c r="BI15" i="13" s="1"/>
  <c r="AN15" i="13"/>
  <c r="BK15" i="13" s="1" a="1"/>
  <c r="BK15" i="13" s="1"/>
  <c r="AB15" i="13"/>
  <c r="AY15" i="13" s="1" a="1"/>
  <c r="AY15" i="13" s="1"/>
  <c r="X15" i="12"/>
  <c r="AU15" i="12" s="1" a="1"/>
  <c r="AU15" i="12" s="1"/>
  <c r="S15" i="12"/>
  <c r="R15" i="12"/>
  <c r="AO15" i="12" s="1" a="1"/>
  <c r="AO15" i="12" s="1"/>
  <c r="O15" i="12"/>
  <c r="W15" i="12"/>
  <c r="N15" i="12"/>
  <c r="I15" i="12"/>
  <c r="T15" i="12"/>
  <c r="AQ15" i="12" s="1" a="1"/>
  <c r="AQ15" i="12" s="1"/>
  <c r="K15" i="12"/>
  <c r="J15" i="12"/>
  <c r="M15" i="12"/>
  <c r="V15" i="12"/>
  <c r="AS15" i="12" s="1" a="1"/>
  <c r="AS15" i="12" s="1"/>
  <c r="Q15" i="12"/>
  <c r="U15" i="12"/>
  <c r="L15" i="12"/>
  <c r="Y15" i="12"/>
  <c r="P15" i="12"/>
  <c r="AM15" i="12" s="1" a="1"/>
  <c r="AM15" i="12" s="1"/>
  <c r="X13" i="12"/>
  <c r="AU13" i="12" s="1" a="1"/>
  <c r="AU13" i="12" s="1"/>
  <c r="T13" i="12"/>
  <c r="AQ13" i="12" s="1" a="1"/>
  <c r="AQ13" i="12" s="1"/>
  <c r="P13" i="12"/>
  <c r="AM13" i="12" s="1" a="1"/>
  <c r="AM13" i="12" s="1"/>
  <c r="L13" i="12"/>
  <c r="V12" i="12"/>
  <c r="AS12" i="12" s="1" a="1"/>
  <c r="AS12" i="12" s="1"/>
  <c r="R12" i="12"/>
  <c r="AO12" i="12" s="1" a="1"/>
  <c r="AO12" i="12" s="1"/>
  <c r="N12" i="12"/>
  <c r="J12" i="12"/>
  <c r="T11" i="12"/>
  <c r="AQ11" i="12" s="1" a="1"/>
  <c r="AQ11" i="12" s="1"/>
  <c r="W13" i="12"/>
  <c r="S13" i="12"/>
  <c r="O13" i="12"/>
  <c r="K13" i="12"/>
  <c r="Y12" i="12"/>
  <c r="U12" i="12"/>
  <c r="Q12" i="12"/>
  <c r="M12" i="12"/>
  <c r="I12" i="12"/>
  <c r="O11" i="12"/>
  <c r="K11" i="12"/>
  <c r="V13" i="12"/>
  <c r="AS13" i="12" s="1" a="1"/>
  <c r="AS13" i="12" s="1"/>
  <c r="R13" i="12"/>
  <c r="AO13" i="12" s="1" a="1"/>
  <c r="AO13" i="12" s="1"/>
  <c r="N13" i="12"/>
  <c r="J13" i="12"/>
  <c r="X12" i="12"/>
  <c r="AU12" i="12" s="1" a="1"/>
  <c r="AU12" i="12" s="1"/>
  <c r="T12" i="12"/>
  <c r="AQ12" i="12" s="1" a="1"/>
  <c r="AQ12" i="12" s="1"/>
  <c r="P12" i="12"/>
  <c r="AM12" i="12" s="1" a="1"/>
  <c r="AM12" i="12" s="1"/>
  <c r="L12" i="12"/>
  <c r="Y13" i="12"/>
  <c r="U13" i="12"/>
  <c r="Q13" i="12"/>
  <c r="M13" i="12"/>
  <c r="I13" i="12"/>
  <c r="W12" i="12"/>
  <c r="S12" i="12"/>
  <c r="O12" i="12"/>
  <c r="K12" i="12"/>
  <c r="I11" i="12"/>
  <c r="Y14" i="12"/>
  <c r="U14" i="12"/>
  <c r="Q14" i="12"/>
  <c r="M14" i="12"/>
  <c r="I14" i="12"/>
  <c r="X14" i="12"/>
  <c r="AU14" i="12" s="1" a="1"/>
  <c r="AU14" i="12" s="1"/>
  <c r="T14" i="12"/>
  <c r="AQ14" i="12" s="1" a="1"/>
  <c r="AQ14" i="12" s="1"/>
  <c r="P14" i="12"/>
  <c r="AM14" i="12" s="1" a="1"/>
  <c r="AM14" i="12" s="1"/>
  <c r="L14" i="12"/>
  <c r="W14" i="12"/>
  <c r="S14" i="12"/>
  <c r="O14" i="12"/>
  <c r="K14" i="12"/>
  <c r="V14" i="12"/>
  <c r="AS14" i="12" s="1" a="1"/>
  <c r="AS14" i="12" s="1"/>
  <c r="R14" i="12"/>
  <c r="AO14" i="12" s="1" a="1"/>
  <c r="AO14" i="12" s="1"/>
  <c r="N14" i="12"/>
  <c r="J14" i="12"/>
  <c r="V12" i="13"/>
  <c r="AS12" i="13" s="1" a="1"/>
  <c r="AS12" i="13" s="1"/>
  <c r="AJ12" i="13"/>
  <c r="BG12" i="13" s="1" a="1"/>
  <c r="BG12" i="13" s="1"/>
  <c r="W12" i="13"/>
  <c r="AT12" i="13" s="1" a="1"/>
  <c r="AT12" i="13" s="1"/>
  <c r="AK12" i="13"/>
  <c r="BH12" i="13" s="1" a="1"/>
  <c r="BH12" i="13" s="1"/>
  <c r="AA12" i="13"/>
  <c r="AX12" i="13" s="1" a="1"/>
  <c r="AX12" i="13" s="1"/>
  <c r="AL12" i="13"/>
  <c r="BI12" i="13" s="1" a="1"/>
  <c r="BI12" i="13" s="1"/>
  <c r="AB12" i="13"/>
  <c r="AY12" i="13" s="1" a="1"/>
  <c r="AY12" i="13" s="1"/>
  <c r="AM12" i="13"/>
  <c r="BJ12" i="13" s="1" a="1"/>
  <c r="BJ12" i="13" s="1"/>
  <c r="AC12" i="13"/>
  <c r="AZ12" i="13" s="1" a="1"/>
  <c r="AZ12" i="13" s="1"/>
  <c r="S12" i="13"/>
  <c r="AP12" i="13" s="1" a="1"/>
  <c r="AP12" i="13" s="1"/>
  <c r="AD12" i="13"/>
  <c r="BA12" i="13" s="1" a="1"/>
  <c r="BA12" i="13" s="1"/>
  <c r="T12" i="13"/>
  <c r="AQ12" i="13" s="1" a="1"/>
  <c r="AQ12" i="13" s="1"/>
  <c r="AE12" i="13"/>
  <c r="BB12" i="13" s="1" a="1"/>
  <c r="BB12" i="13" s="1"/>
  <c r="U12" i="13"/>
  <c r="AR12" i="13" s="1" a="1"/>
  <c r="AR12" i="13" s="1"/>
  <c r="AI12" i="13"/>
  <c r="BF12" i="13" s="1" a="1"/>
  <c r="BF12" i="13" s="1"/>
  <c r="B1" i="13"/>
  <c r="Z17" i="13"/>
  <c r="AA30" i="13"/>
  <c r="AL16" i="13"/>
  <c r="AD16" i="13"/>
  <c r="V16" i="13"/>
  <c r="AH16" i="13"/>
  <c r="AJ17" i="13"/>
  <c r="AF25" i="13"/>
  <c r="AE29" i="13"/>
  <c r="Z16" i="13"/>
  <c r="AG25" i="13"/>
  <c r="AF29" i="13"/>
  <c r="AH37" i="13"/>
  <c r="T11" i="13"/>
  <c r="AQ11" i="13" s="1" a="1"/>
  <c r="AQ11" i="13" s="1"/>
  <c r="AB11" i="13"/>
  <c r="AY11" i="13" s="1" a="1"/>
  <c r="AY11" i="13" s="1"/>
  <c r="AJ11" i="13"/>
  <c r="BG11" i="13" s="1" a="1"/>
  <c r="BG11" i="13" s="1"/>
  <c r="U16" i="13"/>
  <c r="AE16" i="13"/>
  <c r="AN16" i="13"/>
  <c r="X17" i="13"/>
  <c r="V20" i="13"/>
  <c r="AE20" i="13"/>
  <c r="W21" i="13"/>
  <c r="Z24" i="13"/>
  <c r="AA25" i="13"/>
  <c r="Z26" i="13"/>
  <c r="Y28" i="13"/>
  <c r="Y29" i="13"/>
  <c r="AJ29" i="13"/>
  <c r="Y30" i="13"/>
  <c r="AJ30" i="13"/>
  <c r="X34" i="13"/>
  <c r="U39" i="13"/>
  <c r="AK39" i="13"/>
  <c r="X42" i="13"/>
  <c r="AN42" i="13"/>
  <c r="Y56" i="13"/>
  <c r="AC70" i="13"/>
  <c r="AH77" i="13"/>
  <c r="AH88" i="13"/>
  <c r="Z88" i="13"/>
  <c r="AG88" i="13"/>
  <c r="Y88" i="13"/>
  <c r="AF88" i="13"/>
  <c r="V88" i="13"/>
  <c r="AE88" i="13"/>
  <c r="U88" i="13"/>
  <c r="AN88" i="13"/>
  <c r="AD88" i="13"/>
  <c r="T88" i="13"/>
  <c r="AI88" i="13"/>
  <c r="W88" i="13"/>
  <c r="AA88" i="13"/>
  <c r="X88" i="13"/>
  <c r="AM88" i="13"/>
  <c r="S88" i="13"/>
  <c r="AB88" i="13"/>
  <c r="AK17" i="13"/>
  <c r="AC17" i="13"/>
  <c r="U17" i="13"/>
  <c r="Y17" i="13"/>
  <c r="AH17" i="13"/>
  <c r="AG21" i="13"/>
  <c r="Y21" i="13"/>
  <c r="X21" i="13"/>
  <c r="AH21" i="13"/>
  <c r="AI24" i="13"/>
  <c r="AA24" i="13"/>
  <c r="S24" i="13"/>
  <c r="AL24" i="13"/>
  <c r="AC24" i="13"/>
  <c r="T24" i="13"/>
  <c r="AK24" i="13"/>
  <c r="AB24" i="13"/>
  <c r="AD24" i="13"/>
  <c r="AH25" i="13"/>
  <c r="Z25" i="13"/>
  <c r="AN25" i="13"/>
  <c r="AE25" i="13"/>
  <c r="V25" i="13"/>
  <c r="AM25" i="13"/>
  <c r="AD25" i="13"/>
  <c r="U25" i="13"/>
  <c r="AB25" i="13"/>
  <c r="AG26" i="13"/>
  <c r="Y26" i="13"/>
  <c r="AF26" i="13"/>
  <c r="W26" i="13"/>
  <c r="AN26" i="13"/>
  <c r="AE26" i="13"/>
  <c r="V26" i="13"/>
  <c r="AA26" i="13"/>
  <c r="AL26" i="13"/>
  <c r="AM28" i="13"/>
  <c r="AE28" i="13"/>
  <c r="W28" i="13"/>
  <c r="AJ28" i="13"/>
  <c r="AA28" i="13"/>
  <c r="AI28" i="13"/>
  <c r="Z28" i="13"/>
  <c r="AB28" i="13"/>
  <c r="AN28" i="13"/>
  <c r="Z29" i="13"/>
  <c r="Z30" i="13"/>
  <c r="AL30" i="13"/>
  <c r="AL37" i="13"/>
  <c r="AD37" i="13"/>
  <c r="V37" i="13"/>
  <c r="AK37" i="13"/>
  <c r="AB37" i="13"/>
  <c r="S37" i="13"/>
  <c r="AJ37" i="13"/>
  <c r="AA37" i="13"/>
  <c r="AI37" i="13"/>
  <c r="Z37" i="13"/>
  <c r="AE37" i="13"/>
  <c r="Z42" i="13"/>
  <c r="AJ55" i="13"/>
  <c r="AB55" i="13"/>
  <c r="T55" i="13"/>
  <c r="AI55" i="13"/>
  <c r="AA55" i="13"/>
  <c r="S55" i="13"/>
  <c r="AH55" i="13"/>
  <c r="X55" i="13"/>
  <c r="AG55" i="13"/>
  <c r="W55" i="13"/>
  <c r="AF55" i="13"/>
  <c r="V55" i="13"/>
  <c r="AK55" i="13"/>
  <c r="Y55" i="13"/>
  <c r="AL55" i="13"/>
  <c r="AG70" i="13"/>
  <c r="AL29" i="13"/>
  <c r="AD29" i="13"/>
  <c r="V29" i="13"/>
  <c r="AM29" i="13"/>
  <c r="AC29" i="13"/>
  <c r="T29" i="13"/>
  <c r="AK29" i="13"/>
  <c r="AB29" i="13"/>
  <c r="S29" i="13"/>
  <c r="AA29" i="13"/>
  <c r="AF37" i="13"/>
  <c r="AK46" i="13"/>
  <c r="AC46" i="13"/>
  <c r="U46" i="13"/>
  <c r="AM46" i="13"/>
  <c r="AD46" i="13"/>
  <c r="T46" i="13"/>
  <c r="AL46" i="13"/>
  <c r="AB46" i="13"/>
  <c r="S46" i="13"/>
  <c r="AJ46" i="13"/>
  <c r="AA46" i="13"/>
  <c r="AF46" i="13"/>
  <c r="AM55" i="13"/>
  <c r="AG56" i="13"/>
  <c r="AH20" i="13"/>
  <c r="Z20" i="13"/>
  <c r="AA21" i="13"/>
  <c r="AF24" i="13"/>
  <c r="S28" i="13"/>
  <c r="AG34" i="13"/>
  <c r="Y34" i="13"/>
  <c r="AN34" i="13"/>
  <c r="AE34" i="13"/>
  <c r="V34" i="13"/>
  <c r="AM34" i="13"/>
  <c r="AD34" i="13"/>
  <c r="U34" i="13"/>
  <c r="AL34" i="13"/>
  <c r="AC34" i="13"/>
  <c r="T34" i="13"/>
  <c r="AG42" i="13"/>
  <c r="Y42" i="13"/>
  <c r="AM42" i="13"/>
  <c r="AD42" i="13"/>
  <c r="U42" i="13"/>
  <c r="AL42" i="13"/>
  <c r="AC42" i="13"/>
  <c r="T42" i="13"/>
  <c r="AK42" i="13"/>
  <c r="AB42" i="13"/>
  <c r="S42" i="13"/>
  <c r="AE42" i="13"/>
  <c r="AK77" i="13"/>
  <c r="AC77" i="13"/>
  <c r="U77" i="13"/>
  <c r="AL77" i="13"/>
  <c r="AB77" i="13"/>
  <c r="S77" i="13"/>
  <c r="AJ77" i="13"/>
  <c r="AA77" i="13"/>
  <c r="AI77" i="13"/>
  <c r="Z77" i="13"/>
  <c r="AM77" i="13"/>
  <c r="AD77" i="13"/>
  <c r="T77" i="13"/>
  <c r="Y77" i="13"/>
  <c r="X77" i="13"/>
  <c r="W77" i="13"/>
  <c r="AE77" i="13"/>
  <c r="AK30" i="13"/>
  <c r="AC30" i="13"/>
  <c r="U30" i="13"/>
  <c r="AF30" i="13"/>
  <c r="W30" i="13"/>
  <c r="AN30" i="13"/>
  <c r="AE30" i="13"/>
  <c r="V30" i="13"/>
  <c r="AB21" i="13"/>
  <c r="T25" i="13"/>
  <c r="AD30" i="13"/>
  <c r="AF34" i="13"/>
  <c r="AK56" i="13"/>
  <c r="AJ70" i="13"/>
  <c r="AB70" i="13"/>
  <c r="T70" i="13"/>
  <c r="AF70" i="13"/>
  <c r="W70" i="13"/>
  <c r="AN70" i="13"/>
  <c r="AE70" i="13"/>
  <c r="V70" i="13"/>
  <c r="AM70" i="13"/>
  <c r="AD70" i="13"/>
  <c r="U70" i="13"/>
  <c r="Z70" i="13"/>
  <c r="AL70" i="13"/>
  <c r="Y70" i="13"/>
  <c r="AK70" i="13"/>
  <c r="X70" i="13"/>
  <c r="AA70" i="13"/>
  <c r="X11" i="13"/>
  <c r="AU11" i="13" s="1" a="1"/>
  <c r="AU11" i="13" s="1"/>
  <c r="AN11" i="13"/>
  <c r="BK11" i="13" s="1" a="1"/>
  <c r="BK11" i="13" s="1"/>
  <c r="S17" i="13"/>
  <c r="AA20" i="13"/>
  <c r="V24" i="13"/>
  <c r="S26" i="13"/>
  <c r="AH46" i="13"/>
  <c r="U55" i="13"/>
  <c r="Y11" i="13"/>
  <c r="AV11" i="13" s="1" a="1"/>
  <c r="AV11" i="13" s="1"/>
  <c r="AG11" i="13"/>
  <c r="BD11" i="13" s="1" a="1"/>
  <c r="BD11" i="13" s="1"/>
  <c r="X12" i="13"/>
  <c r="AU12" i="13" s="1" a="1"/>
  <c r="AU12" i="13" s="1"/>
  <c r="AF12" i="13"/>
  <c r="BC12" i="13" s="1" a="1"/>
  <c r="BC12" i="13" s="1"/>
  <c r="AN12" i="13"/>
  <c r="BK12" i="13" s="1" a="1"/>
  <c r="BK12" i="13" s="1"/>
  <c r="W13" i="13"/>
  <c r="AT13" i="13" s="1" a="1"/>
  <c r="AT13" i="13" s="1"/>
  <c r="AE13" i="13"/>
  <c r="BB13" i="13" s="1" a="1"/>
  <c r="BB13" i="13" s="1"/>
  <c r="AM13" i="13"/>
  <c r="BJ13" i="13" s="1" a="1"/>
  <c r="BJ13" i="13" s="1"/>
  <c r="AM15" i="13"/>
  <c r="BJ15" i="13" s="1" a="1"/>
  <c r="BJ15" i="13" s="1"/>
  <c r="AE15" i="13"/>
  <c r="BB15" i="13" s="1" a="1"/>
  <c r="BB15" i="13" s="1"/>
  <c r="W15" i="13"/>
  <c r="AT15" i="13" s="1" a="1"/>
  <c r="AT15" i="13" s="1"/>
  <c r="Y15" i="13"/>
  <c r="AV15" i="13" s="1" a="1"/>
  <c r="AV15" i="13" s="1"/>
  <c r="AH15" i="13"/>
  <c r="BE15" i="13" s="1" a="1"/>
  <c r="BE15" i="13" s="1"/>
  <c r="AA16" i="13"/>
  <c r="AJ16" i="13"/>
  <c r="T17" i="13"/>
  <c r="AD17" i="13"/>
  <c r="AM17" i="13"/>
  <c r="AI19" i="13"/>
  <c r="AA19" i="13"/>
  <c r="S19" i="13"/>
  <c r="Y19" i="13"/>
  <c r="AH19" i="13"/>
  <c r="S20" i="13"/>
  <c r="AB20" i="13"/>
  <c r="AK20" i="13"/>
  <c r="T21" i="13"/>
  <c r="AC21" i="13"/>
  <c r="AL21" i="13"/>
  <c r="AJ23" i="13"/>
  <c r="AB23" i="13"/>
  <c r="T23" i="13"/>
  <c r="AI23" i="13"/>
  <c r="Z23" i="13"/>
  <c r="Y23" i="13"/>
  <c r="AK23" i="13"/>
  <c r="W24" i="13"/>
  <c r="AH24" i="13"/>
  <c r="W25" i="13"/>
  <c r="AI25" i="13"/>
  <c r="T26" i="13"/>
  <c r="AH26" i="13"/>
  <c r="U28" i="13"/>
  <c r="AG28" i="13"/>
  <c r="U29" i="13"/>
  <c r="AG29" i="13"/>
  <c r="S30" i="13"/>
  <c r="AG30" i="13"/>
  <c r="AH34" i="13"/>
  <c r="W37" i="13"/>
  <c r="AM37" i="13"/>
  <c r="AD39" i="13"/>
  <c r="AH41" i="13"/>
  <c r="Z41" i="13"/>
  <c r="AL41" i="13"/>
  <c r="AC41" i="13"/>
  <c r="T41" i="13"/>
  <c r="AK41" i="13"/>
  <c r="AB41" i="13"/>
  <c r="S41" i="13"/>
  <c r="AJ41" i="13"/>
  <c r="AA41" i="13"/>
  <c r="AE41" i="13"/>
  <c r="AH42" i="13"/>
  <c r="W46" i="13"/>
  <c r="AI46" i="13"/>
  <c r="Z55" i="13"/>
  <c r="V77" i="13"/>
  <c r="AM83" i="13"/>
  <c r="AE83" i="13"/>
  <c r="W83" i="13"/>
  <c r="AL83" i="13"/>
  <c r="AD83" i="13"/>
  <c r="V83" i="13"/>
  <c r="AF83" i="13"/>
  <c r="T83" i="13"/>
  <c r="AC83" i="13"/>
  <c r="S83" i="13"/>
  <c r="AN83" i="13"/>
  <c r="AB83" i="13"/>
  <c r="AG83" i="13"/>
  <c r="U83" i="13"/>
  <c r="Y83" i="13"/>
  <c r="X83" i="13"/>
  <c r="AK83" i="13"/>
  <c r="Z83" i="13"/>
  <c r="AL88" i="13"/>
  <c r="AI17" i="13"/>
  <c r="AA17" i="13"/>
  <c r="AI20" i="13"/>
  <c r="AB30" i="13"/>
  <c r="AB34" i="13"/>
  <c r="T37" i="13"/>
  <c r="AG37" i="13"/>
  <c r="AI16" i="13"/>
  <c r="AL17" i="13"/>
  <c r="S21" i="13"/>
  <c r="AK21" i="13"/>
  <c r="T28" i="13"/>
  <c r="U37" i="13"/>
  <c r="AC39" i="13"/>
  <c r="AI56" i="13"/>
  <c r="AA56" i="13"/>
  <c r="S56" i="13"/>
  <c r="AH56" i="13"/>
  <c r="Z56" i="13"/>
  <c r="AE56" i="13"/>
  <c r="U56" i="13"/>
  <c r="AN56" i="13"/>
  <c r="AD56" i="13"/>
  <c r="T56" i="13"/>
  <c r="AM56" i="13"/>
  <c r="AC56" i="13"/>
  <c r="AF56" i="13"/>
  <c r="V56" i="13"/>
  <c r="Z11" i="13"/>
  <c r="AW11" i="13" s="1" a="1"/>
  <c r="AW11" i="13" s="1"/>
  <c r="AH11" i="13"/>
  <c r="BE11" i="13" s="1" a="1"/>
  <c r="BE11" i="13" s="1"/>
  <c r="Y12" i="13"/>
  <c r="AV12" i="13" s="1" a="1"/>
  <c r="AV12" i="13" s="1"/>
  <c r="AG12" i="13"/>
  <c r="BD12" i="13" s="1" a="1"/>
  <c r="BD12" i="13" s="1"/>
  <c r="X13" i="13"/>
  <c r="AU13" i="13" s="1" a="1"/>
  <c r="AU13" i="13" s="1"/>
  <c r="AF13" i="13"/>
  <c r="BC13" i="13" s="1" a="1"/>
  <c r="BC13" i="13" s="1"/>
  <c r="AN13" i="13"/>
  <c r="BK13" i="13" s="1" a="1"/>
  <c r="BK13" i="13" s="1"/>
  <c r="Z15" i="13"/>
  <c r="AW15" i="13" s="1" a="1"/>
  <c r="AW15" i="13" s="1"/>
  <c r="AI15" i="13"/>
  <c r="BF15" i="13" s="1" a="1"/>
  <c r="BF15" i="13" s="1"/>
  <c r="S16" i="13"/>
  <c r="AB16" i="13"/>
  <c r="AK16" i="13"/>
  <c r="V17" i="13"/>
  <c r="AE17" i="13"/>
  <c r="AN17" i="13"/>
  <c r="Z19" i="13"/>
  <c r="AJ19" i="13"/>
  <c r="T20" i="13"/>
  <c r="AC20" i="13"/>
  <c r="AL20" i="13"/>
  <c r="U21" i="13"/>
  <c r="AD21" i="13"/>
  <c r="AM21" i="13"/>
  <c r="AA23" i="13"/>
  <c r="AL23" i="13"/>
  <c r="X24" i="13"/>
  <c r="AJ24" i="13"/>
  <c r="X25" i="13"/>
  <c r="AJ25" i="13"/>
  <c r="U26" i="13"/>
  <c r="AI26" i="13"/>
  <c r="V28" i="13"/>
  <c r="AH28" i="13"/>
  <c r="W29" i="13"/>
  <c r="AH29" i="13"/>
  <c r="T30" i="13"/>
  <c r="AH30" i="13"/>
  <c r="AH33" i="13"/>
  <c r="Z33" i="13"/>
  <c r="AM33" i="13"/>
  <c r="AD33" i="13"/>
  <c r="U33" i="13"/>
  <c r="AL33" i="13"/>
  <c r="AC33" i="13"/>
  <c r="T33" i="13"/>
  <c r="AK33" i="13"/>
  <c r="AB33" i="13"/>
  <c r="S33" i="13"/>
  <c r="AF33" i="13"/>
  <c r="S34" i="13"/>
  <c r="AI34" i="13"/>
  <c r="X37" i="13"/>
  <c r="AN37" i="13"/>
  <c r="V42" i="13"/>
  <c r="AI42" i="13"/>
  <c r="X46" i="13"/>
  <c r="AN46" i="13"/>
  <c r="AC55" i="13"/>
  <c r="W56" i="13"/>
  <c r="AK69" i="13"/>
  <c r="AC69" i="13"/>
  <c r="U69" i="13"/>
  <c r="AM69" i="13"/>
  <c r="AD69" i="13"/>
  <c r="T69" i="13"/>
  <c r="AL69" i="13"/>
  <c r="AB69" i="13"/>
  <c r="S69" i="13"/>
  <c r="AJ69" i="13"/>
  <c r="AA69" i="13"/>
  <c r="AI69" i="13"/>
  <c r="W69" i="13"/>
  <c r="AH69" i="13"/>
  <c r="V69" i="13"/>
  <c r="AG69" i="13"/>
  <c r="AN69" i="13"/>
  <c r="X69" i="13"/>
  <c r="AF77" i="13"/>
  <c r="Y16" i="13"/>
  <c r="Y20" i="13"/>
  <c r="AJ21" i="13"/>
  <c r="U24" i="13"/>
  <c r="S25" i="13"/>
  <c r="AC26" i="13"/>
  <c r="AD28" i="13"/>
  <c r="AF11" i="13"/>
  <c r="BC11" i="13" s="1" a="1"/>
  <c r="BC11" i="13" s="1"/>
  <c r="AB17" i="13"/>
  <c r="AJ20" i="13"/>
  <c r="AG24" i="13"/>
  <c r="AD26" i="13"/>
  <c r="AF28" i="13"/>
  <c r="AJ39" i="13"/>
  <c r="AB39" i="13"/>
  <c r="T39" i="13"/>
  <c r="AG39" i="13"/>
  <c r="X39" i="13"/>
  <c r="AF39" i="13"/>
  <c r="W39" i="13"/>
  <c r="AN39" i="13"/>
  <c r="AE39" i="13"/>
  <c r="V39" i="13"/>
  <c r="AF42" i="13"/>
  <c r="V46" i="13"/>
  <c r="S11" i="13"/>
  <c r="AP11" i="13" s="1" a="1"/>
  <c r="AP11" i="13" s="1"/>
  <c r="AA11" i="13"/>
  <c r="AX11" i="13" s="1" a="1"/>
  <c r="AX11" i="13" s="1"/>
  <c r="Z12" i="13"/>
  <c r="AW12" i="13" s="1" a="1"/>
  <c r="AW12" i="13" s="1"/>
  <c r="Y13" i="13"/>
  <c r="AV13" i="13" s="1" a="1"/>
  <c r="AV13" i="13" s="1"/>
  <c r="AA15" i="13"/>
  <c r="AX15" i="13" s="1" a="1"/>
  <c r="AX15" i="13" s="1"/>
  <c r="AJ15" i="13"/>
  <c r="BG15" i="13" s="1" a="1"/>
  <c r="BG15" i="13" s="1"/>
  <c r="T16" i="13"/>
  <c r="AC16" i="13"/>
  <c r="AM16" i="13"/>
  <c r="W17" i="13"/>
  <c r="AF17" i="13"/>
  <c r="AJ18" i="13"/>
  <c r="AB18" i="13"/>
  <c r="T18" i="13"/>
  <c r="Y18" i="13"/>
  <c r="AH18" i="13"/>
  <c r="AB19" i="13"/>
  <c r="AK19" i="13"/>
  <c r="U20" i="13"/>
  <c r="AD20" i="13"/>
  <c r="AM20" i="13"/>
  <c r="V21" i="13"/>
  <c r="AE21" i="13"/>
  <c r="AN21" i="13"/>
  <c r="AC23" i="13"/>
  <c r="AM23" i="13"/>
  <c r="Y24" i="13"/>
  <c r="AM24" i="13"/>
  <c r="Y25" i="13"/>
  <c r="AK25" i="13"/>
  <c r="X26" i="13"/>
  <c r="AJ26" i="13"/>
  <c r="X28" i="13"/>
  <c r="AK28" i="13"/>
  <c r="X29" i="13"/>
  <c r="AI29" i="13"/>
  <c r="X30" i="13"/>
  <c r="AI30" i="13"/>
  <c r="AG33" i="13"/>
  <c r="W34" i="13"/>
  <c r="AJ34" i="13"/>
  <c r="Y37" i="13"/>
  <c r="AK38" i="13"/>
  <c r="AC38" i="13"/>
  <c r="U38" i="13"/>
  <c r="AN38" i="13"/>
  <c r="AE38" i="13"/>
  <c r="V38" i="13"/>
  <c r="AM38" i="13"/>
  <c r="AD38" i="13"/>
  <c r="T38" i="13"/>
  <c r="AL38" i="13"/>
  <c r="AB38" i="13"/>
  <c r="S38" i="13"/>
  <c r="AF38" i="13"/>
  <c r="S39" i="13"/>
  <c r="AI39" i="13"/>
  <c r="U41" i="13"/>
  <c r="AG41" i="13"/>
  <c r="W42" i="13"/>
  <c r="AJ42" i="13"/>
  <c r="Y46" i="13"/>
  <c r="AJ47" i="13"/>
  <c r="AB47" i="13"/>
  <c r="T47" i="13"/>
  <c r="AF47" i="13"/>
  <c r="W47" i="13"/>
  <c r="AN47" i="13"/>
  <c r="AE47" i="13"/>
  <c r="V47" i="13"/>
  <c r="AM47" i="13"/>
  <c r="AD47" i="13"/>
  <c r="U47" i="13"/>
  <c r="AG47" i="13"/>
  <c r="AC47" i="13"/>
  <c r="AG50" i="13"/>
  <c r="Y50" i="13"/>
  <c r="AL50" i="13"/>
  <c r="AC50" i="13"/>
  <c r="T50" i="13"/>
  <c r="AK50" i="13"/>
  <c r="AB50" i="13"/>
  <c r="S50" i="13"/>
  <c r="AJ50" i="13"/>
  <c r="AA50" i="13"/>
  <c r="AM50" i="13"/>
  <c r="AD50" i="13"/>
  <c r="U50" i="13"/>
  <c r="AH50" i="13"/>
  <c r="AK54" i="13"/>
  <c r="AC54" i="13"/>
  <c r="U54" i="13"/>
  <c r="AJ54" i="13"/>
  <c r="AM54" i="13"/>
  <c r="AB54" i="13"/>
  <c r="S54" i="13"/>
  <c r="AL54" i="13"/>
  <c r="AA54" i="13"/>
  <c r="AI54" i="13"/>
  <c r="Z54" i="13"/>
  <c r="AN54" i="13"/>
  <c r="AD54" i="13"/>
  <c r="T54" i="13"/>
  <c r="AG54" i="13"/>
  <c r="AD55" i="13"/>
  <c r="X56" i="13"/>
  <c r="S70" i="13"/>
  <c r="AG73" i="13"/>
  <c r="Y73" i="13"/>
  <c r="AL73" i="13"/>
  <c r="AC73" i="13"/>
  <c r="T73" i="13"/>
  <c r="AK73" i="13"/>
  <c r="AB73" i="13"/>
  <c r="S73" i="13"/>
  <c r="AJ73" i="13"/>
  <c r="AA73" i="13"/>
  <c r="AM73" i="13"/>
  <c r="AD73" i="13"/>
  <c r="U73" i="13"/>
  <c r="Z73" i="13"/>
  <c r="X73" i="13"/>
  <c r="W73" i="13"/>
  <c r="AE73" i="13"/>
  <c r="AG77" i="13"/>
  <c r="AA83" i="13"/>
  <c r="AM52" i="13"/>
  <c r="AE52" i="13"/>
  <c r="W52" i="13"/>
  <c r="Y52" i="13"/>
  <c r="AH52" i="13"/>
  <c r="AK61" i="13"/>
  <c r="AC61" i="13"/>
  <c r="AN61" i="13"/>
  <c r="AE61" i="13"/>
  <c r="V61" i="13"/>
  <c r="AM61" i="13"/>
  <c r="AD61" i="13"/>
  <c r="U61" i="13"/>
  <c r="AL61" i="13"/>
  <c r="AB61" i="13"/>
  <c r="T61" i="13"/>
  <c r="AA61" i="13"/>
  <c r="AJ86" i="13"/>
  <c r="AB86" i="13"/>
  <c r="T86" i="13"/>
  <c r="AI86" i="13"/>
  <c r="AA86" i="13"/>
  <c r="S86" i="13"/>
  <c r="AE86" i="13"/>
  <c r="U86" i="13"/>
  <c r="AN86" i="13"/>
  <c r="AD86" i="13"/>
  <c r="AM86" i="13"/>
  <c r="AC86" i="13"/>
  <c r="AF86" i="13"/>
  <c r="V86" i="13"/>
  <c r="AK86" i="13"/>
  <c r="AI32" i="13"/>
  <c r="AA32" i="13"/>
  <c r="S32" i="13"/>
  <c r="Y32" i="13"/>
  <c r="AH32" i="13"/>
  <c r="AL45" i="13"/>
  <c r="AD45" i="13"/>
  <c r="V45" i="13"/>
  <c r="Y45" i="13"/>
  <c r="AH45" i="13"/>
  <c r="AH49" i="13"/>
  <c r="Z49" i="13"/>
  <c r="Y49" i="13"/>
  <c r="AI49" i="13"/>
  <c r="U52" i="13"/>
  <c r="AD52" i="13"/>
  <c r="AN52" i="13"/>
  <c r="AM60" i="13"/>
  <c r="AE60" i="13"/>
  <c r="W60" i="13"/>
  <c r="AL60" i="13"/>
  <c r="AD60" i="13"/>
  <c r="V60" i="13"/>
  <c r="Z60" i="13"/>
  <c r="AJ60" i="13"/>
  <c r="X61" i="13"/>
  <c r="AJ61" i="13"/>
  <c r="AG65" i="13"/>
  <c r="Y65" i="13"/>
  <c r="AM65" i="13"/>
  <c r="AD65" i="13"/>
  <c r="U65" i="13"/>
  <c r="AL65" i="13"/>
  <c r="AC65" i="13"/>
  <c r="T65" i="13"/>
  <c r="AK65" i="13"/>
  <c r="AB65" i="13"/>
  <c r="S65" i="13"/>
  <c r="AE65" i="13"/>
  <c r="AJ78" i="13"/>
  <c r="AB78" i="13"/>
  <c r="T78" i="13"/>
  <c r="AN78" i="13"/>
  <c r="AE78" i="13"/>
  <c r="V78" i="13"/>
  <c r="AM78" i="13"/>
  <c r="AD78" i="13"/>
  <c r="U78" i="13"/>
  <c r="AL78" i="13"/>
  <c r="AC78" i="13"/>
  <c r="S78" i="13"/>
  <c r="AF78" i="13"/>
  <c r="W78" i="13"/>
  <c r="AH78" i="13"/>
  <c r="AK85" i="13"/>
  <c r="AC85" i="13"/>
  <c r="U85" i="13"/>
  <c r="AJ85" i="13"/>
  <c r="AB85" i="13"/>
  <c r="T85" i="13"/>
  <c r="AH85" i="13"/>
  <c r="X85" i="13"/>
  <c r="AG85" i="13"/>
  <c r="W85" i="13"/>
  <c r="AF85" i="13"/>
  <c r="V85" i="13"/>
  <c r="AI85" i="13"/>
  <c r="Y85" i="13"/>
  <c r="AL85" i="13"/>
  <c r="Z86" i="13"/>
  <c r="Z32" i="13"/>
  <c r="AJ32" i="13"/>
  <c r="AM36" i="13"/>
  <c r="AE36" i="13"/>
  <c r="W36" i="13"/>
  <c r="Y36" i="13"/>
  <c r="AH36" i="13"/>
  <c r="AI40" i="13"/>
  <c r="AA40" i="13"/>
  <c r="S40" i="13"/>
  <c r="Y40" i="13"/>
  <c r="AH40" i="13"/>
  <c r="Z45" i="13"/>
  <c r="AI45" i="13"/>
  <c r="AA49" i="13"/>
  <c r="AJ49" i="13"/>
  <c r="V52" i="13"/>
  <c r="AF52" i="13"/>
  <c r="AL53" i="13"/>
  <c r="AD53" i="13"/>
  <c r="V53" i="13"/>
  <c r="Y53" i="13"/>
  <c r="AH53" i="13"/>
  <c r="AA60" i="13"/>
  <c r="AK60" i="13"/>
  <c r="Y61" i="13"/>
  <c r="AJ62" i="13"/>
  <c r="AB62" i="13"/>
  <c r="T62" i="13"/>
  <c r="AG62" i="13"/>
  <c r="X62" i="13"/>
  <c r="AF62" i="13"/>
  <c r="W62" i="13"/>
  <c r="AN62" i="13"/>
  <c r="AE62" i="13"/>
  <c r="V62" i="13"/>
  <c r="AC62" i="13"/>
  <c r="AF65" i="13"/>
  <c r="AI78" i="13"/>
  <c r="AM85" i="13"/>
  <c r="AG86" i="13"/>
  <c r="X14" i="13"/>
  <c r="AU14" i="13" s="1" a="1"/>
  <c r="AU14" i="13" s="1"/>
  <c r="AF14" i="13"/>
  <c r="BC14" i="13" s="1" a="1"/>
  <c r="BC14" i="13" s="1"/>
  <c r="AK22" i="13"/>
  <c r="AC22" i="13"/>
  <c r="X22" i="13"/>
  <c r="AG22" i="13"/>
  <c r="AJ31" i="13"/>
  <c r="AB31" i="13"/>
  <c r="T31" i="13"/>
  <c r="Y31" i="13"/>
  <c r="AH31" i="13"/>
  <c r="AB32" i="13"/>
  <c r="AK32" i="13"/>
  <c r="Z36" i="13"/>
  <c r="AI36" i="13"/>
  <c r="Z40" i="13"/>
  <c r="AJ40" i="13"/>
  <c r="AM44" i="13"/>
  <c r="AE44" i="13"/>
  <c r="W44" i="13"/>
  <c r="Y44" i="13"/>
  <c r="AH44" i="13"/>
  <c r="AA45" i="13"/>
  <c r="AJ45" i="13"/>
  <c r="AI48" i="13"/>
  <c r="AA48" i="13"/>
  <c r="S48" i="13"/>
  <c r="Y48" i="13"/>
  <c r="AH48" i="13"/>
  <c r="S49" i="13"/>
  <c r="AB49" i="13"/>
  <c r="AK49" i="13"/>
  <c r="X52" i="13"/>
  <c r="AG52" i="13"/>
  <c r="Z53" i="13"/>
  <c r="AI53" i="13"/>
  <c r="AH57" i="13"/>
  <c r="Z57" i="13"/>
  <c r="AG57" i="13"/>
  <c r="Y57" i="13"/>
  <c r="AA57" i="13"/>
  <c r="AK57" i="13"/>
  <c r="AB60" i="13"/>
  <c r="AN60" i="13"/>
  <c r="Z61" i="13"/>
  <c r="AD62" i="13"/>
  <c r="AH64" i="13"/>
  <c r="Z64" i="13"/>
  <c r="AL64" i="13"/>
  <c r="AC64" i="13"/>
  <c r="T64" i="13"/>
  <c r="AK64" i="13"/>
  <c r="AB64" i="13"/>
  <c r="S64" i="13"/>
  <c r="AJ64" i="13"/>
  <c r="AA64" i="13"/>
  <c r="AE64" i="13"/>
  <c r="AH65" i="13"/>
  <c r="AK78" i="13"/>
  <c r="AN85" i="13"/>
  <c r="AH86" i="13"/>
  <c r="AM75" i="13"/>
  <c r="AE75" i="13"/>
  <c r="W75" i="13"/>
  <c r="Y75" i="13"/>
  <c r="AH75" i="13"/>
  <c r="AI79" i="13"/>
  <c r="AA79" i="13"/>
  <c r="S79" i="13"/>
  <c r="AH79" i="13"/>
  <c r="Y79" i="13"/>
  <c r="AJ79" i="13"/>
  <c r="AL68" i="13"/>
  <c r="AD68" i="13"/>
  <c r="V68" i="13"/>
  <c r="Y68" i="13"/>
  <c r="AH68" i="13"/>
  <c r="AH72" i="13"/>
  <c r="Z72" i="13"/>
  <c r="Y72" i="13"/>
  <c r="AI72" i="13"/>
  <c r="U75" i="13"/>
  <c r="AD75" i="13"/>
  <c r="AN75" i="13"/>
  <c r="V79" i="13"/>
  <c r="AE79" i="13"/>
  <c r="AH80" i="13"/>
  <c r="Z80" i="13"/>
  <c r="AG80" i="13"/>
  <c r="Y80" i="13"/>
  <c r="AA80" i="13"/>
  <c r="AK80" i="13"/>
  <c r="X58" i="13"/>
  <c r="AF58" i="13"/>
  <c r="AN58" i="13"/>
  <c r="AI63" i="13"/>
  <c r="AA63" i="13"/>
  <c r="S63" i="13"/>
  <c r="Y63" i="13"/>
  <c r="AH63" i="13"/>
  <c r="Z68" i="13"/>
  <c r="AI68" i="13"/>
  <c r="AA72" i="13"/>
  <c r="AJ72" i="13"/>
  <c r="V75" i="13"/>
  <c r="AF75" i="13"/>
  <c r="AL76" i="13"/>
  <c r="AD76" i="13"/>
  <c r="V76" i="13"/>
  <c r="Y76" i="13"/>
  <c r="AH76" i="13"/>
  <c r="W79" i="13"/>
  <c r="AF79" i="13"/>
  <c r="AB80" i="13"/>
  <c r="AL80" i="13"/>
  <c r="AL84" i="13"/>
  <c r="AD84" i="13"/>
  <c r="V84" i="13"/>
  <c r="AK84" i="13"/>
  <c r="AC84" i="13"/>
  <c r="U84" i="13"/>
  <c r="Z84" i="13"/>
  <c r="AJ84" i="13"/>
  <c r="X27" i="13"/>
  <c r="AF27" i="13"/>
  <c r="X35" i="13"/>
  <c r="AF35" i="13"/>
  <c r="X43" i="13"/>
  <c r="AF43" i="13"/>
  <c r="X51" i="13"/>
  <c r="AF51" i="13"/>
  <c r="Y58" i="13"/>
  <c r="X59" i="13"/>
  <c r="AF59" i="13"/>
  <c r="Z63" i="13"/>
  <c r="AJ63" i="13"/>
  <c r="AM67" i="13"/>
  <c r="AE67" i="13"/>
  <c r="W67" i="13"/>
  <c r="Y67" i="13"/>
  <c r="AH67" i="13"/>
  <c r="AA68" i="13"/>
  <c r="AJ68" i="13"/>
  <c r="AI71" i="13"/>
  <c r="AA71" i="13"/>
  <c r="S71" i="13"/>
  <c r="Y71" i="13"/>
  <c r="AH71" i="13"/>
  <c r="S72" i="13"/>
  <c r="AB72" i="13"/>
  <c r="AK72" i="13"/>
  <c r="X75" i="13"/>
  <c r="AG75" i="13"/>
  <c r="Z76" i="13"/>
  <c r="AI76" i="13"/>
  <c r="X79" i="13"/>
  <c r="AG79" i="13"/>
  <c r="S80" i="13"/>
  <c r="AC80" i="13"/>
  <c r="AM80" i="13"/>
  <c r="AA84" i="13"/>
  <c r="AM84" i="13"/>
  <c r="AI87" i="13"/>
  <c r="AA87" i="13"/>
  <c r="S87" i="13"/>
  <c r="AH87" i="13"/>
  <c r="Z87" i="13"/>
  <c r="AB87" i="13"/>
  <c r="AL87" i="13"/>
  <c r="X81" i="13"/>
  <c r="AF81" i="13"/>
  <c r="AN81" i="13"/>
  <c r="X89" i="13"/>
  <c r="AF89" i="13"/>
  <c r="AN89" i="13"/>
  <c r="X66" i="13"/>
  <c r="AF66" i="13"/>
  <c r="X74" i="13"/>
  <c r="AF74" i="13"/>
  <c r="Y81" i="13"/>
  <c r="X82" i="13"/>
  <c r="AF82" i="13"/>
  <c r="Y89" i="13"/>
  <c r="X90" i="13"/>
  <c r="AF90" i="13"/>
  <c r="I25" i="1"/>
  <c r="Q25" i="1"/>
  <c r="J25" i="1"/>
  <c r="O45" i="1"/>
  <c r="K45" i="1"/>
  <c r="M65" i="1"/>
  <c r="N65" i="1"/>
  <c r="O65" i="1"/>
  <c r="H65" i="1"/>
  <c r="Q65" i="1"/>
  <c r="M89" i="1"/>
  <c r="N89" i="1"/>
  <c r="P89" i="1"/>
  <c r="I89" i="1"/>
  <c r="K89" i="1"/>
  <c r="M21" i="1"/>
  <c r="N21" i="1"/>
  <c r="P21" i="1"/>
  <c r="K21" i="1"/>
  <c r="J41" i="1"/>
  <c r="M41" i="1"/>
  <c r="N41" i="1"/>
  <c r="O41" i="1"/>
  <c r="L41" i="1"/>
  <c r="P41" i="1"/>
  <c r="M61" i="1"/>
  <c r="I61" i="1"/>
  <c r="M73" i="1"/>
  <c r="H73" i="1"/>
  <c r="I73" i="1"/>
  <c r="M81" i="1"/>
  <c r="N81" i="1"/>
  <c r="K81" i="1"/>
  <c r="L81" i="1"/>
  <c r="P81" i="1"/>
  <c r="H18" i="1"/>
  <c r="I22" i="1"/>
  <c r="H26" i="1"/>
  <c r="K26" i="1"/>
  <c r="L26" i="1"/>
  <c r="N26" i="1"/>
  <c r="K30" i="1"/>
  <c r="P34" i="1"/>
  <c r="I34" i="1"/>
  <c r="J34" i="1"/>
  <c r="M34" i="1"/>
  <c r="M38" i="1"/>
  <c r="K42" i="1"/>
  <c r="P46" i="1"/>
  <c r="L46" i="1"/>
  <c r="K46" i="1"/>
  <c r="N46" i="1"/>
  <c r="I50" i="1"/>
  <c r="M50" i="1"/>
  <c r="N50" i="1"/>
  <c r="P50" i="1"/>
  <c r="O58" i="1"/>
  <c r="P58" i="1"/>
  <c r="H58" i="1"/>
  <c r="H62" i="1"/>
  <c r="P62" i="1"/>
  <c r="I62" i="1"/>
  <c r="J62" i="1"/>
  <c r="M66" i="1"/>
  <c r="H66" i="1"/>
  <c r="P66" i="1"/>
  <c r="N66" i="1"/>
  <c r="P70" i="1"/>
  <c r="I70" i="1"/>
  <c r="K74" i="1"/>
  <c r="L74" i="1"/>
  <c r="M74" i="1"/>
  <c r="O74" i="1"/>
  <c r="M78" i="1"/>
  <c r="H78" i="1"/>
  <c r="J78" i="1"/>
  <c r="M82" i="1"/>
  <c r="M86" i="1"/>
  <c r="H86" i="1"/>
  <c r="K90" i="1"/>
  <c r="L90" i="1"/>
  <c r="Q90" i="1"/>
  <c r="L87" i="1"/>
  <c r="P87" i="1"/>
  <c r="O17" i="1"/>
  <c r="H17" i="1"/>
  <c r="N17" i="1"/>
  <c r="L17" i="1"/>
  <c r="Q33" i="1"/>
  <c r="J33" i="1"/>
  <c r="L33" i="1"/>
  <c r="I49" i="1"/>
  <c r="Q49" i="1"/>
  <c r="J49" i="1"/>
  <c r="K49" i="1"/>
  <c r="N49" i="1"/>
  <c r="Q57" i="1"/>
  <c r="K57" i="1"/>
  <c r="M69" i="1"/>
  <c r="O69" i="1"/>
  <c r="K69" i="1"/>
  <c r="O85" i="1"/>
  <c r="Q85" i="1"/>
  <c r="H85" i="1"/>
  <c r="P85" i="1"/>
  <c r="H27" i="1"/>
  <c r="I27" i="1"/>
  <c r="J27" i="1"/>
  <c r="O35" i="1"/>
  <c r="I43" i="1"/>
  <c r="K43" i="1"/>
  <c r="P51" i="1"/>
  <c r="M67" i="1"/>
  <c r="O67" i="1"/>
  <c r="Q75" i="1"/>
  <c r="I29" i="1"/>
  <c r="Q29" i="1"/>
  <c r="P29" i="1"/>
  <c r="H29" i="1"/>
  <c r="N29" i="1"/>
  <c r="O29" i="1"/>
  <c r="I37" i="1"/>
  <c r="J37" i="1"/>
  <c r="K37" i="1"/>
  <c r="H37" i="1"/>
  <c r="L37" i="1"/>
  <c r="Q53" i="1"/>
  <c r="N53" i="1"/>
  <c r="O53" i="1"/>
  <c r="P53" i="1"/>
  <c r="L53" i="1"/>
  <c r="M77" i="1"/>
  <c r="N77" i="1"/>
  <c r="O77" i="1"/>
  <c r="I77" i="1"/>
  <c r="K77" i="1"/>
  <c r="L77" i="1"/>
  <c r="Q23" i="1"/>
  <c r="K31" i="1"/>
  <c r="L31" i="1"/>
  <c r="P31" i="1"/>
  <c r="H39" i="1"/>
  <c r="P47" i="1"/>
  <c r="H55" i="1"/>
  <c r="Q55" i="1"/>
  <c r="N63" i="1"/>
  <c r="M63" i="1"/>
  <c r="H71" i="1"/>
  <c r="M83" i="1"/>
  <c r="N83" i="1"/>
  <c r="O83" i="1"/>
  <c r="I20" i="1"/>
  <c r="Q20" i="1"/>
  <c r="N20" i="1"/>
  <c r="O20" i="1"/>
  <c r="P20" i="1"/>
  <c r="L20" i="1"/>
  <c r="M20" i="1"/>
  <c r="J20" i="1"/>
  <c r="I24" i="1"/>
  <c r="K24" i="1"/>
  <c r="L24" i="1"/>
  <c r="M24" i="1"/>
  <c r="P24" i="1"/>
  <c r="H24" i="1"/>
  <c r="O24" i="1"/>
  <c r="K28" i="1"/>
  <c r="L28" i="1"/>
  <c r="M28" i="1"/>
  <c r="O28" i="1"/>
  <c r="P28" i="1"/>
  <c r="Q28" i="1"/>
  <c r="I28" i="1"/>
  <c r="H28" i="1"/>
  <c r="J28" i="1"/>
  <c r="K32" i="1"/>
  <c r="L32" i="1"/>
  <c r="N32" i="1"/>
  <c r="P32" i="1"/>
  <c r="H32" i="1"/>
  <c r="Q32" i="1"/>
  <c r="J32" i="1"/>
  <c r="M36" i="1"/>
  <c r="N36" i="1"/>
  <c r="I36" i="1"/>
  <c r="P36" i="1"/>
  <c r="Q36" i="1"/>
  <c r="K40" i="1"/>
  <c r="M40" i="1"/>
  <c r="I40" i="1"/>
  <c r="O40" i="1"/>
  <c r="P40" i="1"/>
  <c r="H40" i="1"/>
  <c r="K44" i="1"/>
  <c r="L44" i="1"/>
  <c r="J44" i="1"/>
  <c r="I44" i="1"/>
  <c r="M44" i="1"/>
  <c r="N44" i="1"/>
  <c r="K48" i="1"/>
  <c r="L48" i="1"/>
  <c r="Q48" i="1"/>
  <c r="H48" i="1"/>
  <c r="I48" i="1"/>
  <c r="N48" i="1"/>
  <c r="J48" i="1"/>
  <c r="O48" i="1"/>
  <c r="M48" i="1"/>
  <c r="O52" i="1"/>
  <c r="P52" i="1"/>
  <c r="I52" i="1"/>
  <c r="M52" i="1"/>
  <c r="N52" i="1"/>
  <c r="K56" i="1"/>
  <c r="L56" i="1"/>
  <c r="M56" i="1"/>
  <c r="H56" i="1"/>
  <c r="Q56" i="1"/>
  <c r="P56" i="1"/>
  <c r="I56" i="1"/>
  <c r="J56" i="1"/>
  <c r="O60" i="1"/>
  <c r="H60" i="1"/>
  <c r="P60" i="1"/>
  <c r="I60" i="1"/>
  <c r="Q60" i="1"/>
  <c r="L60" i="1"/>
  <c r="K60" i="1"/>
  <c r="M60" i="1"/>
  <c r="N60" i="1"/>
  <c r="O64" i="1"/>
  <c r="H64" i="1"/>
  <c r="P64" i="1"/>
  <c r="I64" i="1"/>
  <c r="Q64" i="1"/>
  <c r="L64" i="1"/>
  <c r="J64" i="1"/>
  <c r="K64" i="1"/>
  <c r="M64" i="1"/>
  <c r="N64" i="1"/>
  <c r="H68" i="1"/>
  <c r="L68" i="1"/>
  <c r="K68" i="1"/>
  <c r="N68" i="1"/>
  <c r="O72" i="1"/>
  <c r="H72" i="1"/>
  <c r="P72" i="1"/>
  <c r="I72" i="1"/>
  <c r="L72" i="1"/>
  <c r="J72" i="1"/>
  <c r="K72" i="1"/>
  <c r="M72" i="1"/>
  <c r="O76" i="1"/>
  <c r="H76" i="1"/>
  <c r="I76" i="1"/>
  <c r="Q76" i="1"/>
  <c r="L76" i="1"/>
  <c r="M76" i="1"/>
  <c r="N76" i="1"/>
  <c r="O80" i="1"/>
  <c r="I80" i="1"/>
  <c r="Q80" i="1"/>
  <c r="N80" i="1"/>
  <c r="J80" i="1"/>
  <c r="L80" i="1"/>
  <c r="M80" i="1"/>
  <c r="O84" i="1"/>
  <c r="H84" i="1"/>
  <c r="P84" i="1"/>
  <c r="Q84" i="1"/>
  <c r="O88" i="1"/>
  <c r="H88" i="1"/>
  <c r="P88" i="1"/>
  <c r="I88" i="1"/>
  <c r="Q88" i="1"/>
  <c r="M88" i="1"/>
  <c r="M75" i="1"/>
  <c r="F10" i="3"/>
  <c r="X16" i="12" a="1"/>
  <c r="N16" i="12" a="1"/>
  <c r="U16" i="12" a="1"/>
  <c r="Y16" i="12" a="1"/>
  <c r="R16" i="12" a="1"/>
  <c r="M16" i="12" a="1"/>
  <c r="W16" i="12" a="1"/>
  <c r="T16" i="12" a="1"/>
  <c r="P16" i="12" a="1"/>
  <c r="S16" i="12" a="1"/>
  <c r="K16" i="12" a="1"/>
  <c r="J16" i="12" a="1"/>
  <c r="O16" i="12" a="1"/>
  <c r="L16" i="12" a="1"/>
  <c r="Q16" i="12" a="1"/>
  <c r="V16" i="12" a="1"/>
  <c r="V11" i="12" a="1"/>
  <c r="Y11" i="12" a="1"/>
  <c r="U11" i="12" a="1"/>
  <c r="P11" i="12" a="1"/>
  <c r="S11" i="12" a="1"/>
  <c r="N11" i="12" a="1"/>
  <c r="Q11" i="12" a="1"/>
  <c r="X11" i="12" a="1"/>
  <c r="R11" i="12" a="1"/>
  <c r="L11" i="12" a="1"/>
  <c r="W11" i="12" a="1"/>
  <c r="J11" i="12" a="1"/>
  <c r="M11" i="12" a="1"/>
  <c r="F24" i="3" a="1"/>
  <c r="G16" i="3" a="1"/>
  <c r="F11" i="3" a="1"/>
  <c r="G12" i="3" a="1"/>
  <c r="M11" i="12" l="1"/>
  <c r="AJ11" i="12" s="1" a="1"/>
  <c r="AJ11" i="12" s="1"/>
  <c r="J11" i="12"/>
  <c r="W11" i="12"/>
  <c r="AT11" i="12" s="1" a="1"/>
  <c r="AT11" i="12" s="1"/>
  <c r="L11" i="12"/>
  <c r="AI11" i="12" s="1" a="1"/>
  <c r="AI11" i="12" s="1"/>
  <c r="R11" i="12"/>
  <c r="AO11" i="12" s="1" a="1"/>
  <c r="AO11" i="12" s="1"/>
  <c r="X11" i="12"/>
  <c r="AU11" i="12" s="1" a="1"/>
  <c r="AU11" i="12" s="1"/>
  <c r="Q11" i="12"/>
  <c r="N11" i="12"/>
  <c r="AK11" i="12" s="1" a="1"/>
  <c r="AK11" i="12" s="1"/>
  <c r="S11" i="12"/>
  <c r="BE11" i="12" s="1"/>
  <c r="BP11" i="12" s="1" a="1"/>
  <c r="BP11" i="12" s="1"/>
  <c r="P11" i="12"/>
  <c r="AM11" i="12" s="1" a="1"/>
  <c r="AM11" i="12" s="1"/>
  <c r="U11" i="12"/>
  <c r="AR11" i="12" s="1" a="1"/>
  <c r="AR11" i="12" s="1"/>
  <c r="Y11" i="12"/>
  <c r="AV11" i="12" s="1" a="1"/>
  <c r="AV11" i="12" s="1"/>
  <c r="V11" i="12"/>
  <c r="AS11" i="12" s="1" a="1"/>
  <c r="AS11" i="12" s="1"/>
  <c r="BB15" i="12"/>
  <c r="BM15" i="12" s="1" a="1"/>
  <c r="BM15" i="12" s="1"/>
  <c r="BB13" i="12"/>
  <c r="BM13" i="12" s="1" a="1"/>
  <c r="BM13" i="12" s="1"/>
  <c r="BA14" i="12"/>
  <c r="BL14" i="12" s="1" a="1"/>
  <c r="BL14" i="12" s="1"/>
  <c r="BA13" i="12"/>
  <c r="BL13" i="12" s="1" a="1"/>
  <c r="BL13" i="12" s="1"/>
  <c r="BC14" i="12"/>
  <c r="BN14" i="12" s="1" a="1"/>
  <c r="BN14" i="12" s="1"/>
  <c r="BB14" i="12"/>
  <c r="BM14" i="12" s="1" a="1"/>
  <c r="BM14" i="12" s="1"/>
  <c r="BC13" i="12"/>
  <c r="BN13" i="12" s="1" a="1"/>
  <c r="BN13" i="12" s="1"/>
  <c r="BA15" i="12"/>
  <c r="BL15" i="12" s="1" a="1"/>
  <c r="BL15" i="12" s="1"/>
  <c r="BA12" i="12"/>
  <c r="BL12" i="12" s="1" a="1"/>
  <c r="BL12" i="12" s="1"/>
  <c r="AR12" i="12" a="1"/>
  <c r="AR12" i="12" s="1"/>
  <c r="BF12" i="12"/>
  <c r="BQ12" i="12" s="1" a="1"/>
  <c r="BQ12" i="12" s="1"/>
  <c r="AV12" i="12" a="1"/>
  <c r="AV12" i="12" s="1"/>
  <c r="AP15" i="12" a="1"/>
  <c r="AP15" i="12" s="1"/>
  <c r="BE15" i="12"/>
  <c r="BP15" i="12" s="1" a="1"/>
  <c r="BP15" i="12" s="1"/>
  <c r="AN13" i="12" a="1"/>
  <c r="AN13" i="12" s="1"/>
  <c r="BD13" i="12"/>
  <c r="BO13" i="12" s="1" a="1"/>
  <c r="BO13" i="12" s="1"/>
  <c r="AR13" i="12" a="1"/>
  <c r="AR13" i="12" s="1"/>
  <c r="BF13" i="12"/>
  <c r="BQ13" i="12" s="1" a="1"/>
  <c r="BQ13" i="12" s="1"/>
  <c r="AV15" i="12" a="1"/>
  <c r="AV15" i="12" s="1"/>
  <c r="AP14" i="12" a="1"/>
  <c r="AP14" i="12" s="1"/>
  <c r="BE14" i="12"/>
  <c r="BP14" i="12" s="1" a="1"/>
  <c r="BP14" i="12" s="1"/>
  <c r="AN14" i="12" a="1"/>
  <c r="AN14" i="12" s="1"/>
  <c r="BD14" i="12"/>
  <c r="BO14" i="12" s="1" a="1"/>
  <c r="BO14" i="12" s="1"/>
  <c r="AV13" i="12" a="1"/>
  <c r="AV13" i="12" s="1"/>
  <c r="AP13" i="12" a="1"/>
  <c r="AP13" i="12" s="1"/>
  <c r="BE13" i="12"/>
  <c r="BP13" i="12" s="1" a="1"/>
  <c r="BP13" i="12" s="1"/>
  <c r="AT14" i="12" a="1"/>
  <c r="AT14" i="12" s="1"/>
  <c r="BG14" i="12"/>
  <c r="BR14" i="12" s="1" a="1"/>
  <c r="BR14" i="12" s="1"/>
  <c r="AR14" i="12" a="1"/>
  <c r="AR14" i="12" s="1"/>
  <c r="BF14" i="12"/>
  <c r="BQ14" i="12" s="1" a="1"/>
  <c r="BQ14" i="12" s="1"/>
  <c r="BC12" i="12"/>
  <c r="BN12" i="12" s="1" a="1"/>
  <c r="BN12" i="12" s="1"/>
  <c r="AT13" i="12" a="1"/>
  <c r="AT13" i="12" s="1"/>
  <c r="BG13" i="12"/>
  <c r="BR13" i="12" s="1" a="1"/>
  <c r="BR13" i="12" s="1"/>
  <c r="AR15" i="12" a="1"/>
  <c r="AR15" i="12" s="1"/>
  <c r="BF15" i="12"/>
  <c r="BQ15" i="12" s="1" a="1"/>
  <c r="BQ15" i="12" s="1"/>
  <c r="AV14" i="12" a="1"/>
  <c r="AV14" i="12" s="1"/>
  <c r="AP12" i="12" a="1"/>
  <c r="AP12" i="12" s="1"/>
  <c r="BE12" i="12"/>
  <c r="BP12" i="12" s="1" a="1"/>
  <c r="BP12" i="12" s="1"/>
  <c r="BB12" i="12"/>
  <c r="BM12" i="12" s="1" a="1"/>
  <c r="BM12" i="12" s="1"/>
  <c r="AN15" i="12" a="1"/>
  <c r="AN15" i="12" s="1"/>
  <c r="BD15" i="12"/>
  <c r="BO15" i="12" s="1" a="1"/>
  <c r="BO15" i="12" s="1"/>
  <c r="AT15" i="12" a="1"/>
  <c r="AT15" i="12" s="1"/>
  <c r="BG15" i="12"/>
  <c r="BR15" i="12" s="1" a="1"/>
  <c r="BR15" i="12" s="1"/>
  <c r="AT12" i="12" a="1"/>
  <c r="AT12" i="12" s="1"/>
  <c r="BG12" i="12"/>
  <c r="BR12" i="12" s="1" a="1"/>
  <c r="BR12" i="12" s="1"/>
  <c r="AN12" i="12" a="1"/>
  <c r="AN12" i="12" s="1"/>
  <c r="BD12" i="12"/>
  <c r="BO12" i="12" s="1" a="1"/>
  <c r="BO12" i="12" s="1"/>
  <c r="BC15" i="12"/>
  <c r="BN15" i="12" s="1" a="1"/>
  <c r="BN15" i="12" s="1"/>
  <c r="BC11" i="12"/>
  <c r="BN11" i="12" s="1" a="1"/>
  <c r="BN11" i="12" s="1"/>
  <c r="AI15" i="12" a="1"/>
  <c r="AI15" i="12" s="1"/>
  <c r="AG11" i="12" a="1"/>
  <c r="AG11" i="12" s="1"/>
  <c r="AG13" i="12" a="1"/>
  <c r="AG13" i="12" s="1"/>
  <c r="AK15" i="12" a="1"/>
  <c r="AK15" i="12" s="1"/>
  <c r="AK14" i="12" a="1"/>
  <c r="AK14" i="12" s="1"/>
  <c r="AK12" i="12" a="1"/>
  <c r="AK12" i="12" s="1"/>
  <c r="AG14" i="12" a="1"/>
  <c r="AG14" i="12" s="1"/>
  <c r="AI14" i="12" a="1"/>
  <c r="AI14" i="12" s="1"/>
  <c r="AK13" i="12" a="1"/>
  <c r="AK13" i="12" s="1"/>
  <c r="AI13" i="12" a="1"/>
  <c r="AI13" i="12" s="1"/>
  <c r="AG12" i="12" a="1"/>
  <c r="AG12" i="12" s="1"/>
  <c r="AI12" i="12" a="1"/>
  <c r="AI12" i="12" s="1"/>
  <c r="AG15" i="12" a="1"/>
  <c r="AG15" i="12" s="1"/>
  <c r="AH12" i="12" a="1"/>
  <c r="AH12" i="12" s="1"/>
  <c r="AF15" i="12" a="1"/>
  <c r="AF15" i="12" s="1"/>
  <c r="AL12" i="12" a="1"/>
  <c r="AL12" i="12" s="1"/>
  <c r="AF12" i="12" a="1"/>
  <c r="AF12" i="12" s="1"/>
  <c r="AF16" i="12" a="1"/>
  <c r="AF16" i="12" s="1"/>
  <c r="AJ12" i="12" a="1"/>
  <c r="AJ12" i="12" s="1"/>
  <c r="AJ15" i="12" a="1"/>
  <c r="AJ15" i="12" s="1"/>
  <c r="AF11" i="12" a="1"/>
  <c r="AF11" i="12" s="1"/>
  <c r="AF13" i="12" a="1"/>
  <c r="AF13" i="12" s="1"/>
  <c r="AJ13" i="12" a="1"/>
  <c r="AJ13" i="12" s="1"/>
  <c r="AH11" i="12" a="1"/>
  <c r="AH11" i="12" s="1"/>
  <c r="AH14" i="12" a="1"/>
  <c r="AH14" i="12" s="1"/>
  <c r="AF14" i="12" a="1"/>
  <c r="AF14" i="12" s="1"/>
  <c r="AL11" i="12" a="1"/>
  <c r="AL11" i="12" s="1"/>
  <c r="AH13" i="12" a="1"/>
  <c r="AH13" i="12" s="1"/>
  <c r="AH15" i="12" a="1"/>
  <c r="AH15" i="12" s="1"/>
  <c r="AL15" i="12" a="1"/>
  <c r="AL15" i="12" s="1"/>
  <c r="AL14" i="12" a="1"/>
  <c r="AL14" i="12" s="1"/>
  <c r="AJ14" i="12" a="1"/>
  <c r="AJ14" i="12" s="1"/>
  <c r="AL13" i="12" a="1"/>
  <c r="AL13" i="12" s="1"/>
  <c r="Y16" i="12"/>
  <c r="AV16" i="12" s="1" a="1"/>
  <c r="AV16" i="12" s="1"/>
  <c r="V16" i="12"/>
  <c r="AS16" i="12" s="1" a="1"/>
  <c r="AS16" i="12" s="1"/>
  <c r="J16" i="12"/>
  <c r="T16" i="12"/>
  <c r="AQ16" i="12" s="1" a="1"/>
  <c r="AQ16" i="12" s="1"/>
  <c r="L16" i="12"/>
  <c r="R16" i="12"/>
  <c r="AO16" i="12" s="1" a="1"/>
  <c r="AO16" i="12" s="1"/>
  <c r="O16" i="12"/>
  <c r="W16" i="12"/>
  <c r="AT16" i="12" s="1" a="1"/>
  <c r="AT16" i="12" s="1"/>
  <c r="M16" i="12"/>
  <c r="K16" i="12"/>
  <c r="U16" i="12"/>
  <c r="AR16" i="12" s="1" a="1"/>
  <c r="AR16" i="12" s="1"/>
  <c r="P16" i="12"/>
  <c r="AM16" i="12" s="1" a="1"/>
  <c r="AM16" i="12" s="1"/>
  <c r="S16" i="12"/>
  <c r="AP16" i="12" s="1" a="1"/>
  <c r="AP16" i="12" s="1"/>
  <c r="X16" i="12"/>
  <c r="AU16" i="12" s="1" a="1"/>
  <c r="AU16" i="12" s="1"/>
  <c r="Q16" i="12"/>
  <c r="AN16" i="12" s="1" a="1"/>
  <c r="AN16" i="12" s="1"/>
  <c r="N16" i="12"/>
  <c r="Q3" i="12"/>
  <c r="Q8" i="13"/>
  <c r="Q9" i="13"/>
  <c r="F11" i="3"/>
  <c r="G16" i="3"/>
  <c r="G12" i="3"/>
  <c r="F24" i="3"/>
  <c r="G24" i="3" a="1"/>
  <c r="AP11" i="12" l="1" a="1"/>
  <c r="AP11" i="12" s="1"/>
  <c r="BD11" i="12"/>
  <c r="BO11" i="12" s="1" a="1"/>
  <c r="BO11" i="12" s="1"/>
  <c r="BF11" i="12"/>
  <c r="BQ11" i="12" s="1" a="1"/>
  <c r="BQ11" i="12" s="1"/>
  <c r="BG11" i="12"/>
  <c r="BR11" i="12" s="1" a="1"/>
  <c r="BR11" i="12" s="1"/>
  <c r="BB11" i="12"/>
  <c r="BM11" i="12" s="1" a="1"/>
  <c r="BM11" i="12" s="1"/>
  <c r="BA11" i="12"/>
  <c r="BL11" i="12" s="1" a="1"/>
  <c r="BL11" i="12" s="1"/>
  <c r="AN11" i="12" a="1"/>
  <c r="AN11" i="12" s="1"/>
  <c r="AI16" i="12" a="1"/>
  <c r="AI16" i="12" s="1"/>
  <c r="AK16" i="12" a="1"/>
  <c r="AK16" i="12" s="1"/>
  <c r="AG16" i="12" a="1"/>
  <c r="AG16" i="12" s="1"/>
  <c r="AH16" i="12" a="1"/>
  <c r="AH16" i="12" s="1"/>
  <c r="AJ16" i="12" a="1"/>
  <c r="AJ16" i="12" s="1"/>
  <c r="AL16" i="12" a="1"/>
  <c r="AL16" i="12" s="1"/>
  <c r="P16" i="1"/>
  <c r="O16" i="1"/>
  <c r="G24" i="3"/>
  <c r="H24" i="3" a="1"/>
  <c r="H24" i="3" l="1"/>
  <c r="I24" i="3" a="1"/>
  <c r="I24" i="3" l="1"/>
  <c r="B16" i="4" l="1"/>
  <c r="C16" i="4"/>
  <c r="B17" i="4"/>
  <c r="C17" i="4"/>
  <c r="B18" i="4"/>
  <c r="C18" i="4"/>
  <c r="B19" i="4"/>
  <c r="C19" i="4"/>
  <c r="B20" i="4"/>
  <c r="C20" i="4"/>
  <c r="B21" i="4"/>
  <c r="C21" i="4"/>
  <c r="B22" i="4"/>
  <c r="C22" i="4"/>
  <c r="B23" i="4"/>
  <c r="C23" i="4"/>
  <c r="B24" i="4"/>
  <c r="C24" i="4"/>
  <c r="B25" i="4"/>
  <c r="C25" i="4"/>
  <c r="B26" i="4"/>
  <c r="C26" i="4"/>
  <c r="B27" i="4"/>
  <c r="C27" i="4"/>
  <c r="B28" i="4"/>
  <c r="C28" i="4"/>
  <c r="B29" i="4"/>
  <c r="C29" i="4"/>
  <c r="B30" i="4"/>
  <c r="C30" i="4"/>
  <c r="B31" i="4"/>
  <c r="C31" i="4"/>
  <c r="B32" i="4"/>
  <c r="C32" i="4"/>
  <c r="B33" i="4"/>
  <c r="C33" i="4"/>
  <c r="B34" i="4"/>
  <c r="C34" i="4"/>
  <c r="B35" i="4"/>
  <c r="C35" i="4"/>
  <c r="B36" i="4"/>
  <c r="C36" i="4"/>
  <c r="B37" i="4"/>
  <c r="C37" i="4"/>
  <c r="B38" i="4"/>
  <c r="C38" i="4"/>
  <c r="B39" i="4"/>
  <c r="C39" i="4"/>
  <c r="B40" i="4"/>
  <c r="C40" i="4"/>
  <c r="B41" i="4"/>
  <c r="C41" i="4"/>
  <c r="B42" i="4"/>
  <c r="C42" i="4"/>
  <c r="B43" i="4"/>
  <c r="C43" i="4"/>
  <c r="B44" i="4"/>
  <c r="C44" i="4"/>
  <c r="B45" i="4"/>
  <c r="C45" i="4"/>
  <c r="B46" i="4"/>
  <c r="C46" i="4"/>
  <c r="B47" i="4"/>
  <c r="C47" i="4"/>
  <c r="B48" i="4"/>
  <c r="C48" i="4"/>
  <c r="B49" i="4"/>
  <c r="C49" i="4"/>
  <c r="B50" i="4"/>
  <c r="C50" i="4"/>
  <c r="B51" i="4"/>
  <c r="C51" i="4"/>
  <c r="B52" i="4"/>
  <c r="C52" i="4"/>
  <c r="B53" i="4"/>
  <c r="C53" i="4"/>
  <c r="B54" i="4"/>
  <c r="C54" i="4"/>
  <c r="B55" i="4"/>
  <c r="C55" i="4"/>
  <c r="B56" i="4"/>
  <c r="C56" i="4"/>
  <c r="B57" i="4"/>
  <c r="C57" i="4"/>
  <c r="B58" i="4"/>
  <c r="C58" i="4"/>
  <c r="B59" i="4"/>
  <c r="C59" i="4"/>
  <c r="B60" i="4"/>
  <c r="C60" i="4"/>
  <c r="B61" i="4"/>
  <c r="C61" i="4"/>
  <c r="B62" i="4"/>
  <c r="C62" i="4"/>
  <c r="B63" i="4"/>
  <c r="C63" i="4"/>
  <c r="B64" i="4"/>
  <c r="C64" i="4"/>
  <c r="B65" i="4"/>
  <c r="C65" i="4"/>
  <c r="B66" i="4"/>
  <c r="C66" i="4"/>
  <c r="B67" i="4"/>
  <c r="C67" i="4"/>
  <c r="B68" i="4"/>
  <c r="C68" i="4"/>
  <c r="B69" i="4"/>
  <c r="C69" i="4"/>
  <c r="B70" i="4"/>
  <c r="C70" i="4"/>
  <c r="B71" i="4"/>
  <c r="C71" i="4"/>
  <c r="B72" i="4"/>
  <c r="C72" i="4"/>
  <c r="B73" i="4"/>
  <c r="C73" i="4"/>
  <c r="B74" i="4"/>
  <c r="C74" i="4"/>
  <c r="B75" i="4"/>
  <c r="C75" i="4"/>
  <c r="B76" i="4"/>
  <c r="C76" i="4"/>
  <c r="B77" i="4"/>
  <c r="C77" i="4"/>
  <c r="B78" i="4"/>
  <c r="C78" i="4"/>
  <c r="B79" i="4"/>
  <c r="C79" i="4"/>
  <c r="B80" i="4"/>
  <c r="C80" i="4"/>
  <c r="B81" i="4"/>
  <c r="C81" i="4"/>
  <c r="B82" i="4"/>
  <c r="C82" i="4"/>
  <c r="B83" i="4"/>
  <c r="C83" i="4"/>
  <c r="B84" i="4"/>
  <c r="C84" i="4"/>
  <c r="B85" i="4"/>
  <c r="C85" i="4"/>
  <c r="B86" i="4"/>
  <c r="C86" i="4"/>
  <c r="B87" i="4"/>
  <c r="C87" i="4"/>
  <c r="B88" i="4"/>
  <c r="C88" i="4"/>
  <c r="B89" i="4"/>
  <c r="C89" i="4"/>
  <c r="B90" i="4"/>
  <c r="C90" i="4"/>
  <c r="Y83" i="4" l="1"/>
  <c r="AG83" i="4"/>
  <c r="Z83" i="4"/>
  <c r="AH83" i="4"/>
  <c r="S83" i="4"/>
  <c r="AA83" i="4"/>
  <c r="AI83" i="4"/>
  <c r="V83" i="4"/>
  <c r="AJ83" i="4"/>
  <c r="W83" i="4"/>
  <c r="AK83" i="4"/>
  <c r="AB83" i="4"/>
  <c r="AM83" i="4"/>
  <c r="X83" i="4"/>
  <c r="AL83" i="4"/>
  <c r="AC83" i="4"/>
  <c r="AD83" i="4"/>
  <c r="AN83" i="4"/>
  <c r="U83" i="4"/>
  <c r="AF83" i="4"/>
  <c r="T83" i="4"/>
  <c r="AE83" i="4"/>
  <c r="Y59" i="4"/>
  <c r="AG59" i="4"/>
  <c r="Z59" i="4"/>
  <c r="AH59" i="4"/>
  <c r="S59" i="4"/>
  <c r="AA59" i="4"/>
  <c r="AI59" i="4"/>
  <c r="X59" i="4"/>
  <c r="AF59" i="4"/>
  <c r="AN59" i="4"/>
  <c r="W59" i="4"/>
  <c r="AM59" i="4"/>
  <c r="AB59" i="4"/>
  <c r="AC59" i="4"/>
  <c r="AD59" i="4"/>
  <c r="AE59" i="4"/>
  <c r="T59" i="4"/>
  <c r="AJ59" i="4"/>
  <c r="V59" i="4"/>
  <c r="AL59" i="4"/>
  <c r="U59" i="4"/>
  <c r="AK59" i="4"/>
  <c r="S43" i="4"/>
  <c r="AA43" i="4"/>
  <c r="AI43" i="4"/>
  <c r="T43" i="4"/>
  <c r="AB43" i="4"/>
  <c r="AJ43" i="4"/>
  <c r="U43" i="4"/>
  <c r="Y43" i="4"/>
  <c r="AK43" i="4"/>
  <c r="Z43" i="4"/>
  <c r="AL43" i="4"/>
  <c r="AC43" i="4"/>
  <c r="AM43" i="4"/>
  <c r="X43" i="4"/>
  <c r="AH43" i="4"/>
  <c r="AG43" i="4"/>
  <c r="AN43" i="4"/>
  <c r="V43" i="4"/>
  <c r="W43" i="4"/>
  <c r="AD43" i="4"/>
  <c r="AF43" i="4"/>
  <c r="AE43" i="4"/>
  <c r="S27" i="4"/>
  <c r="AA27" i="4"/>
  <c r="AI27" i="4"/>
  <c r="T27" i="4"/>
  <c r="AB27" i="4"/>
  <c r="AJ27" i="4"/>
  <c r="U27" i="4"/>
  <c r="AC27" i="4"/>
  <c r="AK27" i="4"/>
  <c r="AF27" i="4"/>
  <c r="V27" i="4"/>
  <c r="AG27" i="4"/>
  <c r="W27" i="4"/>
  <c r="AH27" i="4"/>
  <c r="AE27" i="4"/>
  <c r="AD27" i="4"/>
  <c r="AL27" i="4"/>
  <c r="AN27" i="4"/>
  <c r="AM27" i="4"/>
  <c r="X27" i="4"/>
  <c r="Y27" i="4"/>
  <c r="Z27" i="4"/>
  <c r="W90" i="4"/>
  <c r="AE90" i="4"/>
  <c r="AM90" i="4"/>
  <c r="X90" i="4"/>
  <c r="AF90" i="4"/>
  <c r="AN90" i="4"/>
  <c r="Y90" i="4"/>
  <c r="AG90" i="4"/>
  <c r="U90" i="4"/>
  <c r="AI90" i="4"/>
  <c r="AJ90" i="4"/>
  <c r="V90" i="4"/>
  <c r="AA90" i="4"/>
  <c r="AB90" i="4"/>
  <c r="Z90" i="4"/>
  <c r="AK90" i="4"/>
  <c r="AL90" i="4"/>
  <c r="AC90" i="4"/>
  <c r="T90" i="4"/>
  <c r="AH90" i="4"/>
  <c r="S90" i="4"/>
  <c r="AD90" i="4"/>
  <c r="W86" i="4"/>
  <c r="AE86" i="4"/>
  <c r="AM86" i="4"/>
  <c r="X86" i="4"/>
  <c r="AF86" i="4"/>
  <c r="AN86" i="4"/>
  <c r="Y86" i="4"/>
  <c r="AG86" i="4"/>
  <c r="T86" i="4"/>
  <c r="AH86" i="4"/>
  <c r="U86" i="4"/>
  <c r="AI86" i="4"/>
  <c r="Z86" i="4"/>
  <c r="AK86" i="4"/>
  <c r="V86" i="4"/>
  <c r="AJ86" i="4"/>
  <c r="AL86" i="4"/>
  <c r="AB86" i="4"/>
  <c r="AA86" i="4"/>
  <c r="S86" i="4"/>
  <c r="AD86" i="4"/>
  <c r="AC86" i="4"/>
  <c r="W82" i="4"/>
  <c r="AE82" i="4"/>
  <c r="AM82" i="4"/>
  <c r="X82" i="4"/>
  <c r="AF82" i="4"/>
  <c r="AN82" i="4"/>
  <c r="Y82" i="4"/>
  <c r="AG82" i="4"/>
  <c r="S82" i="4"/>
  <c r="AD82" i="4"/>
  <c r="T82" i="4"/>
  <c r="AH82" i="4"/>
  <c r="V82" i="4"/>
  <c r="AJ82" i="4"/>
  <c r="U82" i="4"/>
  <c r="AI82" i="4"/>
  <c r="Z82" i="4"/>
  <c r="AA82" i="4"/>
  <c r="AL82" i="4"/>
  <c r="AK82" i="4"/>
  <c r="AC82" i="4"/>
  <c r="AB82" i="4"/>
  <c r="W78" i="4"/>
  <c r="AE78" i="4"/>
  <c r="AM78" i="4"/>
  <c r="X78" i="4"/>
  <c r="AF78" i="4"/>
  <c r="AN78" i="4"/>
  <c r="Y78" i="4"/>
  <c r="AG78" i="4"/>
  <c r="V78" i="4"/>
  <c r="AD78" i="4"/>
  <c r="AL78" i="4"/>
  <c r="U78" i="4"/>
  <c r="AK78" i="4"/>
  <c r="Z78" i="4"/>
  <c r="AB78" i="4"/>
  <c r="AA78" i="4"/>
  <c r="AC78" i="4"/>
  <c r="AH78" i="4"/>
  <c r="T78" i="4"/>
  <c r="AJ78" i="4"/>
  <c r="AI78" i="4"/>
  <c r="S78" i="4"/>
  <c r="W74" i="4"/>
  <c r="AE74" i="4"/>
  <c r="AM74" i="4"/>
  <c r="X74" i="4"/>
  <c r="AF74" i="4"/>
  <c r="AN74" i="4"/>
  <c r="Y74" i="4"/>
  <c r="AG74" i="4"/>
  <c r="V74" i="4"/>
  <c r="AD74" i="4"/>
  <c r="AL74" i="4"/>
  <c r="AC74" i="4"/>
  <c r="AH74" i="4"/>
  <c r="T74" i="4"/>
  <c r="AJ74" i="4"/>
  <c r="U74" i="4"/>
  <c r="S74" i="4"/>
  <c r="AI74" i="4"/>
  <c r="AK74" i="4"/>
  <c r="Z74" i="4"/>
  <c r="AB74" i="4"/>
  <c r="AA74" i="4"/>
  <c r="W70" i="4"/>
  <c r="AE70" i="4"/>
  <c r="AM70" i="4"/>
  <c r="X70" i="4"/>
  <c r="AF70" i="4"/>
  <c r="AN70" i="4"/>
  <c r="Y70" i="4"/>
  <c r="AG70" i="4"/>
  <c r="V70" i="4"/>
  <c r="AD70" i="4"/>
  <c r="AL70" i="4"/>
  <c r="U70" i="4"/>
  <c r="AK70" i="4"/>
  <c r="Z70" i="4"/>
  <c r="AB70" i="4"/>
  <c r="AA70" i="4"/>
  <c r="AC70" i="4"/>
  <c r="AH70" i="4"/>
  <c r="T70" i="4"/>
  <c r="AJ70" i="4"/>
  <c r="S70" i="4"/>
  <c r="AI70" i="4"/>
  <c r="W66" i="4"/>
  <c r="AE66" i="4"/>
  <c r="AM66" i="4"/>
  <c r="X66" i="4"/>
  <c r="AF66" i="4"/>
  <c r="AN66" i="4"/>
  <c r="Y66" i="4"/>
  <c r="AG66" i="4"/>
  <c r="V66" i="4"/>
  <c r="AD66" i="4"/>
  <c r="AL66" i="4"/>
  <c r="AC66" i="4"/>
  <c r="AH66" i="4"/>
  <c r="T66" i="4"/>
  <c r="AJ66" i="4"/>
  <c r="AK66" i="4"/>
  <c r="S66" i="4"/>
  <c r="AI66" i="4"/>
  <c r="Z66" i="4"/>
  <c r="U66" i="4"/>
  <c r="AB66" i="4"/>
  <c r="AA66" i="4"/>
  <c r="W62" i="4"/>
  <c r="AE62" i="4"/>
  <c r="AM62" i="4"/>
  <c r="X62" i="4"/>
  <c r="AF62" i="4"/>
  <c r="AN62" i="4"/>
  <c r="Y62" i="4"/>
  <c r="AG62" i="4"/>
  <c r="V62" i="4"/>
  <c r="AD62" i="4"/>
  <c r="AL62" i="4"/>
  <c r="U62" i="4"/>
  <c r="AK62" i="4"/>
  <c r="Z62" i="4"/>
  <c r="AB62" i="4"/>
  <c r="AA62" i="4"/>
  <c r="AC62" i="4"/>
  <c r="AH62" i="4"/>
  <c r="T62" i="4"/>
  <c r="AJ62" i="4"/>
  <c r="AI62" i="4"/>
  <c r="S62" i="4"/>
  <c r="W58" i="4"/>
  <c r="AE58" i="4"/>
  <c r="AM58" i="4"/>
  <c r="X58" i="4"/>
  <c r="AF58" i="4"/>
  <c r="AN58" i="4"/>
  <c r="Y58" i="4"/>
  <c r="AG58" i="4"/>
  <c r="V58" i="4"/>
  <c r="AD58" i="4"/>
  <c r="AL58" i="4"/>
  <c r="AC58" i="4"/>
  <c r="AH58" i="4"/>
  <c r="T58" i="4"/>
  <c r="AJ58" i="4"/>
  <c r="U58" i="4"/>
  <c r="S58" i="4"/>
  <c r="AI58" i="4"/>
  <c r="AK58" i="4"/>
  <c r="Z58" i="4"/>
  <c r="AB58" i="4"/>
  <c r="AA58" i="4"/>
  <c r="Z54" i="4"/>
  <c r="AH54" i="4"/>
  <c r="U54" i="4"/>
  <c r="AD54" i="4"/>
  <c r="AM54" i="4"/>
  <c r="V54" i="4"/>
  <c r="AE54" i="4"/>
  <c r="AN54" i="4"/>
  <c r="W54" i="4"/>
  <c r="AF54" i="4"/>
  <c r="T54" i="4"/>
  <c r="AC54" i="4"/>
  <c r="AL54" i="4"/>
  <c r="AB54" i="4"/>
  <c r="AG54" i="4"/>
  <c r="AJ54" i="4"/>
  <c r="S54" i="4"/>
  <c r="AI54" i="4"/>
  <c r="AK54" i="4"/>
  <c r="X54" i="4"/>
  <c r="AA54" i="4"/>
  <c r="Y54" i="4"/>
  <c r="Z50" i="4"/>
  <c r="AH50" i="4"/>
  <c r="AA50" i="4"/>
  <c r="AJ50" i="4"/>
  <c r="S50" i="4"/>
  <c r="AB50" i="4"/>
  <c r="AK50" i="4"/>
  <c r="T50" i="4"/>
  <c r="AC50" i="4"/>
  <c r="AL50" i="4"/>
  <c r="Y50" i="4"/>
  <c r="AI50" i="4"/>
  <c r="X50" i="4"/>
  <c r="AD50" i="4"/>
  <c r="AE50" i="4"/>
  <c r="U50" i="4"/>
  <c r="AF50" i="4"/>
  <c r="AG50" i="4"/>
  <c r="AM50" i="4"/>
  <c r="V50" i="4"/>
  <c r="W50" i="4"/>
  <c r="AN50" i="4"/>
  <c r="Y46" i="4"/>
  <c r="AG46" i="4"/>
  <c r="Z46" i="4"/>
  <c r="AH46" i="4"/>
  <c r="W46" i="4"/>
  <c r="AI46" i="4"/>
  <c r="X46" i="4"/>
  <c r="AJ46" i="4"/>
  <c r="AA46" i="4"/>
  <c r="AK46" i="4"/>
  <c r="V46" i="4"/>
  <c r="AF46" i="4"/>
  <c r="AE46" i="4"/>
  <c r="AL46" i="4"/>
  <c r="T46" i="4"/>
  <c r="AN46" i="4"/>
  <c r="S46" i="4"/>
  <c r="AM46" i="4"/>
  <c r="U46" i="4"/>
  <c r="AB46" i="4"/>
  <c r="AC46" i="4"/>
  <c r="AD46" i="4"/>
  <c r="Y42" i="4"/>
  <c r="AG42" i="4"/>
  <c r="Z42" i="4"/>
  <c r="AH42" i="4"/>
  <c r="S42" i="4"/>
  <c r="AA42" i="4"/>
  <c r="AI42" i="4"/>
  <c r="V42" i="4"/>
  <c r="AJ42" i="4"/>
  <c r="W42" i="4"/>
  <c r="AK42" i="4"/>
  <c r="X42" i="4"/>
  <c r="AL42" i="4"/>
  <c r="U42" i="4"/>
  <c r="AF42" i="4"/>
  <c r="AE42" i="4"/>
  <c r="AM42" i="4"/>
  <c r="AN42" i="4"/>
  <c r="T42" i="4"/>
  <c r="AB42" i="4"/>
  <c r="AC42" i="4"/>
  <c r="AD42" i="4"/>
  <c r="Y38" i="4"/>
  <c r="AG38" i="4"/>
  <c r="Z38" i="4"/>
  <c r="AH38" i="4"/>
  <c r="S38" i="4"/>
  <c r="AA38" i="4"/>
  <c r="AI38" i="4"/>
  <c r="U38" i="4"/>
  <c r="AF38" i="4"/>
  <c r="V38" i="4"/>
  <c r="AJ38" i="4"/>
  <c r="W38" i="4"/>
  <c r="AK38" i="4"/>
  <c r="T38" i="4"/>
  <c r="AE38" i="4"/>
  <c r="X38" i="4"/>
  <c r="AB38" i="4"/>
  <c r="AC38" i="4"/>
  <c r="AD38" i="4"/>
  <c r="AL38" i="4"/>
  <c r="AN38" i="4"/>
  <c r="AM38" i="4"/>
  <c r="Y34" i="4"/>
  <c r="AG34" i="4"/>
  <c r="Z34" i="4"/>
  <c r="AH34" i="4"/>
  <c r="S34" i="4"/>
  <c r="AA34" i="4"/>
  <c r="AI34" i="4"/>
  <c r="T34" i="4"/>
  <c r="AE34" i="4"/>
  <c r="U34" i="4"/>
  <c r="AF34" i="4"/>
  <c r="V34" i="4"/>
  <c r="AJ34" i="4"/>
  <c r="AD34" i="4"/>
  <c r="AC34" i="4"/>
  <c r="AK34" i="4"/>
  <c r="AM34" i="4"/>
  <c r="AL34" i="4"/>
  <c r="AN34" i="4"/>
  <c r="W34" i="4"/>
  <c r="AB34" i="4"/>
  <c r="X34" i="4"/>
  <c r="Y30" i="4"/>
  <c r="AG30" i="4"/>
  <c r="Z30" i="4"/>
  <c r="AH30" i="4"/>
  <c r="S30" i="4"/>
  <c r="AA30" i="4"/>
  <c r="AI30" i="4"/>
  <c r="AD30" i="4"/>
  <c r="T30" i="4"/>
  <c r="AE30" i="4"/>
  <c r="U30" i="4"/>
  <c r="AF30" i="4"/>
  <c r="AC30" i="4"/>
  <c r="AN30" i="4"/>
  <c r="AM30" i="4"/>
  <c r="V30" i="4"/>
  <c r="X30" i="4"/>
  <c r="W30" i="4"/>
  <c r="AJ30" i="4"/>
  <c r="AB30" i="4"/>
  <c r="AK30" i="4"/>
  <c r="AL30" i="4"/>
  <c r="Y26" i="4"/>
  <c r="AG26" i="4"/>
  <c r="Z26" i="4"/>
  <c r="AH26" i="4"/>
  <c r="S26" i="4"/>
  <c r="AA26" i="4"/>
  <c r="AI26" i="4"/>
  <c r="AC26" i="4"/>
  <c r="AN26" i="4"/>
  <c r="AD26" i="4"/>
  <c r="T26" i="4"/>
  <c r="AE26" i="4"/>
  <c r="AB26" i="4"/>
  <c r="AM26" i="4"/>
  <c r="X26" i="4"/>
  <c r="AF26" i="4"/>
  <c r="AK26" i="4"/>
  <c r="AJ26" i="4"/>
  <c r="AL26" i="4"/>
  <c r="U26" i="4"/>
  <c r="W26" i="4"/>
  <c r="V26" i="4"/>
  <c r="Y22" i="4"/>
  <c r="AG22" i="4"/>
  <c r="Z22" i="4"/>
  <c r="AH22" i="4"/>
  <c r="S22" i="4"/>
  <c r="AA22" i="4"/>
  <c r="AI22" i="4"/>
  <c r="AB22" i="4"/>
  <c r="AM22" i="4"/>
  <c r="AC22" i="4"/>
  <c r="AN22" i="4"/>
  <c r="AD22" i="4"/>
  <c r="X22" i="4"/>
  <c r="AL22" i="4"/>
  <c r="AK22" i="4"/>
  <c r="T22" i="4"/>
  <c r="V22" i="4"/>
  <c r="U22" i="4"/>
  <c r="AE22" i="4"/>
  <c r="W22" i="4"/>
  <c r="AJ22" i="4"/>
  <c r="AF22" i="4"/>
  <c r="Y18" i="4"/>
  <c r="AG18" i="4"/>
  <c r="Z18" i="4"/>
  <c r="AH18" i="4"/>
  <c r="S18" i="4"/>
  <c r="AA18" i="4"/>
  <c r="AI18" i="4"/>
  <c r="X18" i="4"/>
  <c r="AL18" i="4"/>
  <c r="AB18" i="4"/>
  <c r="AM18" i="4"/>
  <c r="AC18" i="4"/>
  <c r="AN18" i="4"/>
  <c r="W18" i="4"/>
  <c r="AK18" i="4"/>
  <c r="V18" i="4"/>
  <c r="AD18" i="4"/>
  <c r="AE18" i="4"/>
  <c r="AF18" i="4"/>
  <c r="AJ18" i="4"/>
  <c r="T18" i="4"/>
  <c r="U18" i="4"/>
  <c r="U14" i="4"/>
  <c r="AR14" i="4" s="1" a="1"/>
  <c r="AR14" i="4" s="1"/>
  <c r="AC14" i="4"/>
  <c r="AZ14" i="4" s="1" a="1"/>
  <c r="AZ14" i="4" s="1"/>
  <c r="AK14" i="4"/>
  <c r="BH14" i="4" s="1" a="1"/>
  <c r="BH14" i="4" s="1"/>
  <c r="V14" i="4"/>
  <c r="AS14" i="4" s="1" a="1"/>
  <c r="AS14" i="4" s="1"/>
  <c r="AD14" i="4"/>
  <c r="BA14" i="4" s="1" a="1"/>
  <c r="BA14" i="4" s="1"/>
  <c r="AL14" i="4"/>
  <c r="BI14" i="4" s="1" a="1"/>
  <c r="BI14" i="4" s="1"/>
  <c r="W14" i="4"/>
  <c r="AT14" i="4" s="1" a="1"/>
  <c r="AT14" i="4" s="1"/>
  <c r="AE14" i="4"/>
  <c r="BB14" i="4" s="1" a="1"/>
  <c r="BB14" i="4" s="1"/>
  <c r="AM14" i="4"/>
  <c r="BJ14" i="4" s="1" a="1"/>
  <c r="BJ14" i="4" s="1"/>
  <c r="AF14" i="4"/>
  <c r="BC14" i="4" s="1" a="1"/>
  <c r="BC14" i="4" s="1"/>
  <c r="S14" i="4"/>
  <c r="AP14" i="4" s="1" a="1"/>
  <c r="AP14" i="4" s="1"/>
  <c r="AG14" i="4"/>
  <c r="BD14" i="4" s="1" a="1"/>
  <c r="BD14" i="4" s="1"/>
  <c r="T14" i="4"/>
  <c r="AQ14" i="4" s="1" a="1"/>
  <c r="AQ14" i="4" s="1"/>
  <c r="AH14" i="4"/>
  <c r="BE14" i="4" s="1" a="1"/>
  <c r="BE14" i="4" s="1"/>
  <c r="AB14" i="4"/>
  <c r="AY14" i="4" s="1" a="1"/>
  <c r="AY14" i="4" s="1"/>
  <c r="X14" i="4"/>
  <c r="AU14" i="4" s="1" a="1"/>
  <c r="AU14" i="4" s="1"/>
  <c r="Z14" i="4"/>
  <c r="AW14" i="4" s="1" a="1"/>
  <c r="AW14" i="4" s="1"/>
  <c r="Y14" i="4"/>
  <c r="AV14" i="4" s="1" a="1"/>
  <c r="AV14" i="4" s="1"/>
  <c r="AA14" i="4"/>
  <c r="AX14" i="4" s="1" a="1"/>
  <c r="AX14" i="4" s="1"/>
  <c r="AI14" i="4"/>
  <c r="BF14" i="4" s="1" a="1"/>
  <c r="BF14" i="4" s="1"/>
  <c r="AN14" i="4"/>
  <c r="BK14" i="4" s="1" a="1"/>
  <c r="BK14" i="4" s="1"/>
  <c r="AJ14" i="4"/>
  <c r="BG14" i="4" s="1" a="1"/>
  <c r="BG14" i="4" s="1"/>
  <c r="Y87" i="4"/>
  <c r="AG87" i="4"/>
  <c r="Z87" i="4"/>
  <c r="AH87" i="4"/>
  <c r="S87" i="4"/>
  <c r="AA87" i="4"/>
  <c r="AI87" i="4"/>
  <c r="W87" i="4"/>
  <c r="AK87" i="4"/>
  <c r="X87" i="4"/>
  <c r="AL87" i="4"/>
  <c r="AC87" i="4"/>
  <c r="AN87" i="4"/>
  <c r="AB87" i="4"/>
  <c r="AM87" i="4"/>
  <c r="AD87" i="4"/>
  <c r="AE87" i="4"/>
  <c r="T87" i="4"/>
  <c r="V87" i="4"/>
  <c r="AJ87" i="4"/>
  <c r="U87" i="4"/>
  <c r="AF87" i="4"/>
  <c r="Y71" i="4"/>
  <c r="AG71" i="4"/>
  <c r="Z71" i="4"/>
  <c r="AH71" i="4"/>
  <c r="S71" i="4"/>
  <c r="AA71" i="4"/>
  <c r="AI71" i="4"/>
  <c r="X71" i="4"/>
  <c r="AF71" i="4"/>
  <c r="AN71" i="4"/>
  <c r="AE71" i="4"/>
  <c r="T71" i="4"/>
  <c r="AJ71" i="4"/>
  <c r="V71" i="4"/>
  <c r="AL71" i="4"/>
  <c r="W71" i="4"/>
  <c r="U71" i="4"/>
  <c r="AK71" i="4"/>
  <c r="AB71" i="4"/>
  <c r="AM71" i="4"/>
  <c r="AD71" i="4"/>
  <c r="AC71" i="4"/>
  <c r="T55" i="4"/>
  <c r="AB55" i="4"/>
  <c r="AJ55" i="4"/>
  <c r="Z55" i="4"/>
  <c r="AI55" i="4"/>
  <c r="AA55" i="4"/>
  <c r="AK55" i="4"/>
  <c r="S55" i="4"/>
  <c r="AC55" i="4"/>
  <c r="AL55" i="4"/>
  <c r="Y55" i="4"/>
  <c r="AH55" i="4"/>
  <c r="X55" i="4"/>
  <c r="AD55" i="4"/>
  <c r="AF55" i="4"/>
  <c r="AE55" i="4"/>
  <c r="AG55" i="4"/>
  <c r="AM55" i="4"/>
  <c r="U55" i="4"/>
  <c r="V55" i="4"/>
  <c r="W55" i="4"/>
  <c r="AN55" i="4"/>
  <c r="S39" i="4"/>
  <c r="AA39" i="4"/>
  <c r="AI39" i="4"/>
  <c r="T39" i="4"/>
  <c r="AB39" i="4"/>
  <c r="AJ39" i="4"/>
  <c r="U39" i="4"/>
  <c r="AC39" i="4"/>
  <c r="AK39" i="4"/>
  <c r="X39" i="4"/>
  <c r="AL39" i="4"/>
  <c r="Y39" i="4"/>
  <c r="AM39" i="4"/>
  <c r="Z39" i="4"/>
  <c r="AN39" i="4"/>
  <c r="W39" i="4"/>
  <c r="AH39" i="4"/>
  <c r="V39" i="4"/>
  <c r="AD39" i="4"/>
  <c r="AF39" i="4"/>
  <c r="AE39" i="4"/>
  <c r="AG39" i="4"/>
  <c r="S23" i="4"/>
  <c r="AA23" i="4"/>
  <c r="AI23" i="4"/>
  <c r="T23" i="4"/>
  <c r="AB23" i="4"/>
  <c r="AJ23" i="4"/>
  <c r="U23" i="4"/>
  <c r="AC23" i="4"/>
  <c r="AK23" i="4"/>
  <c r="AE23" i="4"/>
  <c r="AF23" i="4"/>
  <c r="V23" i="4"/>
  <c r="AG23" i="4"/>
  <c r="AD23" i="4"/>
  <c r="AN23" i="4"/>
  <c r="W23" i="4"/>
  <c r="Y23" i="4"/>
  <c r="X23" i="4"/>
  <c r="Z23" i="4"/>
  <c r="AH23" i="4"/>
  <c r="AL23" i="4"/>
  <c r="AM23" i="4"/>
  <c r="W37" i="4"/>
  <c r="AE37" i="4"/>
  <c r="AM37" i="4"/>
  <c r="X37" i="4"/>
  <c r="AF37" i="4"/>
  <c r="AN37" i="4"/>
  <c r="Y37" i="4"/>
  <c r="AG37" i="4"/>
  <c r="AC37" i="4"/>
  <c r="S37" i="4"/>
  <c r="AD37" i="4"/>
  <c r="T37" i="4"/>
  <c r="AH37" i="4"/>
  <c r="AB37" i="4"/>
  <c r="AL37" i="4"/>
  <c r="U37" i="4"/>
  <c r="Z37" i="4"/>
  <c r="AA37" i="4"/>
  <c r="V37" i="4"/>
  <c r="AI37" i="4"/>
  <c r="AJ37" i="4"/>
  <c r="AK37" i="4"/>
  <c r="W21" i="4"/>
  <c r="AE21" i="4"/>
  <c r="AM21" i="4"/>
  <c r="X21" i="4"/>
  <c r="AF21" i="4"/>
  <c r="AN21" i="4"/>
  <c r="Y21" i="4"/>
  <c r="AG21" i="4"/>
  <c r="V21" i="4"/>
  <c r="AJ21" i="4"/>
  <c r="Z21" i="4"/>
  <c r="AK21" i="4"/>
  <c r="AA21" i="4"/>
  <c r="AL21" i="4"/>
  <c r="U21" i="4"/>
  <c r="AI21" i="4"/>
  <c r="AH21" i="4"/>
  <c r="S21" i="4"/>
  <c r="AB21" i="4"/>
  <c r="T21" i="4"/>
  <c r="AC21" i="4"/>
  <c r="AD21" i="4"/>
  <c r="W17" i="4"/>
  <c r="AE17" i="4"/>
  <c r="AM17" i="4"/>
  <c r="X17" i="4"/>
  <c r="AF17" i="4"/>
  <c r="AN17" i="4"/>
  <c r="Y17" i="4"/>
  <c r="AG17" i="4"/>
  <c r="U17" i="4"/>
  <c r="AI17" i="4"/>
  <c r="V17" i="4"/>
  <c r="AJ17" i="4"/>
  <c r="Z17" i="4"/>
  <c r="AK17" i="4"/>
  <c r="T17" i="4"/>
  <c r="AH17" i="4"/>
  <c r="S17" i="4"/>
  <c r="AA17" i="4"/>
  <c r="AC17" i="4"/>
  <c r="AB17" i="4"/>
  <c r="AL17" i="4"/>
  <c r="AD17" i="4"/>
  <c r="S13" i="4"/>
  <c r="AP13" i="4" s="1" a="1"/>
  <c r="AP13" i="4" s="1"/>
  <c r="AA13" i="4"/>
  <c r="AX13" i="4" s="1" a="1"/>
  <c r="AX13" i="4" s="1"/>
  <c r="AI13" i="4"/>
  <c r="BF13" i="4" s="1" a="1"/>
  <c r="BF13" i="4" s="1"/>
  <c r="T13" i="4"/>
  <c r="AQ13" i="4" s="1" a="1"/>
  <c r="AQ13" i="4" s="1"/>
  <c r="AB13" i="4"/>
  <c r="AY13" i="4" s="1" a="1"/>
  <c r="AY13" i="4" s="1"/>
  <c r="AJ13" i="4"/>
  <c r="BG13" i="4" s="1" a="1"/>
  <c r="BG13" i="4" s="1"/>
  <c r="U13" i="4"/>
  <c r="AR13" i="4" s="1" a="1"/>
  <c r="AR13" i="4" s="1"/>
  <c r="AC13" i="4"/>
  <c r="AZ13" i="4" s="1" a="1"/>
  <c r="AZ13" i="4" s="1"/>
  <c r="AK13" i="4"/>
  <c r="BH13" i="4" s="1" a="1"/>
  <c r="BH13" i="4" s="1"/>
  <c r="Z13" i="4"/>
  <c r="AW13" i="4" s="1" a="1"/>
  <c r="AW13" i="4" s="1"/>
  <c r="AH13" i="4"/>
  <c r="BE13" i="4" s="1" a="1"/>
  <c r="BE13" i="4" s="1"/>
  <c r="X13" i="4"/>
  <c r="AU13" i="4" s="1" a="1"/>
  <c r="AU13" i="4" s="1"/>
  <c r="AN13" i="4"/>
  <c r="BK13" i="4" s="1" a="1"/>
  <c r="BK13" i="4" s="1"/>
  <c r="Y13" i="4"/>
  <c r="AV13" i="4" s="1" a="1"/>
  <c r="AV13" i="4" s="1"/>
  <c r="AD13" i="4"/>
  <c r="BA13" i="4" s="1" a="1"/>
  <c r="BA13" i="4" s="1"/>
  <c r="W13" i="4"/>
  <c r="AT13" i="4" s="1" a="1"/>
  <c r="AT13" i="4" s="1"/>
  <c r="AM13" i="4"/>
  <c r="BJ13" i="4" s="1" a="1"/>
  <c r="BJ13" i="4" s="1"/>
  <c r="AL13" i="4"/>
  <c r="BI13" i="4" s="1" a="1"/>
  <c r="BI13" i="4" s="1"/>
  <c r="AE13" i="4"/>
  <c r="BB13" i="4" s="1" a="1"/>
  <c r="BB13" i="4" s="1"/>
  <c r="V13" i="4"/>
  <c r="AS13" i="4" s="1" a="1"/>
  <c r="AS13" i="4" s="1"/>
  <c r="AF13" i="4"/>
  <c r="BC13" i="4" s="1" a="1"/>
  <c r="BC13" i="4" s="1"/>
  <c r="AG13" i="4"/>
  <c r="BD13" i="4" s="1" a="1"/>
  <c r="BD13" i="4" s="1"/>
  <c r="AH11" i="4"/>
  <c r="BE11" i="4" s="1" a="1"/>
  <c r="BE11" i="4" s="1"/>
  <c r="Z11" i="4"/>
  <c r="AW11" i="4" s="1" a="1"/>
  <c r="AW11" i="4" s="1"/>
  <c r="AG11" i="4"/>
  <c r="BD11" i="4" s="1" a="1"/>
  <c r="BD11" i="4" s="1"/>
  <c r="Y11" i="4"/>
  <c r="AV11" i="4" s="1" a="1"/>
  <c r="AV11" i="4" s="1"/>
  <c r="AN11" i="4"/>
  <c r="BK11" i="4" s="1" a="1"/>
  <c r="BK11" i="4" s="1"/>
  <c r="AF11" i="4"/>
  <c r="BC11" i="4" s="1" a="1"/>
  <c r="BC11" i="4" s="1"/>
  <c r="X11" i="4"/>
  <c r="AU11" i="4" s="1" a="1"/>
  <c r="AU11" i="4" s="1"/>
  <c r="AI11" i="4"/>
  <c r="BF11" i="4" s="1" a="1"/>
  <c r="BF11" i="4" s="1"/>
  <c r="U11" i="4"/>
  <c r="AR11" i="4" s="1" a="1"/>
  <c r="AR11" i="4" s="1"/>
  <c r="AE11" i="4"/>
  <c r="BB11" i="4" s="1" a="1"/>
  <c r="BB11" i="4" s="1"/>
  <c r="T11" i="4"/>
  <c r="AQ11" i="4" s="1" a="1"/>
  <c r="AQ11" i="4" s="1"/>
  <c r="AC11" i="4"/>
  <c r="AZ11" i="4" s="1" a="1"/>
  <c r="AZ11" i="4" s="1"/>
  <c r="AD11" i="4"/>
  <c r="BA11" i="4" s="1" a="1"/>
  <c r="BA11" i="4" s="1"/>
  <c r="S11" i="4"/>
  <c r="AP11" i="4" s="1" a="1"/>
  <c r="AP11" i="4" s="1"/>
  <c r="AB11" i="4"/>
  <c r="AY11" i="4" s="1" a="1"/>
  <c r="AY11" i="4" s="1"/>
  <c r="AA11" i="4"/>
  <c r="AX11" i="4" s="1" a="1"/>
  <c r="AX11" i="4" s="1"/>
  <c r="AM11" i="4"/>
  <c r="BJ11" i="4" s="1" a="1"/>
  <c r="BJ11" i="4" s="1"/>
  <c r="AL11" i="4"/>
  <c r="BI11" i="4" s="1" a="1"/>
  <c r="BI11" i="4" s="1"/>
  <c r="AJ11" i="4"/>
  <c r="BG11" i="4" s="1" a="1"/>
  <c r="BG11" i="4" s="1"/>
  <c r="V11" i="4"/>
  <c r="AS11" i="4" s="1" a="1"/>
  <c r="AS11" i="4" s="1"/>
  <c r="AK11" i="4"/>
  <c r="BH11" i="4" s="1" a="1"/>
  <c r="BH11" i="4" s="1"/>
  <c r="W11" i="4"/>
  <c r="AT11" i="4" s="1" a="1"/>
  <c r="AT11" i="4" s="1"/>
  <c r="Y79" i="4"/>
  <c r="AG79" i="4"/>
  <c r="Z79" i="4"/>
  <c r="AH79" i="4"/>
  <c r="S79" i="4"/>
  <c r="AA79" i="4"/>
  <c r="AI79" i="4"/>
  <c r="X79" i="4"/>
  <c r="AF79" i="4"/>
  <c r="AE79" i="4"/>
  <c r="T79" i="4"/>
  <c r="AJ79" i="4"/>
  <c r="V79" i="4"/>
  <c r="U79" i="4"/>
  <c r="AK79" i="4"/>
  <c r="AL79" i="4"/>
  <c r="W79" i="4"/>
  <c r="AN79" i="4"/>
  <c r="AM79" i="4"/>
  <c r="AB79" i="4"/>
  <c r="AD79" i="4"/>
  <c r="AC79" i="4"/>
  <c r="Y63" i="4"/>
  <c r="AG63" i="4"/>
  <c r="Z63" i="4"/>
  <c r="AH63" i="4"/>
  <c r="S63" i="4"/>
  <c r="AA63" i="4"/>
  <c r="AI63" i="4"/>
  <c r="X63" i="4"/>
  <c r="AF63" i="4"/>
  <c r="AN63" i="4"/>
  <c r="AE63" i="4"/>
  <c r="T63" i="4"/>
  <c r="AJ63" i="4"/>
  <c r="V63" i="4"/>
  <c r="AL63" i="4"/>
  <c r="AM63" i="4"/>
  <c r="U63" i="4"/>
  <c r="AK63" i="4"/>
  <c r="W63" i="4"/>
  <c r="AB63" i="4"/>
  <c r="AD63" i="4"/>
  <c r="AC63" i="4"/>
  <c r="T51" i="4"/>
  <c r="AB51" i="4"/>
  <c r="AJ51" i="4"/>
  <c r="W51" i="4"/>
  <c r="AF51" i="4"/>
  <c r="X51" i="4"/>
  <c r="AG51" i="4"/>
  <c r="Y51" i="4"/>
  <c r="AH51" i="4"/>
  <c r="V51" i="4"/>
  <c r="AE51" i="4"/>
  <c r="AN51" i="4"/>
  <c r="U51" i="4"/>
  <c r="AM51" i="4"/>
  <c r="Z51" i="4"/>
  <c r="AC51" i="4"/>
  <c r="AD51" i="4"/>
  <c r="AA51" i="4"/>
  <c r="AI51" i="4"/>
  <c r="AK51" i="4"/>
  <c r="S51" i="4"/>
  <c r="AL51" i="4"/>
  <c r="S35" i="4"/>
  <c r="AA35" i="4"/>
  <c r="AI35" i="4"/>
  <c r="T35" i="4"/>
  <c r="AB35" i="4"/>
  <c r="AJ35" i="4"/>
  <c r="U35" i="4"/>
  <c r="AC35" i="4"/>
  <c r="AK35" i="4"/>
  <c r="W35" i="4"/>
  <c r="AH35" i="4"/>
  <c r="X35" i="4"/>
  <c r="AL35" i="4"/>
  <c r="Y35" i="4"/>
  <c r="AM35" i="4"/>
  <c r="V35" i="4"/>
  <c r="AG35" i="4"/>
  <c r="AF35" i="4"/>
  <c r="AN35" i="4"/>
  <c r="Z35" i="4"/>
  <c r="AD35" i="4"/>
  <c r="AE35" i="4"/>
  <c r="S31" i="4"/>
  <c r="AA31" i="4"/>
  <c r="AI31" i="4"/>
  <c r="T31" i="4"/>
  <c r="AB31" i="4"/>
  <c r="AJ31" i="4"/>
  <c r="U31" i="4"/>
  <c r="AC31" i="4"/>
  <c r="AK31" i="4"/>
  <c r="V31" i="4"/>
  <c r="AG31" i="4"/>
  <c r="W31" i="4"/>
  <c r="AH31" i="4"/>
  <c r="X31" i="4"/>
  <c r="AL31" i="4"/>
  <c r="AF31" i="4"/>
  <c r="Y31" i="4"/>
  <c r="AD31" i="4"/>
  <c r="Z31" i="4"/>
  <c r="AE31" i="4"/>
  <c r="AM31" i="4"/>
  <c r="AN31" i="4"/>
  <c r="U89" i="4"/>
  <c r="AC89" i="4"/>
  <c r="AK89" i="4"/>
  <c r="V89" i="4"/>
  <c r="AD89" i="4"/>
  <c r="AL89" i="4"/>
  <c r="W89" i="4"/>
  <c r="AE89" i="4"/>
  <c r="AM89" i="4"/>
  <c r="AF89" i="4"/>
  <c r="S89" i="4"/>
  <c r="AG89" i="4"/>
  <c r="X89" i="4"/>
  <c r="AI89" i="4"/>
  <c r="T89" i="4"/>
  <c r="AH89" i="4"/>
  <c r="AJ89" i="4"/>
  <c r="Z89" i="4"/>
  <c r="AN89" i="4"/>
  <c r="Y89" i="4"/>
  <c r="AB89" i="4"/>
  <c r="AA89" i="4"/>
  <c r="U77" i="4"/>
  <c r="AC77" i="4"/>
  <c r="AK77" i="4"/>
  <c r="V77" i="4"/>
  <c r="AD77" i="4"/>
  <c r="AL77" i="4"/>
  <c r="W77" i="4"/>
  <c r="AE77" i="4"/>
  <c r="AM77" i="4"/>
  <c r="T77" i="4"/>
  <c r="AB77" i="4"/>
  <c r="AJ77" i="4"/>
  <c r="AA77" i="4"/>
  <c r="AF77" i="4"/>
  <c r="AH77" i="4"/>
  <c r="AI77" i="4"/>
  <c r="AG77" i="4"/>
  <c r="AN77" i="4"/>
  <c r="X77" i="4"/>
  <c r="S77" i="4"/>
  <c r="Z77" i="4"/>
  <c r="Y77" i="4"/>
  <c r="U69" i="4"/>
  <c r="AC69" i="4"/>
  <c r="AK69" i="4"/>
  <c r="V69" i="4"/>
  <c r="AD69" i="4"/>
  <c r="AL69" i="4"/>
  <c r="W69" i="4"/>
  <c r="AE69" i="4"/>
  <c r="AM69" i="4"/>
  <c r="T69" i="4"/>
  <c r="AB69" i="4"/>
  <c r="AJ69" i="4"/>
  <c r="AA69" i="4"/>
  <c r="AF69" i="4"/>
  <c r="AH69" i="4"/>
  <c r="S69" i="4"/>
  <c r="AG69" i="4"/>
  <c r="X69" i="4"/>
  <c r="AI69" i="4"/>
  <c r="AN69" i="4"/>
  <c r="Z69" i="4"/>
  <c r="Y69" i="4"/>
  <c r="U61" i="4"/>
  <c r="AC61" i="4"/>
  <c r="AK61" i="4"/>
  <c r="V61" i="4"/>
  <c r="AD61" i="4"/>
  <c r="AL61" i="4"/>
  <c r="W61" i="4"/>
  <c r="AE61" i="4"/>
  <c r="AM61" i="4"/>
  <c r="T61" i="4"/>
  <c r="AB61" i="4"/>
  <c r="AJ61" i="4"/>
  <c r="AA61" i="4"/>
  <c r="AF61" i="4"/>
  <c r="AH61" i="4"/>
  <c r="S61" i="4"/>
  <c r="AG61" i="4"/>
  <c r="AI61" i="4"/>
  <c r="AN61" i="4"/>
  <c r="X61" i="4"/>
  <c r="Z61" i="4"/>
  <c r="Y61" i="4"/>
  <c r="X53" i="4"/>
  <c r="AF53" i="4"/>
  <c r="AN53" i="4"/>
  <c r="Y53" i="4"/>
  <c r="AH53" i="4"/>
  <c r="Z53" i="4"/>
  <c r="AI53" i="4"/>
  <c r="AA53" i="4"/>
  <c r="AJ53" i="4"/>
  <c r="W53" i="4"/>
  <c r="AG53" i="4"/>
  <c r="AE53" i="4"/>
  <c r="S53" i="4"/>
  <c r="AK53" i="4"/>
  <c r="U53" i="4"/>
  <c r="AM53" i="4"/>
  <c r="T53" i="4"/>
  <c r="AL53" i="4"/>
  <c r="V53" i="4"/>
  <c r="AB53" i="4"/>
  <c r="AC53" i="4"/>
  <c r="AD53" i="4"/>
  <c r="W41" i="4"/>
  <c r="AE41" i="4"/>
  <c r="AM41" i="4"/>
  <c r="X41" i="4"/>
  <c r="AF41" i="4"/>
  <c r="AN41" i="4"/>
  <c r="Y41" i="4"/>
  <c r="AG41" i="4"/>
  <c r="S41" i="4"/>
  <c r="AD41" i="4"/>
  <c r="T41" i="4"/>
  <c r="AH41" i="4"/>
  <c r="U41" i="4"/>
  <c r="AI41" i="4"/>
  <c r="AC41" i="4"/>
  <c r="AB41" i="4"/>
  <c r="AJ41" i="4"/>
  <c r="AL41" i="4"/>
  <c r="AK41" i="4"/>
  <c r="V41" i="4"/>
  <c r="AA41" i="4"/>
  <c r="Z41" i="4"/>
  <c r="W25" i="4"/>
  <c r="AE25" i="4"/>
  <c r="AM25" i="4"/>
  <c r="X25" i="4"/>
  <c r="AF25" i="4"/>
  <c r="AN25" i="4"/>
  <c r="Y25" i="4"/>
  <c r="AG25" i="4"/>
  <c r="Z25" i="4"/>
  <c r="AK25" i="4"/>
  <c r="AA25" i="4"/>
  <c r="AL25" i="4"/>
  <c r="AB25" i="4"/>
  <c r="V25" i="4"/>
  <c r="AJ25" i="4"/>
  <c r="U25" i="4"/>
  <c r="AC25" i="4"/>
  <c r="AH25" i="4"/>
  <c r="AD25" i="4"/>
  <c r="S25" i="4"/>
  <c r="AI25" i="4"/>
  <c r="T25" i="4"/>
  <c r="Y75" i="4"/>
  <c r="AG75" i="4"/>
  <c r="Z75" i="4"/>
  <c r="AH75" i="4"/>
  <c r="S75" i="4"/>
  <c r="AA75" i="4"/>
  <c r="AI75" i="4"/>
  <c r="X75" i="4"/>
  <c r="AF75" i="4"/>
  <c r="AN75" i="4"/>
  <c r="W75" i="4"/>
  <c r="AM75" i="4"/>
  <c r="AB75" i="4"/>
  <c r="AD75" i="4"/>
  <c r="AC75" i="4"/>
  <c r="AE75" i="4"/>
  <c r="T75" i="4"/>
  <c r="AJ75" i="4"/>
  <c r="V75" i="4"/>
  <c r="AL75" i="4"/>
  <c r="U75" i="4"/>
  <c r="AK75" i="4"/>
  <c r="Y67" i="4"/>
  <c r="AG67" i="4"/>
  <c r="Z67" i="4"/>
  <c r="AH67" i="4"/>
  <c r="S67" i="4"/>
  <c r="AA67" i="4"/>
  <c r="AI67" i="4"/>
  <c r="X67" i="4"/>
  <c r="AF67" i="4"/>
  <c r="AN67" i="4"/>
  <c r="W67" i="4"/>
  <c r="AM67" i="4"/>
  <c r="AB67" i="4"/>
  <c r="AC67" i="4"/>
  <c r="AD67" i="4"/>
  <c r="AE67" i="4"/>
  <c r="T67" i="4"/>
  <c r="AJ67" i="4"/>
  <c r="V67" i="4"/>
  <c r="AL67" i="4"/>
  <c r="AK67" i="4"/>
  <c r="U67" i="4"/>
  <c r="S47" i="4"/>
  <c r="AA47" i="4"/>
  <c r="AI47" i="4"/>
  <c r="T47" i="4"/>
  <c r="AB47" i="4"/>
  <c r="AJ47" i="4"/>
  <c r="W47" i="4"/>
  <c r="AG47" i="4"/>
  <c r="X47" i="4"/>
  <c r="AH47" i="4"/>
  <c r="Y47" i="4"/>
  <c r="AK47" i="4"/>
  <c r="V47" i="4"/>
  <c r="AF47" i="4"/>
  <c r="AE47" i="4"/>
  <c r="AL47" i="4"/>
  <c r="AN47" i="4"/>
  <c r="U47" i="4"/>
  <c r="AM47" i="4"/>
  <c r="Z47" i="4"/>
  <c r="AD47" i="4"/>
  <c r="AC47" i="4"/>
  <c r="S19" i="4"/>
  <c r="AA19" i="4"/>
  <c r="AI19" i="4"/>
  <c r="T19" i="4"/>
  <c r="AB19" i="4"/>
  <c r="AJ19" i="4"/>
  <c r="U19" i="4"/>
  <c r="AC19" i="4"/>
  <c r="AK19" i="4"/>
  <c r="AD19" i="4"/>
  <c r="AE19" i="4"/>
  <c r="AF19" i="4"/>
  <c r="Z19" i="4"/>
  <c r="AN19" i="4"/>
  <c r="Y19" i="4"/>
  <c r="AG19" i="4"/>
  <c r="AL19" i="4"/>
  <c r="AH19" i="4"/>
  <c r="V19" i="4"/>
  <c r="AM19" i="4"/>
  <c r="W19" i="4"/>
  <c r="X19" i="4"/>
  <c r="U85" i="4"/>
  <c r="AC85" i="4"/>
  <c r="AK85" i="4"/>
  <c r="V85" i="4"/>
  <c r="AD85" i="4"/>
  <c r="AL85" i="4"/>
  <c r="W85" i="4"/>
  <c r="AE85" i="4"/>
  <c r="AM85" i="4"/>
  <c r="AB85" i="4"/>
  <c r="AF85" i="4"/>
  <c r="T85" i="4"/>
  <c r="AH85" i="4"/>
  <c r="AI85" i="4"/>
  <c r="S85" i="4"/>
  <c r="AG85" i="4"/>
  <c r="X85" i="4"/>
  <c r="Y85" i="4"/>
  <c r="AJ85" i="4"/>
  <c r="AA85" i="4"/>
  <c r="Z85" i="4"/>
  <c r="AN85" i="4"/>
  <c r="U81" i="4"/>
  <c r="AC81" i="4"/>
  <c r="AK81" i="4"/>
  <c r="V81" i="4"/>
  <c r="AD81" i="4"/>
  <c r="AL81" i="4"/>
  <c r="W81" i="4"/>
  <c r="AE81" i="4"/>
  <c r="AM81" i="4"/>
  <c r="AA81" i="4"/>
  <c r="AB81" i="4"/>
  <c r="S81" i="4"/>
  <c r="AG81" i="4"/>
  <c r="T81" i="4"/>
  <c r="AF81" i="4"/>
  <c r="X81" i="4"/>
  <c r="AI81" i="4"/>
  <c r="AH81" i="4"/>
  <c r="Z81" i="4"/>
  <c r="AN81" i="4"/>
  <c r="Y81" i="4"/>
  <c r="AJ81" i="4"/>
  <c r="U73" i="4"/>
  <c r="AC73" i="4"/>
  <c r="AK73" i="4"/>
  <c r="V73" i="4"/>
  <c r="AD73" i="4"/>
  <c r="AL73" i="4"/>
  <c r="W73" i="4"/>
  <c r="AE73" i="4"/>
  <c r="AM73" i="4"/>
  <c r="T73" i="4"/>
  <c r="AB73" i="4"/>
  <c r="AJ73" i="4"/>
  <c r="S73" i="4"/>
  <c r="AI73" i="4"/>
  <c r="X73" i="4"/>
  <c r="AN73" i="4"/>
  <c r="Z73" i="4"/>
  <c r="Y73" i="4"/>
  <c r="AA73" i="4"/>
  <c r="AF73" i="4"/>
  <c r="AH73" i="4"/>
  <c r="AG73" i="4"/>
  <c r="U65" i="4"/>
  <c r="AC65" i="4"/>
  <c r="AK65" i="4"/>
  <c r="V65" i="4"/>
  <c r="AD65" i="4"/>
  <c r="AL65" i="4"/>
  <c r="W65" i="4"/>
  <c r="AE65" i="4"/>
  <c r="AM65" i="4"/>
  <c r="T65" i="4"/>
  <c r="AB65" i="4"/>
  <c r="AJ65" i="4"/>
  <c r="S65" i="4"/>
  <c r="AI65" i="4"/>
  <c r="X65" i="4"/>
  <c r="AN65" i="4"/>
  <c r="Z65" i="4"/>
  <c r="Y65" i="4"/>
  <c r="AA65" i="4"/>
  <c r="AF65" i="4"/>
  <c r="AH65" i="4"/>
  <c r="AG65" i="4"/>
  <c r="X57" i="4"/>
  <c r="AF57" i="4"/>
  <c r="S57" i="4"/>
  <c r="AB57" i="4"/>
  <c r="AK57" i="4"/>
  <c r="T57" i="4"/>
  <c r="AC57" i="4"/>
  <c r="AL57" i="4"/>
  <c r="U57" i="4"/>
  <c r="AD57" i="4"/>
  <c r="AM57" i="4"/>
  <c r="AA57" i="4"/>
  <c r="AJ57" i="4"/>
  <c r="AI57" i="4"/>
  <c r="V57" i="4"/>
  <c r="AN57" i="4"/>
  <c r="Y57" i="4"/>
  <c r="Z57" i="4"/>
  <c r="W57" i="4"/>
  <c r="AE57" i="4"/>
  <c r="AH57" i="4"/>
  <c r="AG57" i="4"/>
  <c r="X49" i="4"/>
  <c r="AF49" i="4"/>
  <c r="AN49" i="4"/>
  <c r="U49" i="4"/>
  <c r="AD49" i="4"/>
  <c r="AM49" i="4"/>
  <c r="V49" i="4"/>
  <c r="AE49" i="4"/>
  <c r="W49" i="4"/>
  <c r="AG49" i="4"/>
  <c r="T49" i="4"/>
  <c r="AC49" i="4"/>
  <c r="AL49" i="4"/>
  <c r="AB49" i="4"/>
  <c r="AH49" i="4"/>
  <c r="AJ49" i="4"/>
  <c r="AI49" i="4"/>
  <c r="AK49" i="4"/>
  <c r="S49" i="4"/>
  <c r="Y49" i="4"/>
  <c r="AA49" i="4"/>
  <c r="Z49" i="4"/>
  <c r="W45" i="4"/>
  <c r="AE45" i="4"/>
  <c r="AM45" i="4"/>
  <c r="X45" i="4"/>
  <c r="AF45" i="4"/>
  <c r="AN45" i="4"/>
  <c r="Y45" i="4"/>
  <c r="AI45" i="4"/>
  <c r="Z45" i="4"/>
  <c r="AJ45" i="4"/>
  <c r="AA45" i="4"/>
  <c r="AK45" i="4"/>
  <c r="V45" i="4"/>
  <c r="AH45" i="4"/>
  <c r="AG45" i="4"/>
  <c r="AL45" i="4"/>
  <c r="T45" i="4"/>
  <c r="S45" i="4"/>
  <c r="AB45" i="4"/>
  <c r="U45" i="4"/>
  <c r="AD45" i="4"/>
  <c r="AC45" i="4"/>
  <c r="W33" i="4"/>
  <c r="AE33" i="4"/>
  <c r="AM33" i="4"/>
  <c r="X33" i="4"/>
  <c r="AF33" i="4"/>
  <c r="AN33" i="4"/>
  <c r="Y33" i="4"/>
  <c r="AG33" i="4"/>
  <c r="AB33" i="4"/>
  <c r="AC33" i="4"/>
  <c r="S33" i="4"/>
  <c r="AD33" i="4"/>
  <c r="AA33" i="4"/>
  <c r="AL33" i="4"/>
  <c r="Z33" i="4"/>
  <c r="AH33" i="4"/>
  <c r="AJ33" i="4"/>
  <c r="AI33" i="4"/>
  <c r="T33" i="4"/>
  <c r="AK33" i="4"/>
  <c r="U33" i="4"/>
  <c r="V33" i="4"/>
  <c r="W29" i="4"/>
  <c r="AE29" i="4"/>
  <c r="AM29" i="4"/>
  <c r="X29" i="4"/>
  <c r="AF29" i="4"/>
  <c r="AN29" i="4"/>
  <c r="Y29" i="4"/>
  <c r="AG29" i="4"/>
  <c r="AA29" i="4"/>
  <c r="AL29" i="4"/>
  <c r="AB29" i="4"/>
  <c r="AC29" i="4"/>
  <c r="Z29" i="4"/>
  <c r="AK29" i="4"/>
  <c r="AJ29" i="4"/>
  <c r="S29" i="4"/>
  <c r="U29" i="4"/>
  <c r="T29" i="4"/>
  <c r="V29" i="4"/>
  <c r="AD29" i="4"/>
  <c r="AI29" i="4"/>
  <c r="AH29" i="4"/>
  <c r="S88" i="4"/>
  <c r="AA88" i="4"/>
  <c r="AI88" i="4"/>
  <c r="T88" i="4"/>
  <c r="AB88" i="4"/>
  <c r="AJ88" i="4"/>
  <c r="U88" i="4"/>
  <c r="AC88" i="4"/>
  <c r="AK88" i="4"/>
  <c r="Z88" i="4"/>
  <c r="AN88" i="4"/>
  <c r="AD88" i="4"/>
  <c r="AF88" i="4"/>
  <c r="V88" i="4"/>
  <c r="AE88" i="4"/>
  <c r="AG88" i="4"/>
  <c r="W88" i="4"/>
  <c r="AH88" i="4"/>
  <c r="Y88" i="4"/>
  <c r="AM88" i="4"/>
  <c r="X88" i="4"/>
  <c r="AL88" i="4"/>
  <c r="S84" i="4"/>
  <c r="AA84" i="4"/>
  <c r="AI84" i="4"/>
  <c r="T84" i="4"/>
  <c r="AB84" i="4"/>
  <c r="AJ84" i="4"/>
  <c r="U84" i="4"/>
  <c r="AC84" i="4"/>
  <c r="AK84" i="4"/>
  <c r="Y84" i="4"/>
  <c r="AM84" i="4"/>
  <c r="Z84" i="4"/>
  <c r="AN84" i="4"/>
  <c r="AE84" i="4"/>
  <c r="AD84" i="4"/>
  <c r="V84" i="4"/>
  <c r="AG84" i="4"/>
  <c r="AF84" i="4"/>
  <c r="X84" i="4"/>
  <c r="AL84" i="4"/>
  <c r="AH84" i="4"/>
  <c r="W84" i="4"/>
  <c r="S80" i="4"/>
  <c r="AA80" i="4"/>
  <c r="AI80" i="4"/>
  <c r="T80" i="4"/>
  <c r="AB80" i="4"/>
  <c r="AJ80" i="4"/>
  <c r="U80" i="4"/>
  <c r="AC80" i="4"/>
  <c r="AK80" i="4"/>
  <c r="X80" i="4"/>
  <c r="AL80" i="4"/>
  <c r="Y80" i="4"/>
  <c r="AM80" i="4"/>
  <c r="AD80" i="4"/>
  <c r="Z80" i="4"/>
  <c r="AN80" i="4"/>
  <c r="AF80" i="4"/>
  <c r="AE80" i="4"/>
  <c r="W80" i="4"/>
  <c r="AH80" i="4"/>
  <c r="V80" i="4"/>
  <c r="AG80" i="4"/>
  <c r="S76" i="4"/>
  <c r="AA76" i="4"/>
  <c r="AI76" i="4"/>
  <c r="T76" i="4"/>
  <c r="AB76" i="4"/>
  <c r="AJ76" i="4"/>
  <c r="U76" i="4"/>
  <c r="AC76" i="4"/>
  <c r="AK76" i="4"/>
  <c r="Z76" i="4"/>
  <c r="AH76" i="4"/>
  <c r="AG76" i="4"/>
  <c r="V76" i="4"/>
  <c r="AL76" i="4"/>
  <c r="X76" i="4"/>
  <c r="AN76" i="4"/>
  <c r="W76" i="4"/>
  <c r="AM76" i="4"/>
  <c r="Y76" i="4"/>
  <c r="AD76" i="4"/>
  <c r="AF76" i="4"/>
  <c r="AE76" i="4"/>
  <c r="S72" i="4"/>
  <c r="AA72" i="4"/>
  <c r="AI72" i="4"/>
  <c r="T72" i="4"/>
  <c r="AB72" i="4"/>
  <c r="AJ72" i="4"/>
  <c r="U72" i="4"/>
  <c r="AC72" i="4"/>
  <c r="AK72" i="4"/>
  <c r="Z72" i="4"/>
  <c r="AH72" i="4"/>
  <c r="Y72" i="4"/>
  <c r="AD72" i="4"/>
  <c r="AF72" i="4"/>
  <c r="AE72" i="4"/>
  <c r="AL72" i="4"/>
  <c r="AG72" i="4"/>
  <c r="V72" i="4"/>
  <c r="X72" i="4"/>
  <c r="AN72" i="4"/>
  <c r="W72" i="4"/>
  <c r="AM72" i="4"/>
  <c r="S68" i="4"/>
  <c r="AA68" i="4"/>
  <c r="AI68" i="4"/>
  <c r="T68" i="4"/>
  <c r="AB68" i="4"/>
  <c r="AJ68" i="4"/>
  <c r="U68" i="4"/>
  <c r="AC68" i="4"/>
  <c r="AK68" i="4"/>
  <c r="Z68" i="4"/>
  <c r="AH68" i="4"/>
  <c r="AG68" i="4"/>
  <c r="V68" i="4"/>
  <c r="AL68" i="4"/>
  <c r="X68" i="4"/>
  <c r="AN68" i="4"/>
  <c r="W68" i="4"/>
  <c r="AM68" i="4"/>
  <c r="Y68" i="4"/>
  <c r="AD68" i="4"/>
  <c r="AF68" i="4"/>
  <c r="AE68" i="4"/>
  <c r="S64" i="4"/>
  <c r="AA64" i="4"/>
  <c r="AI64" i="4"/>
  <c r="T64" i="4"/>
  <c r="AB64" i="4"/>
  <c r="AJ64" i="4"/>
  <c r="U64" i="4"/>
  <c r="AC64" i="4"/>
  <c r="AK64" i="4"/>
  <c r="Z64" i="4"/>
  <c r="AH64" i="4"/>
  <c r="Y64" i="4"/>
  <c r="AD64" i="4"/>
  <c r="AF64" i="4"/>
  <c r="AE64" i="4"/>
  <c r="V64" i="4"/>
  <c r="AG64" i="4"/>
  <c r="AL64" i="4"/>
  <c r="X64" i="4"/>
  <c r="AN64" i="4"/>
  <c r="W64" i="4"/>
  <c r="AM64" i="4"/>
  <c r="S60" i="4"/>
  <c r="AA60" i="4"/>
  <c r="AI60" i="4"/>
  <c r="T60" i="4"/>
  <c r="AB60" i="4"/>
  <c r="AJ60" i="4"/>
  <c r="U60" i="4"/>
  <c r="AC60" i="4"/>
  <c r="AK60" i="4"/>
  <c r="Z60" i="4"/>
  <c r="AH60" i="4"/>
  <c r="AG60" i="4"/>
  <c r="V60" i="4"/>
  <c r="AL60" i="4"/>
  <c r="X60" i="4"/>
  <c r="AN60" i="4"/>
  <c r="W60" i="4"/>
  <c r="AM60" i="4"/>
  <c r="AD60" i="4"/>
  <c r="Y60" i="4"/>
  <c r="AF60" i="4"/>
  <c r="AE60" i="4"/>
  <c r="V56" i="4"/>
  <c r="AD56" i="4"/>
  <c r="AL56" i="4"/>
  <c r="W56" i="4"/>
  <c r="AF56" i="4"/>
  <c r="X56" i="4"/>
  <c r="AG56" i="4"/>
  <c r="Y56" i="4"/>
  <c r="AH56" i="4"/>
  <c r="U56" i="4"/>
  <c r="AE56" i="4"/>
  <c r="AN56" i="4"/>
  <c r="T56" i="4"/>
  <c r="AM56" i="4"/>
  <c r="Z56" i="4"/>
  <c r="AB56" i="4"/>
  <c r="AA56" i="4"/>
  <c r="AC56" i="4"/>
  <c r="AI56" i="4"/>
  <c r="AJ56" i="4"/>
  <c r="S56" i="4"/>
  <c r="AK56" i="4"/>
  <c r="V52" i="4"/>
  <c r="AD52" i="4"/>
  <c r="AL52" i="4"/>
  <c r="S52" i="4"/>
  <c r="AB52" i="4"/>
  <c r="AK52" i="4"/>
  <c r="T52" i="4"/>
  <c r="AC52" i="4"/>
  <c r="AM52" i="4"/>
  <c r="U52" i="4"/>
  <c r="AE52" i="4"/>
  <c r="AN52" i="4"/>
  <c r="AA52" i="4"/>
  <c r="AJ52" i="4"/>
  <c r="AI52" i="4"/>
  <c r="W52" i="4"/>
  <c r="Y52" i="4"/>
  <c r="X52" i="4"/>
  <c r="AF52" i="4"/>
  <c r="Z52" i="4"/>
  <c r="AH52" i="4"/>
  <c r="AG52" i="4"/>
  <c r="U48" i="4"/>
  <c r="AC48" i="4"/>
  <c r="AK48" i="4"/>
  <c r="V48" i="4"/>
  <c r="AD48" i="4"/>
  <c r="AL48" i="4"/>
  <c r="W48" i="4"/>
  <c r="AG48" i="4"/>
  <c r="X48" i="4"/>
  <c r="AH48" i="4"/>
  <c r="Y48" i="4"/>
  <c r="AI48" i="4"/>
  <c r="T48" i="4"/>
  <c r="AF48" i="4"/>
  <c r="AE48" i="4"/>
  <c r="AJ48" i="4"/>
  <c r="AN48" i="4"/>
  <c r="AM48" i="4"/>
  <c r="Z48" i="4"/>
  <c r="S48" i="4"/>
  <c r="AA48" i="4"/>
  <c r="AB48" i="4"/>
  <c r="U44" i="4"/>
  <c r="AC44" i="4"/>
  <c r="AK44" i="4"/>
  <c r="V44" i="4"/>
  <c r="AD44" i="4"/>
  <c r="AL44" i="4"/>
  <c r="Y44" i="4"/>
  <c r="AI44" i="4"/>
  <c r="Z44" i="4"/>
  <c r="AJ44" i="4"/>
  <c r="AA44" i="4"/>
  <c r="AM44" i="4"/>
  <c r="X44" i="4"/>
  <c r="AH44" i="4"/>
  <c r="AG44" i="4"/>
  <c r="AN44" i="4"/>
  <c r="T44" i="4"/>
  <c r="S44" i="4"/>
  <c r="AB44" i="4"/>
  <c r="W44" i="4"/>
  <c r="AE44" i="4"/>
  <c r="AF44" i="4"/>
  <c r="U40" i="4"/>
  <c r="AC40" i="4"/>
  <c r="AK40" i="4"/>
  <c r="V40" i="4"/>
  <c r="AD40" i="4"/>
  <c r="AL40" i="4"/>
  <c r="W40" i="4"/>
  <c r="AE40" i="4"/>
  <c r="AM40" i="4"/>
  <c r="AA40" i="4"/>
  <c r="AB40" i="4"/>
  <c r="AF40" i="4"/>
  <c r="Z40" i="4"/>
  <c r="AN40" i="4"/>
  <c r="Y40" i="4"/>
  <c r="AG40" i="4"/>
  <c r="AI40" i="4"/>
  <c r="AH40" i="4"/>
  <c r="S40" i="4"/>
  <c r="AJ40" i="4"/>
  <c r="T40" i="4"/>
  <c r="X40" i="4"/>
  <c r="U36" i="4"/>
  <c r="AC36" i="4"/>
  <c r="AK36" i="4"/>
  <c r="V36" i="4"/>
  <c r="AD36" i="4"/>
  <c r="AL36" i="4"/>
  <c r="W36" i="4"/>
  <c r="AE36" i="4"/>
  <c r="AM36" i="4"/>
  <c r="Z36" i="4"/>
  <c r="AN36" i="4"/>
  <c r="AA36" i="4"/>
  <c r="AB36" i="4"/>
  <c r="Y36" i="4"/>
  <c r="AJ36" i="4"/>
  <c r="AI36" i="4"/>
  <c r="T36" i="4"/>
  <c r="S36" i="4"/>
  <c r="AF36" i="4"/>
  <c r="X36" i="4"/>
  <c r="AH36" i="4"/>
  <c r="AG36" i="4"/>
  <c r="U32" i="4"/>
  <c r="AC32" i="4"/>
  <c r="AK32" i="4"/>
  <c r="V32" i="4"/>
  <c r="AD32" i="4"/>
  <c r="AL32" i="4"/>
  <c r="W32" i="4"/>
  <c r="AE32" i="4"/>
  <c r="AM32" i="4"/>
  <c r="Y32" i="4"/>
  <c r="AJ32" i="4"/>
  <c r="Z32" i="4"/>
  <c r="AN32" i="4"/>
  <c r="AA32" i="4"/>
  <c r="X32" i="4"/>
  <c r="AI32" i="4"/>
  <c r="T32" i="4"/>
  <c r="AB32" i="4"/>
  <c r="AG32" i="4"/>
  <c r="AF32" i="4"/>
  <c r="AH32" i="4"/>
  <c r="S32" i="4"/>
  <c r="U28" i="4"/>
  <c r="AC28" i="4"/>
  <c r="AK28" i="4"/>
  <c r="V28" i="4"/>
  <c r="AD28" i="4"/>
  <c r="AL28" i="4"/>
  <c r="W28" i="4"/>
  <c r="AE28" i="4"/>
  <c r="AM28" i="4"/>
  <c r="X28" i="4"/>
  <c r="AI28" i="4"/>
  <c r="Y28" i="4"/>
  <c r="AJ28" i="4"/>
  <c r="Z28" i="4"/>
  <c r="AN28" i="4"/>
  <c r="T28" i="4"/>
  <c r="AH28" i="4"/>
  <c r="AG28" i="4"/>
  <c r="AB28" i="4"/>
  <c r="S28" i="4"/>
  <c r="AA28" i="4"/>
  <c r="AF28" i="4"/>
  <c r="U24" i="4"/>
  <c r="AC24" i="4"/>
  <c r="AK24" i="4"/>
  <c r="V24" i="4"/>
  <c r="AD24" i="4"/>
  <c r="AL24" i="4"/>
  <c r="W24" i="4"/>
  <c r="AE24" i="4"/>
  <c r="AM24" i="4"/>
  <c r="T24" i="4"/>
  <c r="AH24" i="4"/>
  <c r="X24" i="4"/>
  <c r="AI24" i="4"/>
  <c r="Y24" i="4"/>
  <c r="AJ24" i="4"/>
  <c r="S24" i="4"/>
  <c r="AG24" i="4"/>
  <c r="Z24" i="4"/>
  <c r="AB24" i="4"/>
  <c r="AA24" i="4"/>
  <c r="AN24" i="4"/>
  <c r="AF24" i="4"/>
  <c r="U20" i="4"/>
  <c r="AC20" i="4"/>
  <c r="AK20" i="4"/>
  <c r="V20" i="4"/>
  <c r="AD20" i="4"/>
  <c r="AL20" i="4"/>
  <c r="W20" i="4"/>
  <c r="AE20" i="4"/>
  <c r="AM20" i="4"/>
  <c r="S20" i="4"/>
  <c r="AG20" i="4"/>
  <c r="T20" i="4"/>
  <c r="AH20" i="4"/>
  <c r="X20" i="4"/>
  <c r="AI20" i="4"/>
  <c r="AF20" i="4"/>
  <c r="AB20" i="4"/>
  <c r="AJ20" i="4"/>
  <c r="AN20" i="4"/>
  <c r="Y20" i="4"/>
  <c r="AA20" i="4"/>
  <c r="Z20" i="4"/>
  <c r="W16" i="4"/>
  <c r="AE16" i="4"/>
  <c r="AM16" i="4"/>
  <c r="Z16" i="4"/>
  <c r="AH16" i="4"/>
  <c r="T16" i="4"/>
  <c r="AB16" i="4"/>
  <c r="AJ16" i="4"/>
  <c r="S16" i="4"/>
  <c r="AA16" i="4"/>
  <c r="AI16" i="4"/>
  <c r="U16" i="4"/>
  <c r="AC16" i="4"/>
  <c r="AK16" i="4"/>
  <c r="V16" i="4"/>
  <c r="AD16" i="4"/>
  <c r="AL16" i="4"/>
  <c r="X16" i="4"/>
  <c r="AF16" i="4"/>
  <c r="AN16" i="4"/>
  <c r="Y16" i="4"/>
  <c r="AG16" i="4"/>
  <c r="S12" i="4"/>
  <c r="AP12" i="4" s="1" a="1"/>
  <c r="AP12" i="4" s="1"/>
  <c r="AA12" i="4"/>
  <c r="AX12" i="4" s="1" a="1"/>
  <c r="AX12" i="4" s="1"/>
  <c r="AI12" i="4"/>
  <c r="BF12" i="4" s="1" a="1"/>
  <c r="BF12" i="4" s="1"/>
  <c r="T12" i="4"/>
  <c r="AQ12" i="4" s="1" a="1"/>
  <c r="AQ12" i="4" s="1"/>
  <c r="AB12" i="4"/>
  <c r="AY12" i="4" s="1" a="1"/>
  <c r="AY12" i="4" s="1"/>
  <c r="AJ12" i="4"/>
  <c r="BG12" i="4" s="1" a="1"/>
  <c r="BG12" i="4" s="1"/>
  <c r="W12" i="4"/>
  <c r="AT12" i="4" s="1" a="1"/>
  <c r="AT12" i="4" s="1"/>
  <c r="AE12" i="4"/>
  <c r="BB12" i="4" s="1" a="1"/>
  <c r="BB12" i="4" s="1"/>
  <c r="AM12" i="4"/>
  <c r="BJ12" i="4" s="1" a="1"/>
  <c r="BJ12" i="4" s="1"/>
  <c r="U12" i="4"/>
  <c r="AR12" i="4" s="1" a="1"/>
  <c r="AR12" i="4" s="1"/>
  <c r="AC12" i="4"/>
  <c r="AZ12" i="4" s="1" a="1"/>
  <c r="AZ12" i="4" s="1"/>
  <c r="AK12" i="4"/>
  <c r="BH12" i="4" s="1" a="1"/>
  <c r="BH12" i="4" s="1"/>
  <c r="V12" i="4"/>
  <c r="AS12" i="4" s="1" a="1"/>
  <c r="AS12" i="4" s="1"/>
  <c r="AD12" i="4"/>
  <c r="BA12" i="4" s="1" a="1"/>
  <c r="BA12" i="4" s="1"/>
  <c r="AL12" i="4"/>
  <c r="BI12" i="4" s="1" a="1"/>
  <c r="BI12" i="4" s="1"/>
  <c r="X12" i="4"/>
  <c r="AU12" i="4" s="1" a="1"/>
  <c r="AU12" i="4" s="1"/>
  <c r="AF12" i="4"/>
  <c r="BC12" i="4" s="1" a="1"/>
  <c r="BC12" i="4" s="1"/>
  <c r="AN12" i="4"/>
  <c r="BK12" i="4" s="1" a="1"/>
  <c r="BK12" i="4" s="1"/>
  <c r="Y12" i="4"/>
  <c r="AV12" i="4" s="1" a="1"/>
  <c r="AV12" i="4" s="1"/>
  <c r="AG12" i="4"/>
  <c r="BD12" i="4" s="1" a="1"/>
  <c r="BD12" i="4" s="1"/>
  <c r="Z12" i="4"/>
  <c r="AW12" i="4" s="1" a="1"/>
  <c r="AW12" i="4" s="1"/>
  <c r="AH12" i="4"/>
  <c r="BE12" i="4" s="1" a="1"/>
  <c r="BE12" i="4" s="1"/>
  <c r="Y15" i="4"/>
  <c r="AV15" i="4" s="1" a="1"/>
  <c r="AV15" i="4" s="1"/>
  <c r="AG15" i="4"/>
  <c r="BD15" i="4" s="1" a="1"/>
  <c r="BD15" i="4" s="1"/>
  <c r="Z15" i="4"/>
  <c r="AW15" i="4" s="1" a="1"/>
  <c r="AW15" i="4" s="1"/>
  <c r="AH15" i="4"/>
  <c r="BE15" i="4" s="1" a="1"/>
  <c r="BE15" i="4" s="1"/>
  <c r="S15" i="4"/>
  <c r="AP15" i="4" s="1" a="1"/>
  <c r="AP15" i="4" s="1"/>
  <c r="AA15" i="4"/>
  <c r="AX15" i="4" s="1" a="1"/>
  <c r="AX15" i="4" s="1"/>
  <c r="AI15" i="4"/>
  <c r="BF15" i="4" s="1" a="1"/>
  <c r="BF15" i="4" s="1"/>
  <c r="T15" i="4"/>
  <c r="AQ15" i="4" s="1" a="1"/>
  <c r="AQ15" i="4" s="1"/>
  <c r="AB15" i="4"/>
  <c r="AY15" i="4" s="1" a="1"/>
  <c r="AY15" i="4" s="1"/>
  <c r="AJ15" i="4"/>
  <c r="BG15" i="4" s="1" a="1"/>
  <c r="BG15" i="4" s="1"/>
  <c r="U15" i="4"/>
  <c r="AR15" i="4" s="1" a="1"/>
  <c r="AR15" i="4" s="1"/>
  <c r="AC15" i="4"/>
  <c r="AZ15" i="4" s="1" a="1"/>
  <c r="AZ15" i="4" s="1"/>
  <c r="AK15" i="4"/>
  <c r="BH15" i="4" s="1" a="1"/>
  <c r="BH15" i="4" s="1"/>
  <c r="V15" i="4"/>
  <c r="AS15" i="4" s="1" a="1"/>
  <c r="AS15" i="4" s="1"/>
  <c r="AD15" i="4"/>
  <c r="BA15" i="4" s="1" a="1"/>
  <c r="BA15" i="4" s="1"/>
  <c r="AL15" i="4"/>
  <c r="BI15" i="4" s="1" a="1"/>
  <c r="BI15" i="4" s="1"/>
  <c r="W15" i="4"/>
  <c r="AT15" i="4" s="1" a="1"/>
  <c r="AT15" i="4" s="1"/>
  <c r="AE15" i="4"/>
  <c r="BB15" i="4" s="1" a="1"/>
  <c r="BB15" i="4" s="1"/>
  <c r="AM15" i="4"/>
  <c r="BJ15" i="4" s="1" a="1"/>
  <c r="BJ15" i="4" s="1"/>
  <c r="X15" i="4"/>
  <c r="AU15" i="4" s="1" a="1"/>
  <c r="AU15" i="4" s="1"/>
  <c r="AF15" i="4"/>
  <c r="BC15" i="4" s="1" a="1"/>
  <c r="BC15" i="4" s="1"/>
  <c r="AN15" i="4"/>
  <c r="BK15" i="4" s="1" a="1"/>
  <c r="BK15" i="4" s="1"/>
  <c r="B12" i="3"/>
  <c r="B13" i="3"/>
  <c r="C13" i="3"/>
  <c r="B14" i="3"/>
  <c r="C14" i="3"/>
  <c r="B15" i="3"/>
  <c r="C15" i="3"/>
  <c r="B16" i="3"/>
  <c r="C16" i="3"/>
  <c r="B17" i="3"/>
  <c r="C17" i="3"/>
  <c r="B18" i="3"/>
  <c r="C18" i="3"/>
  <c r="B19" i="3"/>
  <c r="C19" i="3"/>
  <c r="B20" i="3"/>
  <c r="C20" i="3"/>
  <c r="B21" i="3"/>
  <c r="C21" i="3"/>
  <c r="B22" i="3"/>
  <c r="C22" i="3"/>
  <c r="B23" i="3"/>
  <c r="C23" i="3"/>
  <c r="B24" i="3"/>
  <c r="C24" i="3"/>
  <c r="B25" i="3"/>
  <c r="C25" i="3"/>
  <c r="B26" i="3"/>
  <c r="C26" i="3"/>
  <c r="B27" i="3"/>
  <c r="C27" i="3"/>
  <c r="B28" i="3"/>
  <c r="C28" i="3"/>
  <c r="B29" i="3"/>
  <c r="C29" i="3"/>
  <c r="B30" i="3"/>
  <c r="C30" i="3"/>
  <c r="B31" i="3"/>
  <c r="C31" i="3"/>
  <c r="B32" i="3"/>
  <c r="C32" i="3"/>
  <c r="B33" i="3"/>
  <c r="C33" i="3"/>
  <c r="B34" i="3"/>
  <c r="C34" i="3"/>
  <c r="B35" i="3"/>
  <c r="C35" i="3"/>
  <c r="B36" i="3"/>
  <c r="C36" i="3"/>
  <c r="B37" i="3"/>
  <c r="C37" i="3"/>
  <c r="B38" i="3"/>
  <c r="C38" i="3"/>
  <c r="B39" i="3"/>
  <c r="C39" i="3"/>
  <c r="B40" i="3"/>
  <c r="C40" i="3"/>
  <c r="B41" i="3"/>
  <c r="C41" i="3"/>
  <c r="B42" i="3"/>
  <c r="C42" i="3"/>
  <c r="B43" i="3"/>
  <c r="C43" i="3"/>
  <c r="B44" i="3"/>
  <c r="C44" i="3"/>
  <c r="B45" i="3"/>
  <c r="C45" i="3"/>
  <c r="B46" i="3"/>
  <c r="C46" i="3"/>
  <c r="B47" i="3"/>
  <c r="C47" i="3"/>
  <c r="B48" i="3"/>
  <c r="C48" i="3"/>
  <c r="B49" i="3"/>
  <c r="C49" i="3"/>
  <c r="B50" i="3"/>
  <c r="C50" i="3"/>
  <c r="B51" i="3"/>
  <c r="C51" i="3"/>
  <c r="B52" i="3"/>
  <c r="C52" i="3"/>
  <c r="B53" i="3"/>
  <c r="C53" i="3"/>
  <c r="B54" i="3"/>
  <c r="C54" i="3"/>
  <c r="B55" i="3"/>
  <c r="C55" i="3"/>
  <c r="B56" i="3"/>
  <c r="C56" i="3"/>
  <c r="B57" i="3"/>
  <c r="C57" i="3"/>
  <c r="B58" i="3"/>
  <c r="C58" i="3"/>
  <c r="B59" i="3"/>
  <c r="C59" i="3"/>
  <c r="B60" i="3"/>
  <c r="C60" i="3"/>
  <c r="B61" i="3"/>
  <c r="C61" i="3"/>
  <c r="B62" i="3"/>
  <c r="C62" i="3"/>
  <c r="B63" i="3"/>
  <c r="C63" i="3"/>
  <c r="B64" i="3"/>
  <c r="C64" i="3"/>
  <c r="B65" i="3"/>
  <c r="C65" i="3"/>
  <c r="B66" i="3"/>
  <c r="C66" i="3"/>
  <c r="B67" i="3"/>
  <c r="C67" i="3"/>
  <c r="B68" i="3"/>
  <c r="C68" i="3"/>
  <c r="B69" i="3"/>
  <c r="C69" i="3"/>
  <c r="B70" i="3"/>
  <c r="C70" i="3"/>
  <c r="B71" i="3"/>
  <c r="C71" i="3"/>
  <c r="B72" i="3"/>
  <c r="C72" i="3"/>
  <c r="B73" i="3"/>
  <c r="C73" i="3"/>
  <c r="B74" i="3"/>
  <c r="C74" i="3"/>
  <c r="B75" i="3"/>
  <c r="C75" i="3"/>
  <c r="B76" i="3"/>
  <c r="C76" i="3"/>
  <c r="B77" i="3"/>
  <c r="C77" i="3"/>
  <c r="B78" i="3"/>
  <c r="C78" i="3"/>
  <c r="B79" i="3"/>
  <c r="C79" i="3"/>
  <c r="B80" i="3"/>
  <c r="C80" i="3"/>
  <c r="B81" i="3"/>
  <c r="C81" i="3"/>
  <c r="B82" i="3"/>
  <c r="C82" i="3"/>
  <c r="B83" i="3"/>
  <c r="C83" i="3"/>
  <c r="B84" i="3"/>
  <c r="C84" i="3"/>
  <c r="B85" i="3"/>
  <c r="C85" i="3"/>
  <c r="B86" i="3"/>
  <c r="C86" i="3"/>
  <c r="B87" i="3"/>
  <c r="C87" i="3"/>
  <c r="B88" i="3"/>
  <c r="C88" i="3"/>
  <c r="B89" i="3"/>
  <c r="C89" i="3"/>
  <c r="B90" i="3"/>
  <c r="C90" i="3"/>
  <c r="C11" i="3"/>
  <c r="B11" i="3"/>
  <c r="E13" i="12" a="1"/>
  <c r="E12" i="12" a="1"/>
  <c r="F13" i="12" a="1"/>
  <c r="G12" i="12" a="1"/>
  <c r="G14" i="12" a="1"/>
  <c r="H13" i="12" a="1"/>
  <c r="F12" i="12" a="1"/>
  <c r="G13" i="12" a="1"/>
  <c r="Z14" i="12" a="1"/>
  <c r="Z12" i="12" a="1"/>
  <c r="E14" i="12" a="1"/>
  <c r="F14" i="12" a="1"/>
  <c r="H14" i="12" a="1"/>
  <c r="Z13" i="12" a="1"/>
  <c r="H12" i="12" a="1"/>
  <c r="G11" i="12" a="1"/>
  <c r="E11" i="12" a="1"/>
  <c r="F11" i="12" a="1"/>
  <c r="H11" i="12" a="1"/>
  <c r="Z11" i="12" a="1"/>
  <c r="F12" i="12" l="1"/>
  <c r="E12" i="12"/>
  <c r="G11" i="12"/>
  <c r="G13" i="12"/>
  <c r="Z14" i="12"/>
  <c r="F14" i="12"/>
  <c r="Z12" i="12"/>
  <c r="G12" i="12"/>
  <c r="AZ12" i="12" s="1"/>
  <c r="BK12" i="12" s="1" a="1"/>
  <c r="BK12" i="12" s="1"/>
  <c r="H14" i="12"/>
  <c r="E14" i="12"/>
  <c r="E11" i="12"/>
  <c r="AB11" i="12" s="1" a="1"/>
  <c r="AB11" i="12" s="1"/>
  <c r="F13" i="12"/>
  <c r="Z11" i="12"/>
  <c r="BH11" i="12" s="1"/>
  <c r="G14" i="12"/>
  <c r="AZ14" i="12" s="1"/>
  <c r="BK14" i="12" s="1" a="1"/>
  <c r="BK14" i="12" s="1"/>
  <c r="Z13" i="12"/>
  <c r="H13" i="12"/>
  <c r="H11" i="12"/>
  <c r="H12" i="12"/>
  <c r="F11" i="12"/>
  <c r="E13" i="12"/>
  <c r="Q9" i="4"/>
  <c r="Q8" i="4"/>
  <c r="E79" i="1"/>
  <c r="S79" i="3"/>
  <c r="F79" i="1" s="1"/>
  <c r="E67" i="1"/>
  <c r="S67" i="3"/>
  <c r="F67" i="1" s="1"/>
  <c r="E86" i="1"/>
  <c r="S86" i="3"/>
  <c r="F86" i="1" s="1"/>
  <c r="E78" i="1"/>
  <c r="S78" i="3"/>
  <c r="F78" i="1" s="1"/>
  <c r="E70" i="1"/>
  <c r="S70" i="3"/>
  <c r="F70" i="1" s="1"/>
  <c r="S62" i="3"/>
  <c r="F62" i="1" s="1"/>
  <c r="E62" i="1"/>
  <c r="S54" i="3"/>
  <c r="F54" i="1" s="1"/>
  <c r="E54" i="1"/>
  <c r="S46" i="3"/>
  <c r="F46" i="1" s="1"/>
  <c r="E46" i="1"/>
  <c r="S38" i="3"/>
  <c r="F38" i="1" s="1"/>
  <c r="E38" i="1"/>
  <c r="S26" i="3"/>
  <c r="F26" i="1" s="1"/>
  <c r="E26" i="1"/>
  <c r="S18" i="3"/>
  <c r="F18" i="1" s="1"/>
  <c r="E18" i="1"/>
  <c r="E88" i="1"/>
  <c r="S88" i="3"/>
  <c r="F88" i="1" s="1"/>
  <c r="S84" i="3"/>
  <c r="F84" i="1" s="1"/>
  <c r="E84" i="1"/>
  <c r="S80" i="3"/>
  <c r="F80" i="1" s="1"/>
  <c r="E80" i="1"/>
  <c r="E76" i="1"/>
  <c r="S76" i="3"/>
  <c r="F76" i="1" s="1"/>
  <c r="S72" i="3"/>
  <c r="F72" i="1" s="1"/>
  <c r="E72" i="1"/>
  <c r="E68" i="1"/>
  <c r="S68" i="3"/>
  <c r="F68" i="1" s="1"/>
  <c r="S64" i="3"/>
  <c r="F64" i="1" s="1"/>
  <c r="E64" i="1"/>
  <c r="E60" i="1"/>
  <c r="S60" i="3"/>
  <c r="F60" i="1" s="1"/>
  <c r="S56" i="3"/>
  <c r="F56" i="1" s="1"/>
  <c r="E56" i="1"/>
  <c r="E52" i="1"/>
  <c r="S52" i="3"/>
  <c r="F52" i="1" s="1"/>
  <c r="S48" i="3"/>
  <c r="F48" i="1" s="1"/>
  <c r="E48" i="1"/>
  <c r="S44" i="3"/>
  <c r="F44" i="1" s="1"/>
  <c r="E44" i="1"/>
  <c r="E40" i="1"/>
  <c r="S40" i="3"/>
  <c r="F40" i="1" s="1"/>
  <c r="S36" i="3"/>
  <c r="F36" i="1" s="1"/>
  <c r="E36" i="1"/>
  <c r="E32" i="1"/>
  <c r="S32" i="3"/>
  <c r="F32" i="1" s="1"/>
  <c r="S28" i="3"/>
  <c r="F28" i="1" s="1"/>
  <c r="E28" i="1"/>
  <c r="E24" i="1"/>
  <c r="S24" i="3"/>
  <c r="F24" i="1" s="1"/>
  <c r="S20" i="3"/>
  <c r="F20" i="1" s="1"/>
  <c r="E20" i="1"/>
  <c r="S83" i="3"/>
  <c r="F83" i="1" s="1"/>
  <c r="E83" i="1"/>
  <c r="S63" i="3"/>
  <c r="F63" i="1" s="1"/>
  <c r="E63" i="1"/>
  <c r="S47" i="3"/>
  <c r="F47" i="1" s="1"/>
  <c r="E47" i="1"/>
  <c r="S27" i="3"/>
  <c r="F27" i="1" s="1"/>
  <c r="E27" i="1"/>
  <c r="S82" i="3"/>
  <c r="F82" i="1" s="1"/>
  <c r="E82" i="1"/>
  <c r="S74" i="3"/>
  <c r="F74" i="1" s="1"/>
  <c r="E74" i="1"/>
  <c r="S66" i="3"/>
  <c r="F66" i="1" s="1"/>
  <c r="E66" i="1"/>
  <c r="S58" i="3"/>
  <c r="F58" i="1" s="1"/>
  <c r="E58" i="1"/>
  <c r="S50" i="3"/>
  <c r="F50" i="1" s="1"/>
  <c r="E50" i="1"/>
  <c r="S42" i="3"/>
  <c r="F42" i="1" s="1"/>
  <c r="E42" i="1"/>
  <c r="S34" i="3"/>
  <c r="F34" i="1" s="1"/>
  <c r="E34" i="1"/>
  <c r="S30" i="3"/>
  <c r="F30" i="1" s="1"/>
  <c r="E30" i="1"/>
  <c r="E22" i="1"/>
  <c r="S22" i="3"/>
  <c r="F22" i="1" s="1"/>
  <c r="S75" i="3"/>
  <c r="F75" i="1" s="1"/>
  <c r="E75" i="1"/>
  <c r="E59" i="1"/>
  <c r="S59" i="3"/>
  <c r="F59" i="1" s="1"/>
  <c r="E51" i="1"/>
  <c r="S51" i="3"/>
  <c r="F51" i="1" s="1"/>
  <c r="E39" i="1"/>
  <c r="S39" i="3"/>
  <c r="F39" i="1" s="1"/>
  <c r="E31" i="1"/>
  <c r="S31" i="3"/>
  <c r="F31" i="1" s="1"/>
  <c r="S89" i="3"/>
  <c r="F89" i="1" s="1"/>
  <c r="E89" i="1"/>
  <c r="S81" i="3"/>
  <c r="F81" i="1" s="1"/>
  <c r="E81" i="1"/>
  <c r="S73" i="3"/>
  <c r="F73" i="1" s="1"/>
  <c r="E73" i="1"/>
  <c r="S65" i="3"/>
  <c r="F65" i="1" s="1"/>
  <c r="E65" i="1"/>
  <c r="E57" i="1"/>
  <c r="S57" i="3"/>
  <c r="F57" i="1" s="1"/>
  <c r="E49" i="1"/>
  <c r="S49" i="3"/>
  <c r="F49" i="1" s="1"/>
  <c r="E41" i="1"/>
  <c r="S41" i="3"/>
  <c r="F41" i="1" s="1"/>
  <c r="S25" i="3"/>
  <c r="F25" i="1" s="1"/>
  <c r="E25" i="1"/>
  <c r="E87" i="1"/>
  <c r="S87" i="3"/>
  <c r="F87" i="1" s="1"/>
  <c r="S71" i="3"/>
  <c r="F71" i="1" s="1"/>
  <c r="E71" i="1"/>
  <c r="S55" i="3"/>
  <c r="F55" i="1" s="1"/>
  <c r="E55" i="1"/>
  <c r="E43" i="1"/>
  <c r="S43" i="3"/>
  <c r="F43" i="1" s="1"/>
  <c r="S35" i="3"/>
  <c r="F35" i="1" s="1"/>
  <c r="E35" i="1"/>
  <c r="E23" i="1"/>
  <c r="S23" i="3"/>
  <c r="F23" i="1" s="1"/>
  <c r="S19" i="3"/>
  <c r="F19" i="1" s="1"/>
  <c r="E19" i="1"/>
  <c r="S90" i="3"/>
  <c r="F90" i="1" s="1"/>
  <c r="E90" i="1"/>
  <c r="E85" i="1"/>
  <c r="S85" i="3"/>
  <c r="F85" i="1" s="1"/>
  <c r="E77" i="1"/>
  <c r="S77" i="3"/>
  <c r="F77" i="1" s="1"/>
  <c r="E69" i="1"/>
  <c r="S69" i="3"/>
  <c r="F69" i="1" s="1"/>
  <c r="E61" i="1"/>
  <c r="S61" i="3"/>
  <c r="F61" i="1" s="1"/>
  <c r="E53" i="1"/>
  <c r="S53" i="3"/>
  <c r="F53" i="1" s="1"/>
  <c r="E45" i="1"/>
  <c r="S45" i="3"/>
  <c r="F45" i="1" s="1"/>
  <c r="E37" i="1"/>
  <c r="S37" i="3"/>
  <c r="F37" i="1" s="1"/>
  <c r="E33" i="1"/>
  <c r="S33" i="3"/>
  <c r="F33" i="1" s="1"/>
  <c r="E29" i="1"/>
  <c r="S29" i="3"/>
  <c r="F29" i="1" s="1"/>
  <c r="E21" i="1"/>
  <c r="S21" i="3"/>
  <c r="F21" i="1" s="1"/>
  <c r="S17" i="3"/>
  <c r="F17" i="1" s="1"/>
  <c r="E17" i="1"/>
  <c r="BS11" i="12" l="1" a="1"/>
  <c r="BS11" i="12" s="1"/>
  <c r="Q11" i="1" s="1"/>
  <c r="AY13" i="12"/>
  <c r="BJ13" i="12" s="1" a="1"/>
  <c r="BJ13" i="12" s="1"/>
  <c r="H13" i="1" s="1"/>
  <c r="AZ11" i="12"/>
  <c r="BK11" i="12" s="1" a="1"/>
  <c r="BK11" i="12" s="1"/>
  <c r="AY12" i="12"/>
  <c r="BJ12" i="12" s="1" a="1"/>
  <c r="BJ12" i="12" s="1"/>
  <c r="AY11" i="12"/>
  <c r="BJ11" i="12" s="1" a="1"/>
  <c r="BJ11" i="12" s="1"/>
  <c r="AW14" i="12" a="1"/>
  <c r="AW14" i="12" s="1"/>
  <c r="BH14" i="12"/>
  <c r="AW12" i="12" a="1"/>
  <c r="AW12" i="12" s="1"/>
  <c r="BH12" i="12"/>
  <c r="AW13" i="12" a="1"/>
  <c r="AW13" i="12" s="1"/>
  <c r="BH13" i="12"/>
  <c r="AY14" i="12"/>
  <c r="BJ14" i="12" s="1" a="1"/>
  <c r="BJ14" i="12" s="1"/>
  <c r="AZ13" i="12"/>
  <c r="BK13" i="12" s="1" a="1"/>
  <c r="BK13" i="12" s="1"/>
  <c r="AW11" i="12" a="1"/>
  <c r="AW11" i="12" s="1"/>
  <c r="AC13" i="12" a="1"/>
  <c r="AC13" i="12" s="1"/>
  <c r="AC14" i="12" a="1"/>
  <c r="AC14" i="12" s="1"/>
  <c r="AE13" i="12" a="1"/>
  <c r="AE13" i="12" s="1"/>
  <c r="AC11" i="12" a="1"/>
  <c r="AC11" i="12" s="1"/>
  <c r="AE12" i="12" a="1"/>
  <c r="AE12" i="12" s="1"/>
  <c r="AE11" i="12" a="1"/>
  <c r="AE11" i="12" s="1"/>
  <c r="AE14" i="12" a="1"/>
  <c r="AE14" i="12" s="1"/>
  <c r="AC12" i="12" a="1"/>
  <c r="AC12" i="12" s="1"/>
  <c r="AB13" i="12" a="1"/>
  <c r="AB13" i="12" s="1"/>
  <c r="AD13" i="12" a="1"/>
  <c r="AD13" i="12" s="1"/>
  <c r="AD11" i="12" a="1"/>
  <c r="AD11" i="12" s="1"/>
  <c r="AB14" i="12" a="1"/>
  <c r="AB14" i="12" s="1"/>
  <c r="AB12" i="12" a="1"/>
  <c r="AB12" i="12" s="1"/>
  <c r="AD12" i="12" a="1"/>
  <c r="AD12" i="12" s="1"/>
  <c r="AD14" i="12" a="1"/>
  <c r="AD14" i="12" s="1"/>
  <c r="I12" i="1"/>
  <c r="I14" i="1"/>
  <c r="J14" i="1"/>
  <c r="J11" i="1"/>
  <c r="J13" i="1"/>
  <c r="N16" i="1"/>
  <c r="M16" i="1"/>
  <c r="L16" i="1"/>
  <c r="P15" i="1"/>
  <c r="L15" i="1"/>
  <c r="M15" i="1"/>
  <c r="N15" i="1"/>
  <c r="O15" i="1"/>
  <c r="K11" i="1"/>
  <c r="M13" i="1"/>
  <c r="M12" i="1"/>
  <c r="P14" i="1"/>
  <c r="M11" i="1"/>
  <c r="L13" i="1"/>
  <c r="K13" i="1"/>
  <c r="O13" i="1"/>
  <c r="M14" i="1"/>
  <c r="P12" i="1"/>
  <c r="O14" i="1"/>
  <c r="N14" i="1"/>
  <c r="N12" i="1"/>
  <c r="L14" i="1"/>
  <c r="O11" i="1"/>
  <c r="K12" i="1"/>
  <c r="J12" i="1"/>
  <c r="P13" i="1"/>
  <c r="N11" i="1"/>
  <c r="L12" i="1"/>
  <c r="K14" i="1"/>
  <c r="L11" i="1"/>
  <c r="P11" i="1"/>
  <c r="N13" i="1"/>
  <c r="O12" i="1"/>
  <c r="M7" i="1" l="1"/>
  <c r="N7" i="1"/>
  <c r="P7" i="1"/>
  <c r="O7" i="1"/>
  <c r="L7" i="1"/>
  <c r="N9" i="1"/>
  <c r="N10" i="1"/>
  <c r="N8" i="1"/>
  <c r="M10" i="1"/>
  <c r="M8" i="1"/>
  <c r="M9" i="1"/>
  <c r="P8" i="1"/>
  <c r="P9" i="1"/>
  <c r="P10" i="1"/>
  <c r="O9" i="1"/>
  <c r="O10" i="1"/>
  <c r="O8" i="1"/>
  <c r="L10" i="1"/>
  <c r="L8" i="1"/>
  <c r="L9" i="1"/>
  <c r="BS14" i="12" a="1"/>
  <c r="BS14" i="12" s="1"/>
  <c r="Q14" i="1" s="1"/>
  <c r="H11" i="1"/>
  <c r="H12" i="1"/>
  <c r="I11" i="1"/>
  <c r="H14" i="1"/>
  <c r="BS13" i="12" a="1"/>
  <c r="BS13" i="12" s="1"/>
  <c r="Q13" i="1" s="1"/>
  <c r="I13" i="1"/>
  <c r="BS12" i="12" a="1"/>
  <c r="BS12" i="12" s="1"/>
  <c r="Q12" i="1" s="1"/>
  <c r="J15" i="1"/>
  <c r="J7" i="1" s="1"/>
  <c r="J16" i="1"/>
  <c r="J9" i="1" l="1"/>
  <c r="J10" i="1"/>
  <c r="J8" i="1"/>
  <c r="F16" i="12" a="1"/>
  <c r="G16" i="12" a="1"/>
  <c r="E16" i="12" a="1"/>
  <c r="Z16" i="12" a="1"/>
  <c r="H16" i="12" a="1"/>
  <c r="H16" i="12" l="1"/>
  <c r="Z16" i="12"/>
  <c r="AW16" i="12" s="1" a="1"/>
  <c r="AW16" i="12" s="1"/>
  <c r="E16" i="12"/>
  <c r="G16" i="12"/>
  <c r="F16" i="12"/>
  <c r="AC16" i="12" l="1" a="1"/>
  <c r="AC16" i="12" s="1"/>
  <c r="AE16" i="12" a="1"/>
  <c r="AE16" i="12" s="1"/>
  <c r="AB16" i="12" a="1"/>
  <c r="AB16" i="12" s="1"/>
  <c r="AD16" i="12" a="1"/>
  <c r="AD16" i="12" s="1"/>
  <c r="K15" i="1"/>
  <c r="K7" i="1" s="1"/>
  <c r="K16" i="1"/>
  <c r="Q16" i="1"/>
  <c r="I16" i="1"/>
  <c r="S16" i="3"/>
  <c r="F16" i="1" s="1"/>
  <c r="H16" i="1"/>
  <c r="K10" i="1" l="1"/>
  <c r="K9" i="1"/>
  <c r="K8" i="1"/>
  <c r="E16" i="1"/>
  <c r="H15" i="12" a="1"/>
  <c r="F15" i="12" a="1"/>
  <c r="E15" i="12" a="1"/>
  <c r="G15" i="12" a="1"/>
  <c r="Z15" i="12" a="1"/>
  <c r="Z15" i="12" l="1"/>
  <c r="G15" i="12"/>
  <c r="E15" i="12"/>
  <c r="F15" i="12"/>
  <c r="AC15" i="12" s="1" a="1"/>
  <c r="AC15" i="12" s="1"/>
  <c r="H15" i="12"/>
  <c r="AE15" i="12" s="1" a="1"/>
  <c r="AE15" i="12" s="1"/>
  <c r="E15" i="1" l="1"/>
  <c r="AD15" i="12" a="1"/>
  <c r="AD15" i="12" s="1"/>
  <c r="AZ15" i="12"/>
  <c r="BK15" i="12" s="1" a="1"/>
  <c r="BK15" i="12" s="1"/>
  <c r="I15" i="1" s="1"/>
  <c r="AW15" i="12" a="1"/>
  <c r="AW15" i="12" s="1"/>
  <c r="BH15" i="12"/>
  <c r="BS15" i="12" s="1" a="1"/>
  <c r="BS15" i="12" s="1"/>
  <c r="Q15" i="1" s="1"/>
  <c r="AB15" i="12" a="1"/>
  <c r="AB15" i="12" s="1"/>
  <c r="AY15" i="12"/>
  <c r="BJ15" i="12" s="1" a="1"/>
  <c r="BJ15" i="12" s="1"/>
  <c r="H15" i="1" s="1"/>
  <c r="K26" i="3" a="1"/>
  <c r="I88" i="3" a="1"/>
  <c r="P72" i="3" a="1"/>
  <c r="E37" i="3" a="1"/>
  <c r="J67" i="3" a="1"/>
  <c r="L44" i="3" a="1"/>
  <c r="G90" i="3" a="1"/>
  <c r="P56" i="3" a="1"/>
  <c r="J21" i="3" a="1"/>
  <c r="F59" i="3" a="1"/>
  <c r="M33" i="3" a="1"/>
  <c r="P11" i="3" a="1"/>
  <c r="J27" i="3" a="1"/>
  <c r="O13" i="3" a="1"/>
  <c r="N16" i="3" a="1"/>
  <c r="P40" i="3" a="1"/>
  <c r="F76" i="3" a="1"/>
  <c r="J58" i="3" a="1"/>
  <c r="L73" i="3" a="1"/>
  <c r="M14" i="3" a="1"/>
  <c r="M79" i="3" a="1"/>
  <c r="F48" i="3" a="1"/>
  <c r="J38" i="3" a="1"/>
  <c r="G41" i="3" a="1"/>
  <c r="O65" i="3" a="1"/>
  <c r="N78" i="3" a="1"/>
  <c r="H13" i="3" a="1"/>
  <c r="P27" i="3" a="1"/>
  <c r="P73" i="3" a="1"/>
  <c r="I13" i="3" a="1"/>
  <c r="F90" i="3" a="1"/>
  <c r="J85" i="3" a="1"/>
  <c r="I35" i="3" a="1"/>
  <c r="O15" i="3" a="1"/>
  <c r="F63" i="3" a="1"/>
  <c r="K79" i="3" a="1"/>
  <c r="N83" i="3" a="1"/>
  <c r="L17" i="3" a="1"/>
  <c r="H38" i="3" a="1"/>
  <c r="M90" i="3" a="1"/>
  <c r="N22" i="3" a="1"/>
  <c r="K78" i="3" a="1"/>
  <c r="L21" i="3" a="1"/>
  <c r="P70" i="3" a="1"/>
  <c r="J46" i="3" a="1"/>
  <c r="E40" i="3" a="1"/>
  <c r="P26" i="3" a="1"/>
  <c r="H11" i="3" a="1"/>
  <c r="H33" i="3" a="1"/>
  <c r="J15" i="3" a="1"/>
  <c r="M43" i="3" a="1"/>
  <c r="K16" i="3" a="1"/>
  <c r="F12" i="3" a="1"/>
  <c r="G7" i="3" a="1"/>
  <c r="H40" i="3" a="1"/>
  <c r="F53" i="3" a="1"/>
  <c r="P52" i="3" a="1"/>
  <c r="K67" i="3" a="1"/>
  <c r="L80" i="3" a="1"/>
  <c r="O87" i="3" a="1"/>
  <c r="O17" i="3" a="1"/>
  <c r="I76" i="3" a="1"/>
  <c r="M62" i="3" a="1"/>
  <c r="K54" i="3" a="1"/>
  <c r="O76" i="3" a="1"/>
  <c r="F74" i="3" a="1"/>
  <c r="J88" i="3" a="1"/>
  <c r="J16" i="3" a="1"/>
  <c r="E36" i="3" a="1"/>
  <c r="O32" i="3" a="1"/>
  <c r="F14" i="3" a="1"/>
  <c r="H66" i="3" a="1"/>
  <c r="G75" i="3" a="1"/>
  <c r="K7" i="3" a="1"/>
  <c r="P46" i="3" a="1"/>
  <c r="H14" i="3" a="1"/>
  <c r="H52" i="3" a="1"/>
  <c r="O54" i="3" a="1"/>
  <c r="F55" i="3" a="1"/>
  <c r="H69" i="3" a="1"/>
  <c r="I74" i="3" a="1"/>
  <c r="L33" i="3" a="1"/>
  <c r="M48" i="3" a="1"/>
  <c r="L38" i="3" a="1"/>
  <c r="L18" i="3" a="1"/>
  <c r="J84" i="3" a="1"/>
  <c r="O35" i="3" a="1"/>
  <c r="F27" i="3" a="1"/>
  <c r="P69" i="3" a="1"/>
  <c r="N19" i="3" a="1"/>
  <c r="N29" i="3" a="1"/>
  <c r="I15" i="3" a="1"/>
  <c r="E7" i="3" a="1"/>
  <c r="N46" i="3" a="1"/>
  <c r="H88" i="3" a="1"/>
  <c r="I28" i="3" a="1"/>
  <c r="P18" i="3" a="1"/>
  <c r="K13" i="3" a="1"/>
  <c r="H53" i="3" a="1"/>
  <c r="O31" i="3" a="1"/>
  <c r="F56" i="3" a="1"/>
  <c r="F72" i="3" a="1"/>
  <c r="H71" i="3" a="1"/>
  <c r="L78" i="3" a="1"/>
  <c r="J89" i="3" a="1"/>
  <c r="K43" i="3" a="1"/>
  <c r="H78" i="3" a="1"/>
  <c r="H62" i="3" a="1"/>
  <c r="E32" i="3" a="1"/>
  <c r="M52" i="3" a="1"/>
  <c r="E52" i="3" a="1"/>
  <c r="P24" i="3" a="1"/>
  <c r="G86" i="3" a="1"/>
  <c r="E39" i="3" a="1"/>
  <c r="I66" i="3" a="1"/>
  <c r="J57" i="3" a="1"/>
  <c r="N32" i="3" a="1"/>
  <c r="J30" i="3" a="1"/>
  <c r="I30" i="3" a="1"/>
  <c r="J14" i="3" a="1"/>
  <c r="F75" i="3" a="1"/>
  <c r="H68" i="3" a="1"/>
  <c r="P57" i="3" a="1"/>
  <c r="I59" i="3" a="1"/>
  <c r="H39" i="3" a="1"/>
  <c r="E60" i="3" a="1"/>
  <c r="I45" i="3" a="1"/>
  <c r="I75" i="3" a="1"/>
  <c r="E41" i="3" a="1"/>
  <c r="M12" i="3" a="1"/>
  <c r="J40" i="3" a="1"/>
  <c r="I64" i="3" a="1"/>
  <c r="H77" i="3" a="1"/>
  <c r="H15" i="3" a="1"/>
  <c r="N25" i="3" a="1"/>
  <c r="J77" i="3" a="1"/>
  <c r="I7" i="3" a="1"/>
  <c r="P53" i="3" a="1"/>
  <c r="P89" i="3" a="1"/>
  <c r="L81" i="3" a="1"/>
  <c r="E58" i="3" a="1"/>
  <c r="F86" i="3" a="1"/>
  <c r="F79" i="3" a="1"/>
  <c r="F31" i="3" a="1"/>
  <c r="L70" i="3" a="1"/>
  <c r="M71" i="3" a="1"/>
  <c r="G40" i="3" a="1"/>
  <c r="K50" i="3" a="1"/>
  <c r="H17" i="3" a="1"/>
  <c r="O80" i="3" a="1"/>
  <c r="L31" i="3" a="1"/>
  <c r="F29" i="3" a="1"/>
  <c r="J44" i="3" a="1"/>
  <c r="G78" i="3" a="1"/>
  <c r="I34" i="3" a="1"/>
  <c r="F39" i="3" a="1"/>
  <c r="H45" i="3" a="1"/>
  <c r="M18" i="3" a="1"/>
  <c r="P81" i="3" a="1"/>
  <c r="O56" i="3" a="1"/>
  <c r="F49" i="3" a="1"/>
  <c r="L86" i="3" a="1"/>
  <c r="K12" i="3" a="1"/>
  <c r="G59" i="3" a="1"/>
  <c r="E25" i="3" a="1"/>
  <c r="L82" i="3" a="1"/>
  <c r="P63" i="3" a="1"/>
  <c r="G37" i="3" a="1"/>
  <c r="L59" i="3" a="1"/>
  <c r="M42" i="3" a="1"/>
  <c r="K86" i="3" a="1"/>
  <c r="F51" i="3" a="1"/>
  <c r="N17" i="3" a="1"/>
  <c r="N13" i="3" a="1"/>
  <c r="F70" i="3" a="1"/>
  <c r="F37" i="3" a="1"/>
  <c r="N73" i="3" a="1"/>
  <c r="K11" i="3" a="1"/>
  <c r="H63" i="3" a="1"/>
  <c r="N87" i="3" a="1"/>
  <c r="G84" i="3" a="1"/>
  <c r="E31" i="3" a="1"/>
  <c r="F25" i="3" a="1"/>
  <c r="G79" i="3" a="1"/>
  <c r="H27" i="3" a="1"/>
  <c r="H80" i="3" a="1"/>
  <c r="F64" i="3" a="1"/>
  <c r="M30" i="3" a="1"/>
  <c r="P31" i="3" a="1"/>
  <c r="M76" i="3" a="1"/>
  <c r="O58" i="3" a="1"/>
  <c r="F23" i="3" a="1"/>
  <c r="H54" i="3" a="1"/>
  <c r="E19" i="3" a="1"/>
  <c r="H47" i="3" a="1"/>
  <c r="H7" i="3" a="1"/>
  <c r="J11" i="3" a="1"/>
  <c r="O24" i="3" a="1"/>
  <c r="P82" i="3" a="1"/>
  <c r="M57" i="3" a="1"/>
  <c r="I32" i="3" a="1"/>
  <c r="E62" i="3" a="1"/>
  <c r="L64" i="3" a="1"/>
  <c r="O29" i="3" a="1"/>
  <c r="M53" i="3" a="1"/>
  <c r="P90" i="3" a="1"/>
  <c r="J31" i="3" a="1"/>
  <c r="H81" i="3" a="1"/>
  <c r="J66" i="3" a="1"/>
  <c r="L57" i="3" a="1"/>
  <c r="P10" i="3" a="1"/>
  <c r="I51" i="3" a="1"/>
  <c r="I10" i="3" a="1"/>
  <c r="P16" i="3" a="1"/>
  <c r="E90" i="3" a="1"/>
  <c r="P25" i="3" a="1"/>
  <c r="M35" i="3" a="1"/>
  <c r="L60" i="3" a="1"/>
  <c r="J86" i="3" a="1"/>
  <c r="K22" i="3" a="1"/>
  <c r="N79" i="3" a="1"/>
  <c r="K71" i="3" a="1"/>
  <c r="P50" i="3" a="1"/>
  <c r="E79" i="3" a="1"/>
  <c r="L19" i="3" a="1"/>
  <c r="F78" i="3" a="1"/>
  <c r="M38" i="3" a="1"/>
  <c r="P54" i="3" a="1"/>
  <c r="O38" i="3" a="1"/>
  <c r="P80" i="3" a="1"/>
  <c r="E24" i="3" a="1"/>
  <c r="H60" i="3" a="1"/>
  <c r="E14" i="3" a="1"/>
  <c r="E77" i="3" a="1"/>
  <c r="G74" i="3" a="1"/>
  <c r="N53" i="3" a="1"/>
  <c r="L90" i="3" a="1"/>
  <c r="N42" i="3" a="1"/>
  <c r="O82" i="3" a="1"/>
  <c r="I82" i="3" a="1"/>
  <c r="P49" i="3" a="1"/>
  <c r="N71" i="3" a="1"/>
  <c r="M75" i="3" a="1"/>
  <c r="N28" i="3" a="1"/>
  <c r="N56" i="3" a="1"/>
  <c r="M82" i="3" a="1"/>
  <c r="H12" i="3" a="1"/>
  <c r="K65" i="3" a="1"/>
  <c r="O10" i="3" a="1"/>
  <c r="F33" i="3" a="1"/>
  <c r="L35" i="3" a="1"/>
  <c r="M11" i="3" a="1"/>
  <c r="N31" i="3" a="1"/>
  <c r="M45" i="3" a="1"/>
  <c r="M29" i="3" a="1"/>
  <c r="K81" i="3" a="1"/>
  <c r="L34" i="3" a="1"/>
  <c r="J65" i="3" a="1"/>
  <c r="N65" i="3" a="1"/>
  <c r="N21" i="3" a="1"/>
  <c r="O40" i="3" a="1"/>
  <c r="J22" i="3" a="1"/>
  <c r="N7" i="3" a="1"/>
  <c r="J37" i="3" a="1"/>
  <c r="E66" i="3" a="1"/>
  <c r="L75" i="3" a="1"/>
  <c r="P36" i="3" a="1"/>
  <c r="I86" i="3" a="1"/>
  <c r="M32" i="3" a="1"/>
  <c r="E56" i="3" a="1"/>
  <c r="F16" i="3" a="1"/>
  <c r="N66" i="3" a="1"/>
  <c r="E63" i="3" a="1"/>
  <c r="P87" i="3" a="1"/>
  <c r="P77" i="3" a="1"/>
  <c r="L69" i="3" a="1"/>
  <c r="P15" i="3" a="1"/>
  <c r="M69" i="3" a="1"/>
  <c r="K82" i="3" a="1"/>
  <c r="P30" i="3" a="1"/>
  <c r="P65" i="3" a="1"/>
  <c r="I55" i="3" a="1"/>
  <c r="I58" i="3" a="1"/>
  <c r="O57" i="3" a="1"/>
  <c r="O68" i="3" a="1"/>
  <c r="H36" i="3" a="1"/>
  <c r="I52" i="3" a="1"/>
  <c r="E50" i="3" a="1"/>
  <c r="K85" i="3" a="1"/>
  <c r="K36" i="3" a="1"/>
  <c r="N33" i="3" a="1"/>
  <c r="G46" i="3" a="1"/>
  <c r="J41" i="3" a="1"/>
  <c r="E65" i="3" a="1"/>
  <c r="I78" i="3" a="1"/>
  <c r="H42" i="3" a="1"/>
  <c r="P74" i="3" a="1"/>
  <c r="O18" i="3" a="1"/>
  <c r="M20" i="3" a="1"/>
  <c r="F47" i="3" a="1"/>
  <c r="O48" i="3" a="1"/>
  <c r="M67" i="3" a="1"/>
  <c r="F57" i="3" a="1"/>
  <c r="E44" i="3" a="1"/>
  <c r="M16" i="3" a="1"/>
  <c r="L48" i="3" a="1"/>
  <c r="E45" i="3" a="1"/>
  <c r="H56" i="3" a="1"/>
  <c r="J76" i="3" a="1"/>
  <c r="L28" i="3" a="1"/>
  <c r="E12" i="3" a="1"/>
  <c r="G67" i="3" a="1"/>
  <c r="M56" i="3" a="1"/>
  <c r="J19" i="3" a="1"/>
  <c r="L85" i="3" a="1"/>
  <c r="K73" i="3" a="1"/>
  <c r="E15" i="3" a="1"/>
  <c r="E34" i="3" a="1"/>
  <c r="O74" i="3" a="1"/>
  <c r="F7" i="3" a="1"/>
  <c r="E88" i="3" a="1"/>
  <c r="L63" i="3" a="1"/>
  <c r="G57" i="3" a="1"/>
  <c r="G43" i="3" a="1"/>
  <c r="P28" i="3" a="1"/>
  <c r="E89" i="3" a="1"/>
  <c r="N48" i="3" a="1"/>
  <c r="O34" i="3" a="1"/>
  <c r="P39" i="3" a="1"/>
  <c r="E10" i="3" a="1"/>
  <c r="L87" i="3" a="1"/>
  <c r="K75" i="3" a="1"/>
  <c r="E11" i="3" a="1"/>
  <c r="I46" i="3" a="1"/>
  <c r="F69" i="3" a="1"/>
  <c r="I56" i="3" a="1"/>
  <c r="H20" i="3" a="1"/>
  <c r="F80" i="3" a="1"/>
  <c r="P62" i="3" a="1"/>
  <c r="P59" i="3" a="1"/>
  <c r="N15" i="3" a="1"/>
  <c r="I12" i="3" a="1"/>
  <c r="I49" i="3" a="1"/>
  <c r="N18" i="3" a="1"/>
  <c r="G62" i="3" a="1"/>
  <c r="J45" i="3" a="1"/>
  <c r="F50" i="3" a="1"/>
  <c r="J81" i="3" a="1"/>
  <c r="O45" i="3" a="1"/>
  <c r="O44" i="3" a="1"/>
  <c r="K40" i="3" a="1"/>
  <c r="N51" i="3" a="1"/>
  <c r="L22" i="3" a="1"/>
  <c r="F19" i="3" a="1"/>
  <c r="J48" i="3" a="1"/>
  <c r="H28" i="3" a="1"/>
  <c r="I31" i="3" a="1"/>
  <c r="J26" i="3" a="1"/>
  <c r="E30" i="3" a="1"/>
  <c r="H44" i="3" a="1"/>
  <c r="F15" i="3" a="1"/>
  <c r="L16" i="3" a="1"/>
  <c r="K90" i="3" a="1"/>
  <c r="O16" i="3" a="1"/>
  <c r="H21" i="3" a="1"/>
  <c r="I67" i="3" a="1"/>
  <c r="L67" i="3" a="1"/>
  <c r="L61" i="3" a="1"/>
  <c r="K55" i="3" a="1"/>
  <c r="G44" i="3" a="1"/>
  <c r="E78" i="3" a="1"/>
  <c r="H29" i="3" a="1"/>
  <c r="P19" i="3" a="1"/>
  <c r="E46" i="3" a="1"/>
  <c r="G56" i="3" a="1"/>
  <c r="P21" i="3" a="1"/>
  <c r="I68" i="3" a="1"/>
  <c r="J47" i="3" a="1"/>
  <c r="P23" i="3" a="1"/>
  <c r="K72" i="3" a="1"/>
  <c r="K46" i="3" a="1"/>
  <c r="N80" i="3" a="1"/>
  <c r="G21" i="3" a="1"/>
  <c r="H41" i="3" a="1"/>
  <c r="F46" i="3" a="1"/>
  <c r="N14" i="3" a="1"/>
  <c r="M39" i="3" a="1"/>
  <c r="F45" i="3" a="1"/>
  <c r="H61" i="3" a="1"/>
  <c r="N41" i="3" a="1"/>
  <c r="I89" i="3" a="1"/>
  <c r="G65" i="3" a="1"/>
  <c r="M70" i="3" a="1"/>
  <c r="J12" i="3" a="1"/>
  <c r="O81" i="3" a="1"/>
  <c r="E49" i="3" a="1"/>
  <c r="P17" i="3" a="1"/>
  <c r="G35" i="3" a="1"/>
  <c r="O41" i="3" a="1"/>
  <c r="J20" i="3" a="1"/>
  <c r="N50" i="3" a="1"/>
  <c r="K38" i="3" a="1"/>
  <c r="G11" i="3" a="1"/>
  <c r="N37" i="3" a="1"/>
  <c r="J53" i="3" a="1"/>
  <c r="K21" i="3" a="1"/>
  <c r="I14" i="3" a="1"/>
  <c r="P71" i="3" a="1"/>
  <c r="O7" i="3" a="1"/>
  <c r="J36" i="3" a="1"/>
  <c r="G32" i="3" a="1"/>
  <c r="I19" i="3" a="1"/>
  <c r="E29" i="3" a="1"/>
  <c r="M81" i="3" a="1"/>
  <c r="K20" i="3" a="1"/>
  <c r="F20" i="3" a="1"/>
  <c r="M7" i="3" a="1"/>
  <c r="M46" i="3" a="1"/>
  <c r="P38" i="3" a="1"/>
  <c r="L56" i="3" a="1"/>
  <c r="O64" i="3" a="1"/>
  <c r="L89" i="3" a="1"/>
  <c r="O88" i="3" a="1"/>
  <c r="G89" i="3" a="1"/>
  <c r="J61" i="3" a="1"/>
  <c r="E70" i="3" a="1"/>
  <c r="J63" i="3" a="1"/>
  <c r="H87" i="3" a="1"/>
  <c r="F81" i="3" a="1"/>
  <c r="F71" i="3" a="1"/>
  <c r="F35" i="3" a="1"/>
  <c r="H31" i="3" a="1"/>
  <c r="N75" i="3" a="1"/>
  <c r="G58" i="3" a="1"/>
  <c r="J79" i="3" a="1"/>
  <c r="O60" i="3" a="1"/>
  <c r="G13" i="3" a="1"/>
  <c r="M31" i="3" a="1"/>
  <c r="M21" i="3" a="1"/>
  <c r="G77" i="3" a="1"/>
  <c r="F41" i="3" a="1"/>
  <c r="O23" i="3" a="1"/>
  <c r="L13" i="3" a="1"/>
  <c r="N62" i="3" a="1"/>
  <c r="I72" i="3" a="1"/>
  <c r="H19" i="3" a="1"/>
  <c r="P60" i="3" a="1"/>
  <c r="G53" i="3" a="1"/>
  <c r="M83" i="3" a="1"/>
  <c r="J43" i="3" a="1"/>
  <c r="F17" i="3" a="1"/>
  <c r="E13" i="3" a="1"/>
  <c r="I17" i="3" a="1"/>
  <c r="P47" i="3" a="1"/>
  <c r="L74" i="3" a="1"/>
  <c r="L29" i="3" a="1"/>
  <c r="I40" i="3" a="1"/>
  <c r="E72" i="3" a="1"/>
  <c r="N55" i="3" a="1"/>
  <c r="J73" i="3" a="1"/>
  <c r="L65" i="3" a="1"/>
  <c r="O47" i="3" a="1"/>
  <c r="E42" i="3" a="1"/>
  <c r="I90" i="3" a="1"/>
  <c r="G80" i="3" a="1"/>
  <c r="P76" i="3" a="1"/>
  <c r="K68" i="3" a="1"/>
  <c r="I18" i="3" a="1"/>
  <c r="J64" i="3" a="1"/>
  <c r="F73" i="3" a="1"/>
  <c r="I61" i="3" a="1"/>
  <c r="N36" i="3" a="1"/>
  <c r="J78" i="3" a="1"/>
  <c r="H16" i="3" a="1"/>
  <c r="O66" i="3" a="1"/>
  <c r="K28" i="3" a="1"/>
  <c r="M23" i="3" a="1"/>
  <c r="H51" i="3" a="1"/>
  <c r="K76" i="3" a="1"/>
  <c r="O39" i="3" a="1"/>
  <c r="O52" i="3" a="1"/>
  <c r="O63" i="3" a="1"/>
  <c r="E59" i="3" a="1"/>
  <c r="L49" i="3" a="1"/>
  <c r="O69" i="3" a="1"/>
  <c r="I65" i="3" a="1"/>
  <c r="O43" i="3" a="1"/>
  <c r="E51" i="3" a="1"/>
  <c r="J80" i="3" a="1"/>
  <c r="G63" i="3" a="1"/>
  <c r="J17" i="3" a="1"/>
  <c r="M64" i="3" a="1"/>
  <c r="H86" i="3" a="1"/>
  <c r="H70" i="3" a="1"/>
  <c r="K18" i="3" a="1"/>
  <c r="O86" i="3" a="1"/>
  <c r="L30" i="3" a="1"/>
  <c r="I69" i="3" a="1"/>
  <c r="P22" i="3" a="1"/>
  <c r="F66" i="3" a="1"/>
  <c r="K49" i="3" a="1"/>
  <c r="M10" i="3" a="1"/>
  <c r="H59" i="3" a="1"/>
  <c r="O75" i="3" a="1"/>
  <c r="M15" i="3" a="1"/>
  <c r="I77" i="3" a="1"/>
  <c r="M24" i="3" a="1"/>
  <c r="G36" i="3" a="1"/>
  <c r="G39" i="3" a="1"/>
  <c r="E86" i="3" a="1"/>
  <c r="M50" i="3" a="1"/>
  <c r="F30" i="3" a="1"/>
  <c r="L25" i="3" a="1"/>
  <c r="I26" i="3" a="1"/>
  <c r="M25" i="3" a="1"/>
  <c r="L58" i="3" a="1"/>
  <c r="F65" i="3" a="1"/>
  <c r="M84" i="3" a="1"/>
  <c r="P35" i="3" a="1"/>
  <c r="E17" i="3" a="1"/>
  <c r="G81" i="3" a="1"/>
  <c r="K87" i="3" a="1"/>
  <c r="F36" i="3" a="1"/>
  <c r="J82" i="3" a="1"/>
  <c r="I44" i="3" a="1"/>
  <c r="L76" i="3" a="1"/>
  <c r="L79" i="3" a="1"/>
  <c r="J74" i="3" a="1"/>
  <c r="L37" i="3" a="1"/>
  <c r="J83" i="3" a="1"/>
  <c r="J72" i="3" a="1"/>
  <c r="L39" i="3" a="1"/>
  <c r="L47" i="3" a="1"/>
  <c r="J29" i="3" a="1"/>
  <c r="M54" i="3" a="1"/>
  <c r="I23" i="3" a="1"/>
  <c r="M51" i="3" a="1"/>
  <c r="F34" i="3" a="1"/>
  <c r="N12" i="3" a="1"/>
  <c r="H43" i="3" a="1"/>
  <c r="L71" i="3" a="1"/>
  <c r="I87" i="3" a="1"/>
  <c r="P13" i="3" a="1"/>
  <c r="M66" i="3" a="1"/>
  <c r="F21" i="3" a="1"/>
  <c r="M85" i="3" a="1"/>
  <c r="L62" i="3" a="1"/>
  <c r="I41" i="3" a="1"/>
  <c r="G23" i="3" a="1"/>
  <c r="K23" i="3" a="1"/>
  <c r="E21" i="3" a="1"/>
  <c r="G54" i="3" a="1"/>
  <c r="J32" i="3" a="1"/>
  <c r="G27" i="3" a="1"/>
  <c r="O90" i="3" a="1"/>
  <c r="E26" i="3" a="1"/>
  <c r="G18" i="3" a="1"/>
  <c r="F43" i="3" a="1"/>
  <c r="P33" i="3" a="1"/>
  <c r="N34" i="3" a="1"/>
  <c r="H49" i="3" a="1"/>
  <c r="K63" i="3" a="1"/>
  <c r="O83" i="3" a="1"/>
  <c r="E18" i="3" a="1"/>
  <c r="K41" i="3" a="1"/>
  <c r="K25" i="3" a="1"/>
  <c r="L41" i="3" a="1"/>
  <c r="O67" i="3" a="1"/>
  <c r="J62" i="3" a="1"/>
  <c r="I11" i="3" a="1"/>
  <c r="L42" i="3" a="1"/>
  <c r="H35" i="3" a="1"/>
  <c r="G83" i="3" a="1"/>
  <c r="P44" i="3" a="1"/>
  <c r="J10" i="3" a="1"/>
  <c r="L20" i="3" a="1"/>
  <c r="M87" i="3" a="1"/>
  <c r="G30" i="3" a="1"/>
  <c r="O30" i="3" a="1"/>
  <c r="N88" i="3" a="1"/>
  <c r="P88" i="3" a="1"/>
  <c r="I21" i="3" a="1"/>
  <c r="J35" i="3" a="1"/>
  <c r="I83" i="3" a="1"/>
  <c r="P85" i="3" a="1"/>
  <c r="N20" i="3" a="1"/>
  <c r="M17" i="3" a="1"/>
  <c r="K69" i="3" a="1"/>
  <c r="J55" i="3" a="1"/>
  <c r="O51" i="3" a="1"/>
  <c r="F42" i="3" a="1"/>
  <c r="I39" i="3" a="1"/>
  <c r="J51" i="3" a="1"/>
  <c r="G51" i="3" a="1"/>
  <c r="J52" i="3" a="1"/>
  <c r="J25" i="3" a="1"/>
  <c r="O84" i="3" a="1"/>
  <c r="G87" i="3" a="1"/>
  <c r="H50" i="3" a="1"/>
  <c r="M22" i="3" a="1"/>
  <c r="N72" i="3" a="1"/>
  <c r="P45" i="3" a="1"/>
  <c r="L68" i="3" a="1"/>
  <c r="O62" i="3" a="1"/>
  <c r="O26" i="3" a="1"/>
  <c r="E85" i="3" a="1"/>
  <c r="P64" i="3" a="1"/>
  <c r="N77" i="3" a="1"/>
  <c r="H48" i="3" a="1"/>
  <c r="G19" i="3" a="1"/>
  <c r="J69" i="3" a="1"/>
  <c r="G31" i="3" a="1"/>
  <c r="N30" i="3" a="1"/>
  <c r="L15" i="3" a="1"/>
  <c r="N68" i="3" a="1"/>
  <c r="N24" i="3" a="1"/>
  <c r="E75" i="3" a="1"/>
  <c r="O27" i="3" a="1"/>
  <c r="M13" i="3" a="1"/>
  <c r="L72" i="3" a="1"/>
  <c r="K15" i="3" a="1"/>
  <c r="H75" i="3" a="1"/>
  <c r="F38" i="3" a="1"/>
  <c r="N44" i="3" a="1"/>
  <c r="I42" i="3" a="1"/>
  <c r="N38" i="3" a="1"/>
  <c r="F85" i="3" a="1"/>
  <c r="K80" i="3" a="1"/>
  <c r="G88" i="3" a="1"/>
  <c r="O78" i="3" a="1"/>
  <c r="M72" i="3" a="1"/>
  <c r="O55" i="3" a="1"/>
  <c r="P48" i="3" a="1"/>
  <c r="F62" i="3" a="1"/>
  <c r="L46" i="3" a="1"/>
  <c r="G47" i="3" a="1"/>
  <c r="H23" i="3" a="1"/>
  <c r="M47" i="3" a="1"/>
  <c r="E38" i="3" a="1"/>
  <c r="F22" i="3" a="1"/>
  <c r="G38" i="3" a="1"/>
  <c r="P66" i="3" a="1"/>
  <c r="N60" i="3" a="1"/>
  <c r="F54" i="3" a="1"/>
  <c r="I53" i="3" a="1"/>
  <c r="K74" i="3" a="1"/>
  <c r="M88" i="3" a="1"/>
  <c r="G49" i="3" a="1"/>
  <c r="M61" i="3" a="1"/>
  <c r="G55" i="3" a="1"/>
  <c r="O11" i="3" a="1"/>
  <c r="L83" i="3" a="1"/>
  <c r="K53" i="3" a="1"/>
  <c r="N39" i="3" a="1"/>
  <c r="G76" i="3" a="1"/>
  <c r="H22" i="3" a="1"/>
  <c r="P83" i="3" a="1"/>
  <c r="E27" i="3" a="1"/>
  <c r="E71" i="3" a="1"/>
  <c r="N64" i="3" a="1"/>
  <c r="J7" i="3" a="1"/>
  <c r="G26" i="3" a="1"/>
  <c r="N85" i="3" a="1"/>
  <c r="K19" i="3" a="1"/>
  <c r="F44" i="3" a="1"/>
  <c r="G69" i="3" a="1"/>
  <c r="K59" i="3" a="1"/>
  <c r="E80" i="3" a="1"/>
  <c r="J56" i="3" a="1"/>
  <c r="F82" i="3" a="1"/>
  <c r="F87" i="3" a="1"/>
  <c r="E73" i="3" a="1"/>
  <c r="G14" i="3" a="1"/>
  <c r="O70" i="3" a="1"/>
  <c r="H55" i="3" a="1"/>
  <c r="H65" i="3" a="1"/>
  <c r="K52" i="3" a="1"/>
  <c r="E55" i="3" a="1"/>
  <c r="G28" i="3" a="1"/>
  <c r="E28" i="3" a="1"/>
  <c r="N52" i="3" a="1"/>
  <c r="P67" i="3" a="1"/>
  <c r="K30" i="3" a="1"/>
  <c r="H67" i="3" a="1"/>
  <c r="L12" i="3" a="1"/>
  <c r="M78" i="3" a="1"/>
  <c r="G50" i="3" a="1"/>
  <c r="O77" i="3" a="1"/>
  <c r="M60" i="3" a="1"/>
  <c r="G29" i="3" a="1"/>
  <c r="P75" i="3" a="1"/>
  <c r="M26" i="3" a="1"/>
  <c r="E57" i="3" a="1"/>
  <c r="H25" i="3" a="1"/>
  <c r="G17" i="3" a="1"/>
  <c r="J42" i="3" a="1"/>
  <c r="J59" i="3" a="1"/>
  <c r="O36" i="3" a="1"/>
  <c r="J28" i="3" a="1"/>
  <c r="M74" i="3" a="1"/>
  <c r="K62" i="3" a="1"/>
  <c r="E83" i="3" a="1"/>
  <c r="N58" i="3" a="1"/>
  <c r="K64" i="3" a="1"/>
  <c r="H83" i="3" a="1"/>
  <c r="K77" i="3" a="1"/>
  <c r="L53" i="3" a="1"/>
  <c r="M55" i="3" a="1"/>
  <c r="M40" i="3" a="1"/>
  <c r="K34" i="3" a="1"/>
  <c r="E20" i="3" a="1"/>
  <c r="O12" i="3" a="1"/>
  <c r="P7" i="3" a="1"/>
  <c r="E48" i="3" a="1"/>
  <c r="E84" i="3" a="1"/>
  <c r="G20" i="3" a="1"/>
  <c r="F61" i="3" a="1"/>
  <c r="L7" i="3" a="1"/>
  <c r="H37" i="3" a="1"/>
  <c r="I25" i="3" a="1"/>
  <c r="F13" i="3" a="1"/>
  <c r="J90" i="3" a="1"/>
  <c r="K56" i="3" a="1"/>
  <c r="N82" i="3" a="1"/>
  <c r="G82" i="3" a="1"/>
  <c r="B1" i="4" a="1"/>
  <c r="M44" i="3" a="1"/>
  <c r="K39" i="3" a="1"/>
  <c r="K17" i="3" a="1"/>
  <c r="I22" i="3" a="1"/>
  <c r="K70" i="3" a="1"/>
  <c r="I29" i="3" a="1"/>
  <c r="O73" i="3" a="1"/>
  <c r="N26" i="3" a="1"/>
  <c r="F67" i="3" a="1"/>
  <c r="G66" i="3" a="1"/>
  <c r="I63" i="3" a="1"/>
  <c r="I54" i="3" a="1"/>
  <c r="N76" i="3" a="1"/>
  <c r="O22" i="3" a="1"/>
  <c r="N90" i="3" a="1"/>
  <c r="G25" i="3" a="1"/>
  <c r="L88" i="3" a="1"/>
  <c r="P34" i="3" a="1"/>
  <c r="G68" i="3" a="1"/>
  <c r="J34" i="3" a="1"/>
  <c r="O25" i="3" a="1"/>
  <c r="L51" i="3" a="1"/>
  <c r="O33" i="3" a="1"/>
  <c r="K10" i="3" a="1"/>
  <c r="E53" i="3" a="1"/>
  <c r="L26" i="3" a="1"/>
  <c r="G60" i="3" a="1"/>
  <c r="M58" i="3" a="1"/>
  <c r="J23" i="3" a="1"/>
  <c r="E69" i="3" a="1"/>
  <c r="K89" i="3" a="1"/>
  <c r="J70" i="3" a="1"/>
  <c r="P20" i="3" a="1"/>
  <c r="L77" i="3" a="1"/>
  <c r="O14" i="3" a="1"/>
  <c r="P12" i="3" a="1"/>
  <c r="H85" i="3" a="1"/>
  <c r="G22" i="3" a="1"/>
  <c r="N49" i="3" a="1"/>
  <c r="M27" i="3" a="1"/>
  <c r="L50" i="3" a="1"/>
  <c r="N89" i="3" a="1"/>
  <c r="G42" i="3" a="1"/>
  <c r="E16" i="3" a="1"/>
  <c r="J87" i="3" a="1"/>
  <c r="J39" i="3" a="1"/>
  <c r="L84" i="3" a="1"/>
  <c r="L36" i="3" a="1"/>
  <c r="L45" i="3" a="1"/>
  <c r="O46" i="3" a="1"/>
  <c r="I73" i="3" a="1"/>
  <c r="M37" i="3" a="1"/>
  <c r="O53" i="3" a="1"/>
  <c r="N40" i="3" a="1"/>
  <c r="M59" i="3" a="1"/>
  <c r="I37" i="3" a="1"/>
  <c r="F77" i="3" a="1"/>
  <c r="K14" i="3" a="1"/>
  <c r="J50" i="3" a="1"/>
  <c r="H30" i="3" a="1"/>
  <c r="O85" i="3" a="1"/>
  <c r="I48" i="3" a="1"/>
  <c r="K35" i="3" a="1"/>
  <c r="I27" i="3" a="1"/>
  <c r="F18" i="3" a="1"/>
  <c r="E76" i="3" a="1"/>
  <c r="O37" i="3" a="1"/>
  <c r="L52" i="3" a="1"/>
  <c r="L66" i="3" a="1"/>
  <c r="K84" i="3" a="1"/>
  <c r="K47" i="3" a="1"/>
  <c r="K32" i="3" a="1"/>
  <c r="P42" i="3" a="1"/>
  <c r="K88" i="3" a="1"/>
  <c r="K66" i="3" a="1"/>
  <c r="N74" i="3" a="1"/>
  <c r="H18" i="3" a="1"/>
  <c r="F58" i="3" a="1"/>
  <c r="M63" i="3" a="1"/>
  <c r="K29" i="3" a="1"/>
  <c r="P43" i="3" a="1"/>
  <c r="H58" i="3" a="1"/>
  <c r="M34" i="3" a="1"/>
  <c r="I85" i="3" a="1"/>
  <c r="N27" i="3" a="1"/>
  <c r="L55" i="3" a="1"/>
  <c r="F88" i="3" a="1"/>
  <c r="P86" i="3" a="1"/>
  <c r="K83" i="3" a="1"/>
  <c r="K44" i="3" a="1"/>
  <c r="K33" i="3" a="1"/>
  <c r="E82" i="3" a="1"/>
  <c r="F84" i="3" a="1"/>
  <c r="G64" i="3" a="1"/>
  <c r="G71" i="3" a="1"/>
  <c r="N45" i="3" a="1"/>
  <c r="G73" i="3" a="1"/>
  <c r="F83" i="3" a="1"/>
  <c r="L24" i="3" a="1"/>
  <c r="O61" i="3" a="1"/>
  <c r="I20" i="3" a="1"/>
  <c r="O71" i="3" a="1"/>
  <c r="M73" i="3" a="1"/>
  <c r="P79" i="3" a="1"/>
  <c r="G70" i="3" a="1"/>
  <c r="E22" i="3" a="1"/>
  <c r="O49" i="3" a="1"/>
  <c r="J33" i="3" a="1"/>
  <c r="K57" i="3" a="1"/>
  <c r="M86" i="3" a="1"/>
  <c r="N86" i="3" a="1"/>
  <c r="P29" i="3" a="1"/>
  <c r="I81" i="3" a="1"/>
  <c r="L40" i="3" a="1"/>
  <c r="F40" i="3" a="1"/>
  <c r="N63" i="3" a="1"/>
  <c r="E23" i="3" a="1"/>
  <c r="N67" i="3" a="1"/>
  <c r="I43" i="3" a="1"/>
  <c r="E54" i="3" a="1"/>
  <c r="L14" i="3" a="1"/>
  <c r="E43" i="3" a="1"/>
  <c r="O79" i="3" a="1"/>
  <c r="I36" i="3" a="1"/>
  <c r="O72" i="3" a="1"/>
  <c r="K24" i="3" a="1"/>
  <c r="N69" i="3" a="1"/>
  <c r="L54" i="3" a="1"/>
  <c r="H64" i="3" a="1"/>
  <c r="L11" i="3" a="1"/>
  <c r="G61" i="3" a="1"/>
  <c r="F68" i="3" a="1"/>
  <c r="O50" i="3" a="1"/>
  <c r="K58" i="3" a="1"/>
  <c r="L27" i="3" a="1"/>
  <c r="K42" i="3" a="1"/>
  <c r="E61" i="3" a="1"/>
  <c r="N35" i="3" a="1"/>
  <c r="F28" i="3" a="1"/>
  <c r="H82" i="3" a="1"/>
  <c r="I80" i="3" a="1"/>
  <c r="F89" i="3" a="1"/>
  <c r="P68" i="3" a="1"/>
  <c r="I79" i="3" a="1"/>
  <c r="G52" i="3" a="1"/>
  <c r="G34" i="3" a="1"/>
  <c r="J18" i="3" a="1"/>
  <c r="K61" i="3" a="1"/>
  <c r="M65" i="3" a="1"/>
  <c r="H90" i="3" a="1"/>
  <c r="J75" i="3" a="1"/>
  <c r="N23" i="3" a="1"/>
  <c r="J49" i="3" a="1"/>
  <c r="J13" i="3" a="1"/>
  <c r="H57" i="3" a="1"/>
  <c r="I70" i="3" a="1"/>
  <c r="I71" i="3" a="1"/>
  <c r="N47" i="3" a="1"/>
  <c r="N61" i="3" a="1"/>
  <c r="F52" i="3" a="1"/>
  <c r="I16" i="3" a="1"/>
  <c r="H32" i="3" a="1"/>
  <c r="E81" i="3" a="1"/>
  <c r="H76" i="3" a="1"/>
  <c r="G48" i="3" a="1"/>
  <c r="P32" i="3" a="1"/>
  <c r="I38" i="3" a="1"/>
  <c r="M28" i="3" a="1"/>
  <c r="M41" i="3" a="1"/>
  <c r="N59" i="3" a="1"/>
  <c r="G85" i="3" a="1"/>
  <c r="M19" i="3" a="1"/>
  <c r="P41" i="3" a="1"/>
  <c r="P14" i="3" a="1"/>
  <c r="E87" i="3" a="1"/>
  <c r="I84" i="3" a="1"/>
  <c r="J60" i="3" a="1"/>
  <c r="F32" i="3" a="1"/>
  <c r="N57" i="3" a="1"/>
  <c r="L10" i="3" a="1"/>
  <c r="H72" i="3" a="1"/>
  <c r="O59" i="3" a="1"/>
  <c r="M68" i="3" a="1"/>
  <c r="P37" i="3" a="1"/>
  <c r="F60" i="3" a="1"/>
  <c r="E64" i="3" a="1"/>
  <c r="E47" i="3" a="1"/>
  <c r="G72" i="3" a="1"/>
  <c r="J24" i="3" a="1"/>
  <c r="H26" i="3" a="1"/>
  <c r="L43" i="3" a="1"/>
  <c r="P58" i="3" a="1"/>
  <c r="H74" i="3" a="1"/>
  <c r="M49" i="3" a="1"/>
  <c r="G45" i="3" a="1"/>
  <c r="G33" i="3" a="1"/>
  <c r="I33" i="3" a="1"/>
  <c r="G15" i="3" a="1"/>
  <c r="E33" i="3" a="1"/>
  <c r="P78" i="3" a="1"/>
  <c r="P55" i="3" a="1"/>
  <c r="P61" i="3" a="1"/>
  <c r="E74" i="3" a="1"/>
  <c r="I60" i="3" a="1"/>
  <c r="K31" i="3" a="1"/>
  <c r="H34" i="3" a="1"/>
  <c r="E35" i="3" a="1"/>
  <c r="H89" i="3" a="1"/>
  <c r="K51" i="3" a="1"/>
  <c r="K48" i="3" a="1"/>
  <c r="H79" i="3" a="1"/>
  <c r="N54" i="3" a="1"/>
  <c r="K45" i="3" a="1"/>
  <c r="H73" i="3" a="1"/>
  <c r="E67" i="3" a="1"/>
  <c r="K27" i="3" a="1"/>
  <c r="I62" i="3" a="1"/>
  <c r="I57" i="3" a="1"/>
  <c r="G10" i="3" a="1"/>
  <c r="L23" i="3" a="1"/>
  <c r="N70" i="3" a="1"/>
  <c r="M80" i="3" a="1"/>
  <c r="N43" i="3" a="1"/>
  <c r="P84" i="3" a="1"/>
  <c r="J68" i="3" a="1"/>
  <c r="N84" i="3" a="1"/>
  <c r="J71" i="3" a="1"/>
  <c r="K37" i="3" a="1"/>
  <c r="N81" i="3" a="1"/>
  <c r="J54" i="3" a="1"/>
  <c r="H84" i="3" a="1"/>
  <c r="O42" i="3" a="1"/>
  <c r="N11" i="3" a="1"/>
  <c r="O28" i="3" a="1"/>
  <c r="H46" i="3" a="1"/>
  <c r="O19" i="3" a="1"/>
  <c r="P51" i="3" a="1"/>
  <c r="N10" i="3" a="1"/>
  <c r="K60" i="3" a="1"/>
  <c r="I47" i="3" a="1"/>
  <c r="L32" i="3" a="1"/>
  <c r="O21" i="3" a="1"/>
  <c r="M89" i="3" a="1"/>
  <c r="O20" i="3" a="1"/>
  <c r="M77" i="3" a="1"/>
  <c r="I50" i="3" a="1"/>
  <c r="M36" i="3" a="1"/>
  <c r="F26" i="3" a="1"/>
  <c r="O89" i="3" a="1"/>
  <c r="E68" i="3" a="1"/>
  <c r="E68" i="3" l="1"/>
  <c r="O89" i="3"/>
  <c r="F26" i="3"/>
  <c r="M36" i="3"/>
  <c r="I50" i="3"/>
  <c r="M77" i="3"/>
  <c r="O20" i="3"/>
  <c r="M89" i="3"/>
  <c r="O21" i="3"/>
  <c r="L32" i="3"/>
  <c r="I47" i="3"/>
  <c r="K60" i="3"/>
  <c r="N10" i="3"/>
  <c r="P51" i="3"/>
  <c r="O19" i="3"/>
  <c r="H46" i="3"/>
  <c r="O28" i="3"/>
  <c r="N11" i="3"/>
  <c r="N9" i="3" s="1"/>
  <c r="O42" i="3"/>
  <c r="H84" i="3"/>
  <c r="J54" i="3"/>
  <c r="N81" i="3"/>
  <c r="K37" i="3"/>
  <c r="J71" i="3"/>
  <c r="N84" i="3"/>
  <c r="J68" i="3"/>
  <c r="P84" i="3"/>
  <c r="N43" i="3"/>
  <c r="M80" i="3"/>
  <c r="N70" i="3"/>
  <c r="L23" i="3"/>
  <c r="G10" i="3"/>
  <c r="I57" i="3"/>
  <c r="I62" i="3"/>
  <c r="K27" i="3"/>
  <c r="E67" i="3"/>
  <c r="H73" i="3"/>
  <c r="K45" i="3"/>
  <c r="N54" i="3"/>
  <c r="H79" i="3"/>
  <c r="K48" i="3"/>
  <c r="K51" i="3"/>
  <c r="H89" i="3"/>
  <c r="E35" i="3"/>
  <c r="H34" i="3"/>
  <c r="K31" i="3"/>
  <c r="I60" i="3"/>
  <c r="E74" i="3"/>
  <c r="P61" i="3"/>
  <c r="P55" i="3"/>
  <c r="P78" i="3"/>
  <c r="E33" i="3"/>
  <c r="G15" i="3"/>
  <c r="I33" i="3"/>
  <c r="G33" i="3"/>
  <c r="G45" i="3"/>
  <c r="M49" i="3"/>
  <c r="H74" i="3"/>
  <c r="P58" i="3"/>
  <c r="L43" i="3"/>
  <c r="H26" i="3"/>
  <c r="J24" i="3"/>
  <c r="G72" i="3"/>
  <c r="E47" i="3"/>
  <c r="E64" i="3"/>
  <c r="F60" i="3"/>
  <c r="P37" i="3"/>
  <c r="M68" i="3"/>
  <c r="O59" i="3"/>
  <c r="H72" i="3"/>
  <c r="L10" i="3"/>
  <c r="N57" i="3"/>
  <c r="F32" i="3"/>
  <c r="J60" i="3"/>
  <c r="I84" i="3"/>
  <c r="E87" i="3"/>
  <c r="P14" i="3"/>
  <c r="P41" i="3"/>
  <c r="M19" i="3"/>
  <c r="G85" i="3"/>
  <c r="N59" i="3"/>
  <c r="M41" i="3"/>
  <c r="M28" i="3"/>
  <c r="I38" i="3"/>
  <c r="P32" i="3"/>
  <c r="G48" i="3"/>
  <c r="H76" i="3"/>
  <c r="E81" i="3"/>
  <c r="H32" i="3"/>
  <c r="I16" i="3"/>
  <c r="F52" i="3"/>
  <c r="N61" i="3"/>
  <c r="N47" i="3"/>
  <c r="I71" i="3"/>
  <c r="I70" i="3"/>
  <c r="H57" i="3"/>
  <c r="J13" i="3"/>
  <c r="J49" i="3"/>
  <c r="N23" i="3"/>
  <c r="J75" i="3"/>
  <c r="H90" i="3"/>
  <c r="M65" i="3"/>
  <c r="K61" i="3"/>
  <c r="J18" i="3"/>
  <c r="G34" i="3"/>
  <c r="G52" i="3"/>
  <c r="I79" i="3"/>
  <c r="P68" i="3"/>
  <c r="F89" i="3"/>
  <c r="I80" i="3"/>
  <c r="H82" i="3"/>
  <c r="F28" i="3"/>
  <c r="N35" i="3"/>
  <c r="E61" i="3"/>
  <c r="K42" i="3"/>
  <c r="L27" i="3"/>
  <c r="K58" i="3"/>
  <c r="O50" i="3"/>
  <c r="F68" i="3"/>
  <c r="G61" i="3"/>
  <c r="L11" i="3"/>
  <c r="H64" i="3"/>
  <c r="L54" i="3"/>
  <c r="N69" i="3"/>
  <c r="K24" i="3"/>
  <c r="O72" i="3"/>
  <c r="I36" i="3"/>
  <c r="O79" i="3"/>
  <c r="E43" i="3"/>
  <c r="L14" i="3"/>
  <c r="E54" i="3"/>
  <c r="I43" i="3"/>
  <c r="N67" i="3"/>
  <c r="E23" i="3"/>
  <c r="N63" i="3"/>
  <c r="F40" i="3"/>
  <c r="L40" i="3"/>
  <c r="I81" i="3"/>
  <c r="P29" i="3"/>
  <c r="N86" i="3"/>
  <c r="M86" i="3"/>
  <c r="K57" i="3"/>
  <c r="J33" i="3"/>
  <c r="O49" i="3"/>
  <c r="E22" i="3"/>
  <c r="G70" i="3"/>
  <c r="P79" i="3"/>
  <c r="M73" i="3"/>
  <c r="O71" i="3"/>
  <c r="I20" i="3"/>
  <c r="O61" i="3"/>
  <c r="L24" i="3"/>
  <c r="F83" i="3"/>
  <c r="G73" i="3"/>
  <c r="N45" i="3"/>
  <c r="G71" i="3"/>
  <c r="G64" i="3"/>
  <c r="F84" i="3"/>
  <c r="E82" i="3"/>
  <c r="K33" i="3"/>
  <c r="K44" i="3"/>
  <c r="K83" i="3"/>
  <c r="P86" i="3"/>
  <c r="F88" i="3"/>
  <c r="L55" i="3"/>
  <c r="N27" i="3"/>
  <c r="I85" i="3"/>
  <c r="M34" i="3"/>
  <c r="H58" i="3"/>
  <c r="P43" i="3"/>
  <c r="K29" i="3"/>
  <c r="M63" i="3"/>
  <c r="F58" i="3"/>
  <c r="H18" i="3"/>
  <c r="N74" i="3"/>
  <c r="K66" i="3"/>
  <c r="K88" i="3"/>
  <c r="P42" i="3"/>
  <c r="K32" i="3"/>
  <c r="K47" i="3"/>
  <c r="K84" i="3"/>
  <c r="L66" i="3"/>
  <c r="L52" i="3"/>
  <c r="O37" i="3"/>
  <c r="E76" i="3"/>
  <c r="F18" i="3"/>
  <c r="I27" i="3"/>
  <c r="K35" i="3"/>
  <c r="I48" i="3"/>
  <c r="O85" i="3"/>
  <c r="H30" i="3"/>
  <c r="J50" i="3"/>
  <c r="K14" i="3"/>
  <c r="F77" i="3"/>
  <c r="I37" i="3"/>
  <c r="M59" i="3"/>
  <c r="N40" i="3"/>
  <c r="O53" i="3"/>
  <c r="M37" i="3"/>
  <c r="I73" i="3"/>
  <c r="O46" i="3"/>
  <c r="L45" i="3"/>
  <c r="L36" i="3"/>
  <c r="L84" i="3"/>
  <c r="J39" i="3"/>
  <c r="J87" i="3"/>
  <c r="E16" i="3"/>
  <c r="G42" i="3"/>
  <c r="N89" i="3"/>
  <c r="L50" i="3"/>
  <c r="M27" i="3"/>
  <c r="N49" i="3"/>
  <c r="G22" i="3"/>
  <c r="H85" i="3"/>
  <c r="P12" i="3"/>
  <c r="O14" i="3"/>
  <c r="L77" i="3"/>
  <c r="P20" i="3"/>
  <c r="J70" i="3"/>
  <c r="K89" i="3"/>
  <c r="E69" i="3"/>
  <c r="J23" i="3"/>
  <c r="M58" i="3"/>
  <c r="G60" i="3"/>
  <c r="L26" i="3"/>
  <c r="E53" i="3"/>
  <c r="K10" i="3"/>
  <c r="O33" i="3"/>
  <c r="L51" i="3"/>
  <c r="O25" i="3"/>
  <c r="J34" i="3"/>
  <c r="G68" i="3"/>
  <c r="P34" i="3"/>
  <c r="L88" i="3"/>
  <c r="G25" i="3"/>
  <c r="N90" i="3"/>
  <c r="O22" i="3"/>
  <c r="N76" i="3"/>
  <c r="I54" i="3"/>
  <c r="I63" i="3"/>
  <c r="G66" i="3"/>
  <c r="F67" i="3"/>
  <c r="N26" i="3"/>
  <c r="O73" i="3"/>
  <c r="I29" i="3"/>
  <c r="K70" i="3"/>
  <c r="I22" i="3"/>
  <c r="K17" i="3"/>
  <c r="K39" i="3"/>
  <c r="M44" i="3"/>
  <c r="B1" i="4"/>
  <c r="G82" i="3"/>
  <c r="N82" i="3"/>
  <c r="K56" i="3"/>
  <c r="J90" i="3"/>
  <c r="F13" i="3"/>
  <c r="I25" i="3"/>
  <c r="H37" i="3"/>
  <c r="L7" i="3"/>
  <c r="F61" i="3"/>
  <c r="G20" i="3"/>
  <c r="E84" i="3"/>
  <c r="E48" i="3"/>
  <c r="P7" i="3"/>
  <c r="O12" i="3"/>
  <c r="E20" i="3"/>
  <c r="K34" i="3"/>
  <c r="M40" i="3"/>
  <c r="M55" i="3"/>
  <c r="L53" i="3"/>
  <c r="K77" i="3"/>
  <c r="H83" i="3"/>
  <c r="K64" i="3"/>
  <c r="N58" i="3"/>
  <c r="E83" i="3"/>
  <c r="K62" i="3"/>
  <c r="M74" i="3"/>
  <c r="J28" i="3"/>
  <c r="O36" i="3"/>
  <c r="J59" i="3"/>
  <c r="J42" i="3"/>
  <c r="G17" i="3"/>
  <c r="H25" i="3"/>
  <c r="E57" i="3"/>
  <c r="M26" i="3"/>
  <c r="P75" i="3"/>
  <c r="G29" i="3"/>
  <c r="M60" i="3"/>
  <c r="O77" i="3"/>
  <c r="G50" i="3"/>
  <c r="M78" i="3"/>
  <c r="L12" i="3"/>
  <c r="L8" i="3" s="1"/>
  <c r="H67" i="3"/>
  <c r="K30" i="3"/>
  <c r="P67" i="3"/>
  <c r="N52" i="3"/>
  <c r="E28" i="3"/>
  <c r="G28" i="3"/>
  <c r="E55" i="3"/>
  <c r="K52" i="3"/>
  <c r="H65" i="3"/>
  <c r="H55" i="3"/>
  <c r="O70" i="3"/>
  <c r="G14" i="3"/>
  <c r="E73" i="3"/>
  <c r="F87" i="3"/>
  <c r="F82" i="3"/>
  <c r="J56" i="3"/>
  <c r="E80" i="3"/>
  <c r="K59" i="3"/>
  <c r="G69" i="3"/>
  <c r="F44" i="3"/>
  <c r="K19" i="3"/>
  <c r="N85" i="3"/>
  <c r="G26" i="3"/>
  <c r="J7" i="3"/>
  <c r="N64" i="3"/>
  <c r="E71" i="3"/>
  <c r="E27" i="3"/>
  <c r="P83" i="3"/>
  <c r="H22" i="3"/>
  <c r="G76" i="3"/>
  <c r="N39" i="3"/>
  <c r="K53" i="3"/>
  <c r="L83" i="3"/>
  <c r="O11" i="3"/>
  <c r="G55" i="3"/>
  <c r="M61" i="3"/>
  <c r="G49" i="3"/>
  <c r="M88" i="3"/>
  <c r="K74" i="3"/>
  <c r="I53" i="3"/>
  <c r="F54" i="3"/>
  <c r="N60" i="3"/>
  <c r="P66" i="3"/>
  <c r="G38" i="3"/>
  <c r="F22" i="3"/>
  <c r="E38" i="3"/>
  <c r="M47" i="3"/>
  <c r="H23" i="3"/>
  <c r="G47" i="3"/>
  <c r="L46" i="3"/>
  <c r="F62" i="3"/>
  <c r="P48" i="3"/>
  <c r="O55" i="3"/>
  <c r="M72" i="3"/>
  <c r="O78" i="3"/>
  <c r="G88" i="3"/>
  <c r="K80" i="3"/>
  <c r="F85" i="3"/>
  <c r="N38" i="3"/>
  <c r="I42" i="3"/>
  <c r="N44" i="3"/>
  <c r="F38" i="3"/>
  <c r="H75" i="3"/>
  <c r="K15" i="3"/>
  <c r="L72" i="3"/>
  <c r="M13" i="3"/>
  <c r="O27" i="3"/>
  <c r="E75" i="3"/>
  <c r="N24" i="3"/>
  <c r="N68" i="3"/>
  <c r="L15" i="3"/>
  <c r="N30" i="3"/>
  <c r="G31" i="3"/>
  <c r="J69" i="3"/>
  <c r="G19" i="3"/>
  <c r="H48" i="3"/>
  <c r="N77" i="3"/>
  <c r="P64" i="3"/>
  <c r="E85" i="3"/>
  <c r="O26" i="3"/>
  <c r="O62" i="3"/>
  <c r="L68" i="3"/>
  <c r="P45" i="3"/>
  <c r="N72" i="3"/>
  <c r="M22" i="3"/>
  <c r="H50" i="3"/>
  <c r="G87" i="3"/>
  <c r="O84" i="3"/>
  <c r="J25" i="3"/>
  <c r="J52" i="3"/>
  <c r="G51" i="3"/>
  <c r="J51" i="3"/>
  <c r="I39" i="3"/>
  <c r="F42" i="3"/>
  <c r="O51" i="3"/>
  <c r="J55" i="3"/>
  <c r="K69" i="3"/>
  <c r="M17" i="3"/>
  <c r="N20" i="3"/>
  <c r="P85" i="3"/>
  <c r="I83" i="3"/>
  <c r="J35" i="3"/>
  <c r="I21" i="3"/>
  <c r="P88" i="3"/>
  <c r="N88" i="3"/>
  <c r="O30" i="3"/>
  <c r="G30" i="3"/>
  <c r="M87" i="3"/>
  <c r="L20" i="3"/>
  <c r="J10" i="3"/>
  <c r="P44" i="3"/>
  <c r="G83" i="3"/>
  <c r="H35" i="3"/>
  <c r="L42" i="3"/>
  <c r="I11" i="3"/>
  <c r="J62" i="3"/>
  <c r="O67" i="3"/>
  <c r="L41" i="3"/>
  <c r="K25" i="3"/>
  <c r="K41" i="3"/>
  <c r="E18" i="3"/>
  <c r="O83" i="3"/>
  <c r="K63" i="3"/>
  <c r="H49" i="3"/>
  <c r="N34" i="3"/>
  <c r="P33" i="3"/>
  <c r="F43" i="3"/>
  <c r="G18" i="3"/>
  <c r="E26" i="3"/>
  <c r="O90" i="3"/>
  <c r="G27" i="3"/>
  <c r="J32" i="3"/>
  <c r="G54" i="3"/>
  <c r="E21" i="3"/>
  <c r="K23" i="3"/>
  <c r="G23" i="3"/>
  <c r="I41" i="3"/>
  <c r="L62" i="3"/>
  <c r="M85" i="3"/>
  <c r="F21" i="3"/>
  <c r="M66" i="3"/>
  <c r="P13" i="3"/>
  <c r="I87" i="3"/>
  <c r="L71" i="3"/>
  <c r="H43" i="3"/>
  <c r="N12" i="3"/>
  <c r="N8" i="3" s="1"/>
  <c r="F34" i="3"/>
  <c r="M51" i="3"/>
  <c r="I23" i="3"/>
  <c r="M54" i="3"/>
  <c r="J29" i="3"/>
  <c r="L47" i="3"/>
  <c r="L39" i="3"/>
  <c r="J72" i="3"/>
  <c r="J83" i="3"/>
  <c r="L37" i="3"/>
  <c r="J74" i="3"/>
  <c r="L79" i="3"/>
  <c r="L76" i="3"/>
  <c r="I44" i="3"/>
  <c r="J82" i="3"/>
  <c r="F36" i="3"/>
  <c r="K87" i="3"/>
  <c r="G81" i="3"/>
  <c r="E17" i="3"/>
  <c r="P35" i="3"/>
  <c r="M84" i="3"/>
  <c r="F65" i="3"/>
  <c r="L58" i="3"/>
  <c r="M25" i="3"/>
  <c r="I26" i="3"/>
  <c r="L25" i="3"/>
  <c r="F30" i="3"/>
  <c r="M50" i="3"/>
  <c r="E86" i="3"/>
  <c r="G39" i="3"/>
  <c r="G36" i="3"/>
  <c r="M24" i="3"/>
  <c r="I77" i="3"/>
  <c r="M15" i="3"/>
  <c r="O75" i="3"/>
  <c r="H59" i="3"/>
  <c r="M10" i="3"/>
  <c r="K49" i="3"/>
  <c r="F66" i="3"/>
  <c r="P22" i="3"/>
  <c r="I69" i="3"/>
  <c r="L30" i="3"/>
  <c r="O86" i="3"/>
  <c r="K18" i="3"/>
  <c r="H70" i="3"/>
  <c r="H86" i="3"/>
  <c r="M64" i="3"/>
  <c r="J17" i="3"/>
  <c r="G63" i="3"/>
  <c r="J80" i="3"/>
  <c r="E51" i="3"/>
  <c r="O43" i="3"/>
  <c r="I65" i="3"/>
  <c r="O69" i="3"/>
  <c r="L49" i="3"/>
  <c r="E59" i="3"/>
  <c r="O63" i="3"/>
  <c r="O52" i="3"/>
  <c r="O39" i="3"/>
  <c r="K76" i="3"/>
  <c r="H51" i="3"/>
  <c r="M23" i="3"/>
  <c r="K28" i="3"/>
  <c r="O66" i="3"/>
  <c r="H16" i="3"/>
  <c r="J78" i="3"/>
  <c r="N36" i="3"/>
  <c r="I61" i="3"/>
  <c r="F73" i="3"/>
  <c r="J64" i="3"/>
  <c r="I18" i="3"/>
  <c r="K68" i="3"/>
  <c r="P76" i="3"/>
  <c r="G80" i="3"/>
  <c r="I90" i="3"/>
  <c r="E42" i="3"/>
  <c r="O47" i="3"/>
  <c r="L65" i="3"/>
  <c r="J73" i="3"/>
  <c r="N55" i="3"/>
  <c r="E72" i="3"/>
  <c r="I40" i="3"/>
  <c r="L29" i="3"/>
  <c r="L74" i="3"/>
  <c r="P47" i="3"/>
  <c r="I17" i="3"/>
  <c r="E13" i="3"/>
  <c r="F17" i="3"/>
  <c r="J43" i="3"/>
  <c r="M83" i="3"/>
  <c r="G53" i="3"/>
  <c r="P60" i="3"/>
  <c r="H19" i="3"/>
  <c r="I72" i="3"/>
  <c r="N62" i="3"/>
  <c r="L13" i="3"/>
  <c r="L9" i="3" s="1"/>
  <c r="O23" i="3"/>
  <c r="F41" i="3"/>
  <c r="G77" i="3"/>
  <c r="M21" i="3"/>
  <c r="M31" i="3"/>
  <c r="G13" i="3"/>
  <c r="O60" i="3"/>
  <c r="J79" i="3"/>
  <c r="G58" i="3"/>
  <c r="N75" i="3"/>
  <c r="H31" i="3"/>
  <c r="F35" i="3"/>
  <c r="F71" i="3"/>
  <c r="F81" i="3"/>
  <c r="H87" i="3"/>
  <c r="J63" i="3"/>
  <c r="E70" i="3"/>
  <c r="J61" i="3"/>
  <c r="G89" i="3"/>
  <c r="O88" i="3"/>
  <c r="L89" i="3"/>
  <c r="O64" i="3"/>
  <c r="L56" i="3"/>
  <c r="P38" i="3"/>
  <c r="M46" i="3"/>
  <c r="M7" i="3"/>
  <c r="F20" i="3"/>
  <c r="K20" i="3"/>
  <c r="M81" i="3"/>
  <c r="E29" i="3"/>
  <c r="I19" i="3"/>
  <c r="G32" i="3"/>
  <c r="J36" i="3"/>
  <c r="O7" i="3"/>
  <c r="P71" i="3"/>
  <c r="I14" i="3"/>
  <c r="K21" i="3"/>
  <c r="J53" i="3"/>
  <c r="N37" i="3"/>
  <c r="G11" i="3"/>
  <c r="G9" i="3" s="1"/>
  <c r="K38" i="3"/>
  <c r="N50" i="3"/>
  <c r="J20" i="3"/>
  <c r="O41" i="3"/>
  <c r="G35" i="3"/>
  <c r="P17" i="3"/>
  <c r="E49" i="3"/>
  <c r="O81" i="3"/>
  <c r="J12" i="3"/>
  <c r="M70" i="3"/>
  <c r="G65" i="3"/>
  <c r="I89" i="3"/>
  <c r="N41" i="3"/>
  <c r="H61" i="3"/>
  <c r="F45" i="3"/>
  <c r="M39" i="3"/>
  <c r="N14" i="3"/>
  <c r="F46" i="3"/>
  <c r="H41" i="3"/>
  <c r="G21" i="3"/>
  <c r="N80" i="3"/>
  <c r="K46" i="3"/>
  <c r="K72" i="3"/>
  <c r="P23" i="3"/>
  <c r="J47" i="3"/>
  <c r="I68" i="3"/>
  <c r="P21" i="3"/>
  <c r="G56" i="3"/>
  <c r="E46" i="3"/>
  <c r="P19" i="3"/>
  <c r="H29" i="3"/>
  <c r="E78" i="3"/>
  <c r="G44" i="3"/>
  <c r="K55" i="3"/>
  <c r="L61" i="3"/>
  <c r="L67" i="3"/>
  <c r="I67" i="3"/>
  <c r="H21" i="3"/>
  <c r="O16" i="3"/>
  <c r="K90" i="3"/>
  <c r="L16" i="3"/>
  <c r="F15" i="3"/>
  <c r="H44" i="3"/>
  <c r="E30" i="3"/>
  <c r="J26" i="3"/>
  <c r="I31" i="3"/>
  <c r="H28" i="3"/>
  <c r="J48" i="3"/>
  <c r="F19" i="3"/>
  <c r="L22" i="3"/>
  <c r="N51" i="3"/>
  <c r="K40" i="3"/>
  <c r="O44" i="3"/>
  <c r="O45" i="3"/>
  <c r="J81" i="3"/>
  <c r="F50" i="3"/>
  <c r="J45" i="3"/>
  <c r="G62" i="3"/>
  <c r="N18" i="3"/>
  <c r="I49" i="3"/>
  <c r="I12" i="3"/>
  <c r="N15" i="3"/>
  <c r="P59" i="3"/>
  <c r="P62" i="3"/>
  <c r="F80" i="3"/>
  <c r="H20" i="3"/>
  <c r="I56" i="3"/>
  <c r="F69" i="3"/>
  <c r="I46" i="3"/>
  <c r="E11" i="3"/>
  <c r="K75" i="3"/>
  <c r="L87" i="3"/>
  <c r="E10" i="3"/>
  <c r="P39" i="3"/>
  <c r="O34" i="3"/>
  <c r="N48" i="3"/>
  <c r="E89" i="3"/>
  <c r="P28" i="3"/>
  <c r="G43" i="3"/>
  <c r="G57" i="3"/>
  <c r="L63" i="3"/>
  <c r="E88" i="3"/>
  <c r="F7" i="3"/>
  <c r="O74" i="3"/>
  <c r="E34" i="3"/>
  <c r="E15" i="3"/>
  <c r="K73" i="3"/>
  <c r="L85" i="3"/>
  <c r="J19" i="3"/>
  <c r="M56" i="3"/>
  <c r="G67" i="3"/>
  <c r="E12" i="3"/>
  <c r="L28" i="3"/>
  <c r="J76" i="3"/>
  <c r="H56" i="3"/>
  <c r="E45" i="3"/>
  <c r="L48" i="3"/>
  <c r="M16" i="3"/>
  <c r="E44" i="3"/>
  <c r="F57" i="3"/>
  <c r="M67" i="3"/>
  <c r="O48" i="3"/>
  <c r="F47" i="3"/>
  <c r="M20" i="3"/>
  <c r="O18" i="3"/>
  <c r="P74" i="3"/>
  <c r="H42" i="3"/>
  <c r="I78" i="3"/>
  <c r="E65" i="3"/>
  <c r="J41" i="3"/>
  <c r="G46" i="3"/>
  <c r="N33" i="3"/>
  <c r="K36" i="3"/>
  <c r="K85" i="3"/>
  <c r="E50" i="3"/>
  <c r="I52" i="3"/>
  <c r="H36" i="3"/>
  <c r="O68" i="3"/>
  <c r="O57" i="3"/>
  <c r="I58" i="3"/>
  <c r="I55" i="3"/>
  <c r="P65" i="3"/>
  <c r="P30" i="3"/>
  <c r="K82" i="3"/>
  <c r="M69" i="3"/>
  <c r="P15" i="3"/>
  <c r="L69" i="3"/>
  <c r="P77" i="3"/>
  <c r="P87" i="3"/>
  <c r="E63" i="3"/>
  <c r="N66" i="3"/>
  <c r="F16" i="3"/>
  <c r="E56" i="3"/>
  <c r="M32" i="3"/>
  <c r="I86" i="3"/>
  <c r="P36" i="3"/>
  <c r="L75" i="3"/>
  <c r="E66" i="3"/>
  <c r="J37" i="3"/>
  <c r="N7" i="3"/>
  <c r="J22" i="3"/>
  <c r="O40" i="3"/>
  <c r="N21" i="3"/>
  <c r="N65" i="3"/>
  <c r="J65" i="3"/>
  <c r="L34" i="3"/>
  <c r="K81" i="3"/>
  <c r="M29" i="3"/>
  <c r="M45" i="3"/>
  <c r="N31" i="3"/>
  <c r="M11" i="3"/>
  <c r="M9" i="3" s="1"/>
  <c r="L35" i="3"/>
  <c r="F33" i="3"/>
  <c r="O10" i="3"/>
  <c r="K65" i="3"/>
  <c r="H12" i="3"/>
  <c r="M82" i="3"/>
  <c r="N56" i="3"/>
  <c r="N28" i="3"/>
  <c r="M75" i="3"/>
  <c r="N71" i="3"/>
  <c r="P49" i="3"/>
  <c r="I82" i="3"/>
  <c r="O82" i="3"/>
  <c r="N42" i="3"/>
  <c r="L90" i="3"/>
  <c r="N53" i="3"/>
  <c r="G74" i="3"/>
  <c r="E77" i="3"/>
  <c r="E14" i="3"/>
  <c r="H60" i="3"/>
  <c r="E24" i="3"/>
  <c r="P80" i="3"/>
  <c r="O38" i="3"/>
  <c r="P54" i="3"/>
  <c r="M38" i="3"/>
  <c r="F78" i="3"/>
  <c r="L19" i="3"/>
  <c r="E79" i="3"/>
  <c r="P50" i="3"/>
  <c r="K71" i="3"/>
  <c r="N79" i="3"/>
  <c r="K22" i="3"/>
  <c r="J86" i="3"/>
  <c r="L60" i="3"/>
  <c r="M35" i="3"/>
  <c r="P25" i="3"/>
  <c r="E90" i="3"/>
  <c r="P16" i="3"/>
  <c r="I10" i="3"/>
  <c r="I51" i="3"/>
  <c r="P10" i="3"/>
  <c r="L57" i="3"/>
  <c r="J66" i="3"/>
  <c r="H81" i="3"/>
  <c r="J31" i="3"/>
  <c r="P90" i="3"/>
  <c r="M53" i="3"/>
  <c r="O29" i="3"/>
  <c r="L64" i="3"/>
  <c r="E62" i="3"/>
  <c r="I32" i="3"/>
  <c r="M57" i="3"/>
  <c r="P82" i="3"/>
  <c r="O24" i="3"/>
  <c r="J11" i="3"/>
  <c r="H7" i="3"/>
  <c r="H47" i="3"/>
  <c r="E19" i="3"/>
  <c r="H54" i="3"/>
  <c r="F23" i="3"/>
  <c r="O58" i="3"/>
  <c r="M76" i="3"/>
  <c r="P31" i="3"/>
  <c r="M30" i="3"/>
  <c r="F64" i="3"/>
  <c r="H80" i="3"/>
  <c r="H27" i="3"/>
  <c r="G79" i="3"/>
  <c r="F25" i="3"/>
  <c r="E31" i="3"/>
  <c r="G84" i="3"/>
  <c r="N87" i="3"/>
  <c r="H63" i="3"/>
  <c r="K11" i="3"/>
  <c r="N73" i="3"/>
  <c r="F37" i="3"/>
  <c r="F70" i="3"/>
  <c r="N13" i="3"/>
  <c r="N17" i="3"/>
  <c r="F51" i="3"/>
  <c r="K86" i="3"/>
  <c r="M42" i="3"/>
  <c r="L59" i="3"/>
  <c r="G37" i="3"/>
  <c r="P63" i="3"/>
  <c r="L82" i="3"/>
  <c r="E25" i="3"/>
  <c r="G59" i="3"/>
  <c r="K12" i="3"/>
  <c r="L86" i="3"/>
  <c r="F49" i="3"/>
  <c r="O56" i="3"/>
  <c r="P81" i="3"/>
  <c r="M18" i="3"/>
  <c r="H45" i="3"/>
  <c r="F39" i="3"/>
  <c r="I34" i="3"/>
  <c r="G78" i="3"/>
  <c r="J44" i="3"/>
  <c r="F29" i="3"/>
  <c r="L31" i="3"/>
  <c r="O80" i="3"/>
  <c r="H17" i="3"/>
  <c r="K50" i="3"/>
  <c r="G40" i="3"/>
  <c r="M71" i="3"/>
  <c r="L70" i="3"/>
  <c r="F31" i="3"/>
  <c r="F79" i="3"/>
  <c r="F86" i="3"/>
  <c r="E58" i="3"/>
  <c r="L81" i="3"/>
  <c r="P89" i="3"/>
  <c r="P53" i="3"/>
  <c r="I7" i="3"/>
  <c r="J77" i="3"/>
  <c r="N25" i="3"/>
  <c r="H15" i="3"/>
  <c r="H77" i="3"/>
  <c r="I64" i="3"/>
  <c r="J40" i="3"/>
  <c r="M12" i="3"/>
  <c r="E41" i="3"/>
  <c r="I75" i="3"/>
  <c r="I45" i="3"/>
  <c r="E60" i="3"/>
  <c r="H39" i="3"/>
  <c r="I59" i="3"/>
  <c r="P57" i="3"/>
  <c r="H68" i="3"/>
  <c r="F75" i="3"/>
  <c r="J14" i="3"/>
  <c r="I30" i="3"/>
  <c r="J30" i="3"/>
  <c r="N32" i="3"/>
  <c r="J57" i="3"/>
  <c r="I66" i="3"/>
  <c r="E39" i="3"/>
  <c r="G86" i="3"/>
  <c r="P24" i="3"/>
  <c r="E52" i="3"/>
  <c r="M52" i="3"/>
  <c r="E32" i="3"/>
  <c r="H62" i="3"/>
  <c r="H78" i="3"/>
  <c r="K43" i="3"/>
  <c r="J89" i="3"/>
  <c r="L78" i="3"/>
  <c r="H71" i="3"/>
  <c r="F72" i="3"/>
  <c r="F56" i="3"/>
  <c r="O31" i="3"/>
  <c r="H53" i="3"/>
  <c r="K13" i="3"/>
  <c r="P18" i="3"/>
  <c r="I28" i="3"/>
  <c r="H88" i="3"/>
  <c r="N46" i="3"/>
  <c r="E7" i="3"/>
  <c r="I15" i="3"/>
  <c r="N29" i="3"/>
  <c r="N19" i="3"/>
  <c r="P69" i="3"/>
  <c r="F27" i="3"/>
  <c r="O35" i="3"/>
  <c r="J84" i="3"/>
  <c r="L18" i="3"/>
  <c r="L38" i="3"/>
  <c r="M48" i="3"/>
  <c r="L33" i="3"/>
  <c r="I74" i="3"/>
  <c r="H69" i="3"/>
  <c r="F55" i="3"/>
  <c r="O54" i="3"/>
  <c r="H52" i="3"/>
  <c r="H14" i="3"/>
  <c r="P46" i="3"/>
  <c r="K7" i="3"/>
  <c r="G75" i="3"/>
  <c r="H66" i="3"/>
  <c r="F14" i="3"/>
  <c r="O32" i="3"/>
  <c r="E36" i="3"/>
  <c r="J16" i="3"/>
  <c r="J88" i="3"/>
  <c r="F74" i="3"/>
  <c r="O76" i="3"/>
  <c r="K54" i="3"/>
  <c r="M62" i="3"/>
  <c r="I76" i="3"/>
  <c r="O17" i="3"/>
  <c r="O87" i="3"/>
  <c r="L80" i="3"/>
  <c r="K67" i="3"/>
  <c r="P52" i="3"/>
  <c r="F53" i="3"/>
  <c r="H40" i="3"/>
  <c r="G7" i="3"/>
  <c r="F12" i="3"/>
  <c r="K16" i="3"/>
  <c r="M43" i="3"/>
  <c r="J15" i="3"/>
  <c r="J8" i="3" s="1"/>
  <c r="H33" i="3"/>
  <c r="H11" i="3"/>
  <c r="P26" i="3"/>
  <c r="E40" i="3"/>
  <c r="J46" i="3"/>
  <c r="P70" i="3"/>
  <c r="L21" i="3"/>
  <c r="K78" i="3"/>
  <c r="N22" i="3"/>
  <c r="M90" i="3"/>
  <c r="H38" i="3"/>
  <c r="L17" i="3"/>
  <c r="N83" i="3"/>
  <c r="K79" i="3"/>
  <c r="F63" i="3"/>
  <c r="O15" i="3"/>
  <c r="I35" i="3"/>
  <c r="J85" i="3"/>
  <c r="F90" i="3"/>
  <c r="I13" i="3"/>
  <c r="P73" i="3"/>
  <c r="P27" i="3"/>
  <c r="H13" i="3"/>
  <c r="N78" i="3"/>
  <c r="O65" i="3"/>
  <c r="G41" i="3"/>
  <c r="J38" i="3"/>
  <c r="F48" i="3"/>
  <c r="M79" i="3"/>
  <c r="M14" i="3"/>
  <c r="L73" i="3"/>
  <c r="J58" i="3"/>
  <c r="F76" i="3"/>
  <c r="P40" i="3"/>
  <c r="N16" i="3"/>
  <c r="O13" i="3"/>
  <c r="J27" i="3"/>
  <c r="P11" i="3"/>
  <c r="M33" i="3"/>
  <c r="F59" i="3"/>
  <c r="J21" i="3"/>
  <c r="P56" i="3"/>
  <c r="G90" i="3"/>
  <c r="L44" i="3"/>
  <c r="J67" i="3"/>
  <c r="E37" i="3"/>
  <c r="P72" i="3"/>
  <c r="I88" i="3"/>
  <c r="K26" i="3"/>
  <c r="R11" i="3"/>
  <c r="I8" i="3"/>
  <c r="I9" i="3"/>
  <c r="P8" i="3"/>
  <c r="F8" i="3"/>
  <c r="P9" i="3"/>
  <c r="O8" i="3"/>
  <c r="H9" i="3"/>
  <c r="K8" i="3"/>
  <c r="J9" i="3"/>
  <c r="E8" i="3"/>
  <c r="F9" i="3"/>
  <c r="H8" i="3"/>
  <c r="M8" i="3"/>
  <c r="E9" i="3"/>
  <c r="O9" i="3"/>
  <c r="G8" i="3"/>
  <c r="K9" i="3"/>
  <c r="S15" i="3"/>
  <c r="F15" i="1" s="1"/>
  <c r="R8" i="3"/>
  <c r="E9" i="1" s="1"/>
  <c r="E11" i="1"/>
  <c r="R9" i="3"/>
  <c r="E10" i="1" s="1"/>
  <c r="S11" i="3"/>
  <c r="F11" i="1" s="1"/>
  <c r="Q7" i="1"/>
  <c r="Q10" i="1"/>
  <c r="Q8" i="1"/>
  <c r="Q9" i="1"/>
  <c r="S14" i="3"/>
  <c r="F14" i="1" s="1"/>
  <c r="E14" i="1"/>
  <c r="H10" i="1"/>
  <c r="H8" i="1"/>
  <c r="H9" i="1"/>
  <c r="H7" i="1"/>
  <c r="E13" i="1"/>
  <c r="S13" i="3"/>
  <c r="F13" i="1" s="1"/>
  <c r="E12" i="1"/>
  <c r="S12" i="3"/>
  <c r="F12" i="1" s="1"/>
  <c r="I7" i="1"/>
  <c r="I10" i="1"/>
  <c r="I9" i="1"/>
  <c r="I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<sst xmlns="http://schemas.openxmlformats.org/spreadsheetml/2006/main" count="700" uniqueCount="109">
  <si>
    <t>NIM</t>
  </si>
  <si>
    <t>NAMA</t>
  </si>
  <si>
    <t>NILAI AKHIR</t>
  </si>
  <si>
    <t>INDEKS</t>
  </si>
  <si>
    <t>Kemampuan menerapkan pengetahuan matematika, ilmu pengetahuan alam dan/atau material, teknologi informasi dan keteknikan untuk mendapatkan pemahaman menyeluruh tentang prinsip-prinsip rekayasa.</t>
  </si>
  <si>
    <t>NO</t>
  </si>
  <si>
    <t>CPL</t>
  </si>
  <si>
    <t>Kemampuan mendesain komponen, sistem dan/atau proses untuk memenuhi kebutuhan yang diharapkan di dalam batasan-batasan realistis, misalnya hukum, ekonomi, lingkungan, sosial, politik, kesehatan dan keselamatan, keberlanjutan serta untuk mengenali dan/atau memanfaatkan potensi sumber daya lokal dan nasional dengan wawasan global.</t>
  </si>
  <si>
    <t>Kemampuan mendesain dan melaksanakan eksperimen laboratorium dan/atau lapangan serta menganalisis dan mengartikan data untuk memperkuat penilaian teknik.</t>
  </si>
  <si>
    <t>Kemampuan mengidentifikasi, merumuskan, menganalisis dan menyelesaikan permasalahan teknik.</t>
  </si>
  <si>
    <t>Kemampuan menerapkan metode, keterampilan dan piranti teknik yang modern yang diperlukan untuk praktek keteknikan.</t>
  </si>
  <si>
    <t>Kemampuan berkomunikasi secara efektif baik lisan maupun tulisan.</t>
  </si>
  <si>
    <t>Kemampuan merencanakan, menyelesaikan dan mengevaluasi tugas di dalam batasan-batasan yang ada.</t>
  </si>
  <si>
    <t>Kemampuan bekerja dalam tim lintas disiplin dan lintas budaya.</t>
  </si>
  <si>
    <t>Kemampuan untuk bertanggung jawab kepada masyarakat dan mematuhi etika profesi dalam menyelesaikan permasalahan teknik.</t>
  </si>
  <si>
    <t>Kemampuan memahami kebutuhan akan pembelajaran sepanjang hayat, termasuk akses terhadap pengetahuan terkait isu-isu mutakhir yang relevan.</t>
  </si>
  <si>
    <t>PI</t>
  </si>
  <si>
    <t>Kemampuan untuk memahami hubungan ilmiah dan matematis (prinsip atau hukum) dan masukan yang diperlukan untuk masalah yang diberikan</t>
  </si>
  <si>
    <t>Kemampuan untuk menerapkan hubungan ilmiah dan matematis (prinsip atau hukum) dan masukan yang diperlukan untuk masalah yang diberikan</t>
  </si>
  <si>
    <t>Kemampuan menganalisis masalah / mengidentifikasi peluang untuk menghasilkan pernyataan masalah desain</t>
  </si>
  <si>
    <t>Kemampuan mengidentifikasi batasan untuk menghasilkan persyaratan desain</t>
  </si>
  <si>
    <t>Kemampuan menghasilkan beberapa solusi dan mengevaluasinya untuk mendapatkan solusi berkualitas tinggi dalam keadaan tertentu terhadap persyaratan, dengan mempertimbangkan risiko dan membuat trade-off</t>
  </si>
  <si>
    <t xml:space="preserve">Kemampuan merancang solusi dengan mempertimbangkan kesehatan, keselamatan, dan kesejahteraan masyarakat, serta faktor global, budaya, sosial, lingkungan, atau ekonomi </t>
  </si>
  <si>
    <t>Kemampuan menggunakan alat yang tepat untuk menganalisis data dan memverifikasi data eksperimen</t>
  </si>
  <si>
    <t>Kemampuan menganalisis data hasil eksperimen</t>
  </si>
  <si>
    <t>Kemampuan mengidentifikasi dan merumuskan permasalahan teknik</t>
  </si>
  <si>
    <t>Kemampuan menganalisis dan menyelesaikan permasalahan teknik</t>
  </si>
  <si>
    <t>Kemampuan mendemonstrasikan penggunaan piranti teknik modern</t>
  </si>
  <si>
    <t>Kemampuan menerapkan penggunaan piranti teknik modern dan mengintegrasikan dalam proyek rekayasa</t>
  </si>
  <si>
    <t>Kemampuan mempresentasikan ide secara efektif melalui penulisan teknik</t>
  </si>
  <si>
    <t>Kemampuan mempersiapkan dan mempresentasikan teknis presentasi secara lisan melalui berbagai media</t>
  </si>
  <si>
    <t>Kemampuan merencanakan serta menyelesaikan tugas secara sistematis sesuai dengan spesifikasi yang telah ditetapkan</t>
  </si>
  <si>
    <t>Kemampuan mengevaluasi tugas dalam batasan yang ada</t>
  </si>
  <si>
    <t>Kemampuan berbagai dan mengevaluasi kemajuan dalam diskusi kelompok</t>
  </si>
  <si>
    <t>Kemampuan mengidentifikasi kekuatan dan kelemahan lingkungan untuk menetapkan tujuan yang terukur, relevan dan tepat waktu</t>
  </si>
  <si>
    <t>Kemampuan mengenali tanggung jawab etis dan profesional dalam situasi rekayasa</t>
  </si>
  <si>
    <t>Kemampuan membuat penilaian rekayasa yang terinformasi dengan mempertimbangkan konteks global, ekonomi, lingkungan, dan sosial</t>
  </si>
  <si>
    <t>Kemampuan mengumpulkan informasi tentang pengetahuan baru melalui media yang tersedia</t>
  </si>
  <si>
    <t>Kemampuan memasukkan pengetahuan baru ke dalam pekerjaan teknik</t>
  </si>
  <si>
    <t>1.1</t>
  </si>
  <si>
    <t>1.2</t>
  </si>
  <si>
    <t>2.1</t>
  </si>
  <si>
    <t>2.2</t>
  </si>
  <si>
    <t>2.3</t>
  </si>
  <si>
    <t>2.4</t>
  </si>
  <si>
    <t>3.1</t>
  </si>
  <si>
    <t>3.2</t>
  </si>
  <si>
    <t>4.1</t>
  </si>
  <si>
    <t>4.2</t>
  </si>
  <si>
    <t>5.1</t>
  </si>
  <si>
    <t>5.2</t>
  </si>
  <si>
    <t>6.1</t>
  </si>
  <si>
    <t>6.2</t>
  </si>
  <si>
    <t>7.1</t>
  </si>
  <si>
    <t>7.2</t>
  </si>
  <si>
    <t>8.1</t>
  </si>
  <si>
    <t>8.2</t>
  </si>
  <si>
    <t>9.1</t>
  </si>
  <si>
    <t>9.2</t>
  </si>
  <si>
    <t>10.1</t>
  </si>
  <si>
    <t>10.2</t>
  </si>
  <si>
    <t>BOBOT</t>
  </si>
  <si>
    <t>AVG</t>
  </si>
  <si>
    <t>STD</t>
  </si>
  <si>
    <t>TOTAL</t>
  </si>
  <si>
    <t>NILAI</t>
  </si>
  <si>
    <t>KOMPONEN</t>
  </si>
  <si>
    <t>BAGIAN 1</t>
  </si>
  <si>
    <t>BAGIAN 2</t>
  </si>
  <si>
    <t>BAGIAN 3</t>
  </si>
  <si>
    <t>BAGIAN 4</t>
  </si>
  <si>
    <t>BAGIAN 5</t>
  </si>
  <si>
    <t>BAGIAN 6</t>
  </si>
  <si>
    <t>BAGIAN 7</t>
  </si>
  <si>
    <t>BAGIAN 8</t>
  </si>
  <si>
    <t>BAGIAN 9</t>
  </si>
  <si>
    <t>BAGIAN 10</t>
  </si>
  <si>
    <t>BAGIAN 11</t>
  </si>
  <si>
    <t>BAGIAN 12</t>
  </si>
  <si>
    <t>BAGIAN</t>
  </si>
  <si>
    <t>BOBOT CPL</t>
  </si>
  <si>
    <t>A</t>
  </si>
  <si>
    <t>AB</t>
  </si>
  <si>
    <t>B</t>
  </si>
  <si>
    <t>BC</t>
  </si>
  <si>
    <t>C</t>
  </si>
  <si>
    <t>D</t>
  </si>
  <si>
    <t>E</t>
  </si>
  <si>
    <t>NAMA MK</t>
  </si>
  <si>
    <t>KODE MK</t>
  </si>
  <si>
    <t>DOSEN</t>
  </si>
  <si>
    <t>TAHUN</t>
  </si>
  <si>
    <t>SEMESTER</t>
  </si>
  <si>
    <t>NO 1</t>
  </si>
  <si>
    <t>NO 2</t>
  </si>
  <si>
    <t>NO 3</t>
  </si>
  <si>
    <t>NO 4</t>
  </si>
  <si>
    <t>UNSATISFACTORY</t>
  </si>
  <si>
    <t>DEVELOPING</t>
  </si>
  <si>
    <t>SATISFACTORY</t>
  </si>
  <si>
    <t>EXEMPLARY</t>
  </si>
  <si>
    <t>TRESHOLD</t>
  </si>
  <si>
    <t>SKOR</t>
  </si>
  <si>
    <t>BOBOT NA</t>
  </si>
  <si>
    <t>BOBOT PI</t>
  </si>
  <si>
    <t>ETXXXX</t>
  </si>
  <si>
    <t>Ganjil/Genap</t>
  </si>
  <si>
    <t>20XX</t>
  </si>
  <si>
    <t>PENYESUAIAN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</si>
</sst>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49" fontId="2" fillId="2" borderId="4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10" borderId="1" xfId="0" applyFill="1" applyBorder="1" applyAlignment="1">
      <alignment horizontal="center"/>
    </xf>
    <xf numFmtId="0" fontId="2" fillId="8" borderId="1" xfId="0" applyFon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49" fontId="0" fillId="0" borderId="3" xfId="0" applyNumberFormat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49" fontId="2" fillId="2" borderId="5" xfId="0" applyNumberFormat="1" applyFont="1" applyFill="1" applyBorder="1" applyAlignment="1">
      <alignment horizontal="center" vertical="center"/>
    </xf>
    <xf numFmtId="49" fontId="2" fillId="2" borderId="7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 wrapText="1"/>
    </xf>
    <xf numFmtId="49" fontId="2" fillId="2" borderId="7" xfId="0" applyNumberFormat="1" applyFont="1" applyFill="1" applyBorder="1" applyAlignment="1">
      <alignment horizontal="center" vertical="center" wrapText="1"/>
    </xf>
    <xf numFmtId="49" fontId="2" fillId="2" borderId="5" xfId="0" applyNumberFormat="1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0B5E8-1450-534B-89FF-72C6E2E13D2B}">
  <sheetPr codeName="Sheet1"/>
  <dimension ref="A1:Q90"/>
  <sheetViews>
    <sheetView showGridLines="0" tabSelected="1" zoomScale="75" zoomScaleNormal="86" workbookViewId="0"/>
  </sheetViews>
  <sheetFormatPr baseColWidth="10" defaultRowHeight="16" x14ac:dyDescent="0.2"/>
  <cols>
    <col min="2" max="2" width="12.33203125" bestFit="1" customWidth="1"/>
    <col min="3" max="3" width="23" bestFit="1" customWidth="1"/>
    <col min="7" max="7" width="19.5" bestFit="1" customWidth="1"/>
  </cols>
  <sheetData>
    <row r="1" spans="1:17" x14ac:dyDescent="0.2">
      <c r="A1" s="3" t="s">
        <v>89</v>
      </c>
      <c r="B1" s="33" t="s">
        <v>105</v>
      </c>
    </row>
    <row r="2" spans="1:17" x14ac:dyDescent="0.2">
      <c r="A2" s="3" t="s">
        <v>88</v>
      </c>
      <c r="B2" s="33"/>
    </row>
    <row r="3" spans="1:17" x14ac:dyDescent="0.2">
      <c r="A3" s="3" t="s">
        <v>90</v>
      </c>
      <c r="B3" s="33"/>
    </row>
    <row r="4" spans="1:17" x14ac:dyDescent="0.2">
      <c r="A4" s="3" t="s">
        <v>92</v>
      </c>
      <c r="B4" s="33" t="s">
        <v>106</v>
      </c>
    </row>
    <row r="5" spans="1:17" x14ac:dyDescent="0.2">
      <c r="A5" s="3" t="s">
        <v>91</v>
      </c>
      <c r="B5" s="33" t="s">
        <v>107</v>
      </c>
    </row>
    <row r="6" spans="1:17" x14ac:dyDescent="0.2">
      <c r="G6" s="3" t="s">
        <v>6</v>
      </c>
      <c r="H6" s="11">
        <v>1</v>
      </c>
      <c r="I6" s="11">
        <v>2</v>
      </c>
      <c r="J6" s="11">
        <v>3</v>
      </c>
      <c r="K6" s="11">
        <v>4</v>
      </c>
      <c r="L6" s="11">
        <v>5</v>
      </c>
      <c r="M6" s="11">
        <v>6</v>
      </c>
      <c r="N6" s="11">
        <v>7</v>
      </c>
      <c r="O6" s="11">
        <v>8</v>
      </c>
      <c r="P6" s="11">
        <v>9</v>
      </c>
      <c r="Q6" s="11">
        <v>10</v>
      </c>
    </row>
    <row r="7" spans="1:17" x14ac:dyDescent="0.2">
      <c r="G7" s="3" t="s">
        <v>100</v>
      </c>
      <c r="H7" s="29">
        <f>IF(SUM(H$11:H$90)&gt;0,COUNTIFS(H$11:H$90, "&gt;3", H$11:H$90, "&lt;=4"),0)</f>
        <v>0</v>
      </c>
      <c r="I7" s="29">
        <f t="shared" ref="I7:Q7" si="0">IF(SUM(I$11:I$90)&gt;0,COUNTIFS(I$11:I$90, "&gt;3", I$11:I$90, "&lt;=4"),0)</f>
        <v>0</v>
      </c>
      <c r="J7" s="29">
        <f t="shared" si="0"/>
        <v>0</v>
      </c>
      <c r="K7" s="29">
        <f t="shared" si="0"/>
        <v>0</v>
      </c>
      <c r="L7" s="29">
        <f t="shared" si="0"/>
        <v>0</v>
      </c>
      <c r="M7" s="29">
        <f t="shared" si="0"/>
        <v>0</v>
      </c>
      <c r="N7" s="29">
        <f t="shared" si="0"/>
        <v>0</v>
      </c>
      <c r="O7" s="29">
        <f t="shared" si="0"/>
        <v>0</v>
      </c>
      <c r="P7" s="29">
        <f t="shared" si="0"/>
        <v>0</v>
      </c>
      <c r="Q7" s="29">
        <f t="shared" si="0"/>
        <v>0</v>
      </c>
    </row>
    <row r="8" spans="1:17" x14ac:dyDescent="0.2">
      <c r="B8" s="32"/>
      <c r="C8" s="32"/>
      <c r="D8" s="3"/>
      <c r="E8" s="11" t="s">
        <v>2</v>
      </c>
      <c r="F8" s="34" t="s">
        <v>3</v>
      </c>
      <c r="G8" s="3" t="s">
        <v>99</v>
      </c>
      <c r="H8" s="29">
        <f>IF(SUM(H$11:H$90)&gt;0,COUNTIFS(H$11:H$90, "&gt;2", H$11:H$90, "&lt;=3"),0)</f>
        <v>0</v>
      </c>
      <c r="I8" s="29">
        <f t="shared" ref="I8:Q8" si="1">IF(SUM(I$11:I$90)&gt;0,COUNTIFS(I$11:I$90, "&gt;2", I$11:I$90, "&lt;=3"),0)</f>
        <v>0</v>
      </c>
      <c r="J8" s="29">
        <f t="shared" si="1"/>
        <v>0</v>
      </c>
      <c r="K8" s="29">
        <f t="shared" si="1"/>
        <v>0</v>
      </c>
      <c r="L8" s="29">
        <f t="shared" si="1"/>
        <v>0</v>
      </c>
      <c r="M8" s="29">
        <f t="shared" si="1"/>
        <v>0</v>
      </c>
      <c r="N8" s="29">
        <f t="shared" si="1"/>
        <v>0</v>
      </c>
      <c r="O8" s="29">
        <f t="shared" si="1"/>
        <v>0</v>
      </c>
      <c r="P8" s="29">
        <f t="shared" si="1"/>
        <v>0</v>
      </c>
      <c r="Q8" s="29">
        <f t="shared" si="1"/>
        <v>0</v>
      </c>
    </row>
    <row r="9" spans="1:17" x14ac:dyDescent="0.2">
      <c r="A9" s="32"/>
      <c r="B9" s="32"/>
      <c r="C9" s="32"/>
      <c r="D9" s="3" t="s">
        <v>63</v>
      </c>
      <c r="E9" s="13">
        <f>NILAI!R8</f>
        <v>0</v>
      </c>
      <c r="F9" s="34"/>
      <c r="G9" s="3" t="s">
        <v>98</v>
      </c>
      <c r="H9" s="29">
        <f>IF(SUM(H$11:H$90)&gt;0,COUNTIFS(H$11:H$90, "&gt;1", H$11:H$90, "&lt;=2"),0)</f>
        <v>0</v>
      </c>
      <c r="I9" s="29">
        <f t="shared" ref="I9:Q9" si="2">IF(SUM(I$11:I$90)&gt;0,COUNTIFS(I$11:I$90, "&gt;1", I$11:I$90, "&lt;=2"),0)</f>
        <v>0</v>
      </c>
      <c r="J9" s="29">
        <f t="shared" si="2"/>
        <v>0</v>
      </c>
      <c r="K9" s="29">
        <f t="shared" si="2"/>
        <v>0</v>
      </c>
      <c r="L9" s="29">
        <f t="shared" si="2"/>
        <v>0</v>
      </c>
      <c r="M9" s="29">
        <f t="shared" si="2"/>
        <v>0</v>
      </c>
      <c r="N9" s="29">
        <f t="shared" si="2"/>
        <v>0</v>
      </c>
      <c r="O9" s="29">
        <f t="shared" si="2"/>
        <v>0</v>
      </c>
      <c r="P9" s="29">
        <f t="shared" si="2"/>
        <v>0</v>
      </c>
      <c r="Q9" s="29">
        <f t="shared" si="2"/>
        <v>0</v>
      </c>
    </row>
    <row r="10" spans="1:17" x14ac:dyDescent="0.2">
      <c r="A10" s="11" t="s">
        <v>5</v>
      </c>
      <c r="B10" s="11" t="s">
        <v>0</v>
      </c>
      <c r="C10" s="11" t="s">
        <v>1</v>
      </c>
      <c r="D10" s="3" t="s">
        <v>62</v>
      </c>
      <c r="E10" s="12">
        <f>NILAI!R9</f>
        <v>0</v>
      </c>
      <c r="F10" s="34"/>
      <c r="G10" s="3" t="s">
        <v>97</v>
      </c>
      <c r="H10" s="29">
        <f>IF(SUM(H$11:H$90)&gt;0,COUNTIFS(H$11:H$90, "&gt;0", H$11:H$90, "&lt;=1"),0)</f>
        <v>0</v>
      </c>
      <c r="I10" s="29">
        <f t="shared" ref="I10:Q10" si="3">IF(SUM(I$11:I$90)&gt;0,COUNTIFS(I$11:I$90, "&gt;0", I$11:I$90, "&lt;=1"),0)</f>
        <v>0</v>
      </c>
      <c r="J10" s="29">
        <f t="shared" si="3"/>
        <v>0</v>
      </c>
      <c r="K10" s="29">
        <f t="shared" si="3"/>
        <v>0</v>
      </c>
      <c r="L10" s="29">
        <f t="shared" si="3"/>
        <v>0</v>
      </c>
      <c r="M10" s="29">
        <f t="shared" si="3"/>
        <v>0</v>
      </c>
      <c r="N10" s="29">
        <f t="shared" si="3"/>
        <v>0</v>
      </c>
      <c r="O10" s="29">
        <f t="shared" si="3"/>
        <v>0</v>
      </c>
      <c r="P10" s="29">
        <f t="shared" si="3"/>
        <v>0</v>
      </c>
      <c r="Q10" s="29">
        <f t="shared" si="3"/>
        <v>0</v>
      </c>
    </row>
    <row r="11" spans="1:17" x14ac:dyDescent="0.2">
      <c r="A11" s="2">
        <v>1</v>
      </c>
      <c r="B11" s="25"/>
      <c r="C11" s="25"/>
      <c r="D11" s="6"/>
      <c r="E11" s="2" t="str">
        <f>NILAI!R11</f>
        <v/>
      </c>
      <c r="F11" s="2" t="str">
        <f>NILAI!S11</f>
        <v/>
      </c>
      <c r="G11" s="6"/>
      <c r="H11" s="2" t="str">
        <f>IFERROR('NILAI CPL'!BJ11,0)</f>
        <v/>
      </c>
      <c r="I11" s="2" t="str">
        <f>IFERROR('NILAI CPL'!BK11,0)</f>
        <v/>
      </c>
      <c r="J11" s="2" t="str">
        <f>IFERROR('NILAI CPL'!BL11,0)</f>
        <v/>
      </c>
      <c r="K11" s="2" t="str">
        <f>IFERROR('NILAI CPL'!BM11,0)</f>
        <v/>
      </c>
      <c r="L11" s="2" t="str">
        <f>IFERROR('NILAI CPL'!BN11,0)</f>
        <v/>
      </c>
      <c r="M11" s="2" t="str">
        <f>IFERROR('NILAI CPL'!BO11,0)</f>
        <v/>
      </c>
      <c r="N11" s="2" t="str">
        <f>IFERROR('NILAI CPL'!BP11,0)</f>
        <v/>
      </c>
      <c r="O11" s="2" t="str">
        <f>IFERROR('NILAI CPL'!BQ11,0)</f>
        <v/>
      </c>
      <c r="P11" s="2" t="str">
        <f>IFERROR('NILAI CPL'!BR11,0)</f>
        <v/>
      </c>
      <c r="Q11" s="2" t="str">
        <f>IFERROR('NILAI CPL'!BS11,0)</f>
        <v/>
      </c>
    </row>
    <row r="12" spans="1:17" x14ac:dyDescent="0.2">
      <c r="A12" s="2">
        <v>2</v>
      </c>
      <c r="B12" s="25"/>
      <c r="C12" s="25"/>
      <c r="D12" s="6"/>
      <c r="E12" s="2" t="str">
        <f>NILAI!R12</f>
        <v/>
      </c>
      <c r="F12" s="2" t="str">
        <f>NILAI!S12</f>
        <v/>
      </c>
      <c r="G12" s="6"/>
      <c r="H12" s="2" t="str">
        <f>IFERROR('NILAI CPL'!BJ12,0)</f>
        <v/>
      </c>
      <c r="I12" s="2" t="str">
        <f>IFERROR('NILAI CPL'!BK12,0)</f>
        <v/>
      </c>
      <c r="J12" s="2" t="str">
        <f>IFERROR('NILAI CPL'!BL12,0)</f>
        <v/>
      </c>
      <c r="K12" s="2" t="str">
        <f>IFERROR('NILAI CPL'!BM12,0)</f>
        <v/>
      </c>
      <c r="L12" s="2" t="str">
        <f>IFERROR('NILAI CPL'!BN12,0)</f>
        <v/>
      </c>
      <c r="M12" s="2" t="str">
        <f>IFERROR('NILAI CPL'!BO12,0)</f>
        <v/>
      </c>
      <c r="N12" s="2" t="str">
        <f>IFERROR('NILAI CPL'!BP12,0)</f>
        <v/>
      </c>
      <c r="O12" s="2" t="str">
        <f>IFERROR('NILAI CPL'!BQ12,0)</f>
        <v/>
      </c>
      <c r="P12" s="2" t="str">
        <f>IFERROR('NILAI CPL'!BR12,0)</f>
        <v/>
      </c>
      <c r="Q12" s="2" t="str">
        <f>IFERROR('NILAI CPL'!BS12,0)</f>
        <v/>
      </c>
    </row>
    <row r="13" spans="1:17" x14ac:dyDescent="0.2">
      <c r="A13" s="2">
        <v>3</v>
      </c>
      <c r="B13" s="25"/>
      <c r="C13" s="25"/>
      <c r="D13" s="6"/>
      <c r="E13" s="2" t="str">
        <f>NILAI!R13</f>
        <v/>
      </c>
      <c r="F13" s="2" t="str">
        <f>NILAI!S13</f>
        <v/>
      </c>
      <c r="G13" s="6"/>
      <c r="H13" s="2" t="str">
        <f>IFERROR('NILAI CPL'!BJ13,0)</f>
        <v/>
      </c>
      <c r="I13" s="2" t="str">
        <f>IFERROR('NILAI CPL'!BK13,0)</f>
        <v/>
      </c>
      <c r="J13" s="2" t="str">
        <f>IFERROR('NILAI CPL'!BL13,0)</f>
        <v/>
      </c>
      <c r="K13" s="2" t="str">
        <f>IFERROR('NILAI CPL'!BM13,0)</f>
        <v/>
      </c>
      <c r="L13" s="2" t="str">
        <f>IFERROR('NILAI CPL'!BN13,0)</f>
        <v/>
      </c>
      <c r="M13" s="2" t="str">
        <f>IFERROR('NILAI CPL'!BO13,0)</f>
        <v/>
      </c>
      <c r="N13" s="2" t="str">
        <f>IFERROR('NILAI CPL'!BP13,0)</f>
        <v/>
      </c>
      <c r="O13" s="2" t="str">
        <f>IFERROR('NILAI CPL'!BQ13,0)</f>
        <v/>
      </c>
      <c r="P13" s="2" t="str">
        <f>IFERROR('NILAI CPL'!BR13,0)</f>
        <v/>
      </c>
      <c r="Q13" s="2" t="str">
        <f>IFERROR('NILAI CPL'!BS13,0)</f>
        <v/>
      </c>
    </row>
    <row r="14" spans="1:17" x14ac:dyDescent="0.2">
      <c r="A14" s="2">
        <v>4</v>
      </c>
      <c r="B14" s="25"/>
      <c r="C14" s="25"/>
      <c r="D14" s="6"/>
      <c r="E14" s="2" t="str">
        <f>NILAI!R14</f>
        <v/>
      </c>
      <c r="F14" s="2" t="str">
        <f>NILAI!S14</f>
        <v/>
      </c>
      <c r="G14" s="6"/>
      <c r="H14" s="2" t="str">
        <f>IFERROR('NILAI CPL'!BJ14,0)</f>
        <v/>
      </c>
      <c r="I14" s="2" t="str">
        <f>IFERROR('NILAI CPL'!BK14,0)</f>
        <v/>
      </c>
      <c r="J14" s="2" t="str">
        <f>IFERROR('NILAI CPL'!BL14,0)</f>
        <v/>
      </c>
      <c r="K14" s="2" t="str">
        <f>IFERROR('NILAI CPL'!BM14,0)</f>
        <v/>
      </c>
      <c r="L14" s="2" t="str">
        <f>IFERROR('NILAI CPL'!BN14,0)</f>
        <v/>
      </c>
      <c r="M14" s="2" t="str">
        <f>IFERROR('NILAI CPL'!BO14,0)</f>
        <v/>
      </c>
      <c r="N14" s="2" t="str">
        <f>IFERROR('NILAI CPL'!BP14,0)</f>
        <v/>
      </c>
      <c r="O14" s="2" t="str">
        <f>IFERROR('NILAI CPL'!BQ14,0)</f>
        <v/>
      </c>
      <c r="P14" s="2" t="str">
        <f>IFERROR('NILAI CPL'!BR14,0)</f>
        <v/>
      </c>
      <c r="Q14" s="2" t="str">
        <f>IFERROR('NILAI CPL'!BS14,0)</f>
        <v/>
      </c>
    </row>
    <row r="15" spans="1:17" x14ac:dyDescent="0.2">
      <c r="A15" s="2">
        <v>5</v>
      </c>
      <c r="B15" s="25"/>
      <c r="C15" s="25"/>
      <c r="D15" s="6"/>
      <c r="E15" s="2" t="str">
        <f>NILAI!R15</f>
        <v/>
      </c>
      <c r="F15" s="2" t="str">
        <f>NILAI!S15</f>
        <v/>
      </c>
      <c r="G15" s="6"/>
      <c r="H15" s="2" t="str">
        <f>IFERROR('NILAI CPL'!BJ15,0)</f>
        <v/>
      </c>
      <c r="I15" s="2" t="str">
        <f>IFERROR('NILAI CPL'!BK15,0)</f>
        <v/>
      </c>
      <c r="J15" s="2" t="str">
        <f>IFERROR('NILAI CPL'!BL15,0)</f>
        <v/>
      </c>
      <c r="K15" s="2" t="str">
        <f>IFERROR('NILAI CPL'!BM15,0)</f>
        <v/>
      </c>
      <c r="L15" s="2" t="str">
        <f>IFERROR('NILAI CPL'!BN15,0)</f>
        <v/>
      </c>
      <c r="M15" s="2" t="str">
        <f>IFERROR('NILAI CPL'!BO15,0)</f>
        <v/>
      </c>
      <c r="N15" s="2" t="str">
        <f>IFERROR('NILAI CPL'!BP15,0)</f>
        <v/>
      </c>
      <c r="O15" s="2" t="str">
        <f>IFERROR('NILAI CPL'!BQ15,0)</f>
        <v/>
      </c>
      <c r="P15" s="2" t="str">
        <f>IFERROR('NILAI CPL'!BR15,0)</f>
        <v/>
      </c>
      <c r="Q15" s="2" t="str">
        <f>IFERROR('NILAI CPL'!BS15,0)</f>
        <v/>
      </c>
    </row>
    <row r="16" spans="1:17" x14ac:dyDescent="0.2">
      <c r="A16" s="2">
        <v>6</v>
      </c>
      <c r="B16" s="25"/>
      <c r="C16" s="25"/>
      <c r="D16" s="6"/>
      <c r="E16" s="2" t="str">
        <f>NILAI!R16</f>
        <v/>
      </c>
      <c r="F16" s="2" t="str">
        <f>NILAI!S16</f>
        <v/>
      </c>
      <c r="G16" s="6"/>
      <c r="H16" s="2" t="str">
        <f>IFERROR('NILAI CPL'!BJ16,0)</f>
        <v/>
      </c>
      <c r="I16" s="2" t="str">
        <f>IFERROR('NILAI CPL'!BK16,0)</f>
        <v/>
      </c>
      <c r="J16" s="2" t="str">
        <f>IFERROR('NILAI CPL'!BL16,0)</f>
        <v/>
      </c>
      <c r="K16" s="2" t="str">
        <f>IFERROR('NILAI CPL'!BM16,0)</f>
        <v/>
      </c>
      <c r="L16" s="2" t="str">
        <f>IFERROR('NILAI CPL'!BN16,0)</f>
        <v/>
      </c>
      <c r="M16" s="2" t="str">
        <f>IFERROR('NILAI CPL'!BO16,0)</f>
        <v/>
      </c>
      <c r="N16" s="2" t="str">
        <f>IFERROR('NILAI CPL'!BP16,0)</f>
        <v/>
      </c>
      <c r="O16" s="2" t="str">
        <f>IFERROR('NILAI CPL'!BQ16,0)</f>
        <v/>
      </c>
      <c r="P16" s="2" t="str">
        <f>IFERROR('NILAI CPL'!BR16,0)</f>
        <v/>
      </c>
      <c r="Q16" s="2" t="str">
        <f>IFERROR('NILAI CPL'!BS16,0)</f>
        <v/>
      </c>
    </row>
    <row r="17" spans="1:17" x14ac:dyDescent="0.2">
      <c r="A17" s="2">
        <v>7</v>
      </c>
      <c r="B17" s="25"/>
      <c r="C17" s="25"/>
      <c r="D17" s="6"/>
      <c r="E17" s="2" t="str">
        <f>NILAI!R17</f>
        <v/>
      </c>
      <c r="F17" s="2" t="str">
        <f>NILAI!S17</f>
        <v/>
      </c>
      <c r="G17" s="6"/>
      <c r="H17" s="2" t="str">
        <f>IFERROR('NILAI CPL'!BJ17,0)</f>
        <v/>
      </c>
      <c r="I17" s="2" t="str">
        <f>IFERROR('NILAI CPL'!BK17,0)</f>
        <v/>
      </c>
      <c r="J17" s="2" t="str">
        <f>IFERROR('NILAI CPL'!BL17,0)</f>
        <v/>
      </c>
      <c r="K17" s="2" t="str">
        <f>IFERROR('NILAI CPL'!BM17,0)</f>
        <v/>
      </c>
      <c r="L17" s="2" t="str">
        <f>IFERROR('NILAI CPL'!BN17,0)</f>
        <v/>
      </c>
      <c r="M17" s="2" t="str">
        <f>IFERROR('NILAI CPL'!BO17,0)</f>
        <v/>
      </c>
      <c r="N17" s="2" t="str">
        <f>IFERROR('NILAI CPL'!BP17,0)</f>
        <v/>
      </c>
      <c r="O17" s="2" t="str">
        <f>IFERROR('NILAI CPL'!BQ17,0)</f>
        <v/>
      </c>
      <c r="P17" s="2" t="str">
        <f>IFERROR('NILAI CPL'!BR17,0)</f>
        <v/>
      </c>
      <c r="Q17" s="2" t="str">
        <f>IFERROR('NILAI CPL'!BS17,0)</f>
        <v/>
      </c>
    </row>
    <row r="18" spans="1:17" x14ac:dyDescent="0.2">
      <c r="A18" s="2">
        <v>8</v>
      </c>
      <c r="B18" s="25"/>
      <c r="C18" s="25"/>
      <c r="D18" s="6"/>
      <c r="E18" s="2" t="str">
        <f>NILAI!R18</f>
        <v/>
      </c>
      <c r="F18" s="2" t="str">
        <f>NILAI!S18</f>
        <v/>
      </c>
      <c r="G18" s="6"/>
      <c r="H18" s="2" t="str">
        <f>IFERROR('NILAI CPL'!BJ18,0)</f>
        <v/>
      </c>
      <c r="I18" s="2" t="str">
        <f>IFERROR('NILAI CPL'!BK18,0)</f>
        <v/>
      </c>
      <c r="J18" s="2" t="str">
        <f>IFERROR('NILAI CPL'!BL18,0)</f>
        <v/>
      </c>
      <c r="K18" s="2" t="str">
        <f>IFERROR('NILAI CPL'!BM18,0)</f>
        <v/>
      </c>
      <c r="L18" s="2" t="str">
        <f>IFERROR('NILAI CPL'!BN18,0)</f>
        <v/>
      </c>
      <c r="M18" s="2" t="str">
        <f>IFERROR('NILAI CPL'!BO18,0)</f>
        <v/>
      </c>
      <c r="N18" s="2" t="str">
        <f>IFERROR('NILAI CPL'!BP18,0)</f>
        <v/>
      </c>
      <c r="O18" s="2" t="str">
        <f>IFERROR('NILAI CPL'!BQ18,0)</f>
        <v/>
      </c>
      <c r="P18" s="2" t="str">
        <f>IFERROR('NILAI CPL'!BR18,0)</f>
        <v/>
      </c>
      <c r="Q18" s="2" t="str">
        <f>IFERROR('NILAI CPL'!BS18,0)</f>
        <v/>
      </c>
    </row>
    <row r="19" spans="1:17" x14ac:dyDescent="0.2">
      <c r="A19" s="2">
        <v>9</v>
      </c>
      <c r="B19" s="25"/>
      <c r="C19" s="25"/>
      <c r="D19" s="6"/>
      <c r="E19" s="2" t="str">
        <f>NILAI!R19</f>
        <v/>
      </c>
      <c r="F19" s="2" t="str">
        <f>NILAI!S19</f>
        <v/>
      </c>
      <c r="G19" s="6"/>
      <c r="H19" s="2" t="str">
        <f>IFERROR('NILAI CPL'!BJ19,0)</f>
        <v/>
      </c>
      <c r="I19" s="2" t="str">
        <f>IFERROR('NILAI CPL'!BK19,0)</f>
        <v/>
      </c>
      <c r="J19" s="2" t="str">
        <f>IFERROR('NILAI CPL'!BL19,0)</f>
        <v/>
      </c>
      <c r="K19" s="2" t="str">
        <f>IFERROR('NILAI CPL'!BM19,0)</f>
        <v/>
      </c>
      <c r="L19" s="2" t="str">
        <f>IFERROR('NILAI CPL'!BN19,0)</f>
        <v/>
      </c>
      <c r="M19" s="2" t="str">
        <f>IFERROR('NILAI CPL'!BO19,0)</f>
        <v/>
      </c>
      <c r="N19" s="2" t="str">
        <f>IFERROR('NILAI CPL'!BP19,0)</f>
        <v/>
      </c>
      <c r="O19" s="2" t="str">
        <f>IFERROR('NILAI CPL'!BQ19,0)</f>
        <v/>
      </c>
      <c r="P19" s="2" t="str">
        <f>IFERROR('NILAI CPL'!BR19,0)</f>
        <v/>
      </c>
      <c r="Q19" s="2" t="str">
        <f>IFERROR('NILAI CPL'!BS19,0)</f>
        <v/>
      </c>
    </row>
    <row r="20" spans="1:17" x14ac:dyDescent="0.2">
      <c r="A20" s="2">
        <v>10</v>
      </c>
      <c r="B20" s="25"/>
      <c r="C20" s="25"/>
      <c r="D20" s="6"/>
      <c r="E20" s="2" t="str">
        <f>NILAI!R20</f>
        <v/>
      </c>
      <c r="F20" s="2" t="str">
        <f>NILAI!S20</f>
        <v/>
      </c>
      <c r="G20" s="6"/>
      <c r="H20" s="2" t="str">
        <f>IFERROR('NILAI CPL'!BJ20,0)</f>
        <v/>
      </c>
      <c r="I20" s="2" t="str">
        <f>IFERROR('NILAI CPL'!BK20,0)</f>
        <v/>
      </c>
      <c r="J20" s="2" t="str">
        <f>IFERROR('NILAI CPL'!BL20,0)</f>
        <v/>
      </c>
      <c r="K20" s="2" t="str">
        <f>IFERROR('NILAI CPL'!BM20,0)</f>
        <v/>
      </c>
      <c r="L20" s="2" t="str">
        <f>IFERROR('NILAI CPL'!BN20,0)</f>
        <v/>
      </c>
      <c r="M20" s="2" t="str">
        <f>IFERROR('NILAI CPL'!BO20,0)</f>
        <v/>
      </c>
      <c r="N20" s="2" t="str">
        <f>IFERROR('NILAI CPL'!BP20,0)</f>
        <v/>
      </c>
      <c r="O20" s="2" t="str">
        <f>IFERROR('NILAI CPL'!BQ20,0)</f>
        <v/>
      </c>
      <c r="P20" s="2" t="str">
        <f>IFERROR('NILAI CPL'!BR20,0)</f>
        <v/>
      </c>
      <c r="Q20" s="2" t="str">
        <f>IFERROR('NILAI CPL'!BS20,0)</f>
        <v/>
      </c>
    </row>
    <row r="21" spans="1:17" x14ac:dyDescent="0.2">
      <c r="A21" s="2">
        <v>11</v>
      </c>
      <c r="B21" s="25"/>
      <c r="C21" s="25"/>
      <c r="D21" s="6"/>
      <c r="E21" s="2" t="str">
        <f>NILAI!R21</f>
        <v/>
      </c>
      <c r="F21" s="2" t="str">
        <f>NILAI!S21</f>
        <v/>
      </c>
      <c r="G21" s="6"/>
      <c r="H21" s="2" t="str">
        <f>IFERROR('NILAI CPL'!BJ21,0)</f>
        <v/>
      </c>
      <c r="I21" s="2" t="str">
        <f>IFERROR('NILAI CPL'!BK21,0)</f>
        <v/>
      </c>
      <c r="J21" s="2" t="str">
        <f>IFERROR('NILAI CPL'!BL21,0)</f>
        <v/>
      </c>
      <c r="K21" s="2" t="str">
        <f>IFERROR('NILAI CPL'!BM21,0)</f>
        <v/>
      </c>
      <c r="L21" s="2" t="str">
        <f>IFERROR('NILAI CPL'!BN21,0)</f>
        <v/>
      </c>
      <c r="M21" s="2" t="str">
        <f>IFERROR('NILAI CPL'!BO21,0)</f>
        <v/>
      </c>
      <c r="N21" s="2" t="str">
        <f>IFERROR('NILAI CPL'!BP21,0)</f>
        <v/>
      </c>
      <c r="O21" s="2" t="str">
        <f>IFERROR('NILAI CPL'!BQ21,0)</f>
        <v/>
      </c>
      <c r="P21" s="2" t="str">
        <f>IFERROR('NILAI CPL'!BR21,0)</f>
        <v/>
      </c>
      <c r="Q21" s="2" t="str">
        <f>IFERROR('NILAI CPL'!BS21,0)</f>
        <v/>
      </c>
    </row>
    <row r="22" spans="1:17" x14ac:dyDescent="0.2">
      <c r="A22" s="2">
        <v>12</v>
      </c>
      <c r="B22" s="25"/>
      <c r="C22" s="25"/>
      <c r="D22" s="6"/>
      <c r="E22" s="2" t="str">
        <f>NILAI!R22</f>
        <v/>
      </c>
      <c r="F22" s="2" t="str">
        <f>NILAI!S22</f>
        <v/>
      </c>
      <c r="G22" s="6"/>
      <c r="H22" s="2" t="str">
        <f>IFERROR('NILAI CPL'!BJ22,0)</f>
        <v/>
      </c>
      <c r="I22" s="2" t="str">
        <f>IFERROR('NILAI CPL'!BK22,0)</f>
        <v/>
      </c>
      <c r="J22" s="2" t="str">
        <f>IFERROR('NILAI CPL'!BL22,0)</f>
        <v/>
      </c>
      <c r="K22" s="2" t="str">
        <f>IFERROR('NILAI CPL'!BM22,0)</f>
        <v/>
      </c>
      <c r="L22" s="2" t="str">
        <f>IFERROR('NILAI CPL'!BN22,0)</f>
        <v/>
      </c>
      <c r="M22" s="2" t="str">
        <f>IFERROR('NILAI CPL'!BO22,0)</f>
        <v/>
      </c>
      <c r="N22" s="2" t="str">
        <f>IFERROR('NILAI CPL'!BP22,0)</f>
        <v/>
      </c>
      <c r="O22" s="2" t="str">
        <f>IFERROR('NILAI CPL'!BQ22,0)</f>
        <v/>
      </c>
      <c r="P22" s="2" t="str">
        <f>IFERROR('NILAI CPL'!BR22,0)</f>
        <v/>
      </c>
      <c r="Q22" s="2" t="str">
        <f>IFERROR('NILAI CPL'!BS22,0)</f>
        <v/>
      </c>
    </row>
    <row r="23" spans="1:17" x14ac:dyDescent="0.2">
      <c r="A23" s="2">
        <v>13</v>
      </c>
      <c r="B23" s="25"/>
      <c r="C23" s="25"/>
      <c r="D23" s="6"/>
      <c r="E23" s="2" t="str">
        <f>NILAI!R23</f>
        <v/>
      </c>
      <c r="F23" s="2" t="str">
        <f>NILAI!S23</f>
        <v/>
      </c>
      <c r="G23" s="6"/>
      <c r="H23" s="2" t="str">
        <f>IFERROR('NILAI CPL'!BJ23,0)</f>
        <v/>
      </c>
      <c r="I23" s="2" t="str">
        <f>IFERROR('NILAI CPL'!BK23,0)</f>
        <v/>
      </c>
      <c r="J23" s="2" t="str">
        <f>IFERROR('NILAI CPL'!BL23,0)</f>
        <v/>
      </c>
      <c r="K23" s="2" t="str">
        <f>IFERROR('NILAI CPL'!BM23,0)</f>
        <v/>
      </c>
      <c r="L23" s="2" t="str">
        <f>IFERROR('NILAI CPL'!BN23,0)</f>
        <v/>
      </c>
      <c r="M23" s="2" t="str">
        <f>IFERROR('NILAI CPL'!BO23,0)</f>
        <v/>
      </c>
      <c r="N23" s="2" t="str">
        <f>IFERROR('NILAI CPL'!BP23,0)</f>
        <v/>
      </c>
      <c r="O23" s="2" t="str">
        <f>IFERROR('NILAI CPL'!BQ23,0)</f>
        <v/>
      </c>
      <c r="P23" s="2" t="str">
        <f>IFERROR('NILAI CPL'!BR23,0)</f>
        <v/>
      </c>
      <c r="Q23" s="2" t="str">
        <f>IFERROR('NILAI CPL'!BS23,0)</f>
        <v/>
      </c>
    </row>
    <row r="24" spans="1:17" x14ac:dyDescent="0.2">
      <c r="A24" s="2">
        <v>14</v>
      </c>
      <c r="B24" s="25"/>
      <c r="C24" s="25"/>
      <c r="D24" s="6"/>
      <c r="E24" s="2" t="str">
        <f>NILAI!R24</f>
        <v/>
      </c>
      <c r="F24" s="2" t="str">
        <f>NILAI!S24</f>
        <v/>
      </c>
      <c r="G24" s="6"/>
      <c r="H24" s="2" t="str">
        <f>IFERROR('NILAI CPL'!BJ24,0)</f>
        <v/>
      </c>
      <c r="I24" s="2" t="str">
        <f>IFERROR('NILAI CPL'!BK24,0)</f>
        <v/>
      </c>
      <c r="J24" s="2" t="str">
        <f>IFERROR('NILAI CPL'!BL24,0)</f>
        <v/>
      </c>
      <c r="K24" s="2" t="str">
        <f>IFERROR('NILAI CPL'!BM24,0)</f>
        <v/>
      </c>
      <c r="L24" s="2" t="str">
        <f>IFERROR('NILAI CPL'!BN24,0)</f>
        <v/>
      </c>
      <c r="M24" s="2" t="str">
        <f>IFERROR('NILAI CPL'!BO24,0)</f>
        <v/>
      </c>
      <c r="N24" s="2" t="str">
        <f>IFERROR('NILAI CPL'!BP24,0)</f>
        <v/>
      </c>
      <c r="O24" s="2" t="str">
        <f>IFERROR('NILAI CPL'!BQ24,0)</f>
        <v/>
      </c>
      <c r="P24" s="2" t="str">
        <f>IFERROR('NILAI CPL'!BR24,0)</f>
        <v/>
      </c>
      <c r="Q24" s="2" t="str">
        <f>IFERROR('NILAI CPL'!BS24,0)</f>
        <v/>
      </c>
    </row>
    <row r="25" spans="1:17" x14ac:dyDescent="0.2">
      <c r="A25" s="2">
        <v>15</v>
      </c>
      <c r="B25" s="25"/>
      <c r="C25" s="25"/>
      <c r="D25" s="6"/>
      <c r="E25" s="2" t="str">
        <f>NILAI!R25</f>
        <v/>
      </c>
      <c r="F25" s="2" t="str">
        <f>NILAI!S25</f>
        <v/>
      </c>
      <c r="G25" s="6"/>
      <c r="H25" s="2" t="str">
        <f>IFERROR('NILAI CPL'!BJ25,0)</f>
        <v/>
      </c>
      <c r="I25" s="2" t="str">
        <f>IFERROR('NILAI CPL'!BK25,0)</f>
        <v/>
      </c>
      <c r="J25" s="2" t="str">
        <f>IFERROR('NILAI CPL'!BL25,0)</f>
        <v/>
      </c>
      <c r="K25" s="2" t="str">
        <f>IFERROR('NILAI CPL'!BM25,0)</f>
        <v/>
      </c>
      <c r="L25" s="2" t="str">
        <f>IFERROR('NILAI CPL'!BN25,0)</f>
        <v/>
      </c>
      <c r="M25" s="2" t="str">
        <f>IFERROR('NILAI CPL'!BO25,0)</f>
        <v/>
      </c>
      <c r="N25" s="2" t="str">
        <f>IFERROR('NILAI CPL'!BP25,0)</f>
        <v/>
      </c>
      <c r="O25" s="2" t="str">
        <f>IFERROR('NILAI CPL'!BQ25,0)</f>
        <v/>
      </c>
      <c r="P25" s="2" t="str">
        <f>IFERROR('NILAI CPL'!BR25,0)</f>
        <v/>
      </c>
      <c r="Q25" s="2" t="str">
        <f>IFERROR('NILAI CPL'!BS25,0)</f>
        <v/>
      </c>
    </row>
    <row r="26" spans="1:17" x14ac:dyDescent="0.2">
      <c r="A26" s="2">
        <v>16</v>
      </c>
      <c r="B26" s="25"/>
      <c r="C26" s="25"/>
      <c r="D26" s="6"/>
      <c r="E26" s="2" t="str">
        <f>NILAI!R26</f>
        <v/>
      </c>
      <c r="F26" s="2" t="str">
        <f>NILAI!S26</f>
        <v/>
      </c>
      <c r="G26" s="6"/>
      <c r="H26" s="2" t="str">
        <f>IFERROR('NILAI CPL'!BJ26,0)</f>
        <v/>
      </c>
      <c r="I26" s="2" t="str">
        <f>IFERROR('NILAI CPL'!BK26,0)</f>
        <v/>
      </c>
      <c r="J26" s="2" t="str">
        <f>IFERROR('NILAI CPL'!BL26,0)</f>
        <v/>
      </c>
      <c r="K26" s="2" t="str">
        <f>IFERROR('NILAI CPL'!BM26,0)</f>
        <v/>
      </c>
      <c r="L26" s="2" t="str">
        <f>IFERROR('NILAI CPL'!BN26,0)</f>
        <v/>
      </c>
      <c r="M26" s="2" t="str">
        <f>IFERROR('NILAI CPL'!BO26,0)</f>
        <v/>
      </c>
      <c r="N26" s="2" t="str">
        <f>IFERROR('NILAI CPL'!BP26,0)</f>
        <v/>
      </c>
      <c r="O26" s="2" t="str">
        <f>IFERROR('NILAI CPL'!BQ26,0)</f>
        <v/>
      </c>
      <c r="P26" s="2" t="str">
        <f>IFERROR('NILAI CPL'!BR26,0)</f>
        <v/>
      </c>
      <c r="Q26" s="2" t="str">
        <f>IFERROR('NILAI CPL'!BS26,0)</f>
        <v/>
      </c>
    </row>
    <row r="27" spans="1:17" x14ac:dyDescent="0.2">
      <c r="A27" s="2">
        <v>17</v>
      </c>
      <c r="B27" s="25"/>
      <c r="C27" s="25"/>
      <c r="D27" s="6"/>
      <c r="E27" s="2" t="str">
        <f>NILAI!R27</f>
        <v/>
      </c>
      <c r="F27" s="2" t="str">
        <f>NILAI!S27</f>
        <v/>
      </c>
      <c r="G27" s="6"/>
      <c r="H27" s="2" t="str">
        <f>IFERROR('NILAI CPL'!BJ27,0)</f>
        <v/>
      </c>
      <c r="I27" s="2" t="str">
        <f>IFERROR('NILAI CPL'!BK27,0)</f>
        <v/>
      </c>
      <c r="J27" s="2" t="str">
        <f>IFERROR('NILAI CPL'!BL27,0)</f>
        <v/>
      </c>
      <c r="K27" s="2" t="str">
        <f>IFERROR('NILAI CPL'!BM27,0)</f>
        <v/>
      </c>
      <c r="L27" s="2" t="str">
        <f>IFERROR('NILAI CPL'!BN27,0)</f>
        <v/>
      </c>
      <c r="M27" s="2" t="str">
        <f>IFERROR('NILAI CPL'!BO27,0)</f>
        <v/>
      </c>
      <c r="N27" s="2" t="str">
        <f>IFERROR('NILAI CPL'!BP27,0)</f>
        <v/>
      </c>
      <c r="O27" s="2" t="str">
        <f>IFERROR('NILAI CPL'!BQ27,0)</f>
        <v/>
      </c>
      <c r="P27" s="2" t="str">
        <f>IFERROR('NILAI CPL'!BR27,0)</f>
        <v/>
      </c>
      <c r="Q27" s="2" t="str">
        <f>IFERROR('NILAI CPL'!BS27,0)</f>
        <v/>
      </c>
    </row>
    <row r="28" spans="1:17" x14ac:dyDescent="0.2">
      <c r="A28" s="2">
        <v>18</v>
      </c>
      <c r="B28" s="25"/>
      <c r="C28" s="25"/>
      <c r="D28" s="6"/>
      <c r="E28" s="2" t="str">
        <f>NILAI!R28</f>
        <v/>
      </c>
      <c r="F28" s="2" t="str">
        <f>NILAI!S28</f>
        <v/>
      </c>
      <c r="G28" s="6"/>
      <c r="H28" s="2" t="str">
        <f>IFERROR('NILAI CPL'!BJ28,0)</f>
        <v/>
      </c>
      <c r="I28" s="2" t="str">
        <f>IFERROR('NILAI CPL'!BK28,0)</f>
        <v/>
      </c>
      <c r="J28" s="2" t="str">
        <f>IFERROR('NILAI CPL'!BL28,0)</f>
        <v/>
      </c>
      <c r="K28" s="2" t="str">
        <f>IFERROR('NILAI CPL'!BM28,0)</f>
        <v/>
      </c>
      <c r="L28" s="2" t="str">
        <f>IFERROR('NILAI CPL'!BN28,0)</f>
        <v/>
      </c>
      <c r="M28" s="2" t="str">
        <f>IFERROR('NILAI CPL'!BO28,0)</f>
        <v/>
      </c>
      <c r="N28" s="2" t="str">
        <f>IFERROR('NILAI CPL'!BP28,0)</f>
        <v/>
      </c>
      <c r="O28" s="2" t="str">
        <f>IFERROR('NILAI CPL'!BQ28,0)</f>
        <v/>
      </c>
      <c r="P28" s="2" t="str">
        <f>IFERROR('NILAI CPL'!BR28,0)</f>
        <v/>
      </c>
      <c r="Q28" s="2" t="str">
        <f>IFERROR('NILAI CPL'!BS28,0)</f>
        <v/>
      </c>
    </row>
    <row r="29" spans="1:17" x14ac:dyDescent="0.2">
      <c r="A29" s="2">
        <v>19</v>
      </c>
      <c r="B29" s="25"/>
      <c r="C29" s="25"/>
      <c r="D29" s="6"/>
      <c r="E29" s="2" t="str">
        <f>NILAI!R29</f>
        <v/>
      </c>
      <c r="F29" s="2" t="str">
        <f>NILAI!S29</f>
        <v/>
      </c>
      <c r="G29" s="6"/>
      <c r="H29" s="2" t="str">
        <f>IFERROR('NILAI CPL'!BJ29,0)</f>
        <v/>
      </c>
      <c r="I29" s="2" t="str">
        <f>IFERROR('NILAI CPL'!BK29,0)</f>
        <v/>
      </c>
      <c r="J29" s="2" t="str">
        <f>IFERROR('NILAI CPL'!BL29,0)</f>
        <v/>
      </c>
      <c r="K29" s="2" t="str">
        <f>IFERROR('NILAI CPL'!BM29,0)</f>
        <v/>
      </c>
      <c r="L29" s="2" t="str">
        <f>IFERROR('NILAI CPL'!BN29,0)</f>
        <v/>
      </c>
      <c r="M29" s="2" t="str">
        <f>IFERROR('NILAI CPL'!BO29,0)</f>
        <v/>
      </c>
      <c r="N29" s="2" t="str">
        <f>IFERROR('NILAI CPL'!BP29,0)</f>
        <v/>
      </c>
      <c r="O29" s="2" t="str">
        <f>IFERROR('NILAI CPL'!BQ29,0)</f>
        <v/>
      </c>
      <c r="P29" s="2" t="str">
        <f>IFERROR('NILAI CPL'!BR29,0)</f>
        <v/>
      </c>
      <c r="Q29" s="2" t="str">
        <f>IFERROR('NILAI CPL'!BS29,0)</f>
        <v/>
      </c>
    </row>
    <row r="30" spans="1:17" x14ac:dyDescent="0.2">
      <c r="A30" s="2">
        <v>20</v>
      </c>
      <c r="B30" s="25"/>
      <c r="C30" s="25"/>
      <c r="D30" s="6"/>
      <c r="E30" s="2" t="str">
        <f>NILAI!R30</f>
        <v/>
      </c>
      <c r="F30" s="2" t="str">
        <f>NILAI!S30</f>
        <v/>
      </c>
      <c r="G30" s="6"/>
      <c r="H30" s="2" t="str">
        <f>IFERROR('NILAI CPL'!BJ30,0)</f>
        <v/>
      </c>
      <c r="I30" s="2" t="str">
        <f>IFERROR('NILAI CPL'!BK30,0)</f>
        <v/>
      </c>
      <c r="J30" s="2" t="str">
        <f>IFERROR('NILAI CPL'!BL30,0)</f>
        <v/>
      </c>
      <c r="K30" s="2" t="str">
        <f>IFERROR('NILAI CPL'!BM30,0)</f>
        <v/>
      </c>
      <c r="L30" s="2" t="str">
        <f>IFERROR('NILAI CPL'!BN30,0)</f>
        <v/>
      </c>
      <c r="M30" s="2" t="str">
        <f>IFERROR('NILAI CPL'!BO30,0)</f>
        <v/>
      </c>
      <c r="N30" s="2" t="str">
        <f>IFERROR('NILAI CPL'!BP30,0)</f>
        <v/>
      </c>
      <c r="O30" s="2" t="str">
        <f>IFERROR('NILAI CPL'!BQ30,0)</f>
        <v/>
      </c>
      <c r="P30" s="2" t="str">
        <f>IFERROR('NILAI CPL'!BR30,0)</f>
        <v/>
      </c>
      <c r="Q30" s="2" t="str">
        <f>IFERROR('NILAI CPL'!BS30,0)</f>
        <v/>
      </c>
    </row>
    <row r="31" spans="1:17" x14ac:dyDescent="0.2">
      <c r="A31" s="2">
        <v>21</v>
      </c>
      <c r="B31" s="25"/>
      <c r="C31" s="25"/>
      <c r="D31" s="6"/>
      <c r="E31" s="2" t="str">
        <f>NILAI!R31</f>
        <v/>
      </c>
      <c r="F31" s="2" t="str">
        <f>NILAI!S31</f>
        <v/>
      </c>
      <c r="G31" s="6"/>
      <c r="H31" s="2" t="str">
        <f>IFERROR('NILAI CPL'!BJ31,0)</f>
        <v/>
      </c>
      <c r="I31" s="2" t="str">
        <f>IFERROR('NILAI CPL'!BK31,0)</f>
        <v/>
      </c>
      <c r="J31" s="2" t="str">
        <f>IFERROR('NILAI CPL'!BL31,0)</f>
        <v/>
      </c>
      <c r="K31" s="2" t="str">
        <f>IFERROR('NILAI CPL'!BM31,0)</f>
        <v/>
      </c>
      <c r="L31" s="2" t="str">
        <f>IFERROR('NILAI CPL'!BN31,0)</f>
        <v/>
      </c>
      <c r="M31" s="2" t="str">
        <f>IFERROR('NILAI CPL'!BO31,0)</f>
        <v/>
      </c>
      <c r="N31" s="2" t="str">
        <f>IFERROR('NILAI CPL'!BP31,0)</f>
        <v/>
      </c>
      <c r="O31" s="2" t="str">
        <f>IFERROR('NILAI CPL'!BQ31,0)</f>
        <v/>
      </c>
      <c r="P31" s="2" t="str">
        <f>IFERROR('NILAI CPL'!BR31,0)</f>
        <v/>
      </c>
      <c r="Q31" s="2" t="str">
        <f>IFERROR('NILAI CPL'!BS31,0)</f>
        <v/>
      </c>
    </row>
    <row r="32" spans="1:17" x14ac:dyDescent="0.2">
      <c r="A32" s="2">
        <v>22</v>
      </c>
      <c r="B32" s="25"/>
      <c r="C32" s="25"/>
      <c r="D32" s="6"/>
      <c r="E32" s="2" t="str">
        <f>NILAI!R32</f>
        <v/>
      </c>
      <c r="F32" s="2" t="str">
        <f>NILAI!S32</f>
        <v/>
      </c>
      <c r="G32" s="6"/>
      <c r="H32" s="2" t="str">
        <f>IFERROR('NILAI CPL'!BJ32,0)</f>
        <v/>
      </c>
      <c r="I32" s="2" t="str">
        <f>IFERROR('NILAI CPL'!BK32,0)</f>
        <v/>
      </c>
      <c r="J32" s="2" t="str">
        <f>IFERROR('NILAI CPL'!BL32,0)</f>
        <v/>
      </c>
      <c r="K32" s="2" t="str">
        <f>IFERROR('NILAI CPL'!BM32,0)</f>
        <v/>
      </c>
      <c r="L32" s="2" t="str">
        <f>IFERROR('NILAI CPL'!BN32,0)</f>
        <v/>
      </c>
      <c r="M32" s="2" t="str">
        <f>IFERROR('NILAI CPL'!BO32,0)</f>
        <v/>
      </c>
      <c r="N32" s="2" t="str">
        <f>IFERROR('NILAI CPL'!BP32,0)</f>
        <v/>
      </c>
      <c r="O32" s="2" t="str">
        <f>IFERROR('NILAI CPL'!BQ32,0)</f>
        <v/>
      </c>
      <c r="P32" s="2" t="str">
        <f>IFERROR('NILAI CPL'!BR32,0)</f>
        <v/>
      </c>
      <c r="Q32" s="2" t="str">
        <f>IFERROR('NILAI CPL'!BS32,0)</f>
        <v/>
      </c>
    </row>
    <row r="33" spans="1:17" x14ac:dyDescent="0.2">
      <c r="A33" s="2">
        <v>23</v>
      </c>
      <c r="B33" s="25"/>
      <c r="C33" s="25"/>
      <c r="D33" s="6"/>
      <c r="E33" s="2" t="str">
        <f>NILAI!R33</f>
        <v/>
      </c>
      <c r="F33" s="2" t="str">
        <f>NILAI!S33</f>
        <v/>
      </c>
      <c r="G33" s="6"/>
      <c r="H33" s="2" t="str">
        <f>IFERROR('NILAI CPL'!BJ33,0)</f>
        <v/>
      </c>
      <c r="I33" s="2" t="str">
        <f>IFERROR('NILAI CPL'!BK33,0)</f>
        <v/>
      </c>
      <c r="J33" s="2" t="str">
        <f>IFERROR('NILAI CPL'!BL33,0)</f>
        <v/>
      </c>
      <c r="K33" s="2" t="str">
        <f>IFERROR('NILAI CPL'!BM33,0)</f>
        <v/>
      </c>
      <c r="L33" s="2" t="str">
        <f>IFERROR('NILAI CPL'!BN33,0)</f>
        <v/>
      </c>
      <c r="M33" s="2" t="str">
        <f>IFERROR('NILAI CPL'!BO33,0)</f>
        <v/>
      </c>
      <c r="N33" s="2" t="str">
        <f>IFERROR('NILAI CPL'!BP33,0)</f>
        <v/>
      </c>
      <c r="O33" s="2" t="str">
        <f>IFERROR('NILAI CPL'!BQ33,0)</f>
        <v/>
      </c>
      <c r="P33" s="2" t="str">
        <f>IFERROR('NILAI CPL'!BR33,0)</f>
        <v/>
      </c>
      <c r="Q33" s="2" t="str">
        <f>IFERROR('NILAI CPL'!BS33,0)</f>
        <v/>
      </c>
    </row>
    <row r="34" spans="1:17" x14ac:dyDescent="0.2">
      <c r="A34" s="2">
        <v>24</v>
      </c>
      <c r="B34" s="25"/>
      <c r="C34" s="25"/>
      <c r="D34" s="6"/>
      <c r="E34" s="2" t="str">
        <f>NILAI!R34</f>
        <v/>
      </c>
      <c r="F34" s="2" t="str">
        <f>NILAI!S34</f>
        <v/>
      </c>
      <c r="G34" s="6"/>
      <c r="H34" s="2" t="str">
        <f>IFERROR('NILAI CPL'!BJ34,0)</f>
        <v/>
      </c>
      <c r="I34" s="2" t="str">
        <f>IFERROR('NILAI CPL'!BK34,0)</f>
        <v/>
      </c>
      <c r="J34" s="2" t="str">
        <f>IFERROR('NILAI CPL'!BL34,0)</f>
        <v/>
      </c>
      <c r="K34" s="2" t="str">
        <f>IFERROR('NILAI CPL'!BM34,0)</f>
        <v/>
      </c>
      <c r="L34" s="2" t="str">
        <f>IFERROR('NILAI CPL'!BN34,0)</f>
        <v/>
      </c>
      <c r="M34" s="2" t="str">
        <f>IFERROR('NILAI CPL'!BO34,0)</f>
        <v/>
      </c>
      <c r="N34" s="2" t="str">
        <f>IFERROR('NILAI CPL'!BP34,0)</f>
        <v/>
      </c>
      <c r="O34" s="2" t="str">
        <f>IFERROR('NILAI CPL'!BQ34,0)</f>
        <v/>
      </c>
      <c r="P34" s="2" t="str">
        <f>IFERROR('NILAI CPL'!BR34,0)</f>
        <v/>
      </c>
      <c r="Q34" s="2" t="str">
        <f>IFERROR('NILAI CPL'!BS34,0)</f>
        <v/>
      </c>
    </row>
    <row r="35" spans="1:17" x14ac:dyDescent="0.2">
      <c r="A35" s="2">
        <v>25</v>
      </c>
      <c r="B35" s="25"/>
      <c r="C35" s="25"/>
      <c r="D35" s="6"/>
      <c r="E35" s="2" t="str">
        <f>NILAI!R35</f>
        <v/>
      </c>
      <c r="F35" s="2" t="str">
        <f>NILAI!S35</f>
        <v/>
      </c>
      <c r="G35" s="6"/>
      <c r="H35" s="2" t="str">
        <f>IFERROR('NILAI CPL'!BJ35,0)</f>
        <v/>
      </c>
      <c r="I35" s="2" t="str">
        <f>IFERROR('NILAI CPL'!BK35,0)</f>
        <v/>
      </c>
      <c r="J35" s="2" t="str">
        <f>IFERROR('NILAI CPL'!BL35,0)</f>
        <v/>
      </c>
      <c r="K35" s="2" t="str">
        <f>IFERROR('NILAI CPL'!BM35,0)</f>
        <v/>
      </c>
      <c r="L35" s="2" t="str">
        <f>IFERROR('NILAI CPL'!BN35,0)</f>
        <v/>
      </c>
      <c r="M35" s="2" t="str">
        <f>IFERROR('NILAI CPL'!BO35,0)</f>
        <v/>
      </c>
      <c r="N35" s="2" t="str">
        <f>IFERROR('NILAI CPL'!BP35,0)</f>
        <v/>
      </c>
      <c r="O35" s="2" t="str">
        <f>IFERROR('NILAI CPL'!BQ35,0)</f>
        <v/>
      </c>
      <c r="P35" s="2" t="str">
        <f>IFERROR('NILAI CPL'!BR35,0)</f>
        <v/>
      </c>
      <c r="Q35" s="2" t="str">
        <f>IFERROR('NILAI CPL'!BS35,0)</f>
        <v/>
      </c>
    </row>
    <row r="36" spans="1:17" x14ac:dyDescent="0.2">
      <c r="A36" s="2">
        <v>26</v>
      </c>
      <c r="B36" s="25"/>
      <c r="C36" s="25"/>
      <c r="D36" s="6"/>
      <c r="E36" s="2" t="str">
        <f>NILAI!R36</f>
        <v/>
      </c>
      <c r="F36" s="2" t="str">
        <f>NILAI!S36</f>
        <v/>
      </c>
      <c r="G36" s="6"/>
      <c r="H36" s="2" t="str">
        <f>IFERROR('NILAI CPL'!BJ36,0)</f>
        <v/>
      </c>
      <c r="I36" s="2" t="str">
        <f>IFERROR('NILAI CPL'!BK36,0)</f>
        <v/>
      </c>
      <c r="J36" s="2" t="str">
        <f>IFERROR('NILAI CPL'!BL36,0)</f>
        <v/>
      </c>
      <c r="K36" s="2" t="str">
        <f>IFERROR('NILAI CPL'!BM36,0)</f>
        <v/>
      </c>
      <c r="L36" s="2" t="str">
        <f>IFERROR('NILAI CPL'!BN36,0)</f>
        <v/>
      </c>
      <c r="M36" s="2" t="str">
        <f>IFERROR('NILAI CPL'!BO36,0)</f>
        <v/>
      </c>
      <c r="N36" s="2" t="str">
        <f>IFERROR('NILAI CPL'!BP36,0)</f>
        <v/>
      </c>
      <c r="O36" s="2" t="str">
        <f>IFERROR('NILAI CPL'!BQ36,0)</f>
        <v/>
      </c>
      <c r="P36" s="2" t="str">
        <f>IFERROR('NILAI CPL'!BR36,0)</f>
        <v/>
      </c>
      <c r="Q36" s="2" t="str">
        <f>IFERROR('NILAI CPL'!BS36,0)</f>
        <v/>
      </c>
    </row>
    <row r="37" spans="1:17" x14ac:dyDescent="0.2">
      <c r="A37" s="2">
        <v>27</v>
      </c>
      <c r="B37" s="25"/>
      <c r="C37" s="25"/>
      <c r="D37" s="6"/>
      <c r="E37" s="2" t="str">
        <f>NILAI!R37</f>
        <v/>
      </c>
      <c r="F37" s="2" t="str">
        <f>NILAI!S37</f>
        <v/>
      </c>
      <c r="G37" s="6"/>
      <c r="H37" s="2" t="str">
        <f>IFERROR('NILAI CPL'!BJ37,0)</f>
        <v/>
      </c>
      <c r="I37" s="2" t="str">
        <f>IFERROR('NILAI CPL'!BK37,0)</f>
        <v/>
      </c>
      <c r="J37" s="2" t="str">
        <f>IFERROR('NILAI CPL'!BL37,0)</f>
        <v/>
      </c>
      <c r="K37" s="2" t="str">
        <f>IFERROR('NILAI CPL'!BM37,0)</f>
        <v/>
      </c>
      <c r="L37" s="2" t="str">
        <f>IFERROR('NILAI CPL'!BN37,0)</f>
        <v/>
      </c>
      <c r="M37" s="2" t="str">
        <f>IFERROR('NILAI CPL'!BO37,0)</f>
        <v/>
      </c>
      <c r="N37" s="2" t="str">
        <f>IFERROR('NILAI CPL'!BP37,0)</f>
        <v/>
      </c>
      <c r="O37" s="2" t="str">
        <f>IFERROR('NILAI CPL'!BQ37,0)</f>
        <v/>
      </c>
      <c r="P37" s="2" t="str">
        <f>IFERROR('NILAI CPL'!BR37,0)</f>
        <v/>
      </c>
      <c r="Q37" s="2" t="str">
        <f>IFERROR('NILAI CPL'!BS37,0)</f>
        <v/>
      </c>
    </row>
    <row r="38" spans="1:17" x14ac:dyDescent="0.2">
      <c r="A38" s="2">
        <v>28</v>
      </c>
      <c r="B38" s="25"/>
      <c r="C38" s="25"/>
      <c r="D38" s="6"/>
      <c r="E38" s="2" t="str">
        <f>NILAI!R38</f>
        <v/>
      </c>
      <c r="F38" s="2" t="str">
        <f>NILAI!S38</f>
        <v/>
      </c>
      <c r="G38" s="6"/>
      <c r="H38" s="2" t="str">
        <f>IFERROR('NILAI CPL'!BJ38,0)</f>
        <v/>
      </c>
      <c r="I38" s="2" t="str">
        <f>IFERROR('NILAI CPL'!BK38,0)</f>
        <v/>
      </c>
      <c r="J38" s="2" t="str">
        <f>IFERROR('NILAI CPL'!BL38,0)</f>
        <v/>
      </c>
      <c r="K38" s="2" t="str">
        <f>IFERROR('NILAI CPL'!BM38,0)</f>
        <v/>
      </c>
      <c r="L38" s="2" t="str">
        <f>IFERROR('NILAI CPL'!BN38,0)</f>
        <v/>
      </c>
      <c r="M38" s="2" t="str">
        <f>IFERROR('NILAI CPL'!BO38,0)</f>
        <v/>
      </c>
      <c r="N38" s="2" t="str">
        <f>IFERROR('NILAI CPL'!BP38,0)</f>
        <v/>
      </c>
      <c r="O38" s="2" t="str">
        <f>IFERROR('NILAI CPL'!BQ38,0)</f>
        <v/>
      </c>
      <c r="P38" s="2" t="str">
        <f>IFERROR('NILAI CPL'!BR38,0)</f>
        <v/>
      </c>
      <c r="Q38" s="2" t="str">
        <f>IFERROR('NILAI CPL'!BS38,0)</f>
        <v/>
      </c>
    </row>
    <row r="39" spans="1:17" x14ac:dyDescent="0.2">
      <c r="A39" s="2">
        <v>29</v>
      </c>
      <c r="B39" s="25"/>
      <c r="C39" s="25"/>
      <c r="D39" s="6"/>
      <c r="E39" s="2" t="str">
        <f>NILAI!R39</f>
        <v/>
      </c>
      <c r="F39" s="2" t="str">
        <f>NILAI!S39</f>
        <v/>
      </c>
      <c r="G39" s="6"/>
      <c r="H39" s="2" t="str">
        <f>IFERROR('NILAI CPL'!BJ39,0)</f>
        <v/>
      </c>
      <c r="I39" s="2" t="str">
        <f>IFERROR('NILAI CPL'!BK39,0)</f>
        <v/>
      </c>
      <c r="J39" s="2" t="str">
        <f>IFERROR('NILAI CPL'!BL39,0)</f>
        <v/>
      </c>
      <c r="K39" s="2" t="str">
        <f>IFERROR('NILAI CPL'!BM39,0)</f>
        <v/>
      </c>
      <c r="L39" s="2" t="str">
        <f>IFERROR('NILAI CPL'!BN39,0)</f>
        <v/>
      </c>
      <c r="M39" s="2" t="str">
        <f>IFERROR('NILAI CPL'!BO39,0)</f>
        <v/>
      </c>
      <c r="N39" s="2" t="str">
        <f>IFERROR('NILAI CPL'!BP39,0)</f>
        <v/>
      </c>
      <c r="O39" s="2" t="str">
        <f>IFERROR('NILAI CPL'!BQ39,0)</f>
        <v/>
      </c>
      <c r="P39" s="2" t="str">
        <f>IFERROR('NILAI CPL'!BR39,0)</f>
        <v/>
      </c>
      <c r="Q39" s="2" t="str">
        <f>IFERROR('NILAI CPL'!BS39,0)</f>
        <v/>
      </c>
    </row>
    <row r="40" spans="1:17" x14ac:dyDescent="0.2">
      <c r="A40" s="2">
        <v>30</v>
      </c>
      <c r="B40" s="25"/>
      <c r="C40" s="25"/>
      <c r="D40" s="6"/>
      <c r="E40" s="2" t="str">
        <f>NILAI!R40</f>
        <v/>
      </c>
      <c r="F40" s="2" t="str">
        <f>NILAI!S40</f>
        <v/>
      </c>
      <c r="G40" s="6"/>
      <c r="H40" s="2" t="str">
        <f>IFERROR('NILAI CPL'!BJ40,0)</f>
        <v/>
      </c>
      <c r="I40" s="2" t="str">
        <f>IFERROR('NILAI CPL'!BK40,0)</f>
        <v/>
      </c>
      <c r="J40" s="2" t="str">
        <f>IFERROR('NILAI CPL'!BL40,0)</f>
        <v/>
      </c>
      <c r="K40" s="2" t="str">
        <f>IFERROR('NILAI CPL'!BM40,0)</f>
        <v/>
      </c>
      <c r="L40" s="2" t="str">
        <f>IFERROR('NILAI CPL'!BN40,0)</f>
        <v/>
      </c>
      <c r="M40" s="2" t="str">
        <f>IFERROR('NILAI CPL'!BO40,0)</f>
        <v/>
      </c>
      <c r="N40" s="2" t="str">
        <f>IFERROR('NILAI CPL'!BP40,0)</f>
        <v/>
      </c>
      <c r="O40" s="2" t="str">
        <f>IFERROR('NILAI CPL'!BQ40,0)</f>
        <v/>
      </c>
      <c r="P40" s="2" t="str">
        <f>IFERROR('NILAI CPL'!BR40,0)</f>
        <v/>
      </c>
      <c r="Q40" s="2" t="str">
        <f>IFERROR('NILAI CPL'!BS40,0)</f>
        <v/>
      </c>
    </row>
    <row r="41" spans="1:17" x14ac:dyDescent="0.2">
      <c r="A41" s="2">
        <v>31</v>
      </c>
      <c r="B41" s="25"/>
      <c r="C41" s="25"/>
      <c r="D41" s="6"/>
      <c r="E41" s="2" t="str">
        <f>NILAI!R41</f>
        <v/>
      </c>
      <c r="F41" s="2" t="str">
        <f>NILAI!S41</f>
        <v/>
      </c>
      <c r="G41" s="6"/>
      <c r="H41" s="2" t="str">
        <f>IFERROR('NILAI CPL'!BJ41,0)</f>
        <v/>
      </c>
      <c r="I41" s="2" t="str">
        <f>IFERROR('NILAI CPL'!BK41,0)</f>
        <v/>
      </c>
      <c r="J41" s="2" t="str">
        <f>IFERROR('NILAI CPL'!BL41,0)</f>
        <v/>
      </c>
      <c r="K41" s="2" t="str">
        <f>IFERROR('NILAI CPL'!BM41,0)</f>
        <v/>
      </c>
      <c r="L41" s="2" t="str">
        <f>IFERROR('NILAI CPL'!BN41,0)</f>
        <v/>
      </c>
      <c r="M41" s="2" t="str">
        <f>IFERROR('NILAI CPL'!BO41,0)</f>
        <v/>
      </c>
      <c r="N41" s="2" t="str">
        <f>IFERROR('NILAI CPL'!BP41,0)</f>
        <v/>
      </c>
      <c r="O41" s="2" t="str">
        <f>IFERROR('NILAI CPL'!BQ41,0)</f>
        <v/>
      </c>
      <c r="P41" s="2" t="str">
        <f>IFERROR('NILAI CPL'!BR41,0)</f>
        <v/>
      </c>
      <c r="Q41" s="2" t="str">
        <f>IFERROR('NILAI CPL'!BS41,0)</f>
        <v/>
      </c>
    </row>
    <row r="42" spans="1:17" x14ac:dyDescent="0.2">
      <c r="A42" s="2">
        <v>32</v>
      </c>
      <c r="B42" s="25"/>
      <c r="C42" s="25"/>
      <c r="D42" s="6"/>
      <c r="E42" s="2" t="str">
        <f>NILAI!R42</f>
        <v/>
      </c>
      <c r="F42" s="2" t="str">
        <f>NILAI!S42</f>
        <v/>
      </c>
      <c r="G42" s="6"/>
      <c r="H42" s="2" t="str">
        <f>IFERROR('NILAI CPL'!BJ42,0)</f>
        <v/>
      </c>
      <c r="I42" s="2" t="str">
        <f>IFERROR('NILAI CPL'!BK42,0)</f>
        <v/>
      </c>
      <c r="J42" s="2" t="str">
        <f>IFERROR('NILAI CPL'!BL42,0)</f>
        <v/>
      </c>
      <c r="K42" s="2" t="str">
        <f>IFERROR('NILAI CPL'!BM42,0)</f>
        <v/>
      </c>
      <c r="L42" s="2" t="str">
        <f>IFERROR('NILAI CPL'!BN42,0)</f>
        <v/>
      </c>
      <c r="M42" s="2" t="str">
        <f>IFERROR('NILAI CPL'!BO42,0)</f>
        <v/>
      </c>
      <c r="N42" s="2" t="str">
        <f>IFERROR('NILAI CPL'!BP42,0)</f>
        <v/>
      </c>
      <c r="O42" s="2" t="str">
        <f>IFERROR('NILAI CPL'!BQ42,0)</f>
        <v/>
      </c>
      <c r="P42" s="2" t="str">
        <f>IFERROR('NILAI CPL'!BR42,0)</f>
        <v/>
      </c>
      <c r="Q42" s="2" t="str">
        <f>IFERROR('NILAI CPL'!BS42,0)</f>
        <v/>
      </c>
    </row>
    <row r="43" spans="1:17" x14ac:dyDescent="0.2">
      <c r="A43" s="2">
        <v>33</v>
      </c>
      <c r="B43" s="25"/>
      <c r="C43" s="25"/>
      <c r="D43" s="6"/>
      <c r="E43" s="2" t="str">
        <f>NILAI!R43</f>
        <v/>
      </c>
      <c r="F43" s="2" t="str">
        <f>NILAI!S43</f>
        <v/>
      </c>
      <c r="G43" s="6"/>
      <c r="H43" s="2" t="str">
        <f>IFERROR('NILAI CPL'!BJ43,0)</f>
        <v/>
      </c>
      <c r="I43" s="2" t="str">
        <f>IFERROR('NILAI CPL'!BK43,0)</f>
        <v/>
      </c>
      <c r="J43" s="2" t="str">
        <f>IFERROR('NILAI CPL'!BL43,0)</f>
        <v/>
      </c>
      <c r="K43" s="2" t="str">
        <f>IFERROR('NILAI CPL'!BM43,0)</f>
        <v/>
      </c>
      <c r="L43" s="2" t="str">
        <f>IFERROR('NILAI CPL'!BN43,0)</f>
        <v/>
      </c>
      <c r="M43" s="2" t="str">
        <f>IFERROR('NILAI CPL'!BO43,0)</f>
        <v/>
      </c>
      <c r="N43" s="2" t="str">
        <f>IFERROR('NILAI CPL'!BP43,0)</f>
        <v/>
      </c>
      <c r="O43" s="2" t="str">
        <f>IFERROR('NILAI CPL'!BQ43,0)</f>
        <v/>
      </c>
      <c r="P43" s="2" t="str">
        <f>IFERROR('NILAI CPL'!BR43,0)</f>
        <v/>
      </c>
      <c r="Q43" s="2" t="str">
        <f>IFERROR('NILAI CPL'!BS43,0)</f>
        <v/>
      </c>
    </row>
    <row r="44" spans="1:17" x14ac:dyDescent="0.2">
      <c r="A44" s="2">
        <v>34</v>
      </c>
      <c r="B44" s="25"/>
      <c r="C44" s="25"/>
      <c r="D44" s="6"/>
      <c r="E44" s="2" t="str">
        <f>NILAI!R44</f>
        <v/>
      </c>
      <c r="F44" s="2" t="str">
        <f>NILAI!S44</f>
        <v/>
      </c>
      <c r="G44" s="6"/>
      <c r="H44" s="2" t="str">
        <f>IFERROR('NILAI CPL'!BJ44,0)</f>
        <v/>
      </c>
      <c r="I44" s="2" t="str">
        <f>IFERROR('NILAI CPL'!BK44,0)</f>
        <v/>
      </c>
      <c r="J44" s="2" t="str">
        <f>IFERROR('NILAI CPL'!BL44,0)</f>
        <v/>
      </c>
      <c r="K44" s="2" t="str">
        <f>IFERROR('NILAI CPL'!BM44,0)</f>
        <v/>
      </c>
      <c r="L44" s="2" t="str">
        <f>IFERROR('NILAI CPL'!BN44,0)</f>
        <v/>
      </c>
      <c r="M44" s="2" t="str">
        <f>IFERROR('NILAI CPL'!BO44,0)</f>
        <v/>
      </c>
      <c r="N44" s="2" t="str">
        <f>IFERROR('NILAI CPL'!BP44,0)</f>
        <v/>
      </c>
      <c r="O44" s="2" t="str">
        <f>IFERROR('NILAI CPL'!BQ44,0)</f>
        <v/>
      </c>
      <c r="P44" s="2" t="str">
        <f>IFERROR('NILAI CPL'!BR44,0)</f>
        <v/>
      </c>
      <c r="Q44" s="2" t="str">
        <f>IFERROR('NILAI CPL'!BS44,0)</f>
        <v/>
      </c>
    </row>
    <row r="45" spans="1:17" x14ac:dyDescent="0.2">
      <c r="A45" s="2">
        <v>35</v>
      </c>
      <c r="B45" s="25"/>
      <c r="C45" s="25"/>
      <c r="D45" s="6"/>
      <c r="E45" s="2" t="str">
        <f>NILAI!R45</f>
        <v/>
      </c>
      <c r="F45" s="2" t="str">
        <f>NILAI!S45</f>
        <v/>
      </c>
      <c r="G45" s="6"/>
      <c r="H45" s="2" t="str">
        <f>IFERROR('NILAI CPL'!BJ45,0)</f>
        <v/>
      </c>
      <c r="I45" s="2" t="str">
        <f>IFERROR('NILAI CPL'!BK45,0)</f>
        <v/>
      </c>
      <c r="J45" s="2" t="str">
        <f>IFERROR('NILAI CPL'!BL45,0)</f>
        <v/>
      </c>
      <c r="K45" s="2" t="str">
        <f>IFERROR('NILAI CPL'!BM45,0)</f>
        <v/>
      </c>
      <c r="L45" s="2" t="str">
        <f>IFERROR('NILAI CPL'!BN45,0)</f>
        <v/>
      </c>
      <c r="M45" s="2" t="str">
        <f>IFERROR('NILAI CPL'!BO45,0)</f>
        <v/>
      </c>
      <c r="N45" s="2" t="str">
        <f>IFERROR('NILAI CPL'!BP45,0)</f>
        <v/>
      </c>
      <c r="O45" s="2" t="str">
        <f>IFERROR('NILAI CPL'!BQ45,0)</f>
        <v/>
      </c>
      <c r="P45" s="2" t="str">
        <f>IFERROR('NILAI CPL'!BR45,0)</f>
        <v/>
      </c>
      <c r="Q45" s="2" t="str">
        <f>IFERROR('NILAI CPL'!BS45,0)</f>
        <v/>
      </c>
    </row>
    <row r="46" spans="1:17" x14ac:dyDescent="0.2">
      <c r="A46" s="2">
        <v>36</v>
      </c>
      <c r="B46" s="25"/>
      <c r="C46" s="25"/>
      <c r="D46" s="6"/>
      <c r="E46" s="2" t="str">
        <f>NILAI!R46</f>
        <v/>
      </c>
      <c r="F46" s="2" t="str">
        <f>NILAI!S46</f>
        <v/>
      </c>
      <c r="G46" s="6"/>
      <c r="H46" s="2" t="str">
        <f>IFERROR('NILAI CPL'!BJ46,0)</f>
        <v/>
      </c>
      <c r="I46" s="2" t="str">
        <f>IFERROR('NILAI CPL'!BK46,0)</f>
        <v/>
      </c>
      <c r="J46" s="2" t="str">
        <f>IFERROR('NILAI CPL'!BL46,0)</f>
        <v/>
      </c>
      <c r="K46" s="2" t="str">
        <f>IFERROR('NILAI CPL'!BM46,0)</f>
        <v/>
      </c>
      <c r="L46" s="2" t="str">
        <f>IFERROR('NILAI CPL'!BN46,0)</f>
        <v/>
      </c>
      <c r="M46" s="2" t="str">
        <f>IFERROR('NILAI CPL'!BO46,0)</f>
        <v/>
      </c>
      <c r="N46" s="2" t="str">
        <f>IFERROR('NILAI CPL'!BP46,0)</f>
        <v/>
      </c>
      <c r="O46" s="2" t="str">
        <f>IFERROR('NILAI CPL'!BQ46,0)</f>
        <v/>
      </c>
      <c r="P46" s="2" t="str">
        <f>IFERROR('NILAI CPL'!BR46,0)</f>
        <v/>
      </c>
      <c r="Q46" s="2" t="str">
        <f>IFERROR('NILAI CPL'!BS46,0)</f>
        <v/>
      </c>
    </row>
    <row r="47" spans="1:17" x14ac:dyDescent="0.2">
      <c r="A47" s="2">
        <v>37</v>
      </c>
      <c r="B47" s="25"/>
      <c r="C47" s="25"/>
      <c r="D47" s="6"/>
      <c r="E47" s="2" t="str">
        <f>NILAI!R47</f>
        <v/>
      </c>
      <c r="F47" s="2" t="str">
        <f>NILAI!S47</f>
        <v/>
      </c>
      <c r="G47" s="6"/>
      <c r="H47" s="2" t="str">
        <f>IFERROR('NILAI CPL'!BJ47,0)</f>
        <v/>
      </c>
      <c r="I47" s="2" t="str">
        <f>IFERROR('NILAI CPL'!BK47,0)</f>
        <v/>
      </c>
      <c r="J47" s="2" t="str">
        <f>IFERROR('NILAI CPL'!BL47,0)</f>
        <v/>
      </c>
      <c r="K47" s="2" t="str">
        <f>IFERROR('NILAI CPL'!BM47,0)</f>
        <v/>
      </c>
      <c r="L47" s="2" t="str">
        <f>IFERROR('NILAI CPL'!BN47,0)</f>
        <v/>
      </c>
      <c r="M47" s="2" t="str">
        <f>IFERROR('NILAI CPL'!BO47,0)</f>
        <v/>
      </c>
      <c r="N47" s="2" t="str">
        <f>IFERROR('NILAI CPL'!BP47,0)</f>
        <v/>
      </c>
      <c r="O47" s="2" t="str">
        <f>IFERROR('NILAI CPL'!BQ47,0)</f>
        <v/>
      </c>
      <c r="P47" s="2" t="str">
        <f>IFERROR('NILAI CPL'!BR47,0)</f>
        <v/>
      </c>
      <c r="Q47" s="2" t="str">
        <f>IFERROR('NILAI CPL'!BS47,0)</f>
        <v/>
      </c>
    </row>
    <row r="48" spans="1:17" x14ac:dyDescent="0.2">
      <c r="A48" s="2">
        <v>38</v>
      </c>
      <c r="B48" s="25"/>
      <c r="C48" s="25"/>
      <c r="D48" s="6"/>
      <c r="E48" s="2" t="str">
        <f>NILAI!R48</f>
        <v/>
      </c>
      <c r="F48" s="2" t="str">
        <f>NILAI!S48</f>
        <v/>
      </c>
      <c r="G48" s="6"/>
      <c r="H48" s="2" t="str">
        <f>IFERROR('NILAI CPL'!BJ48,0)</f>
        <v/>
      </c>
      <c r="I48" s="2" t="str">
        <f>IFERROR('NILAI CPL'!BK48,0)</f>
        <v/>
      </c>
      <c r="J48" s="2" t="str">
        <f>IFERROR('NILAI CPL'!BL48,0)</f>
        <v/>
      </c>
      <c r="K48" s="2" t="str">
        <f>IFERROR('NILAI CPL'!BM48,0)</f>
        <v/>
      </c>
      <c r="L48" s="2" t="str">
        <f>IFERROR('NILAI CPL'!BN48,0)</f>
        <v/>
      </c>
      <c r="M48" s="2" t="str">
        <f>IFERROR('NILAI CPL'!BO48,0)</f>
        <v/>
      </c>
      <c r="N48" s="2" t="str">
        <f>IFERROR('NILAI CPL'!BP48,0)</f>
        <v/>
      </c>
      <c r="O48" s="2" t="str">
        <f>IFERROR('NILAI CPL'!BQ48,0)</f>
        <v/>
      </c>
      <c r="P48" s="2" t="str">
        <f>IFERROR('NILAI CPL'!BR48,0)</f>
        <v/>
      </c>
      <c r="Q48" s="2" t="str">
        <f>IFERROR('NILAI CPL'!BS48,0)</f>
        <v/>
      </c>
    </row>
    <row r="49" spans="1:17" x14ac:dyDescent="0.2">
      <c r="A49" s="2">
        <v>39</v>
      </c>
      <c r="B49" s="25"/>
      <c r="C49" s="25"/>
      <c r="D49" s="6"/>
      <c r="E49" s="2" t="str">
        <f>NILAI!R49</f>
        <v/>
      </c>
      <c r="F49" s="2" t="str">
        <f>NILAI!S49</f>
        <v/>
      </c>
      <c r="G49" s="6"/>
      <c r="H49" s="2" t="str">
        <f>IFERROR('NILAI CPL'!BJ49,0)</f>
        <v/>
      </c>
      <c r="I49" s="2" t="str">
        <f>IFERROR('NILAI CPL'!BK49,0)</f>
        <v/>
      </c>
      <c r="J49" s="2" t="str">
        <f>IFERROR('NILAI CPL'!BL49,0)</f>
        <v/>
      </c>
      <c r="K49" s="2" t="str">
        <f>IFERROR('NILAI CPL'!BM49,0)</f>
        <v/>
      </c>
      <c r="L49" s="2" t="str">
        <f>IFERROR('NILAI CPL'!BN49,0)</f>
        <v/>
      </c>
      <c r="M49" s="2" t="str">
        <f>IFERROR('NILAI CPL'!BO49,0)</f>
        <v/>
      </c>
      <c r="N49" s="2" t="str">
        <f>IFERROR('NILAI CPL'!BP49,0)</f>
        <v/>
      </c>
      <c r="O49" s="2" t="str">
        <f>IFERROR('NILAI CPL'!BQ49,0)</f>
        <v/>
      </c>
      <c r="P49" s="2" t="str">
        <f>IFERROR('NILAI CPL'!BR49,0)</f>
        <v/>
      </c>
      <c r="Q49" s="2" t="str">
        <f>IFERROR('NILAI CPL'!BS49,0)</f>
        <v/>
      </c>
    </row>
    <row r="50" spans="1:17" x14ac:dyDescent="0.2">
      <c r="A50" s="2">
        <v>40</v>
      </c>
      <c r="B50" s="25"/>
      <c r="C50" s="25"/>
      <c r="D50" s="6"/>
      <c r="E50" s="2" t="str">
        <f>NILAI!R50</f>
        <v/>
      </c>
      <c r="F50" s="2" t="str">
        <f>NILAI!S50</f>
        <v/>
      </c>
      <c r="G50" s="6"/>
      <c r="H50" s="2" t="str">
        <f>IFERROR('NILAI CPL'!BJ50,0)</f>
        <v/>
      </c>
      <c r="I50" s="2" t="str">
        <f>IFERROR('NILAI CPL'!BK50,0)</f>
        <v/>
      </c>
      <c r="J50" s="2" t="str">
        <f>IFERROR('NILAI CPL'!BL50,0)</f>
        <v/>
      </c>
      <c r="K50" s="2" t="str">
        <f>IFERROR('NILAI CPL'!BM50,0)</f>
        <v/>
      </c>
      <c r="L50" s="2" t="str">
        <f>IFERROR('NILAI CPL'!BN50,0)</f>
        <v/>
      </c>
      <c r="M50" s="2" t="str">
        <f>IFERROR('NILAI CPL'!BO50,0)</f>
        <v/>
      </c>
      <c r="N50" s="2" t="str">
        <f>IFERROR('NILAI CPL'!BP50,0)</f>
        <v/>
      </c>
      <c r="O50" s="2" t="str">
        <f>IFERROR('NILAI CPL'!BQ50,0)</f>
        <v/>
      </c>
      <c r="P50" s="2" t="str">
        <f>IFERROR('NILAI CPL'!BR50,0)</f>
        <v/>
      </c>
      <c r="Q50" s="2" t="str">
        <f>IFERROR('NILAI CPL'!BS50,0)</f>
        <v/>
      </c>
    </row>
    <row r="51" spans="1:17" x14ac:dyDescent="0.2">
      <c r="A51" s="2">
        <v>41</v>
      </c>
      <c r="B51" s="25"/>
      <c r="C51" s="25"/>
      <c r="D51" s="6"/>
      <c r="E51" s="2" t="str">
        <f>NILAI!R51</f>
        <v/>
      </c>
      <c r="F51" s="2" t="str">
        <f>NILAI!S51</f>
        <v/>
      </c>
      <c r="G51" s="6"/>
      <c r="H51" s="2" t="str">
        <f>IFERROR('NILAI CPL'!BJ51,0)</f>
        <v/>
      </c>
      <c r="I51" s="2" t="str">
        <f>IFERROR('NILAI CPL'!BK51,0)</f>
        <v/>
      </c>
      <c r="J51" s="2" t="str">
        <f>IFERROR('NILAI CPL'!BL51,0)</f>
        <v/>
      </c>
      <c r="K51" s="2" t="str">
        <f>IFERROR('NILAI CPL'!BM51,0)</f>
        <v/>
      </c>
      <c r="L51" s="2" t="str">
        <f>IFERROR('NILAI CPL'!BN51,0)</f>
        <v/>
      </c>
      <c r="M51" s="2" t="str">
        <f>IFERROR('NILAI CPL'!BO51,0)</f>
        <v/>
      </c>
      <c r="N51" s="2" t="str">
        <f>IFERROR('NILAI CPL'!BP51,0)</f>
        <v/>
      </c>
      <c r="O51" s="2" t="str">
        <f>IFERROR('NILAI CPL'!BQ51,0)</f>
        <v/>
      </c>
      <c r="P51" s="2" t="str">
        <f>IFERROR('NILAI CPL'!BR51,0)</f>
        <v/>
      </c>
      <c r="Q51" s="2" t="str">
        <f>IFERROR('NILAI CPL'!BS51,0)</f>
        <v/>
      </c>
    </row>
    <row r="52" spans="1:17" x14ac:dyDescent="0.2">
      <c r="A52" s="2">
        <v>42</v>
      </c>
      <c r="B52" s="25"/>
      <c r="C52" s="25"/>
      <c r="D52" s="6"/>
      <c r="E52" s="2" t="str">
        <f>NILAI!R52</f>
        <v/>
      </c>
      <c r="F52" s="2" t="str">
        <f>NILAI!S52</f>
        <v/>
      </c>
      <c r="G52" s="6"/>
      <c r="H52" s="2" t="str">
        <f>IFERROR('NILAI CPL'!BJ52,0)</f>
        <v/>
      </c>
      <c r="I52" s="2" t="str">
        <f>IFERROR('NILAI CPL'!BK52,0)</f>
        <v/>
      </c>
      <c r="J52" s="2" t="str">
        <f>IFERROR('NILAI CPL'!BL52,0)</f>
        <v/>
      </c>
      <c r="K52" s="2" t="str">
        <f>IFERROR('NILAI CPL'!BM52,0)</f>
        <v/>
      </c>
      <c r="L52" s="2" t="str">
        <f>IFERROR('NILAI CPL'!BN52,0)</f>
        <v/>
      </c>
      <c r="M52" s="2" t="str">
        <f>IFERROR('NILAI CPL'!BO52,0)</f>
        <v/>
      </c>
      <c r="N52" s="2" t="str">
        <f>IFERROR('NILAI CPL'!BP52,0)</f>
        <v/>
      </c>
      <c r="O52" s="2" t="str">
        <f>IFERROR('NILAI CPL'!BQ52,0)</f>
        <v/>
      </c>
      <c r="P52" s="2" t="str">
        <f>IFERROR('NILAI CPL'!BR52,0)</f>
        <v/>
      </c>
      <c r="Q52" s="2" t="str">
        <f>IFERROR('NILAI CPL'!BS52,0)</f>
        <v/>
      </c>
    </row>
    <row r="53" spans="1:17" x14ac:dyDescent="0.2">
      <c r="A53" s="2">
        <v>43</v>
      </c>
      <c r="B53" s="25"/>
      <c r="C53" s="25"/>
      <c r="D53" s="6"/>
      <c r="E53" s="2" t="str">
        <f>NILAI!R53</f>
        <v/>
      </c>
      <c r="F53" s="2" t="str">
        <f>NILAI!S53</f>
        <v/>
      </c>
      <c r="G53" s="6"/>
      <c r="H53" s="2" t="str">
        <f>IFERROR('NILAI CPL'!BJ53,0)</f>
        <v/>
      </c>
      <c r="I53" s="2" t="str">
        <f>IFERROR('NILAI CPL'!BK53,0)</f>
        <v/>
      </c>
      <c r="J53" s="2" t="str">
        <f>IFERROR('NILAI CPL'!BL53,0)</f>
        <v/>
      </c>
      <c r="K53" s="2" t="str">
        <f>IFERROR('NILAI CPL'!BM53,0)</f>
        <v/>
      </c>
      <c r="L53" s="2" t="str">
        <f>IFERROR('NILAI CPL'!BN53,0)</f>
        <v/>
      </c>
      <c r="M53" s="2" t="str">
        <f>IFERROR('NILAI CPL'!BO53,0)</f>
        <v/>
      </c>
      <c r="N53" s="2" t="str">
        <f>IFERROR('NILAI CPL'!BP53,0)</f>
        <v/>
      </c>
      <c r="O53" s="2" t="str">
        <f>IFERROR('NILAI CPL'!BQ53,0)</f>
        <v/>
      </c>
      <c r="P53" s="2" t="str">
        <f>IFERROR('NILAI CPL'!BR53,0)</f>
        <v/>
      </c>
      <c r="Q53" s="2" t="str">
        <f>IFERROR('NILAI CPL'!BS53,0)</f>
        <v/>
      </c>
    </row>
    <row r="54" spans="1:17" x14ac:dyDescent="0.2">
      <c r="A54" s="2">
        <v>44</v>
      </c>
      <c r="B54" s="25"/>
      <c r="C54" s="25"/>
      <c r="D54" s="6"/>
      <c r="E54" s="2" t="str">
        <f>NILAI!R54</f>
        <v/>
      </c>
      <c r="F54" s="2" t="str">
        <f>NILAI!S54</f>
        <v/>
      </c>
      <c r="G54" s="6"/>
      <c r="H54" s="2" t="str">
        <f>IFERROR('NILAI CPL'!BJ54,0)</f>
        <v/>
      </c>
      <c r="I54" s="2" t="str">
        <f>IFERROR('NILAI CPL'!BK54,0)</f>
        <v/>
      </c>
      <c r="J54" s="2" t="str">
        <f>IFERROR('NILAI CPL'!BL54,0)</f>
        <v/>
      </c>
      <c r="K54" s="2" t="str">
        <f>IFERROR('NILAI CPL'!BM54,0)</f>
        <v/>
      </c>
      <c r="L54" s="2" t="str">
        <f>IFERROR('NILAI CPL'!BN54,0)</f>
        <v/>
      </c>
      <c r="M54" s="2" t="str">
        <f>IFERROR('NILAI CPL'!BO54,0)</f>
        <v/>
      </c>
      <c r="N54" s="2" t="str">
        <f>IFERROR('NILAI CPL'!BP54,0)</f>
        <v/>
      </c>
      <c r="O54" s="2" t="str">
        <f>IFERROR('NILAI CPL'!BQ54,0)</f>
        <v/>
      </c>
      <c r="P54" s="2" t="str">
        <f>IFERROR('NILAI CPL'!BR54,0)</f>
        <v/>
      </c>
      <c r="Q54" s="2" t="str">
        <f>IFERROR('NILAI CPL'!BS54,0)</f>
        <v/>
      </c>
    </row>
    <row r="55" spans="1:17" x14ac:dyDescent="0.2">
      <c r="A55" s="2">
        <v>45</v>
      </c>
      <c r="B55" s="25"/>
      <c r="C55" s="25"/>
      <c r="D55" s="6"/>
      <c r="E55" s="2" t="str">
        <f>NILAI!R55</f>
        <v/>
      </c>
      <c r="F55" s="2" t="str">
        <f>NILAI!S55</f>
        <v/>
      </c>
      <c r="G55" s="6"/>
      <c r="H55" s="2" t="str">
        <f>IFERROR('NILAI CPL'!BJ55,0)</f>
        <v/>
      </c>
      <c r="I55" s="2" t="str">
        <f>IFERROR('NILAI CPL'!BK55,0)</f>
        <v/>
      </c>
      <c r="J55" s="2" t="str">
        <f>IFERROR('NILAI CPL'!BL55,0)</f>
        <v/>
      </c>
      <c r="K55" s="2" t="str">
        <f>IFERROR('NILAI CPL'!BM55,0)</f>
        <v/>
      </c>
      <c r="L55" s="2" t="str">
        <f>IFERROR('NILAI CPL'!BN55,0)</f>
        <v/>
      </c>
      <c r="M55" s="2" t="str">
        <f>IFERROR('NILAI CPL'!BO55,0)</f>
        <v/>
      </c>
      <c r="N55" s="2" t="str">
        <f>IFERROR('NILAI CPL'!BP55,0)</f>
        <v/>
      </c>
      <c r="O55" s="2" t="str">
        <f>IFERROR('NILAI CPL'!BQ55,0)</f>
        <v/>
      </c>
      <c r="P55" s="2" t="str">
        <f>IFERROR('NILAI CPL'!BR55,0)</f>
        <v/>
      </c>
      <c r="Q55" s="2" t="str">
        <f>IFERROR('NILAI CPL'!BS55,0)</f>
        <v/>
      </c>
    </row>
    <row r="56" spans="1:17" x14ac:dyDescent="0.2">
      <c r="A56" s="2">
        <v>46</v>
      </c>
      <c r="B56" s="25"/>
      <c r="C56" s="25"/>
      <c r="D56" s="6"/>
      <c r="E56" s="2" t="str">
        <f>NILAI!R56</f>
        <v/>
      </c>
      <c r="F56" s="2" t="str">
        <f>NILAI!S56</f>
        <v/>
      </c>
      <c r="G56" s="6"/>
      <c r="H56" s="2" t="str">
        <f>IFERROR('NILAI CPL'!BJ56,0)</f>
        <v/>
      </c>
      <c r="I56" s="2" t="str">
        <f>IFERROR('NILAI CPL'!BK56,0)</f>
        <v/>
      </c>
      <c r="J56" s="2" t="str">
        <f>IFERROR('NILAI CPL'!BL56,0)</f>
        <v/>
      </c>
      <c r="K56" s="2" t="str">
        <f>IFERROR('NILAI CPL'!BM56,0)</f>
        <v/>
      </c>
      <c r="L56" s="2" t="str">
        <f>IFERROR('NILAI CPL'!BN56,0)</f>
        <v/>
      </c>
      <c r="M56" s="2" t="str">
        <f>IFERROR('NILAI CPL'!BO56,0)</f>
        <v/>
      </c>
      <c r="N56" s="2" t="str">
        <f>IFERROR('NILAI CPL'!BP56,0)</f>
        <v/>
      </c>
      <c r="O56" s="2" t="str">
        <f>IFERROR('NILAI CPL'!BQ56,0)</f>
        <v/>
      </c>
      <c r="P56" s="2" t="str">
        <f>IFERROR('NILAI CPL'!BR56,0)</f>
        <v/>
      </c>
      <c r="Q56" s="2" t="str">
        <f>IFERROR('NILAI CPL'!BS56,0)</f>
        <v/>
      </c>
    </row>
    <row r="57" spans="1:17" x14ac:dyDescent="0.2">
      <c r="A57" s="2">
        <v>47</v>
      </c>
      <c r="B57" s="25"/>
      <c r="C57" s="25"/>
      <c r="D57" s="6"/>
      <c r="E57" s="2" t="str">
        <f>NILAI!R57</f>
        <v/>
      </c>
      <c r="F57" s="2" t="str">
        <f>NILAI!S57</f>
        <v/>
      </c>
      <c r="G57" s="6"/>
      <c r="H57" s="2" t="str">
        <f>IFERROR('NILAI CPL'!BJ57,0)</f>
        <v/>
      </c>
      <c r="I57" s="2" t="str">
        <f>IFERROR('NILAI CPL'!BK57,0)</f>
        <v/>
      </c>
      <c r="J57" s="2" t="str">
        <f>IFERROR('NILAI CPL'!BL57,0)</f>
        <v/>
      </c>
      <c r="K57" s="2" t="str">
        <f>IFERROR('NILAI CPL'!BM57,0)</f>
        <v/>
      </c>
      <c r="L57" s="2" t="str">
        <f>IFERROR('NILAI CPL'!BN57,0)</f>
        <v/>
      </c>
      <c r="M57" s="2" t="str">
        <f>IFERROR('NILAI CPL'!BO57,0)</f>
        <v/>
      </c>
      <c r="N57" s="2" t="str">
        <f>IFERROR('NILAI CPL'!BP57,0)</f>
        <v/>
      </c>
      <c r="O57" s="2" t="str">
        <f>IFERROR('NILAI CPL'!BQ57,0)</f>
        <v/>
      </c>
      <c r="P57" s="2" t="str">
        <f>IFERROR('NILAI CPL'!BR57,0)</f>
        <v/>
      </c>
      <c r="Q57" s="2" t="str">
        <f>IFERROR('NILAI CPL'!BS57,0)</f>
        <v/>
      </c>
    </row>
    <row r="58" spans="1:17" x14ac:dyDescent="0.2">
      <c r="A58" s="2">
        <v>48</v>
      </c>
      <c r="B58" s="25"/>
      <c r="C58" s="25"/>
      <c r="D58" s="6"/>
      <c r="E58" s="2" t="str">
        <f>NILAI!R58</f>
        <v/>
      </c>
      <c r="F58" s="2" t="str">
        <f>NILAI!S58</f>
        <v/>
      </c>
      <c r="G58" s="6"/>
      <c r="H58" s="2" t="str">
        <f>IFERROR('NILAI CPL'!BJ58,0)</f>
        <v/>
      </c>
      <c r="I58" s="2" t="str">
        <f>IFERROR('NILAI CPL'!BK58,0)</f>
        <v/>
      </c>
      <c r="J58" s="2" t="str">
        <f>IFERROR('NILAI CPL'!BL58,0)</f>
        <v/>
      </c>
      <c r="K58" s="2" t="str">
        <f>IFERROR('NILAI CPL'!BM58,0)</f>
        <v/>
      </c>
      <c r="L58" s="2" t="str">
        <f>IFERROR('NILAI CPL'!BN58,0)</f>
        <v/>
      </c>
      <c r="M58" s="2" t="str">
        <f>IFERROR('NILAI CPL'!BO58,0)</f>
        <v/>
      </c>
      <c r="N58" s="2" t="str">
        <f>IFERROR('NILAI CPL'!BP58,0)</f>
        <v/>
      </c>
      <c r="O58" s="2" t="str">
        <f>IFERROR('NILAI CPL'!BQ58,0)</f>
        <v/>
      </c>
      <c r="P58" s="2" t="str">
        <f>IFERROR('NILAI CPL'!BR58,0)</f>
        <v/>
      </c>
      <c r="Q58" s="2" t="str">
        <f>IFERROR('NILAI CPL'!BS58,0)</f>
        <v/>
      </c>
    </row>
    <row r="59" spans="1:17" x14ac:dyDescent="0.2">
      <c r="A59" s="2">
        <v>49</v>
      </c>
      <c r="B59" s="25"/>
      <c r="C59" s="25"/>
      <c r="D59" s="6"/>
      <c r="E59" s="2" t="str">
        <f>NILAI!R59</f>
        <v/>
      </c>
      <c r="F59" s="2" t="str">
        <f>NILAI!S59</f>
        <v/>
      </c>
      <c r="G59" s="6"/>
      <c r="H59" s="2" t="str">
        <f>IFERROR('NILAI CPL'!BJ59,0)</f>
        <v/>
      </c>
      <c r="I59" s="2" t="str">
        <f>IFERROR('NILAI CPL'!BK59,0)</f>
        <v/>
      </c>
      <c r="J59" s="2" t="str">
        <f>IFERROR('NILAI CPL'!BL59,0)</f>
        <v/>
      </c>
      <c r="K59" s="2" t="str">
        <f>IFERROR('NILAI CPL'!BM59,0)</f>
        <v/>
      </c>
      <c r="L59" s="2" t="str">
        <f>IFERROR('NILAI CPL'!BN59,0)</f>
        <v/>
      </c>
      <c r="M59" s="2" t="str">
        <f>IFERROR('NILAI CPL'!BO59,0)</f>
        <v/>
      </c>
      <c r="N59" s="2" t="str">
        <f>IFERROR('NILAI CPL'!BP59,0)</f>
        <v/>
      </c>
      <c r="O59" s="2" t="str">
        <f>IFERROR('NILAI CPL'!BQ59,0)</f>
        <v/>
      </c>
      <c r="P59" s="2" t="str">
        <f>IFERROR('NILAI CPL'!BR59,0)</f>
        <v/>
      </c>
      <c r="Q59" s="2" t="str">
        <f>IFERROR('NILAI CPL'!BS59,0)</f>
        <v/>
      </c>
    </row>
    <row r="60" spans="1:17" x14ac:dyDescent="0.2">
      <c r="A60" s="2">
        <v>50</v>
      </c>
      <c r="B60" s="25"/>
      <c r="C60" s="25"/>
      <c r="D60" s="6"/>
      <c r="E60" s="2" t="str">
        <f>NILAI!R60</f>
        <v/>
      </c>
      <c r="F60" s="2" t="str">
        <f>NILAI!S60</f>
        <v/>
      </c>
      <c r="G60" s="6"/>
      <c r="H60" s="2" t="str">
        <f>IFERROR('NILAI CPL'!BJ60,0)</f>
        <v/>
      </c>
      <c r="I60" s="2" t="str">
        <f>IFERROR('NILAI CPL'!BK60,0)</f>
        <v/>
      </c>
      <c r="J60" s="2" t="str">
        <f>IFERROR('NILAI CPL'!BL60,0)</f>
        <v/>
      </c>
      <c r="K60" s="2" t="str">
        <f>IFERROR('NILAI CPL'!BM60,0)</f>
        <v/>
      </c>
      <c r="L60" s="2" t="str">
        <f>IFERROR('NILAI CPL'!BN60,0)</f>
        <v/>
      </c>
      <c r="M60" s="2" t="str">
        <f>IFERROR('NILAI CPL'!BO60,0)</f>
        <v/>
      </c>
      <c r="N60" s="2" t="str">
        <f>IFERROR('NILAI CPL'!BP60,0)</f>
        <v/>
      </c>
      <c r="O60" s="2" t="str">
        <f>IFERROR('NILAI CPL'!BQ60,0)</f>
        <v/>
      </c>
      <c r="P60" s="2" t="str">
        <f>IFERROR('NILAI CPL'!BR60,0)</f>
        <v/>
      </c>
      <c r="Q60" s="2" t="str">
        <f>IFERROR('NILAI CPL'!BS60,0)</f>
        <v/>
      </c>
    </row>
    <row r="61" spans="1:17" x14ac:dyDescent="0.2">
      <c r="A61" s="2">
        <v>51</v>
      </c>
      <c r="B61" s="25"/>
      <c r="C61" s="25"/>
      <c r="D61" s="6"/>
      <c r="E61" s="2" t="str">
        <f>NILAI!R61</f>
        <v/>
      </c>
      <c r="F61" s="2" t="str">
        <f>NILAI!S61</f>
        <v/>
      </c>
      <c r="G61" s="6"/>
      <c r="H61" s="2" t="str">
        <f>IFERROR('NILAI CPL'!BJ61,0)</f>
        <v/>
      </c>
      <c r="I61" s="2" t="str">
        <f>IFERROR('NILAI CPL'!BK61,0)</f>
        <v/>
      </c>
      <c r="J61" s="2" t="str">
        <f>IFERROR('NILAI CPL'!BL61,0)</f>
        <v/>
      </c>
      <c r="K61" s="2" t="str">
        <f>IFERROR('NILAI CPL'!BM61,0)</f>
        <v/>
      </c>
      <c r="L61" s="2" t="str">
        <f>IFERROR('NILAI CPL'!BN61,0)</f>
        <v/>
      </c>
      <c r="M61" s="2" t="str">
        <f>IFERROR('NILAI CPL'!BO61,0)</f>
        <v/>
      </c>
      <c r="N61" s="2" t="str">
        <f>IFERROR('NILAI CPL'!BP61,0)</f>
        <v/>
      </c>
      <c r="O61" s="2" t="str">
        <f>IFERROR('NILAI CPL'!BQ61,0)</f>
        <v/>
      </c>
      <c r="P61" s="2" t="str">
        <f>IFERROR('NILAI CPL'!BR61,0)</f>
        <v/>
      </c>
      <c r="Q61" s="2" t="str">
        <f>IFERROR('NILAI CPL'!BS61,0)</f>
        <v/>
      </c>
    </row>
    <row r="62" spans="1:17" x14ac:dyDescent="0.2">
      <c r="A62" s="2">
        <v>52</v>
      </c>
      <c r="B62" s="25"/>
      <c r="C62" s="25"/>
      <c r="D62" s="6"/>
      <c r="E62" s="2" t="str">
        <f>NILAI!R62</f>
        <v/>
      </c>
      <c r="F62" s="2" t="str">
        <f>NILAI!S62</f>
        <v/>
      </c>
      <c r="G62" s="6"/>
      <c r="H62" s="2" t="str">
        <f>IFERROR('NILAI CPL'!BJ62,0)</f>
        <v/>
      </c>
      <c r="I62" s="2" t="str">
        <f>IFERROR('NILAI CPL'!BK62,0)</f>
        <v/>
      </c>
      <c r="J62" s="2" t="str">
        <f>IFERROR('NILAI CPL'!BL62,0)</f>
        <v/>
      </c>
      <c r="K62" s="2" t="str">
        <f>IFERROR('NILAI CPL'!BM62,0)</f>
        <v/>
      </c>
      <c r="L62" s="2" t="str">
        <f>IFERROR('NILAI CPL'!BN62,0)</f>
        <v/>
      </c>
      <c r="M62" s="2" t="str">
        <f>IFERROR('NILAI CPL'!BO62,0)</f>
        <v/>
      </c>
      <c r="N62" s="2" t="str">
        <f>IFERROR('NILAI CPL'!BP62,0)</f>
        <v/>
      </c>
      <c r="O62" s="2" t="str">
        <f>IFERROR('NILAI CPL'!BQ62,0)</f>
        <v/>
      </c>
      <c r="P62" s="2" t="str">
        <f>IFERROR('NILAI CPL'!BR62,0)</f>
        <v/>
      </c>
      <c r="Q62" s="2" t="str">
        <f>IFERROR('NILAI CPL'!BS62,0)</f>
        <v/>
      </c>
    </row>
    <row r="63" spans="1:17" x14ac:dyDescent="0.2">
      <c r="A63" s="2">
        <v>53</v>
      </c>
      <c r="B63" s="25"/>
      <c r="C63" s="25"/>
      <c r="D63" s="6"/>
      <c r="E63" s="2" t="str">
        <f>NILAI!R63</f>
        <v/>
      </c>
      <c r="F63" s="2" t="str">
        <f>NILAI!S63</f>
        <v/>
      </c>
      <c r="G63" s="6"/>
      <c r="H63" s="2" t="str">
        <f>IFERROR('NILAI CPL'!BJ63,0)</f>
        <v/>
      </c>
      <c r="I63" s="2" t="str">
        <f>IFERROR('NILAI CPL'!BK63,0)</f>
        <v/>
      </c>
      <c r="J63" s="2" t="str">
        <f>IFERROR('NILAI CPL'!BL63,0)</f>
        <v/>
      </c>
      <c r="K63" s="2" t="str">
        <f>IFERROR('NILAI CPL'!BM63,0)</f>
        <v/>
      </c>
      <c r="L63" s="2" t="str">
        <f>IFERROR('NILAI CPL'!BN63,0)</f>
        <v/>
      </c>
      <c r="M63" s="2" t="str">
        <f>IFERROR('NILAI CPL'!BO63,0)</f>
        <v/>
      </c>
      <c r="N63" s="2" t="str">
        <f>IFERROR('NILAI CPL'!BP63,0)</f>
        <v/>
      </c>
      <c r="O63" s="2" t="str">
        <f>IFERROR('NILAI CPL'!BQ63,0)</f>
        <v/>
      </c>
      <c r="P63" s="2" t="str">
        <f>IFERROR('NILAI CPL'!BR63,0)</f>
        <v/>
      </c>
      <c r="Q63" s="2" t="str">
        <f>IFERROR('NILAI CPL'!BS63,0)</f>
        <v/>
      </c>
    </row>
    <row r="64" spans="1:17" x14ac:dyDescent="0.2">
      <c r="A64" s="2">
        <v>54</v>
      </c>
      <c r="B64" s="25"/>
      <c r="C64" s="25"/>
      <c r="D64" s="6"/>
      <c r="E64" s="2" t="str">
        <f>NILAI!R64</f>
        <v/>
      </c>
      <c r="F64" s="2" t="str">
        <f>NILAI!S64</f>
        <v/>
      </c>
      <c r="G64" s="6"/>
      <c r="H64" s="2" t="str">
        <f>IFERROR('NILAI CPL'!BJ64,0)</f>
        <v/>
      </c>
      <c r="I64" s="2" t="str">
        <f>IFERROR('NILAI CPL'!BK64,0)</f>
        <v/>
      </c>
      <c r="J64" s="2" t="str">
        <f>IFERROR('NILAI CPL'!BL64,0)</f>
        <v/>
      </c>
      <c r="K64" s="2" t="str">
        <f>IFERROR('NILAI CPL'!BM64,0)</f>
        <v/>
      </c>
      <c r="L64" s="2" t="str">
        <f>IFERROR('NILAI CPL'!BN64,0)</f>
        <v/>
      </c>
      <c r="M64" s="2" t="str">
        <f>IFERROR('NILAI CPL'!BO64,0)</f>
        <v/>
      </c>
      <c r="N64" s="2" t="str">
        <f>IFERROR('NILAI CPL'!BP64,0)</f>
        <v/>
      </c>
      <c r="O64" s="2" t="str">
        <f>IFERROR('NILAI CPL'!BQ64,0)</f>
        <v/>
      </c>
      <c r="P64" s="2" t="str">
        <f>IFERROR('NILAI CPL'!BR64,0)</f>
        <v/>
      </c>
      <c r="Q64" s="2" t="str">
        <f>IFERROR('NILAI CPL'!BS64,0)</f>
        <v/>
      </c>
    </row>
    <row r="65" spans="1:17" x14ac:dyDescent="0.2">
      <c r="A65" s="2">
        <v>55</v>
      </c>
      <c r="B65" s="25"/>
      <c r="C65" s="25"/>
      <c r="D65" s="6"/>
      <c r="E65" s="2" t="str">
        <f>NILAI!R65</f>
        <v/>
      </c>
      <c r="F65" s="2" t="str">
        <f>NILAI!S65</f>
        <v/>
      </c>
      <c r="G65" s="6"/>
      <c r="H65" s="2" t="str">
        <f>IFERROR('NILAI CPL'!BJ65,0)</f>
        <v/>
      </c>
      <c r="I65" s="2" t="str">
        <f>IFERROR('NILAI CPL'!BK65,0)</f>
        <v/>
      </c>
      <c r="J65" s="2" t="str">
        <f>IFERROR('NILAI CPL'!BL65,0)</f>
        <v/>
      </c>
      <c r="K65" s="2" t="str">
        <f>IFERROR('NILAI CPL'!BM65,0)</f>
        <v/>
      </c>
      <c r="L65" s="2" t="str">
        <f>IFERROR('NILAI CPL'!BN65,0)</f>
        <v/>
      </c>
      <c r="M65" s="2" t="str">
        <f>IFERROR('NILAI CPL'!BO65,0)</f>
        <v/>
      </c>
      <c r="N65" s="2" t="str">
        <f>IFERROR('NILAI CPL'!BP65,0)</f>
        <v/>
      </c>
      <c r="O65" s="2" t="str">
        <f>IFERROR('NILAI CPL'!BQ65,0)</f>
        <v/>
      </c>
      <c r="P65" s="2" t="str">
        <f>IFERROR('NILAI CPL'!BR65,0)</f>
        <v/>
      </c>
      <c r="Q65" s="2" t="str">
        <f>IFERROR('NILAI CPL'!BS65,0)</f>
        <v/>
      </c>
    </row>
    <row r="66" spans="1:17" x14ac:dyDescent="0.2">
      <c r="A66" s="2">
        <v>56</v>
      </c>
      <c r="B66" s="25"/>
      <c r="C66" s="25"/>
      <c r="D66" s="6"/>
      <c r="E66" s="2" t="str">
        <f>NILAI!R66</f>
        <v/>
      </c>
      <c r="F66" s="2" t="str">
        <f>NILAI!S66</f>
        <v/>
      </c>
      <c r="G66" s="6"/>
      <c r="H66" s="2" t="str">
        <f>IFERROR('NILAI CPL'!BJ66,0)</f>
        <v/>
      </c>
      <c r="I66" s="2" t="str">
        <f>IFERROR('NILAI CPL'!BK66,0)</f>
        <v/>
      </c>
      <c r="J66" s="2" t="str">
        <f>IFERROR('NILAI CPL'!BL66,0)</f>
        <v/>
      </c>
      <c r="K66" s="2" t="str">
        <f>IFERROR('NILAI CPL'!BM66,0)</f>
        <v/>
      </c>
      <c r="L66" s="2" t="str">
        <f>IFERROR('NILAI CPL'!BN66,0)</f>
        <v/>
      </c>
      <c r="M66" s="2" t="str">
        <f>IFERROR('NILAI CPL'!BO66,0)</f>
        <v/>
      </c>
      <c r="N66" s="2" t="str">
        <f>IFERROR('NILAI CPL'!BP66,0)</f>
        <v/>
      </c>
      <c r="O66" s="2" t="str">
        <f>IFERROR('NILAI CPL'!BQ66,0)</f>
        <v/>
      </c>
      <c r="P66" s="2" t="str">
        <f>IFERROR('NILAI CPL'!BR66,0)</f>
        <v/>
      </c>
      <c r="Q66" s="2" t="str">
        <f>IFERROR('NILAI CPL'!BS66,0)</f>
        <v/>
      </c>
    </row>
    <row r="67" spans="1:17" x14ac:dyDescent="0.2">
      <c r="A67" s="2">
        <v>57</v>
      </c>
      <c r="B67" s="25"/>
      <c r="C67" s="25"/>
      <c r="D67" s="6"/>
      <c r="E67" s="2" t="str">
        <f>NILAI!R67</f>
        <v/>
      </c>
      <c r="F67" s="2" t="str">
        <f>NILAI!S67</f>
        <v/>
      </c>
      <c r="G67" s="6"/>
      <c r="H67" s="2" t="str">
        <f>IFERROR('NILAI CPL'!BJ67,0)</f>
        <v/>
      </c>
      <c r="I67" s="2" t="str">
        <f>IFERROR('NILAI CPL'!BK67,0)</f>
        <v/>
      </c>
      <c r="J67" s="2" t="str">
        <f>IFERROR('NILAI CPL'!BL67,0)</f>
        <v/>
      </c>
      <c r="K67" s="2" t="str">
        <f>IFERROR('NILAI CPL'!BM67,0)</f>
        <v/>
      </c>
      <c r="L67" s="2" t="str">
        <f>IFERROR('NILAI CPL'!BN67,0)</f>
        <v/>
      </c>
      <c r="M67" s="2" t="str">
        <f>IFERROR('NILAI CPL'!BO67,0)</f>
        <v/>
      </c>
      <c r="N67" s="2" t="str">
        <f>IFERROR('NILAI CPL'!BP67,0)</f>
        <v/>
      </c>
      <c r="O67" s="2" t="str">
        <f>IFERROR('NILAI CPL'!BQ67,0)</f>
        <v/>
      </c>
      <c r="P67" s="2" t="str">
        <f>IFERROR('NILAI CPL'!BR67,0)</f>
        <v/>
      </c>
      <c r="Q67" s="2" t="str">
        <f>IFERROR('NILAI CPL'!BS67,0)</f>
        <v/>
      </c>
    </row>
    <row r="68" spans="1:17" x14ac:dyDescent="0.2">
      <c r="A68" s="2">
        <v>58</v>
      </c>
      <c r="B68" s="25"/>
      <c r="C68" s="25"/>
      <c r="D68" s="6"/>
      <c r="E68" s="2" t="str">
        <f>NILAI!R68</f>
        <v/>
      </c>
      <c r="F68" s="2" t="str">
        <f>NILAI!S68</f>
        <v/>
      </c>
      <c r="G68" s="6"/>
      <c r="H68" s="2" t="str">
        <f>IFERROR('NILAI CPL'!BJ68,0)</f>
        <v/>
      </c>
      <c r="I68" s="2" t="str">
        <f>IFERROR('NILAI CPL'!BK68,0)</f>
        <v/>
      </c>
      <c r="J68" s="2" t="str">
        <f>IFERROR('NILAI CPL'!BL68,0)</f>
        <v/>
      </c>
      <c r="K68" s="2" t="str">
        <f>IFERROR('NILAI CPL'!BM68,0)</f>
        <v/>
      </c>
      <c r="L68" s="2" t="str">
        <f>IFERROR('NILAI CPL'!BN68,0)</f>
        <v/>
      </c>
      <c r="M68" s="2" t="str">
        <f>IFERROR('NILAI CPL'!BO68,0)</f>
        <v/>
      </c>
      <c r="N68" s="2" t="str">
        <f>IFERROR('NILAI CPL'!BP68,0)</f>
        <v/>
      </c>
      <c r="O68" s="2" t="str">
        <f>IFERROR('NILAI CPL'!BQ68,0)</f>
        <v/>
      </c>
      <c r="P68" s="2" t="str">
        <f>IFERROR('NILAI CPL'!BR68,0)</f>
        <v/>
      </c>
      <c r="Q68" s="2" t="str">
        <f>IFERROR('NILAI CPL'!BS68,0)</f>
        <v/>
      </c>
    </row>
    <row r="69" spans="1:17" x14ac:dyDescent="0.2">
      <c r="A69" s="2">
        <v>59</v>
      </c>
      <c r="B69" s="25"/>
      <c r="C69" s="25"/>
      <c r="D69" s="6"/>
      <c r="E69" s="2" t="str">
        <f>NILAI!R69</f>
        <v/>
      </c>
      <c r="F69" s="2" t="str">
        <f>NILAI!S69</f>
        <v/>
      </c>
      <c r="G69" s="6"/>
      <c r="H69" s="2" t="str">
        <f>IFERROR('NILAI CPL'!BJ69,0)</f>
        <v/>
      </c>
      <c r="I69" s="2" t="str">
        <f>IFERROR('NILAI CPL'!BK69,0)</f>
        <v/>
      </c>
      <c r="J69" s="2" t="str">
        <f>IFERROR('NILAI CPL'!BL69,0)</f>
        <v/>
      </c>
      <c r="K69" s="2" t="str">
        <f>IFERROR('NILAI CPL'!BM69,0)</f>
        <v/>
      </c>
      <c r="L69" s="2" t="str">
        <f>IFERROR('NILAI CPL'!BN69,0)</f>
        <v/>
      </c>
      <c r="M69" s="2" t="str">
        <f>IFERROR('NILAI CPL'!BO69,0)</f>
        <v/>
      </c>
      <c r="N69" s="2" t="str">
        <f>IFERROR('NILAI CPL'!BP69,0)</f>
        <v/>
      </c>
      <c r="O69" s="2" t="str">
        <f>IFERROR('NILAI CPL'!BQ69,0)</f>
        <v/>
      </c>
      <c r="P69" s="2" t="str">
        <f>IFERROR('NILAI CPL'!BR69,0)</f>
        <v/>
      </c>
      <c r="Q69" s="2" t="str">
        <f>IFERROR('NILAI CPL'!BS69,0)</f>
        <v/>
      </c>
    </row>
    <row r="70" spans="1:17" x14ac:dyDescent="0.2">
      <c r="A70" s="2">
        <v>60</v>
      </c>
      <c r="B70" s="25"/>
      <c r="C70" s="25"/>
      <c r="D70" s="6"/>
      <c r="E70" s="2" t="str">
        <f>NILAI!R70</f>
        <v/>
      </c>
      <c r="F70" s="2" t="str">
        <f>NILAI!S70</f>
        <v/>
      </c>
      <c r="G70" s="6"/>
      <c r="H70" s="2" t="str">
        <f>IFERROR('NILAI CPL'!BJ70,0)</f>
        <v/>
      </c>
      <c r="I70" s="2" t="str">
        <f>IFERROR('NILAI CPL'!BK70,0)</f>
        <v/>
      </c>
      <c r="J70" s="2" t="str">
        <f>IFERROR('NILAI CPL'!BL70,0)</f>
        <v/>
      </c>
      <c r="K70" s="2" t="str">
        <f>IFERROR('NILAI CPL'!BM70,0)</f>
        <v/>
      </c>
      <c r="L70" s="2" t="str">
        <f>IFERROR('NILAI CPL'!BN70,0)</f>
        <v/>
      </c>
      <c r="M70" s="2" t="str">
        <f>IFERROR('NILAI CPL'!BO70,0)</f>
        <v/>
      </c>
      <c r="N70" s="2" t="str">
        <f>IFERROR('NILAI CPL'!BP70,0)</f>
        <v/>
      </c>
      <c r="O70" s="2" t="str">
        <f>IFERROR('NILAI CPL'!BQ70,0)</f>
        <v/>
      </c>
      <c r="P70" s="2" t="str">
        <f>IFERROR('NILAI CPL'!BR70,0)</f>
        <v/>
      </c>
      <c r="Q70" s="2" t="str">
        <f>IFERROR('NILAI CPL'!BS70,0)</f>
        <v/>
      </c>
    </row>
    <row r="71" spans="1:17" x14ac:dyDescent="0.2">
      <c r="A71" s="2">
        <v>61</v>
      </c>
      <c r="B71" s="25"/>
      <c r="C71" s="25"/>
      <c r="D71" s="6"/>
      <c r="E71" s="2" t="str">
        <f>NILAI!R71</f>
        <v/>
      </c>
      <c r="F71" s="2" t="str">
        <f>NILAI!S71</f>
        <v/>
      </c>
      <c r="G71" s="6"/>
      <c r="H71" s="2" t="str">
        <f>IFERROR('NILAI CPL'!BJ71,0)</f>
        <v/>
      </c>
      <c r="I71" s="2" t="str">
        <f>IFERROR('NILAI CPL'!BK71,0)</f>
        <v/>
      </c>
      <c r="J71" s="2" t="str">
        <f>IFERROR('NILAI CPL'!BL71,0)</f>
        <v/>
      </c>
      <c r="K71" s="2" t="str">
        <f>IFERROR('NILAI CPL'!BM71,0)</f>
        <v/>
      </c>
      <c r="L71" s="2" t="str">
        <f>IFERROR('NILAI CPL'!BN71,0)</f>
        <v/>
      </c>
      <c r="M71" s="2" t="str">
        <f>IFERROR('NILAI CPL'!BO71,0)</f>
        <v/>
      </c>
      <c r="N71" s="2" t="str">
        <f>IFERROR('NILAI CPL'!BP71,0)</f>
        <v/>
      </c>
      <c r="O71" s="2" t="str">
        <f>IFERROR('NILAI CPL'!BQ71,0)</f>
        <v/>
      </c>
      <c r="P71" s="2" t="str">
        <f>IFERROR('NILAI CPL'!BR71,0)</f>
        <v/>
      </c>
      <c r="Q71" s="2" t="str">
        <f>IFERROR('NILAI CPL'!BS71,0)</f>
        <v/>
      </c>
    </row>
    <row r="72" spans="1:17" x14ac:dyDescent="0.2">
      <c r="A72" s="2">
        <v>62</v>
      </c>
      <c r="B72" s="25"/>
      <c r="C72" s="25"/>
      <c r="D72" s="6"/>
      <c r="E72" s="2" t="str">
        <f>NILAI!R72</f>
        <v/>
      </c>
      <c r="F72" s="2" t="str">
        <f>NILAI!S72</f>
        <v/>
      </c>
      <c r="G72" s="6"/>
      <c r="H72" s="2" t="str">
        <f>IFERROR('NILAI CPL'!BJ72,0)</f>
        <v/>
      </c>
      <c r="I72" s="2" t="str">
        <f>IFERROR('NILAI CPL'!BK72,0)</f>
        <v/>
      </c>
      <c r="J72" s="2" t="str">
        <f>IFERROR('NILAI CPL'!BL72,0)</f>
        <v/>
      </c>
      <c r="K72" s="2" t="str">
        <f>IFERROR('NILAI CPL'!BM72,0)</f>
        <v/>
      </c>
      <c r="L72" s="2" t="str">
        <f>IFERROR('NILAI CPL'!BN72,0)</f>
        <v/>
      </c>
      <c r="M72" s="2" t="str">
        <f>IFERROR('NILAI CPL'!BO72,0)</f>
        <v/>
      </c>
      <c r="N72" s="2" t="str">
        <f>IFERROR('NILAI CPL'!BP72,0)</f>
        <v/>
      </c>
      <c r="O72" s="2" t="str">
        <f>IFERROR('NILAI CPL'!BQ72,0)</f>
        <v/>
      </c>
      <c r="P72" s="2" t="str">
        <f>IFERROR('NILAI CPL'!BR72,0)</f>
        <v/>
      </c>
      <c r="Q72" s="2" t="str">
        <f>IFERROR('NILAI CPL'!BS72,0)</f>
        <v/>
      </c>
    </row>
    <row r="73" spans="1:17" x14ac:dyDescent="0.2">
      <c r="A73" s="2">
        <v>63</v>
      </c>
      <c r="B73" s="25"/>
      <c r="C73" s="25"/>
      <c r="D73" s="6"/>
      <c r="E73" s="2" t="str">
        <f>NILAI!R73</f>
        <v/>
      </c>
      <c r="F73" s="2" t="str">
        <f>NILAI!S73</f>
        <v/>
      </c>
      <c r="G73" s="6"/>
      <c r="H73" s="2" t="str">
        <f>IFERROR('NILAI CPL'!BJ73,0)</f>
        <v/>
      </c>
      <c r="I73" s="2" t="str">
        <f>IFERROR('NILAI CPL'!BK73,0)</f>
        <v/>
      </c>
      <c r="J73" s="2" t="str">
        <f>IFERROR('NILAI CPL'!BL73,0)</f>
        <v/>
      </c>
      <c r="K73" s="2" t="str">
        <f>IFERROR('NILAI CPL'!BM73,0)</f>
        <v/>
      </c>
      <c r="L73" s="2" t="str">
        <f>IFERROR('NILAI CPL'!BN73,0)</f>
        <v/>
      </c>
      <c r="M73" s="2" t="str">
        <f>IFERROR('NILAI CPL'!BO73,0)</f>
        <v/>
      </c>
      <c r="N73" s="2" t="str">
        <f>IFERROR('NILAI CPL'!BP73,0)</f>
        <v/>
      </c>
      <c r="O73" s="2" t="str">
        <f>IFERROR('NILAI CPL'!BQ73,0)</f>
        <v/>
      </c>
      <c r="P73" s="2" t="str">
        <f>IFERROR('NILAI CPL'!BR73,0)</f>
        <v/>
      </c>
      <c r="Q73" s="2" t="str">
        <f>IFERROR('NILAI CPL'!BS73,0)</f>
        <v/>
      </c>
    </row>
    <row r="74" spans="1:17" x14ac:dyDescent="0.2">
      <c r="A74" s="2">
        <v>64</v>
      </c>
      <c r="B74" s="25"/>
      <c r="C74" s="25"/>
      <c r="D74" s="6"/>
      <c r="E74" s="2" t="str">
        <f>NILAI!R74</f>
        <v/>
      </c>
      <c r="F74" s="2" t="str">
        <f>NILAI!S74</f>
        <v/>
      </c>
      <c r="G74" s="6"/>
      <c r="H74" s="2" t="str">
        <f>IFERROR('NILAI CPL'!BJ74,0)</f>
        <v/>
      </c>
      <c r="I74" s="2" t="str">
        <f>IFERROR('NILAI CPL'!BK74,0)</f>
        <v/>
      </c>
      <c r="J74" s="2" t="str">
        <f>IFERROR('NILAI CPL'!BL74,0)</f>
        <v/>
      </c>
      <c r="K74" s="2" t="str">
        <f>IFERROR('NILAI CPL'!BM74,0)</f>
        <v/>
      </c>
      <c r="L74" s="2" t="str">
        <f>IFERROR('NILAI CPL'!BN74,0)</f>
        <v/>
      </c>
      <c r="M74" s="2" t="str">
        <f>IFERROR('NILAI CPL'!BO74,0)</f>
        <v/>
      </c>
      <c r="N74" s="2" t="str">
        <f>IFERROR('NILAI CPL'!BP74,0)</f>
        <v/>
      </c>
      <c r="O74" s="2" t="str">
        <f>IFERROR('NILAI CPL'!BQ74,0)</f>
        <v/>
      </c>
      <c r="P74" s="2" t="str">
        <f>IFERROR('NILAI CPL'!BR74,0)</f>
        <v/>
      </c>
      <c r="Q74" s="2" t="str">
        <f>IFERROR('NILAI CPL'!BS74,0)</f>
        <v/>
      </c>
    </row>
    <row r="75" spans="1:17" x14ac:dyDescent="0.2">
      <c r="A75" s="2">
        <v>65</v>
      </c>
      <c r="B75" s="25"/>
      <c r="C75" s="25"/>
      <c r="D75" s="6"/>
      <c r="E75" s="2" t="str">
        <f>NILAI!R75</f>
        <v/>
      </c>
      <c r="F75" s="2" t="str">
        <f>NILAI!S75</f>
        <v/>
      </c>
      <c r="G75" s="6"/>
      <c r="H75" s="2" t="str">
        <f>IFERROR('NILAI CPL'!BJ75,0)</f>
        <v/>
      </c>
      <c r="I75" s="2" t="str">
        <f>IFERROR('NILAI CPL'!BK75,0)</f>
        <v/>
      </c>
      <c r="J75" s="2" t="str">
        <f>IFERROR('NILAI CPL'!BL75,0)</f>
        <v/>
      </c>
      <c r="K75" s="2" t="str">
        <f>IFERROR('NILAI CPL'!BM75,0)</f>
        <v/>
      </c>
      <c r="L75" s="2" t="str">
        <f>IFERROR('NILAI CPL'!BN75,0)</f>
        <v/>
      </c>
      <c r="M75" s="2" t="str">
        <f>IFERROR('NILAI CPL'!BO75,0)</f>
        <v/>
      </c>
      <c r="N75" s="2" t="str">
        <f>IFERROR('NILAI CPL'!BP75,0)</f>
        <v/>
      </c>
      <c r="O75" s="2" t="str">
        <f>IFERROR('NILAI CPL'!BQ75,0)</f>
        <v/>
      </c>
      <c r="P75" s="2" t="str">
        <f>IFERROR('NILAI CPL'!BR75,0)</f>
        <v/>
      </c>
      <c r="Q75" s="2" t="str">
        <f>IFERROR('NILAI CPL'!BS75,0)</f>
        <v/>
      </c>
    </row>
    <row r="76" spans="1:17" x14ac:dyDescent="0.2">
      <c r="A76" s="2">
        <v>66</v>
      </c>
      <c r="B76" s="25"/>
      <c r="C76" s="25"/>
      <c r="D76" s="6"/>
      <c r="E76" s="2" t="str">
        <f>NILAI!R76</f>
        <v/>
      </c>
      <c r="F76" s="2" t="str">
        <f>NILAI!S76</f>
        <v/>
      </c>
      <c r="G76" s="6"/>
      <c r="H76" s="2" t="str">
        <f>IFERROR('NILAI CPL'!BJ76,0)</f>
        <v/>
      </c>
      <c r="I76" s="2" t="str">
        <f>IFERROR('NILAI CPL'!BK76,0)</f>
        <v/>
      </c>
      <c r="J76" s="2" t="str">
        <f>IFERROR('NILAI CPL'!BL76,0)</f>
        <v/>
      </c>
      <c r="K76" s="2" t="str">
        <f>IFERROR('NILAI CPL'!BM76,0)</f>
        <v/>
      </c>
      <c r="L76" s="2" t="str">
        <f>IFERROR('NILAI CPL'!BN76,0)</f>
        <v/>
      </c>
      <c r="M76" s="2" t="str">
        <f>IFERROR('NILAI CPL'!BO76,0)</f>
        <v/>
      </c>
      <c r="N76" s="2" t="str">
        <f>IFERROR('NILAI CPL'!BP76,0)</f>
        <v/>
      </c>
      <c r="O76" s="2" t="str">
        <f>IFERROR('NILAI CPL'!BQ76,0)</f>
        <v/>
      </c>
      <c r="P76" s="2" t="str">
        <f>IFERROR('NILAI CPL'!BR76,0)</f>
        <v/>
      </c>
      <c r="Q76" s="2" t="str">
        <f>IFERROR('NILAI CPL'!BS76,0)</f>
        <v/>
      </c>
    </row>
    <row r="77" spans="1:17" x14ac:dyDescent="0.2">
      <c r="A77" s="2">
        <v>67</v>
      </c>
      <c r="B77" s="25"/>
      <c r="C77" s="25"/>
      <c r="D77" s="6"/>
      <c r="E77" s="2" t="str">
        <f>NILAI!R77</f>
        <v/>
      </c>
      <c r="F77" s="2" t="str">
        <f>NILAI!S77</f>
        <v/>
      </c>
      <c r="G77" s="6"/>
      <c r="H77" s="2" t="str">
        <f>IFERROR('NILAI CPL'!BJ77,0)</f>
        <v/>
      </c>
      <c r="I77" s="2" t="str">
        <f>IFERROR('NILAI CPL'!BK77,0)</f>
        <v/>
      </c>
      <c r="J77" s="2" t="str">
        <f>IFERROR('NILAI CPL'!BL77,0)</f>
        <v/>
      </c>
      <c r="K77" s="2" t="str">
        <f>IFERROR('NILAI CPL'!BM77,0)</f>
        <v/>
      </c>
      <c r="L77" s="2" t="str">
        <f>IFERROR('NILAI CPL'!BN77,0)</f>
        <v/>
      </c>
      <c r="M77" s="2" t="str">
        <f>IFERROR('NILAI CPL'!BO77,0)</f>
        <v/>
      </c>
      <c r="N77" s="2" t="str">
        <f>IFERROR('NILAI CPL'!BP77,0)</f>
        <v/>
      </c>
      <c r="O77" s="2" t="str">
        <f>IFERROR('NILAI CPL'!BQ77,0)</f>
        <v/>
      </c>
      <c r="P77" s="2" t="str">
        <f>IFERROR('NILAI CPL'!BR77,0)</f>
        <v/>
      </c>
      <c r="Q77" s="2" t="str">
        <f>IFERROR('NILAI CPL'!BS77,0)</f>
        <v/>
      </c>
    </row>
    <row r="78" spans="1:17" x14ac:dyDescent="0.2">
      <c r="A78" s="2">
        <v>68</v>
      </c>
      <c r="B78" s="25"/>
      <c r="C78" s="25"/>
      <c r="D78" s="6"/>
      <c r="E78" s="2" t="str">
        <f>NILAI!R78</f>
        <v/>
      </c>
      <c r="F78" s="2" t="str">
        <f>NILAI!S78</f>
        <v/>
      </c>
      <c r="G78" s="6"/>
      <c r="H78" s="2" t="str">
        <f>IFERROR('NILAI CPL'!BJ78,0)</f>
        <v/>
      </c>
      <c r="I78" s="2" t="str">
        <f>IFERROR('NILAI CPL'!BK78,0)</f>
        <v/>
      </c>
      <c r="J78" s="2" t="str">
        <f>IFERROR('NILAI CPL'!BL78,0)</f>
        <v/>
      </c>
      <c r="K78" s="2" t="str">
        <f>IFERROR('NILAI CPL'!BM78,0)</f>
        <v/>
      </c>
      <c r="L78" s="2" t="str">
        <f>IFERROR('NILAI CPL'!BN78,0)</f>
        <v/>
      </c>
      <c r="M78" s="2" t="str">
        <f>IFERROR('NILAI CPL'!BO78,0)</f>
        <v/>
      </c>
      <c r="N78" s="2" t="str">
        <f>IFERROR('NILAI CPL'!BP78,0)</f>
        <v/>
      </c>
      <c r="O78" s="2" t="str">
        <f>IFERROR('NILAI CPL'!BQ78,0)</f>
        <v/>
      </c>
      <c r="P78" s="2" t="str">
        <f>IFERROR('NILAI CPL'!BR78,0)</f>
        <v/>
      </c>
      <c r="Q78" s="2" t="str">
        <f>IFERROR('NILAI CPL'!BS78,0)</f>
        <v/>
      </c>
    </row>
    <row r="79" spans="1:17" x14ac:dyDescent="0.2">
      <c r="A79" s="2">
        <v>69</v>
      </c>
      <c r="B79" s="25"/>
      <c r="C79" s="25"/>
      <c r="D79" s="6"/>
      <c r="E79" s="2" t="str">
        <f>NILAI!R79</f>
        <v/>
      </c>
      <c r="F79" s="2" t="str">
        <f>NILAI!S79</f>
        <v/>
      </c>
      <c r="G79" s="6"/>
      <c r="H79" s="2" t="str">
        <f>IFERROR('NILAI CPL'!BJ79,0)</f>
        <v/>
      </c>
      <c r="I79" s="2" t="str">
        <f>IFERROR('NILAI CPL'!BK79,0)</f>
        <v/>
      </c>
      <c r="J79" s="2" t="str">
        <f>IFERROR('NILAI CPL'!BL79,0)</f>
        <v/>
      </c>
      <c r="K79" s="2" t="str">
        <f>IFERROR('NILAI CPL'!BM79,0)</f>
        <v/>
      </c>
      <c r="L79" s="2" t="str">
        <f>IFERROR('NILAI CPL'!BN79,0)</f>
        <v/>
      </c>
      <c r="M79" s="2" t="str">
        <f>IFERROR('NILAI CPL'!BO79,0)</f>
        <v/>
      </c>
      <c r="N79" s="2" t="str">
        <f>IFERROR('NILAI CPL'!BP79,0)</f>
        <v/>
      </c>
      <c r="O79" s="2" t="str">
        <f>IFERROR('NILAI CPL'!BQ79,0)</f>
        <v/>
      </c>
      <c r="P79" s="2" t="str">
        <f>IFERROR('NILAI CPL'!BR79,0)</f>
        <v/>
      </c>
      <c r="Q79" s="2" t="str">
        <f>IFERROR('NILAI CPL'!BS79,0)</f>
        <v/>
      </c>
    </row>
    <row r="80" spans="1:17" x14ac:dyDescent="0.2">
      <c r="A80" s="2">
        <v>70</v>
      </c>
      <c r="B80" s="25"/>
      <c r="C80" s="25"/>
      <c r="D80" s="6"/>
      <c r="E80" s="2" t="str">
        <f>NILAI!R80</f>
        <v/>
      </c>
      <c r="F80" s="2" t="str">
        <f>NILAI!S80</f>
        <v/>
      </c>
      <c r="G80" s="6"/>
      <c r="H80" s="2" t="str">
        <f>IFERROR('NILAI CPL'!BJ80,0)</f>
        <v/>
      </c>
      <c r="I80" s="2" t="str">
        <f>IFERROR('NILAI CPL'!BK80,0)</f>
        <v/>
      </c>
      <c r="J80" s="2" t="str">
        <f>IFERROR('NILAI CPL'!BL80,0)</f>
        <v/>
      </c>
      <c r="K80" s="2" t="str">
        <f>IFERROR('NILAI CPL'!BM80,0)</f>
        <v/>
      </c>
      <c r="L80" s="2" t="str">
        <f>IFERROR('NILAI CPL'!BN80,0)</f>
        <v/>
      </c>
      <c r="M80" s="2" t="str">
        <f>IFERROR('NILAI CPL'!BO80,0)</f>
        <v/>
      </c>
      <c r="N80" s="2" t="str">
        <f>IFERROR('NILAI CPL'!BP80,0)</f>
        <v/>
      </c>
      <c r="O80" s="2" t="str">
        <f>IFERROR('NILAI CPL'!BQ80,0)</f>
        <v/>
      </c>
      <c r="P80" s="2" t="str">
        <f>IFERROR('NILAI CPL'!BR80,0)</f>
        <v/>
      </c>
      <c r="Q80" s="2" t="str">
        <f>IFERROR('NILAI CPL'!BS80,0)</f>
        <v/>
      </c>
    </row>
    <row r="81" spans="1:17" x14ac:dyDescent="0.2">
      <c r="A81" s="2">
        <v>71</v>
      </c>
      <c r="B81" s="25"/>
      <c r="C81" s="25"/>
      <c r="D81" s="6"/>
      <c r="E81" s="2" t="str">
        <f>NILAI!R81</f>
        <v/>
      </c>
      <c r="F81" s="2" t="str">
        <f>NILAI!S81</f>
        <v/>
      </c>
      <c r="G81" s="6"/>
      <c r="H81" s="2" t="str">
        <f>IFERROR('NILAI CPL'!BJ81,0)</f>
        <v/>
      </c>
      <c r="I81" s="2" t="str">
        <f>IFERROR('NILAI CPL'!BK81,0)</f>
        <v/>
      </c>
      <c r="J81" s="2" t="str">
        <f>IFERROR('NILAI CPL'!BL81,0)</f>
        <v/>
      </c>
      <c r="K81" s="2" t="str">
        <f>IFERROR('NILAI CPL'!BM81,0)</f>
        <v/>
      </c>
      <c r="L81" s="2" t="str">
        <f>IFERROR('NILAI CPL'!BN81,0)</f>
        <v/>
      </c>
      <c r="M81" s="2" t="str">
        <f>IFERROR('NILAI CPL'!BO81,0)</f>
        <v/>
      </c>
      <c r="N81" s="2" t="str">
        <f>IFERROR('NILAI CPL'!BP81,0)</f>
        <v/>
      </c>
      <c r="O81" s="2" t="str">
        <f>IFERROR('NILAI CPL'!BQ81,0)</f>
        <v/>
      </c>
      <c r="P81" s="2" t="str">
        <f>IFERROR('NILAI CPL'!BR81,0)</f>
        <v/>
      </c>
      <c r="Q81" s="2" t="str">
        <f>IFERROR('NILAI CPL'!BS81,0)</f>
        <v/>
      </c>
    </row>
    <row r="82" spans="1:17" x14ac:dyDescent="0.2">
      <c r="A82" s="2">
        <v>72</v>
      </c>
      <c r="B82" s="25"/>
      <c r="C82" s="25"/>
      <c r="D82" s="6"/>
      <c r="E82" s="2" t="str">
        <f>NILAI!R82</f>
        <v/>
      </c>
      <c r="F82" s="2" t="str">
        <f>NILAI!S82</f>
        <v/>
      </c>
      <c r="G82" s="6"/>
      <c r="H82" s="2" t="str">
        <f>IFERROR('NILAI CPL'!BJ82,0)</f>
        <v/>
      </c>
      <c r="I82" s="2" t="str">
        <f>IFERROR('NILAI CPL'!BK82,0)</f>
        <v/>
      </c>
      <c r="J82" s="2" t="str">
        <f>IFERROR('NILAI CPL'!BL82,0)</f>
        <v/>
      </c>
      <c r="K82" s="2" t="str">
        <f>IFERROR('NILAI CPL'!BM82,0)</f>
        <v/>
      </c>
      <c r="L82" s="2" t="str">
        <f>IFERROR('NILAI CPL'!BN82,0)</f>
        <v/>
      </c>
      <c r="M82" s="2" t="str">
        <f>IFERROR('NILAI CPL'!BO82,0)</f>
        <v/>
      </c>
      <c r="N82" s="2" t="str">
        <f>IFERROR('NILAI CPL'!BP82,0)</f>
        <v/>
      </c>
      <c r="O82" s="2" t="str">
        <f>IFERROR('NILAI CPL'!BQ82,0)</f>
        <v/>
      </c>
      <c r="P82" s="2" t="str">
        <f>IFERROR('NILAI CPL'!BR82,0)</f>
        <v/>
      </c>
      <c r="Q82" s="2" t="str">
        <f>IFERROR('NILAI CPL'!BS82,0)</f>
        <v/>
      </c>
    </row>
    <row r="83" spans="1:17" x14ac:dyDescent="0.2">
      <c r="A83" s="2">
        <v>73</v>
      </c>
      <c r="B83" s="25"/>
      <c r="C83" s="25"/>
      <c r="D83" s="6"/>
      <c r="E83" s="2" t="str">
        <f>NILAI!R83</f>
        <v/>
      </c>
      <c r="F83" s="2" t="str">
        <f>NILAI!S83</f>
        <v/>
      </c>
      <c r="G83" s="6"/>
      <c r="H83" s="2" t="str">
        <f>IFERROR('NILAI CPL'!BJ83,0)</f>
        <v/>
      </c>
      <c r="I83" s="2" t="str">
        <f>IFERROR('NILAI CPL'!BK83,0)</f>
        <v/>
      </c>
      <c r="J83" s="2" t="str">
        <f>IFERROR('NILAI CPL'!BL83,0)</f>
        <v/>
      </c>
      <c r="K83" s="2" t="str">
        <f>IFERROR('NILAI CPL'!BM83,0)</f>
        <v/>
      </c>
      <c r="L83" s="2" t="str">
        <f>IFERROR('NILAI CPL'!BN83,0)</f>
        <v/>
      </c>
      <c r="M83" s="2" t="str">
        <f>IFERROR('NILAI CPL'!BO83,0)</f>
        <v/>
      </c>
      <c r="N83" s="2" t="str">
        <f>IFERROR('NILAI CPL'!BP83,0)</f>
        <v/>
      </c>
      <c r="O83" s="2" t="str">
        <f>IFERROR('NILAI CPL'!BQ83,0)</f>
        <v/>
      </c>
      <c r="P83" s="2" t="str">
        <f>IFERROR('NILAI CPL'!BR83,0)</f>
        <v/>
      </c>
      <c r="Q83" s="2" t="str">
        <f>IFERROR('NILAI CPL'!BS83,0)</f>
        <v/>
      </c>
    </row>
    <row r="84" spans="1:17" x14ac:dyDescent="0.2">
      <c r="A84" s="2">
        <v>74</v>
      </c>
      <c r="B84" s="25"/>
      <c r="C84" s="25"/>
      <c r="D84" s="6"/>
      <c r="E84" s="2" t="str">
        <f>NILAI!R84</f>
        <v/>
      </c>
      <c r="F84" s="2" t="str">
        <f>NILAI!S84</f>
        <v/>
      </c>
      <c r="G84" s="6"/>
      <c r="H84" s="2" t="str">
        <f>IFERROR('NILAI CPL'!BJ84,0)</f>
        <v/>
      </c>
      <c r="I84" s="2" t="str">
        <f>IFERROR('NILAI CPL'!BK84,0)</f>
        <v/>
      </c>
      <c r="J84" s="2" t="str">
        <f>IFERROR('NILAI CPL'!BL84,0)</f>
        <v/>
      </c>
      <c r="K84" s="2" t="str">
        <f>IFERROR('NILAI CPL'!BM84,0)</f>
        <v/>
      </c>
      <c r="L84" s="2" t="str">
        <f>IFERROR('NILAI CPL'!BN84,0)</f>
        <v/>
      </c>
      <c r="M84" s="2" t="str">
        <f>IFERROR('NILAI CPL'!BO84,0)</f>
        <v/>
      </c>
      <c r="N84" s="2" t="str">
        <f>IFERROR('NILAI CPL'!BP84,0)</f>
        <v/>
      </c>
      <c r="O84" s="2" t="str">
        <f>IFERROR('NILAI CPL'!BQ84,0)</f>
        <v/>
      </c>
      <c r="P84" s="2" t="str">
        <f>IFERROR('NILAI CPL'!BR84,0)</f>
        <v/>
      </c>
      <c r="Q84" s="2" t="str">
        <f>IFERROR('NILAI CPL'!BS84,0)</f>
        <v/>
      </c>
    </row>
    <row r="85" spans="1:17" x14ac:dyDescent="0.2">
      <c r="A85" s="2">
        <v>75</v>
      </c>
      <c r="B85" s="25"/>
      <c r="C85" s="25"/>
      <c r="D85" s="6"/>
      <c r="E85" s="2" t="str">
        <f>NILAI!R85</f>
        <v/>
      </c>
      <c r="F85" s="2" t="str">
        <f>NILAI!S85</f>
        <v/>
      </c>
      <c r="G85" s="6"/>
      <c r="H85" s="2" t="str">
        <f>IFERROR('NILAI CPL'!BJ85,0)</f>
        <v/>
      </c>
      <c r="I85" s="2" t="str">
        <f>IFERROR('NILAI CPL'!BK85,0)</f>
        <v/>
      </c>
      <c r="J85" s="2" t="str">
        <f>IFERROR('NILAI CPL'!BL85,0)</f>
        <v/>
      </c>
      <c r="K85" s="2" t="str">
        <f>IFERROR('NILAI CPL'!BM85,0)</f>
        <v/>
      </c>
      <c r="L85" s="2" t="str">
        <f>IFERROR('NILAI CPL'!BN85,0)</f>
        <v/>
      </c>
      <c r="M85" s="2" t="str">
        <f>IFERROR('NILAI CPL'!BO85,0)</f>
        <v/>
      </c>
      <c r="N85" s="2" t="str">
        <f>IFERROR('NILAI CPL'!BP85,0)</f>
        <v/>
      </c>
      <c r="O85" s="2" t="str">
        <f>IFERROR('NILAI CPL'!BQ85,0)</f>
        <v/>
      </c>
      <c r="P85" s="2" t="str">
        <f>IFERROR('NILAI CPL'!BR85,0)</f>
        <v/>
      </c>
      <c r="Q85" s="2" t="str">
        <f>IFERROR('NILAI CPL'!BS85,0)</f>
        <v/>
      </c>
    </row>
    <row r="86" spans="1:17" x14ac:dyDescent="0.2">
      <c r="A86" s="2">
        <v>76</v>
      </c>
      <c r="B86" s="25"/>
      <c r="C86" s="25"/>
      <c r="D86" s="6"/>
      <c r="E86" s="2" t="str">
        <f>NILAI!R86</f>
        <v/>
      </c>
      <c r="F86" s="2" t="str">
        <f>NILAI!S86</f>
        <v/>
      </c>
      <c r="G86" s="6"/>
      <c r="H86" s="2" t="str">
        <f>IFERROR('NILAI CPL'!BJ86,0)</f>
        <v/>
      </c>
      <c r="I86" s="2" t="str">
        <f>IFERROR('NILAI CPL'!BK86,0)</f>
        <v/>
      </c>
      <c r="J86" s="2" t="str">
        <f>IFERROR('NILAI CPL'!BL86,0)</f>
        <v/>
      </c>
      <c r="K86" s="2" t="str">
        <f>IFERROR('NILAI CPL'!BM86,0)</f>
        <v/>
      </c>
      <c r="L86" s="2" t="str">
        <f>IFERROR('NILAI CPL'!BN86,0)</f>
        <v/>
      </c>
      <c r="M86" s="2" t="str">
        <f>IFERROR('NILAI CPL'!BO86,0)</f>
        <v/>
      </c>
      <c r="N86" s="2" t="str">
        <f>IFERROR('NILAI CPL'!BP86,0)</f>
        <v/>
      </c>
      <c r="O86" s="2" t="str">
        <f>IFERROR('NILAI CPL'!BQ86,0)</f>
        <v/>
      </c>
      <c r="P86" s="2" t="str">
        <f>IFERROR('NILAI CPL'!BR86,0)</f>
        <v/>
      </c>
      <c r="Q86" s="2" t="str">
        <f>IFERROR('NILAI CPL'!BS86,0)</f>
        <v/>
      </c>
    </row>
    <row r="87" spans="1:17" x14ac:dyDescent="0.2">
      <c r="A87" s="2">
        <v>77</v>
      </c>
      <c r="B87" s="25"/>
      <c r="C87" s="25"/>
      <c r="D87" s="6"/>
      <c r="E87" s="2" t="str">
        <f>NILAI!R87</f>
        <v/>
      </c>
      <c r="F87" s="2" t="str">
        <f>NILAI!S87</f>
        <v/>
      </c>
      <c r="G87" s="6"/>
      <c r="H87" s="2" t="str">
        <f>IFERROR('NILAI CPL'!BJ87,0)</f>
        <v/>
      </c>
      <c r="I87" s="2" t="str">
        <f>IFERROR('NILAI CPL'!BK87,0)</f>
        <v/>
      </c>
      <c r="J87" s="2" t="str">
        <f>IFERROR('NILAI CPL'!BL87,0)</f>
        <v/>
      </c>
      <c r="K87" s="2" t="str">
        <f>IFERROR('NILAI CPL'!BM87,0)</f>
        <v/>
      </c>
      <c r="L87" s="2" t="str">
        <f>IFERROR('NILAI CPL'!BN87,0)</f>
        <v/>
      </c>
      <c r="M87" s="2" t="str">
        <f>IFERROR('NILAI CPL'!BO87,0)</f>
        <v/>
      </c>
      <c r="N87" s="2" t="str">
        <f>IFERROR('NILAI CPL'!BP87,0)</f>
        <v/>
      </c>
      <c r="O87" s="2" t="str">
        <f>IFERROR('NILAI CPL'!BQ87,0)</f>
        <v/>
      </c>
      <c r="P87" s="2" t="str">
        <f>IFERROR('NILAI CPL'!BR87,0)</f>
        <v/>
      </c>
      <c r="Q87" s="2" t="str">
        <f>IFERROR('NILAI CPL'!BS87,0)</f>
        <v/>
      </c>
    </row>
    <row r="88" spans="1:17" x14ac:dyDescent="0.2">
      <c r="A88" s="2">
        <v>78</v>
      </c>
      <c r="B88" s="25"/>
      <c r="C88" s="25"/>
      <c r="D88" s="6"/>
      <c r="E88" s="2" t="str">
        <f>NILAI!R88</f>
        <v/>
      </c>
      <c r="F88" s="2" t="str">
        <f>NILAI!S88</f>
        <v/>
      </c>
      <c r="G88" s="6"/>
      <c r="H88" s="2" t="str">
        <f>IFERROR('NILAI CPL'!BJ88,0)</f>
        <v/>
      </c>
      <c r="I88" s="2" t="str">
        <f>IFERROR('NILAI CPL'!BK88,0)</f>
        <v/>
      </c>
      <c r="J88" s="2" t="str">
        <f>IFERROR('NILAI CPL'!BL88,0)</f>
        <v/>
      </c>
      <c r="K88" s="2" t="str">
        <f>IFERROR('NILAI CPL'!BM88,0)</f>
        <v/>
      </c>
      <c r="L88" s="2" t="str">
        <f>IFERROR('NILAI CPL'!BN88,0)</f>
        <v/>
      </c>
      <c r="M88" s="2" t="str">
        <f>IFERROR('NILAI CPL'!BO88,0)</f>
        <v/>
      </c>
      <c r="N88" s="2" t="str">
        <f>IFERROR('NILAI CPL'!BP88,0)</f>
        <v/>
      </c>
      <c r="O88" s="2" t="str">
        <f>IFERROR('NILAI CPL'!BQ88,0)</f>
        <v/>
      </c>
      <c r="P88" s="2" t="str">
        <f>IFERROR('NILAI CPL'!BR88,0)</f>
        <v/>
      </c>
      <c r="Q88" s="2" t="str">
        <f>IFERROR('NILAI CPL'!BS88,0)</f>
        <v/>
      </c>
    </row>
    <row r="89" spans="1:17" x14ac:dyDescent="0.2">
      <c r="A89" s="2">
        <v>79</v>
      </c>
      <c r="B89" s="25"/>
      <c r="C89" s="25"/>
      <c r="D89" s="6"/>
      <c r="E89" s="2" t="str">
        <f>NILAI!R89</f>
        <v/>
      </c>
      <c r="F89" s="2" t="str">
        <f>NILAI!S89</f>
        <v/>
      </c>
      <c r="G89" s="6"/>
      <c r="H89" s="2" t="str">
        <f>IFERROR('NILAI CPL'!BJ89,0)</f>
        <v/>
      </c>
      <c r="I89" s="2" t="str">
        <f>IFERROR('NILAI CPL'!BK89,0)</f>
        <v/>
      </c>
      <c r="J89" s="2" t="str">
        <f>IFERROR('NILAI CPL'!BL89,0)</f>
        <v/>
      </c>
      <c r="K89" s="2" t="str">
        <f>IFERROR('NILAI CPL'!BM89,0)</f>
        <v/>
      </c>
      <c r="L89" s="2" t="str">
        <f>IFERROR('NILAI CPL'!BN89,0)</f>
        <v/>
      </c>
      <c r="M89" s="2" t="str">
        <f>IFERROR('NILAI CPL'!BO89,0)</f>
        <v/>
      </c>
      <c r="N89" s="2" t="str">
        <f>IFERROR('NILAI CPL'!BP89,0)</f>
        <v/>
      </c>
      <c r="O89" s="2" t="str">
        <f>IFERROR('NILAI CPL'!BQ89,0)</f>
        <v/>
      </c>
      <c r="P89" s="2" t="str">
        <f>IFERROR('NILAI CPL'!BR89,0)</f>
        <v/>
      </c>
      <c r="Q89" s="2" t="str">
        <f>IFERROR('NILAI CPL'!BS89,0)</f>
        <v/>
      </c>
    </row>
    <row r="90" spans="1:17" x14ac:dyDescent="0.2">
      <c r="A90" s="2">
        <v>80</v>
      </c>
      <c r="B90" s="25"/>
      <c r="C90" s="25"/>
      <c r="D90" s="6"/>
      <c r="E90" s="2" t="str">
        <f>NILAI!R90</f>
        <v/>
      </c>
      <c r="F90" s="2" t="str">
        <f>NILAI!S90</f>
        <v/>
      </c>
      <c r="G90" s="6"/>
      <c r="H90" s="2" t="str">
        <f>IFERROR('NILAI CPL'!BJ90,0)</f>
        <v/>
      </c>
      <c r="I90" s="2" t="str">
        <f>IFERROR('NILAI CPL'!BK90,0)</f>
        <v/>
      </c>
      <c r="J90" s="2" t="str">
        <f>IFERROR('NILAI CPL'!BL90,0)</f>
        <v/>
      </c>
      <c r="K90" s="2" t="str">
        <f>IFERROR('NILAI CPL'!BM90,0)</f>
        <v/>
      </c>
      <c r="L90" s="2" t="str">
        <f>IFERROR('NILAI CPL'!BN90,0)</f>
        <v/>
      </c>
      <c r="M90" s="2" t="str">
        <f>IFERROR('NILAI CPL'!BO90,0)</f>
        <v/>
      </c>
      <c r="N90" s="2" t="str">
        <f>IFERROR('NILAI CPL'!BP90,0)</f>
        <v/>
      </c>
      <c r="O90" s="2" t="str">
        <f>IFERROR('NILAI CPL'!BQ90,0)</f>
        <v/>
      </c>
      <c r="P90" s="2" t="str">
        <f>IFERROR('NILAI CPL'!BR90,0)</f>
        <v/>
      </c>
      <c r="Q90" s="2" t="str">
        <f>IFERROR('NILAI CPL'!BS90,0)</f>
        <v/>
      </c>
    </row>
  </sheetData>
  <mergeCells count="1">
    <mergeCell ref="F8:F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BA272-07D0-E946-8CD9-F801B9B5D034}">
  <sheetPr codeName="Sheet3"/>
  <dimension ref="A1:E23"/>
  <sheetViews>
    <sheetView showGridLines="0" zoomScale="57" workbookViewId="0"/>
  </sheetViews>
  <sheetFormatPr baseColWidth="10" defaultRowHeight="16" x14ac:dyDescent="0.2"/>
  <cols>
    <col min="2" max="2" width="50.83203125" style="1" customWidth="1"/>
    <col min="3" max="3" width="10.83203125" style="1" customWidth="1"/>
    <col min="4" max="4" width="50.83203125" style="1" customWidth="1"/>
  </cols>
  <sheetData>
    <row r="1" spans="1:5" ht="17" x14ac:dyDescent="0.2">
      <c r="A1" s="14" t="s">
        <v>5</v>
      </c>
      <c r="B1" s="15" t="s">
        <v>6</v>
      </c>
      <c r="C1" s="15" t="s">
        <v>5</v>
      </c>
      <c r="D1" s="15" t="s">
        <v>16</v>
      </c>
      <c r="E1" s="1"/>
    </row>
    <row r="2" spans="1:5" ht="68" customHeight="1" x14ac:dyDescent="0.2">
      <c r="A2" s="35">
        <v>1</v>
      </c>
      <c r="B2" s="37" t="s">
        <v>4</v>
      </c>
      <c r="C2" s="5" t="s">
        <v>39</v>
      </c>
      <c r="D2" s="4" t="s">
        <v>17</v>
      </c>
    </row>
    <row r="3" spans="1:5" ht="51" x14ac:dyDescent="0.2">
      <c r="A3" s="36"/>
      <c r="B3" s="38"/>
      <c r="C3" s="5" t="s">
        <v>40</v>
      </c>
      <c r="D3" s="4" t="s">
        <v>18</v>
      </c>
    </row>
    <row r="4" spans="1:5" ht="119" customHeight="1" x14ac:dyDescent="0.2">
      <c r="A4" s="35">
        <v>2</v>
      </c>
      <c r="B4" s="37" t="s">
        <v>7</v>
      </c>
      <c r="C4" s="5" t="s">
        <v>41</v>
      </c>
      <c r="D4" s="4" t="s">
        <v>19</v>
      </c>
    </row>
    <row r="5" spans="1:5" ht="34" x14ac:dyDescent="0.2">
      <c r="A5" s="40"/>
      <c r="B5" s="39"/>
      <c r="C5" s="5" t="s">
        <v>42</v>
      </c>
      <c r="D5" s="4" t="s">
        <v>20</v>
      </c>
    </row>
    <row r="6" spans="1:5" ht="68" x14ac:dyDescent="0.2">
      <c r="A6" s="40"/>
      <c r="B6" s="39"/>
      <c r="C6" s="5" t="s">
        <v>43</v>
      </c>
      <c r="D6" s="4" t="s">
        <v>21</v>
      </c>
    </row>
    <row r="7" spans="1:5" ht="51" x14ac:dyDescent="0.2">
      <c r="A7" s="36"/>
      <c r="B7" s="38"/>
      <c r="C7" s="5" t="s">
        <v>44</v>
      </c>
      <c r="D7" s="4" t="s">
        <v>22</v>
      </c>
    </row>
    <row r="8" spans="1:5" ht="51" customHeight="1" x14ac:dyDescent="0.2">
      <c r="A8" s="35">
        <v>3</v>
      </c>
      <c r="B8" s="37" t="s">
        <v>8</v>
      </c>
      <c r="C8" s="5" t="s">
        <v>45</v>
      </c>
      <c r="D8" s="4" t="s">
        <v>23</v>
      </c>
    </row>
    <row r="9" spans="1:5" ht="17" x14ac:dyDescent="0.2">
      <c r="A9" s="36"/>
      <c r="B9" s="38"/>
      <c r="C9" s="5" t="s">
        <v>46</v>
      </c>
      <c r="D9" s="4" t="s">
        <v>24</v>
      </c>
    </row>
    <row r="10" spans="1:5" ht="34" x14ac:dyDescent="0.2">
      <c r="A10" s="35">
        <v>4</v>
      </c>
      <c r="B10" s="37" t="s">
        <v>9</v>
      </c>
      <c r="C10" s="5" t="s">
        <v>47</v>
      </c>
      <c r="D10" s="4" t="s">
        <v>25</v>
      </c>
    </row>
    <row r="11" spans="1:5" ht="34" x14ac:dyDescent="0.2">
      <c r="A11" s="36"/>
      <c r="B11" s="38"/>
      <c r="C11" s="5" t="s">
        <v>48</v>
      </c>
      <c r="D11" s="4" t="s">
        <v>26</v>
      </c>
    </row>
    <row r="12" spans="1:5" ht="51" customHeight="1" x14ac:dyDescent="0.2">
      <c r="A12" s="35">
        <v>5</v>
      </c>
      <c r="B12" s="37" t="s">
        <v>10</v>
      </c>
      <c r="C12" s="5" t="s">
        <v>49</v>
      </c>
      <c r="D12" s="4" t="s">
        <v>27</v>
      </c>
    </row>
    <row r="13" spans="1:5" ht="34" x14ac:dyDescent="0.2">
      <c r="A13" s="36"/>
      <c r="B13" s="38"/>
      <c r="C13" s="5" t="s">
        <v>50</v>
      </c>
      <c r="D13" s="4" t="s">
        <v>28</v>
      </c>
    </row>
    <row r="14" spans="1:5" ht="34" x14ac:dyDescent="0.2">
      <c r="A14" s="35">
        <v>6</v>
      </c>
      <c r="B14" s="37" t="s">
        <v>11</v>
      </c>
      <c r="C14" s="5" t="s">
        <v>51</v>
      </c>
      <c r="D14" s="4" t="s">
        <v>29</v>
      </c>
    </row>
    <row r="15" spans="1:5" ht="34" x14ac:dyDescent="0.2">
      <c r="A15" s="36"/>
      <c r="B15" s="38"/>
      <c r="C15" s="5" t="s">
        <v>52</v>
      </c>
      <c r="D15" s="4" t="s">
        <v>30</v>
      </c>
    </row>
    <row r="16" spans="1:5" ht="51" x14ac:dyDescent="0.2">
      <c r="A16" s="35">
        <v>7</v>
      </c>
      <c r="B16" s="37" t="s">
        <v>12</v>
      </c>
      <c r="C16" s="5" t="s">
        <v>53</v>
      </c>
      <c r="D16" s="4" t="s">
        <v>31</v>
      </c>
    </row>
    <row r="17" spans="1:4" ht="17" x14ac:dyDescent="0.2">
      <c r="A17" s="36"/>
      <c r="B17" s="38"/>
      <c r="C17" s="5" t="s">
        <v>54</v>
      </c>
      <c r="D17" s="4" t="s">
        <v>32</v>
      </c>
    </row>
    <row r="18" spans="1:4" ht="34" x14ac:dyDescent="0.2">
      <c r="A18" s="35">
        <v>8</v>
      </c>
      <c r="B18" s="37" t="s">
        <v>13</v>
      </c>
      <c r="C18" s="5" t="s">
        <v>55</v>
      </c>
      <c r="D18" s="4" t="s">
        <v>33</v>
      </c>
    </row>
    <row r="19" spans="1:4" ht="51" x14ac:dyDescent="0.2">
      <c r="A19" s="36"/>
      <c r="B19" s="38"/>
      <c r="C19" s="5" t="s">
        <v>56</v>
      </c>
      <c r="D19" s="4" t="s">
        <v>34</v>
      </c>
    </row>
    <row r="20" spans="1:4" ht="51" customHeight="1" x14ac:dyDescent="0.2">
      <c r="A20" s="35">
        <v>9</v>
      </c>
      <c r="B20" s="37" t="s">
        <v>14</v>
      </c>
      <c r="C20" s="5" t="s">
        <v>57</v>
      </c>
      <c r="D20" s="4" t="s">
        <v>35</v>
      </c>
    </row>
    <row r="21" spans="1:4" ht="51" x14ac:dyDescent="0.2">
      <c r="A21" s="36"/>
      <c r="B21" s="38"/>
      <c r="C21" s="5" t="s">
        <v>58</v>
      </c>
      <c r="D21" s="4" t="s">
        <v>36</v>
      </c>
    </row>
    <row r="22" spans="1:4" ht="51" customHeight="1" x14ac:dyDescent="0.2">
      <c r="A22" s="35">
        <v>10</v>
      </c>
      <c r="B22" s="37" t="s">
        <v>15</v>
      </c>
      <c r="C22" s="5" t="s">
        <v>59</v>
      </c>
      <c r="D22" s="4" t="s">
        <v>37</v>
      </c>
    </row>
    <row r="23" spans="1:4" ht="34" x14ac:dyDescent="0.2">
      <c r="A23" s="36"/>
      <c r="B23" s="38"/>
      <c r="C23" s="5" t="s">
        <v>60</v>
      </c>
      <c r="D23" s="4" t="s">
        <v>38</v>
      </c>
    </row>
  </sheetData>
  <mergeCells count="20">
    <mergeCell ref="A16:A17"/>
    <mergeCell ref="A18:A19"/>
    <mergeCell ref="A20:A21"/>
    <mergeCell ref="A22:A23"/>
    <mergeCell ref="B16:B17"/>
    <mergeCell ref="B18:B19"/>
    <mergeCell ref="B20:B21"/>
    <mergeCell ref="B22:B23"/>
    <mergeCell ref="A14:A15"/>
    <mergeCell ref="B2:B3"/>
    <mergeCell ref="B4:B7"/>
    <mergeCell ref="B8:B9"/>
    <mergeCell ref="B10:B11"/>
    <mergeCell ref="B12:B13"/>
    <mergeCell ref="B14:B15"/>
    <mergeCell ref="A2:A3"/>
    <mergeCell ref="A4:A7"/>
    <mergeCell ref="A8:A9"/>
    <mergeCell ref="A10:A11"/>
    <mergeCell ref="A12:A1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CE1D6-32B3-5E4B-AEED-4EE2A1E07ECE}">
  <sheetPr codeName="Sheet5"/>
  <dimension ref="A1:BS90"/>
  <sheetViews>
    <sheetView showGridLines="0" zoomScale="86" zoomScaleNormal="75" workbookViewId="0"/>
  </sheetViews>
  <sheetFormatPr baseColWidth="10" defaultRowHeight="16" x14ac:dyDescent="0.2"/>
  <cols>
    <col min="1" max="1" width="16" style="6" bestFit="1" customWidth="1"/>
    <col min="2" max="2" width="10.83203125" style="6"/>
    <col min="3" max="3" width="23" style="6" bestFit="1" customWidth="1"/>
    <col min="4" max="4" width="10.83203125" style="6"/>
    <col min="5" max="5" width="10.83203125" style="6" customWidth="1"/>
    <col min="6" max="18" width="10.83203125" style="6"/>
    <col min="19" max="19" width="16.5" style="6" bestFit="1" customWidth="1"/>
    <col min="20" max="26" width="10.83203125" style="6"/>
    <col min="27" max="27" width="16" style="6" bestFit="1" customWidth="1"/>
    <col min="28" max="43" width="16" style="6" customWidth="1"/>
    <col min="44" max="44" width="10.83203125" style="6" customWidth="1"/>
    <col min="45" max="49" width="16" style="6" customWidth="1"/>
    <col min="50" max="61" width="10.83203125" style="6" customWidth="1"/>
    <col min="62" max="16384" width="10.83203125" style="6"/>
  </cols>
  <sheetData>
    <row r="1" spans="1:71" x14ac:dyDescent="0.2"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71" ht="17" x14ac:dyDescent="0.2">
      <c r="B2" s="11" t="s">
        <v>101</v>
      </c>
      <c r="C2" s="11" t="s">
        <v>102</v>
      </c>
      <c r="D2" s="3" t="s">
        <v>66</v>
      </c>
      <c r="E2" s="18" t="str" cm="1">
        <f t="array" aca="1" ref="E2" ca="1">GetSheetName(COLUMN())</f>
        <v>TUGAS 1</v>
      </c>
      <c r="F2" s="18" t="str" cm="1">
        <f t="array" aca="1" ref="F2" ca="1">GetSheetName(COLUMN())</f>
        <v>TUGAS 2</v>
      </c>
      <c r="G2" s="18" t="str" cm="1">
        <f t="array" aca="1" ref="G2" ca="1">GetSheetName(COLUMN())</f>
        <v>TUBES</v>
      </c>
      <c r="H2" s="18" t="str" cm="1">
        <f t="array" aca="1" ref="H2" ca="1">GetSheetName(COLUMN())</f>
        <v>UJIAN 1</v>
      </c>
      <c r="I2" s="18" t="str" cm="1">
        <f t="array" aca="1" ref="I2" ca="1">GetSheetName(COLUMN())</f>
        <v>UJIAN 2</v>
      </c>
      <c r="J2" s="18" t="str" cm="1">
        <f t="array" aca="1" ref="J2" ca="1">GetSheetName(COLUMN())</f>
        <v/>
      </c>
      <c r="K2" s="18" t="str" cm="1">
        <f t="array" aca="1" ref="K2" ca="1">GetSheetName(COLUMN())</f>
        <v/>
      </c>
      <c r="L2" s="18" t="str" cm="1">
        <f t="array" aca="1" ref="L2" ca="1">GetSheetName(COLUMN())</f>
        <v/>
      </c>
      <c r="M2" s="18" t="str" cm="1">
        <f t="array" aca="1" ref="M2" ca="1">GetSheetName(COLUMN())</f>
        <v/>
      </c>
      <c r="N2" s="18" t="str" cm="1">
        <f t="array" aca="1" ref="N2" ca="1">GetSheetName(COLUMN())</f>
        <v/>
      </c>
      <c r="O2" s="18" t="str" cm="1">
        <f t="array" aca="1" ref="O2" ca="1">GetSheetName(COLUMN())</f>
        <v/>
      </c>
      <c r="P2" s="18" t="str" cm="1">
        <f t="array" aca="1" ref="P2" ca="1">GetSheetName(COLUMN())</f>
        <v/>
      </c>
      <c r="Q2" s="21" t="s">
        <v>64</v>
      </c>
      <c r="S2" s="30"/>
      <c r="T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</row>
    <row r="3" spans="1:71" x14ac:dyDescent="0.2">
      <c r="A3" s="3" t="s">
        <v>100</v>
      </c>
      <c r="B3" s="26">
        <v>75</v>
      </c>
      <c r="C3" s="21">
        <v>4</v>
      </c>
      <c r="D3" s="3" t="s">
        <v>80</v>
      </c>
      <c r="E3" s="23" cm="1">
        <f t="array" aca="1" ref="E3" ca="1">GetSheetValue(COLUMN(),"B3")</f>
        <v>1</v>
      </c>
      <c r="F3" s="23" cm="1">
        <f t="array" aca="1" ref="F3" ca="1">GetSheetValue(COLUMN(),"B3")</f>
        <v>1</v>
      </c>
      <c r="G3" s="23" cm="1">
        <f t="array" aca="1" ref="G3" ca="1">GetSheetValue(COLUMN(),"B3")</f>
        <v>1</v>
      </c>
      <c r="H3" s="23" cm="1">
        <f t="array" aca="1" ref="H3" ca="1">GetSheetValue(COLUMN(),"B3")</f>
        <v>1</v>
      </c>
      <c r="I3" s="23" cm="1">
        <f t="array" aca="1" ref="I3" ca="1">GetSheetValue(COLUMN(),"B3")</f>
        <v>1</v>
      </c>
      <c r="J3" s="23" t="str" cm="1">
        <f t="array" aca="1" ref="J3" ca="1">GetSheetValue(COLUMN(),"B3")</f>
        <v/>
      </c>
      <c r="K3" s="23" t="str" cm="1">
        <f t="array" aca="1" ref="K3" ca="1">GetSheetValue(COLUMN(),"B3")</f>
        <v/>
      </c>
      <c r="L3" s="23" t="str" cm="1">
        <f t="array" aca="1" ref="L3" ca="1">GetSheetValue(COLUMN(),"B3")</f>
        <v/>
      </c>
      <c r="M3" s="23" t="str" cm="1">
        <f t="array" aca="1" ref="M3" ca="1">GetSheetValue(COLUMN(),"B3")</f>
        <v/>
      </c>
      <c r="N3" s="23" t="str" cm="1">
        <f t="array" aca="1" ref="N3" ca="1">GetSheetValue(COLUMN(),"B3")</f>
        <v/>
      </c>
      <c r="O3" s="23" t="str" cm="1">
        <f t="array" aca="1" ref="O3" ca="1">GetSheetValue(COLUMN(),"B3")</f>
        <v/>
      </c>
      <c r="P3" s="23" t="str" cm="1">
        <f t="array" aca="1" ref="P3" ca="1">GetSheetValue(COLUMN(),"B3")</f>
        <v/>
      </c>
      <c r="Q3" s="2">
        <f ca="1">SUM(E3:P3)</f>
        <v>5</v>
      </c>
      <c r="S3" s="30"/>
      <c r="T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</row>
    <row r="4" spans="1:71" x14ac:dyDescent="0.2">
      <c r="A4" s="3" t="s">
        <v>99</v>
      </c>
      <c r="B4" s="26">
        <v>50</v>
      </c>
      <c r="C4" s="21">
        <v>3</v>
      </c>
      <c r="S4" s="30"/>
      <c r="T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</row>
    <row r="5" spans="1:71" x14ac:dyDescent="0.2">
      <c r="A5" s="3" t="s">
        <v>98</v>
      </c>
      <c r="B5" s="26">
        <v>25</v>
      </c>
      <c r="C5" s="21">
        <v>2</v>
      </c>
      <c r="S5" s="30"/>
      <c r="T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</row>
    <row r="6" spans="1:71" x14ac:dyDescent="0.2">
      <c r="A6" s="3" t="s">
        <v>97</v>
      </c>
      <c r="B6" s="26">
        <v>0</v>
      </c>
      <c r="C6" s="21">
        <v>1</v>
      </c>
      <c r="S6" s="30"/>
      <c r="T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</row>
    <row r="7" spans="1:71" x14ac:dyDescent="0.2"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</row>
    <row r="8" spans="1:71" ht="17" customHeight="1" x14ac:dyDescent="0.2">
      <c r="D8" s="8" t="s">
        <v>6</v>
      </c>
      <c r="E8" s="42">
        <v>1</v>
      </c>
      <c r="F8" s="42"/>
      <c r="G8" s="41">
        <v>2</v>
      </c>
      <c r="H8" s="41"/>
      <c r="I8" s="41"/>
      <c r="J8" s="41"/>
      <c r="K8" s="41">
        <v>3</v>
      </c>
      <c r="L8" s="41"/>
      <c r="M8" s="41">
        <v>4</v>
      </c>
      <c r="N8" s="41"/>
      <c r="O8" s="41">
        <v>5</v>
      </c>
      <c r="P8" s="41"/>
      <c r="Q8" s="41">
        <v>6</v>
      </c>
      <c r="R8" s="41"/>
      <c r="S8" s="42">
        <v>7</v>
      </c>
      <c r="T8" s="42"/>
      <c r="U8" s="42">
        <v>8</v>
      </c>
      <c r="V8" s="42"/>
      <c r="W8" s="42">
        <v>9</v>
      </c>
      <c r="X8" s="42"/>
      <c r="Y8" s="42">
        <v>10</v>
      </c>
      <c r="Z8" s="42"/>
      <c r="AA8" s="8"/>
    </row>
    <row r="9" spans="1:71" x14ac:dyDescent="0.2">
      <c r="D9" s="3" t="s">
        <v>61</v>
      </c>
      <c r="E9" s="26">
        <v>0</v>
      </c>
      <c r="F9" s="26">
        <v>0</v>
      </c>
      <c r="G9" s="26">
        <v>0</v>
      </c>
      <c r="H9" s="26">
        <v>0</v>
      </c>
      <c r="I9" s="26">
        <v>0</v>
      </c>
      <c r="J9" s="26">
        <v>0</v>
      </c>
      <c r="K9" s="26">
        <v>0</v>
      </c>
      <c r="L9" s="26">
        <v>0</v>
      </c>
      <c r="M9" s="26">
        <v>0</v>
      </c>
      <c r="N9" s="26">
        <v>0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  <c r="T9" s="26">
        <v>0</v>
      </c>
      <c r="U9" s="26">
        <v>0</v>
      </c>
      <c r="V9" s="26">
        <v>0</v>
      </c>
      <c r="W9" s="26">
        <v>0</v>
      </c>
      <c r="X9" s="26">
        <v>0</v>
      </c>
      <c r="Y9" s="26">
        <v>0</v>
      </c>
      <c r="Z9" s="26">
        <v>0</v>
      </c>
      <c r="AA9" s="3" t="s">
        <v>6</v>
      </c>
      <c r="AB9" s="42">
        <v>1</v>
      </c>
      <c r="AC9" s="42"/>
      <c r="AD9" s="41">
        <v>2</v>
      </c>
      <c r="AE9" s="41"/>
      <c r="AF9" s="41"/>
      <c r="AG9" s="41"/>
      <c r="AH9" s="41">
        <v>3</v>
      </c>
      <c r="AI9" s="41"/>
      <c r="AJ9" s="41">
        <v>4</v>
      </c>
      <c r="AK9" s="41"/>
      <c r="AL9" s="41">
        <v>5</v>
      </c>
      <c r="AM9" s="41"/>
      <c r="AN9" s="41">
        <v>6</v>
      </c>
      <c r="AO9" s="41"/>
      <c r="AP9" s="42">
        <v>7</v>
      </c>
      <c r="AQ9" s="42"/>
      <c r="AR9" s="42">
        <v>8</v>
      </c>
      <c r="AS9" s="42"/>
      <c r="AT9" s="42">
        <v>9</v>
      </c>
      <c r="AU9" s="42"/>
      <c r="AV9" s="42">
        <v>10</v>
      </c>
      <c r="AW9" s="42"/>
    </row>
    <row r="10" spans="1:71" x14ac:dyDescent="0.2">
      <c r="A10" s="11" t="s">
        <v>5</v>
      </c>
      <c r="B10" s="11" t="s">
        <v>0</v>
      </c>
      <c r="C10" s="11" t="s">
        <v>1</v>
      </c>
      <c r="D10" s="8" t="s">
        <v>16</v>
      </c>
      <c r="E10" s="16" t="s">
        <v>39</v>
      </c>
      <c r="F10" s="16" t="s">
        <v>40</v>
      </c>
      <c r="G10" s="16" t="s">
        <v>41</v>
      </c>
      <c r="H10" s="16" t="s">
        <v>42</v>
      </c>
      <c r="I10" s="16" t="s">
        <v>43</v>
      </c>
      <c r="J10" s="16" t="s">
        <v>44</v>
      </c>
      <c r="K10" s="16" t="s">
        <v>45</v>
      </c>
      <c r="L10" s="16" t="s">
        <v>46</v>
      </c>
      <c r="M10" s="16" t="s">
        <v>47</v>
      </c>
      <c r="N10" s="16" t="s">
        <v>48</v>
      </c>
      <c r="O10" s="16" t="s">
        <v>49</v>
      </c>
      <c r="P10" s="16" t="s">
        <v>50</v>
      </c>
      <c r="Q10" s="16" t="s">
        <v>51</v>
      </c>
      <c r="R10" s="16" t="s">
        <v>52</v>
      </c>
      <c r="S10" s="16" t="s">
        <v>53</v>
      </c>
      <c r="T10" s="16" t="s">
        <v>54</v>
      </c>
      <c r="U10" s="16" t="s">
        <v>55</v>
      </c>
      <c r="V10" s="16" t="s">
        <v>56</v>
      </c>
      <c r="W10" s="16" t="s">
        <v>57</v>
      </c>
      <c r="X10" s="16" t="s">
        <v>58</v>
      </c>
      <c r="Y10" s="16" t="s">
        <v>59</v>
      </c>
      <c r="Z10" s="16" t="s">
        <v>60</v>
      </c>
      <c r="AA10" s="8" t="s">
        <v>16</v>
      </c>
      <c r="AB10" s="16" t="s">
        <v>39</v>
      </c>
      <c r="AC10" s="16" t="s">
        <v>40</v>
      </c>
      <c r="AD10" s="16" t="s">
        <v>41</v>
      </c>
      <c r="AE10" s="16" t="s">
        <v>42</v>
      </c>
      <c r="AF10" s="16" t="s">
        <v>43</v>
      </c>
      <c r="AG10" s="16" t="s">
        <v>44</v>
      </c>
      <c r="AH10" s="16" t="s">
        <v>45</v>
      </c>
      <c r="AI10" s="16" t="s">
        <v>46</v>
      </c>
      <c r="AJ10" s="16" t="s">
        <v>47</v>
      </c>
      <c r="AK10" s="16" t="s">
        <v>48</v>
      </c>
      <c r="AL10" s="16" t="s">
        <v>49</v>
      </c>
      <c r="AM10" s="16" t="s">
        <v>50</v>
      </c>
      <c r="AN10" s="16" t="s">
        <v>51</v>
      </c>
      <c r="AO10" s="16" t="s">
        <v>52</v>
      </c>
      <c r="AP10" s="16" t="s">
        <v>53</v>
      </c>
      <c r="AQ10" s="16" t="s">
        <v>54</v>
      </c>
      <c r="AR10" s="16" t="s">
        <v>55</v>
      </c>
      <c r="AS10" s="16" t="s">
        <v>56</v>
      </c>
      <c r="AT10" s="16" t="s">
        <v>57</v>
      </c>
      <c r="AU10" s="16" t="s">
        <v>58</v>
      </c>
      <c r="AV10" s="16" t="s">
        <v>59</v>
      </c>
      <c r="AW10" s="16" t="s">
        <v>60</v>
      </c>
      <c r="AX10" s="3" t="s">
        <v>6</v>
      </c>
      <c r="AY10" s="11">
        <v>1</v>
      </c>
      <c r="AZ10" s="11">
        <v>2</v>
      </c>
      <c r="BA10" s="11">
        <v>3</v>
      </c>
      <c r="BB10" s="11">
        <v>4</v>
      </c>
      <c r="BC10" s="11">
        <v>5</v>
      </c>
      <c r="BD10" s="11">
        <v>6</v>
      </c>
      <c r="BE10" s="11">
        <v>7</v>
      </c>
      <c r="BF10" s="11">
        <v>8</v>
      </c>
      <c r="BG10" s="11">
        <v>9</v>
      </c>
      <c r="BH10" s="11">
        <v>10</v>
      </c>
      <c r="BI10" s="3" t="s">
        <v>6</v>
      </c>
      <c r="BJ10" s="11">
        <v>1</v>
      </c>
      <c r="BK10" s="11">
        <v>2</v>
      </c>
      <c r="BL10" s="11">
        <v>3</v>
      </c>
      <c r="BM10" s="11">
        <v>4</v>
      </c>
      <c r="BN10" s="11">
        <v>5</v>
      </c>
      <c r="BO10" s="11">
        <v>6</v>
      </c>
      <c r="BP10" s="11">
        <v>7</v>
      </c>
      <c r="BQ10" s="11">
        <v>8</v>
      </c>
      <c r="BR10" s="11">
        <v>9</v>
      </c>
      <c r="BS10" s="11">
        <v>10</v>
      </c>
    </row>
    <row r="11" spans="1:71" x14ac:dyDescent="0.2">
      <c r="A11" s="2">
        <v>1</v>
      </c>
      <c r="B11" s="2" t="str">
        <f>IF(LEN(SUMMARY!B11)&gt;0, SUMMARY!B11, "")</f>
        <v/>
      </c>
      <c r="C11" s="2" t="str">
        <f>IF(LEN(SUMMARY!C11)&gt;0, SUMMARY!C11, "")</f>
        <v/>
      </c>
      <c r="E11" s="2" t="str" cm="1">
        <f t="array" ref="E11">IF('NILAI CPL'!$B11&lt;&gt;"",IFERROR(JumlahPI(ROW(),COLUMN()),0),"")</f>
        <v/>
      </c>
      <c r="F11" s="2" t="str" cm="1">
        <f t="array" ref="F11">IF('NILAI CPL'!$B11&lt;&gt;"",IFERROR(JumlahPI(ROW(),COLUMN()),0),"")</f>
        <v/>
      </c>
      <c r="G11" s="2" t="str" cm="1">
        <f t="array" ref="G11">IF('NILAI CPL'!$B11&lt;&gt;"",IFERROR(JumlahPI(ROW(),COLUMN()),0),"")</f>
        <v/>
      </c>
      <c r="H11" s="2" t="str" cm="1">
        <f t="array" ref="H11">IF('NILAI CPL'!$B11&lt;&gt;"",IFERROR(JumlahPI(ROW(),COLUMN()),0),"")</f>
        <v/>
      </c>
      <c r="I11" s="2" t="str" cm="1">
        <f t="array" ref="I11">IF('NILAI CPL'!$B11&lt;&gt;"",IFERROR(JumlahPI(ROW(),COLUMN()),0),"")</f>
        <v/>
      </c>
      <c r="J11" s="2" t="str" cm="1">
        <f t="array" ref="J11">IF('NILAI CPL'!$B11&lt;&gt;"",IFERROR(JumlahPI(ROW(),COLUMN()),0),"")</f>
        <v/>
      </c>
      <c r="K11" s="2" t="str" cm="1">
        <f t="array" ref="K11">IF('NILAI CPL'!$B11&lt;&gt;"",IFERROR(JumlahPI(ROW(),COLUMN()),0),"")</f>
        <v/>
      </c>
      <c r="L11" s="2" t="str" cm="1">
        <f t="array" ref="L11">IF('NILAI CPL'!$B11&lt;&gt;"",IFERROR(JumlahPI(ROW(),COLUMN()),0),"")</f>
        <v/>
      </c>
      <c r="M11" s="2" t="str" cm="1">
        <f t="array" ref="M11">IF('NILAI CPL'!$B11&lt;&gt;"",IFERROR(JumlahPI(ROW(),COLUMN()),0),"")</f>
        <v/>
      </c>
      <c r="N11" s="2" t="str" cm="1">
        <f t="array" ref="N11">IF('NILAI CPL'!$B11&lt;&gt;"",IFERROR(JumlahPI(ROW(),COLUMN()),0),"")</f>
        <v/>
      </c>
      <c r="O11" s="2" t="str" cm="1">
        <f t="array" ref="O11">IF('NILAI CPL'!$B11&lt;&gt;"",IFERROR(JumlahPI(ROW(),COLUMN()),0),"")</f>
        <v/>
      </c>
      <c r="P11" s="2" t="str" cm="1">
        <f t="array" ref="P11">IF('NILAI CPL'!$B11&lt;&gt;"",IFERROR(JumlahPI(ROW(),COLUMN()),0),"")</f>
        <v/>
      </c>
      <c r="Q11" s="2" t="str" cm="1">
        <f t="array" ref="Q11">IF('NILAI CPL'!$B11&lt;&gt;"",IFERROR(JumlahPI(ROW(),COLUMN()),0),"")</f>
        <v/>
      </c>
      <c r="R11" s="2" t="str" cm="1">
        <f t="array" ref="R11">IF('NILAI CPL'!$B11&lt;&gt;"",IFERROR(JumlahPI(ROW(),COLUMN()),0),"")</f>
        <v/>
      </c>
      <c r="S11" s="2" t="str" cm="1">
        <f t="array" ref="S11">IF('NILAI CPL'!$B11&lt;&gt;"",IFERROR(JumlahPI(ROW(),COLUMN()),0),"")</f>
        <v/>
      </c>
      <c r="T11" s="2" t="str" cm="1">
        <f t="array" ref="T11">IF('NILAI CPL'!$B11&lt;&gt;"",IFERROR(JumlahPI(ROW(),COLUMN()),0),"")</f>
        <v/>
      </c>
      <c r="U11" s="2" t="str" cm="1">
        <f t="array" ref="U11">IF('NILAI CPL'!$B11&lt;&gt;"",IFERROR(JumlahPI(ROW(),COLUMN()),0),"")</f>
        <v/>
      </c>
      <c r="V11" s="2" t="str" cm="1">
        <f t="array" ref="V11">IF('NILAI CPL'!$B11&lt;&gt;"",IFERROR(JumlahPI(ROW(),COLUMN()),0),"")</f>
        <v/>
      </c>
      <c r="W11" s="2" t="str" cm="1">
        <f t="array" ref="W11">IF('NILAI CPL'!$B11&lt;&gt;"",IFERROR(JumlahPI(ROW(),COLUMN()),0),"")</f>
        <v/>
      </c>
      <c r="X11" s="2" t="str" cm="1">
        <f t="array" ref="X11">IF('NILAI CPL'!$B11&lt;&gt;"",IFERROR(JumlahPI(ROW(),COLUMN()),0),"")</f>
        <v/>
      </c>
      <c r="Y11" s="2" t="str" cm="1">
        <f t="array" ref="Y11">IF('NILAI CPL'!$B11&lt;&gt;"",IFERROR(JumlahPI(ROW(),COLUMN()),0),"")</f>
        <v/>
      </c>
      <c r="Z11" s="2" t="str" cm="1">
        <f t="array" ref="Z11">IF('NILAI CPL'!$B11&lt;&gt;"",IFERROR(JumlahPI(ROW(),COLUMN()),0),"")</f>
        <v/>
      </c>
      <c r="AB11" s="2" t="str" cm="1">
        <f t="array" ref="AB11">IF('NILAI CPL'!$B11&lt;&gt;"",IFERROR(_xlfn.IFS(E11&gt;=$B$3,4,E11&gt;=$B$4,3,E11&gt;=$B$5,2,E11&gt;$B$6,1),0),"")</f>
        <v/>
      </c>
      <c r="AC11" s="2" t="str" cm="1">
        <f t="array" ref="AC11">IF('NILAI CPL'!$B11&lt;&gt;"",IFERROR(_xlfn.IFS(F11&gt;=$B$3,4,F11&gt;=$B$4,3,F11&gt;=$B$5,2,F11&gt;$B$6,1),0),"")</f>
        <v/>
      </c>
      <c r="AD11" s="2" t="str" cm="1">
        <f t="array" ref="AD11">IF('NILAI CPL'!$B11&lt;&gt;"",IFERROR(_xlfn.IFS(G11&gt;=$B$3,4,G11&gt;=$B$4,3,G11&gt;=$B$5,2,G11&gt;$B$6,1),0),"")</f>
        <v/>
      </c>
      <c r="AE11" s="2" t="str" cm="1">
        <f t="array" ref="AE11">IF('NILAI CPL'!$B11&lt;&gt;"",IFERROR(_xlfn.IFS(H11&gt;=$B$3,4,H11&gt;=$B$4,3,H11&gt;=$B$5,2,H11&gt;$B$6,1),0),"")</f>
        <v/>
      </c>
      <c r="AF11" s="2" t="str" cm="1">
        <f t="array" ref="AF11">IF('NILAI CPL'!$B11&lt;&gt;"",IFERROR(_xlfn.IFS(I11&gt;=$B$3,4,I11&gt;=$B$4,3,I11&gt;=$B$5,2,I11&gt;$B$6,1),0),"")</f>
        <v/>
      </c>
      <c r="AG11" s="2" t="str" cm="1">
        <f t="array" ref="AG11">IF('NILAI CPL'!$B11&lt;&gt;"",IFERROR(_xlfn.IFS(J11&gt;=$B$3,4,J11&gt;=$B$4,3,J11&gt;=$B$5,2,J11&gt;$B$6,1),0),"")</f>
        <v/>
      </c>
      <c r="AH11" s="2" t="str" cm="1">
        <f t="array" ref="AH11">IF('NILAI CPL'!$B11&lt;&gt;"",IFERROR(_xlfn.IFS(K11&gt;=$B$3,4,K11&gt;=$B$4,3,K11&gt;=$B$5,2,K11&gt;$B$6,1),0),"")</f>
        <v/>
      </c>
      <c r="AI11" s="2" t="str" cm="1">
        <f t="array" ref="AI11">IF('NILAI CPL'!$B11&lt;&gt;"",IFERROR(_xlfn.IFS(L11&gt;=$B$3,4,L11&gt;=$B$4,3,L11&gt;=$B$5,2,L11&gt;$B$6,1),0),"")</f>
        <v/>
      </c>
      <c r="AJ11" s="2" t="str" cm="1">
        <f t="array" ref="AJ11">IF('NILAI CPL'!$B11&lt;&gt;"",IFERROR(_xlfn.IFS(M11&gt;=$B$3,4,M11&gt;=$B$4,3,M11&gt;=$B$5,2,M11&gt;$B$6,1),0),"")</f>
        <v/>
      </c>
      <c r="AK11" s="2" t="str" cm="1">
        <f t="array" ref="AK11">IF('NILAI CPL'!$B11&lt;&gt;"",IFERROR(_xlfn.IFS(N11&gt;=$B$3,4,N11&gt;=$B$4,3,N11&gt;=$B$5,2,N11&gt;$B$6,1),0),"")</f>
        <v/>
      </c>
      <c r="AL11" s="2" t="str" cm="1">
        <f t="array" ref="AL11">IF('NILAI CPL'!$B11&lt;&gt;"",IFERROR(_xlfn.IFS(O11&gt;=$B$3,4,O11&gt;=$B$4,3,O11&gt;=$B$5,2,O11&gt;$B$6,1),0),"")</f>
        <v/>
      </c>
      <c r="AM11" s="2" t="str" cm="1">
        <f t="array" ref="AM11">IF('NILAI CPL'!$B11&lt;&gt;"",IFERROR(_xlfn.IFS(P11&gt;=$B$3,4,P11&gt;=$B$4,3,P11&gt;=$B$5,2,P11&gt;$B$6,1),0),"")</f>
        <v/>
      </c>
      <c r="AN11" s="2" t="str" cm="1">
        <f t="array" ref="AN11">IF('NILAI CPL'!$B11&lt;&gt;"",IFERROR(_xlfn.IFS(Q11&gt;=$B$3,4,Q11&gt;=$B$4,3,Q11&gt;=$B$5,2,Q11&gt;$B$6,1),0),"")</f>
        <v/>
      </c>
      <c r="AO11" s="2" t="str" cm="1">
        <f t="array" ref="AO11">IF('NILAI CPL'!$B11&lt;&gt;"",IFERROR(_xlfn.IFS(R11&gt;=$B$3,4,R11&gt;=$B$4,3,R11&gt;=$B$5,2,R11&gt;$B$6,1),0),"")</f>
        <v/>
      </c>
      <c r="AP11" s="2" t="str" cm="1">
        <f t="array" ref="AP11">IF('NILAI CPL'!$B11&lt;&gt;"",IFERROR(_xlfn.IFS(S11&gt;=$B$3,4,S11&gt;=$B$4,3,S11&gt;=$B$5,2,S11&gt;$B$6,1),0),"")</f>
        <v/>
      </c>
      <c r="AQ11" s="2" t="str" cm="1">
        <f t="array" ref="AQ11">IF('NILAI CPL'!$B11&lt;&gt;"",IFERROR(_xlfn.IFS(T11&gt;=$B$3,4,T11&gt;=$B$4,3,T11&gt;=$B$5,2,T11&gt;$B$6,1),0),"")</f>
        <v/>
      </c>
      <c r="AR11" s="2" t="str" cm="1">
        <f t="array" ref="AR11">IF('NILAI CPL'!$B11&lt;&gt;"",IFERROR(_xlfn.IFS(U11&gt;=$B$3,4,U11&gt;=$B$4,3,U11&gt;=$B$5,2,U11&gt;$B$6,1),0),"")</f>
        <v/>
      </c>
      <c r="AS11" s="2" t="str" cm="1">
        <f t="array" ref="AS11">IF('NILAI CPL'!$B11&lt;&gt;"",IFERROR(_xlfn.IFS(V11&gt;=$B$3,4,V11&gt;=$B$4,3,V11&gt;=$B$5,2,V11&gt;$B$6,1),0),"")</f>
        <v/>
      </c>
      <c r="AT11" s="2" t="str" cm="1">
        <f t="array" ref="AT11">IF('NILAI CPL'!$B11&lt;&gt;"",IFERROR(_xlfn.IFS(W11&gt;=$B$3,4,W11&gt;=$B$4,3,W11&gt;=$B$5,2,W11&gt;$B$6,1),0),"")</f>
        <v/>
      </c>
      <c r="AU11" s="2" t="str" cm="1">
        <f t="array" ref="AU11">IF('NILAI CPL'!$B11&lt;&gt;"",IFERROR(_xlfn.IFS(X11&gt;=$B$3,4,X11&gt;=$B$4,3,X11&gt;=$B$5,2,X11&gt;$B$6,1),0),"")</f>
        <v/>
      </c>
      <c r="AV11" s="2" t="str" cm="1">
        <f t="array" ref="AV11">IF('NILAI CPL'!$B11&lt;&gt;"",IFERROR(_xlfn.IFS(Y11&gt;=$B$3,4,Y11&gt;=$B$4,3,Y11&gt;=$B$5,2,Y11&gt;$B$6,1),0),"")</f>
        <v/>
      </c>
      <c r="AW11" s="2" t="str" cm="1">
        <f t="array" ref="AW11">IF('NILAI CPL'!$B11&lt;&gt;"",IFERROR(_xlfn.IFS(Z11&gt;=$B$3,4,Z11&gt;=$B$4,3,Z11&gt;=$B$5,2,Z11&gt;$B$6,1),0),"")</f>
        <v/>
      </c>
      <c r="AY11" s="2" t="str">
        <f>IF($B11&lt;&gt;"",IFERROR(SUMPRODUCT(E11:F11,$E$9:$F$9)/SUM($E$9:$F$9),0),"")</f>
        <v/>
      </c>
      <c r="AZ11" s="2" t="str">
        <f>IF($B11&lt;&gt;"",IFERROR(SUMPRODUCT(G11:J11,$G$9:$J$9)/SUM($G$9:$J$9),0),"")</f>
        <v/>
      </c>
      <c r="BA11" s="2" t="str">
        <f>IF($B11&lt;&gt;"",IFERROR(SUMPRODUCT(K11:L11,$K$9:$L$9)/SUM($K$9:$L$9),0),"")</f>
        <v/>
      </c>
      <c r="BB11" s="2" t="str">
        <f>IF($B11&lt;&gt;"",IFERROR(SUMPRODUCT(M11:N11,$M$9:$N$9)/SUM($M$9:$N$9),0),"")</f>
        <v/>
      </c>
      <c r="BC11" s="2" t="str">
        <f>IF($B11&lt;&gt;"",IFERROR(SUMPRODUCT(O11:P11,$O$9:$P$9)/SUM($O$9:$P$9),0),"")</f>
        <v/>
      </c>
      <c r="BD11" s="2" t="str">
        <f>IF($B11&lt;&gt;"",IFERROR(SUMPRODUCT(Q11:R11,$Q$9:$R$9)/SUM($Q$9:$R$9),0),"")</f>
        <v/>
      </c>
      <c r="BE11" s="2" t="str">
        <f>IF($B11&lt;&gt;"",IFERROR(SUMPRODUCT(S11:T11,$S$9:$T$9)/SUM($S$9:$T$9),0),"")</f>
        <v/>
      </c>
      <c r="BF11" s="2" t="str">
        <f>IF($B11&lt;&gt;"",IFERROR(SUMPRODUCT(U11:V11,$U$9:$V$9)/SUM($U$9:$V$9),0),"")</f>
        <v/>
      </c>
      <c r="BG11" s="2" t="str">
        <f>IF($B11&lt;&gt;"",IFERROR(SUMPRODUCT(W11:X11,$W$9:$X$9)/SUM($W$9:$X$9),0),"")</f>
        <v/>
      </c>
      <c r="BH11" s="2" t="str">
        <f>IF($B11&lt;&gt;"",IFERROR(SUMPRODUCT(Y11:Z11,$Y$9:$Z$9)/SUM($Y$9:$Z$9),0),"")</f>
        <v/>
      </c>
      <c r="BJ11" s="2" t="str" cm="1">
        <f t="array" ref="BJ11">IF('NILAI CPL'!$B11&lt;&gt;"",IFERROR(_xlfn.IFS(AY11&gt;=$B$3,4,AY11&gt;=$B$4,3,AY11&gt;=$B$5,2,AY11&gt;$B$6,1),0),"")</f>
        <v/>
      </c>
      <c r="BK11" s="2" t="str" cm="1">
        <f t="array" ref="BK11">IF('NILAI CPL'!$B11&lt;&gt;"",IFERROR(_xlfn.IFS(AZ11&gt;=$B$3,4,AZ11&gt;=$B$4,3,AZ11&gt;=$B$5,2,AZ11&gt;$B$6,1),0),"")</f>
        <v/>
      </c>
      <c r="BL11" s="2" t="str" cm="1">
        <f t="array" ref="BL11">IF('NILAI CPL'!$B11&lt;&gt;"",IFERROR(_xlfn.IFS(BA11&gt;=$B$3,4,BA11&gt;=$B$4,3,BA11&gt;=$B$5,2,BA11&gt;$B$6,1),0),"")</f>
        <v/>
      </c>
      <c r="BM11" s="2" t="str" cm="1">
        <f t="array" ref="BM11">IF('NILAI CPL'!$B11&lt;&gt;"",IFERROR(_xlfn.IFS(BB11&gt;=$B$3,4,BB11&gt;=$B$4,3,BB11&gt;=$B$5,2,BB11&gt;$B$6,1),0),"")</f>
        <v/>
      </c>
      <c r="BN11" s="2" t="str" cm="1">
        <f t="array" ref="BN11">IF('NILAI CPL'!$B11&lt;&gt;"",IFERROR(_xlfn.IFS(BC11&gt;=$B$3,4,BC11&gt;=$B$4,3,BC11&gt;=$B$5,2,BC11&gt;$B$6,1),0),"")</f>
        <v/>
      </c>
      <c r="BO11" s="2" t="str" cm="1">
        <f t="array" ref="BO11">IF('NILAI CPL'!$B11&lt;&gt;"",IFERROR(_xlfn.IFS(BD11&gt;=$B$3,4,BD11&gt;=$B$4,3,BD11&gt;=$B$5,2,BD11&gt;$B$6,1),0),"")</f>
        <v/>
      </c>
      <c r="BP11" s="2" t="str" cm="1">
        <f t="array" ref="BP11">IF('NILAI CPL'!$B11&lt;&gt;"",IFERROR(_xlfn.IFS(BE11&gt;=$B$3,4,BE11&gt;=$B$4,3,BE11&gt;=$B$5,2,BE11&gt;$B$6,1),0),"")</f>
        <v/>
      </c>
      <c r="BQ11" s="2" t="str" cm="1">
        <f t="array" ref="BQ11">IF('NILAI CPL'!$B11&lt;&gt;"",IFERROR(_xlfn.IFS(BF11&gt;=$B$3,4,BF11&gt;=$B$4,3,BF11&gt;=$B$5,2,BF11&gt;$B$6,1),0),"")</f>
        <v/>
      </c>
      <c r="BR11" s="2" t="str" cm="1">
        <f t="array" ref="BR11">IF('NILAI CPL'!$B11&lt;&gt;"",IFERROR(_xlfn.IFS(BG11&gt;=$B$3,4,BG11&gt;=$B$4,3,BG11&gt;=$B$5,2,BG11&gt;$B$6,1),0),"")</f>
        <v/>
      </c>
      <c r="BS11" s="2" t="str" cm="1">
        <f t="array" ref="BS11">IF('NILAI CPL'!$B11&lt;&gt;"",IFERROR(_xlfn.IFS(BH11&gt;=$B$3,4,BH11&gt;=$B$4,3,BH11&gt;=$B$5,2,BH11&gt;$B$6,1),0),"")</f>
        <v/>
      </c>
    </row>
    <row r="12" spans="1:71" x14ac:dyDescent="0.2">
      <c r="A12" s="2">
        <v>2</v>
      </c>
      <c r="B12" s="2" t="str">
        <f>IF(LEN(SUMMARY!B12)&gt;0, SUMMARY!B12, "")</f>
        <v/>
      </c>
      <c r="C12" s="2" t="str">
        <f>IF(LEN(SUMMARY!C12)&gt;0, SUMMARY!C12, "")</f>
        <v/>
      </c>
      <c r="E12" s="2" t="str" cm="1">
        <f t="array" ref="E12">IF('NILAI CPL'!$B12&lt;&gt;"",IFERROR(JumlahPI(ROW(),COLUMN()),0),"")</f>
        <v/>
      </c>
      <c r="F12" s="2" t="str" cm="1">
        <f t="array" ref="F12">IF('NILAI CPL'!$B12&lt;&gt;"",IFERROR(JumlahPI(ROW(),COLUMN()),0),"")</f>
        <v/>
      </c>
      <c r="G12" s="2" t="str" cm="1">
        <f t="array" ref="G12">IF('NILAI CPL'!$B12&lt;&gt;"",IFERROR(JumlahPI(ROW(),COLUMN()),0),"")</f>
        <v/>
      </c>
      <c r="H12" s="2" t="str" cm="1">
        <f t="array" ref="H12">IF('NILAI CPL'!$B12&lt;&gt;"",IFERROR(JumlahPI(ROW(),COLUMN()),0),"")</f>
        <v/>
      </c>
      <c r="I12" s="2" t="str" cm="1">
        <f t="array" ref="I12">IF('NILAI CPL'!$B12&lt;&gt;"",IFERROR(JumlahPI(ROW(),COLUMN()),0),"")</f>
        <v/>
      </c>
      <c r="J12" s="2" t="str" cm="1">
        <f t="array" ref="J12">IF('NILAI CPL'!$B12&lt;&gt;"",IFERROR(JumlahPI(ROW(),COLUMN()),0),"")</f>
        <v/>
      </c>
      <c r="K12" s="2" t="str" cm="1">
        <f t="array" ref="K12">IF('NILAI CPL'!$B12&lt;&gt;"",IFERROR(JumlahPI(ROW(),COLUMN()),0),"")</f>
        <v/>
      </c>
      <c r="L12" s="2" t="str" cm="1">
        <f t="array" ref="L12">IF('NILAI CPL'!$B12&lt;&gt;"",IFERROR(JumlahPI(ROW(),COLUMN()),0),"")</f>
        <v/>
      </c>
      <c r="M12" s="2" t="str" cm="1">
        <f t="array" ref="M12">IF('NILAI CPL'!$B12&lt;&gt;"",IFERROR(JumlahPI(ROW(),COLUMN()),0),"")</f>
        <v/>
      </c>
      <c r="N12" s="2" t="str" cm="1">
        <f t="array" ref="N12">IF('NILAI CPL'!$B12&lt;&gt;"",IFERROR(JumlahPI(ROW(),COLUMN()),0),"")</f>
        <v/>
      </c>
      <c r="O12" s="2" t="str" cm="1">
        <f t="array" ref="O12">IF('NILAI CPL'!$B12&lt;&gt;"",IFERROR(JumlahPI(ROW(),COLUMN()),0),"")</f>
        <v/>
      </c>
      <c r="P12" s="2" t="str" cm="1">
        <f t="array" ref="P12">IF('NILAI CPL'!$B12&lt;&gt;"",IFERROR(JumlahPI(ROW(),COLUMN()),0),"")</f>
        <v/>
      </c>
      <c r="Q12" s="2" t="str" cm="1">
        <f t="array" ref="Q12">IF('NILAI CPL'!$B12&lt;&gt;"",IFERROR(JumlahPI(ROW(),COLUMN()),0),"")</f>
        <v/>
      </c>
      <c r="R12" s="2" t="str" cm="1">
        <f t="array" ref="R12">IF('NILAI CPL'!$B12&lt;&gt;"",IFERROR(JumlahPI(ROW(),COLUMN()),0),"")</f>
        <v/>
      </c>
      <c r="S12" s="2" t="str" cm="1">
        <f t="array" ref="S12">IF('NILAI CPL'!$B12&lt;&gt;"",IFERROR(JumlahPI(ROW(),COLUMN()),0),"")</f>
        <v/>
      </c>
      <c r="T12" s="2" t="str" cm="1">
        <f t="array" ref="T12">IF('NILAI CPL'!$B12&lt;&gt;"",IFERROR(JumlahPI(ROW(),COLUMN()),0),"")</f>
        <v/>
      </c>
      <c r="U12" s="2" t="str" cm="1">
        <f t="array" ref="U12">IF('NILAI CPL'!$B12&lt;&gt;"",IFERROR(JumlahPI(ROW(),COLUMN()),0),"")</f>
        <v/>
      </c>
      <c r="V12" s="2" t="str" cm="1">
        <f t="array" ref="V12">IF('NILAI CPL'!$B12&lt;&gt;"",IFERROR(JumlahPI(ROW(),COLUMN()),0),"")</f>
        <v/>
      </c>
      <c r="W12" s="2" t="str" cm="1">
        <f t="array" ref="W12">IF('NILAI CPL'!$B12&lt;&gt;"",IFERROR(JumlahPI(ROW(),COLUMN()),0),"")</f>
        <v/>
      </c>
      <c r="X12" s="2" t="str" cm="1">
        <f t="array" ref="X12">IF('NILAI CPL'!$B12&lt;&gt;"",IFERROR(JumlahPI(ROW(),COLUMN()),0),"")</f>
        <v/>
      </c>
      <c r="Y12" s="2" t="str" cm="1">
        <f t="array" ref="Y12">IF('NILAI CPL'!$B12&lt;&gt;"",IFERROR(JumlahPI(ROW(),COLUMN()),0),"")</f>
        <v/>
      </c>
      <c r="Z12" s="2" t="str" cm="1">
        <f t="array" ref="Z12">IF('NILAI CPL'!$B12&lt;&gt;"",IFERROR(JumlahPI(ROW(),COLUMN()),0),"")</f>
        <v/>
      </c>
      <c r="AB12" s="2" t="str" cm="1">
        <f t="array" ref="AB12">IF('NILAI CPL'!$B12&lt;&gt;"",IFERROR(_xlfn.IFS(E12&gt;=$B$3,4,E12&gt;=$B$4,3,E12&gt;=$B$5,2,E12&gt;$B$6,1),0),"")</f>
        <v/>
      </c>
      <c r="AC12" s="2" t="str" cm="1">
        <f t="array" ref="AC12">IF('NILAI CPL'!$B12&lt;&gt;"",IFERROR(_xlfn.IFS(F12&gt;=$B$3,4,F12&gt;=$B$4,3,F12&gt;=$B$5,2,F12&gt;$B$6,1),0),"")</f>
        <v/>
      </c>
      <c r="AD12" s="2" t="str" cm="1">
        <f t="array" ref="AD12">IF('NILAI CPL'!$B12&lt;&gt;"",IFERROR(_xlfn.IFS(G12&gt;=$B$3,4,G12&gt;=$B$4,3,G12&gt;=$B$5,2,G12&gt;$B$6,1),0),"")</f>
        <v/>
      </c>
      <c r="AE12" s="2" t="str" cm="1">
        <f t="array" ref="AE12">IF('NILAI CPL'!$B12&lt;&gt;"",IFERROR(_xlfn.IFS(H12&gt;=$B$3,4,H12&gt;=$B$4,3,H12&gt;=$B$5,2,H12&gt;$B$6,1),0),"")</f>
        <v/>
      </c>
      <c r="AF12" s="2" t="str" cm="1">
        <f t="array" ref="AF12">IF('NILAI CPL'!$B12&lt;&gt;"",IFERROR(_xlfn.IFS(I12&gt;=$B$3,4,I12&gt;=$B$4,3,I12&gt;=$B$5,2,I12&gt;$B$6,1),0),"")</f>
        <v/>
      </c>
      <c r="AG12" s="2" t="str" cm="1">
        <f t="array" ref="AG12">IF('NILAI CPL'!$B12&lt;&gt;"",IFERROR(_xlfn.IFS(J12&gt;=$B$3,4,J12&gt;=$B$4,3,J12&gt;=$B$5,2,J12&gt;$B$6,1),0),"")</f>
        <v/>
      </c>
      <c r="AH12" s="2" t="str" cm="1">
        <f t="array" ref="AH12">IF('NILAI CPL'!$B12&lt;&gt;"",IFERROR(_xlfn.IFS(K12&gt;=$B$3,4,K12&gt;=$B$4,3,K12&gt;=$B$5,2,K12&gt;$B$6,1),0),"")</f>
        <v/>
      </c>
      <c r="AI12" s="2" t="str" cm="1">
        <f t="array" ref="AI12">IF('NILAI CPL'!$B12&lt;&gt;"",IFERROR(_xlfn.IFS(L12&gt;=$B$3,4,L12&gt;=$B$4,3,L12&gt;=$B$5,2,L12&gt;$B$6,1),0),"")</f>
        <v/>
      </c>
      <c r="AJ12" s="2" t="str" cm="1">
        <f t="array" ref="AJ12">IF('NILAI CPL'!$B12&lt;&gt;"",IFERROR(_xlfn.IFS(M12&gt;=$B$3,4,M12&gt;=$B$4,3,M12&gt;=$B$5,2,M12&gt;$B$6,1),0),"")</f>
        <v/>
      </c>
      <c r="AK12" s="2" t="str" cm="1">
        <f t="array" ref="AK12">IF('NILAI CPL'!$B12&lt;&gt;"",IFERROR(_xlfn.IFS(N12&gt;=$B$3,4,N12&gt;=$B$4,3,N12&gt;=$B$5,2,N12&gt;$B$6,1),0),"")</f>
        <v/>
      </c>
      <c r="AL12" s="2" t="str" cm="1">
        <f t="array" ref="AL12">IF('NILAI CPL'!$B12&lt;&gt;"",IFERROR(_xlfn.IFS(O12&gt;=$B$3,4,O12&gt;=$B$4,3,O12&gt;=$B$5,2,O12&gt;$B$6,1),0),"")</f>
        <v/>
      </c>
      <c r="AM12" s="2" t="str" cm="1">
        <f t="array" ref="AM12">IF('NILAI CPL'!$B12&lt;&gt;"",IFERROR(_xlfn.IFS(P12&gt;=$B$3,4,P12&gt;=$B$4,3,P12&gt;=$B$5,2,P12&gt;$B$6,1),0),"")</f>
        <v/>
      </c>
      <c r="AN12" s="2" t="str" cm="1">
        <f t="array" ref="AN12">IF('NILAI CPL'!$B12&lt;&gt;"",IFERROR(_xlfn.IFS(Q12&gt;=$B$3,4,Q12&gt;=$B$4,3,Q12&gt;=$B$5,2,Q12&gt;$B$6,1),0),"")</f>
        <v/>
      </c>
      <c r="AO12" s="2" t="str" cm="1">
        <f t="array" ref="AO12">IF('NILAI CPL'!$B12&lt;&gt;"",IFERROR(_xlfn.IFS(R12&gt;=$B$3,4,R12&gt;=$B$4,3,R12&gt;=$B$5,2,R12&gt;$B$6,1),0),"")</f>
        <v/>
      </c>
      <c r="AP12" s="2" t="str" cm="1">
        <f t="array" ref="AP12">IF('NILAI CPL'!$B12&lt;&gt;"",IFERROR(_xlfn.IFS(S12&gt;=$B$3,4,S12&gt;=$B$4,3,S12&gt;=$B$5,2,S12&gt;$B$6,1),0),"")</f>
        <v/>
      </c>
      <c r="AQ12" s="2" t="str" cm="1">
        <f t="array" ref="AQ12">IF('NILAI CPL'!$B12&lt;&gt;"",IFERROR(_xlfn.IFS(T12&gt;=$B$3,4,T12&gt;=$B$4,3,T12&gt;=$B$5,2,T12&gt;$B$6,1),0),"")</f>
        <v/>
      </c>
      <c r="AR12" s="2" t="str" cm="1">
        <f t="array" ref="AR12">IF('NILAI CPL'!$B12&lt;&gt;"",IFERROR(_xlfn.IFS(U12&gt;=$B$3,4,U12&gt;=$B$4,3,U12&gt;=$B$5,2,U12&gt;$B$6,1),0),"")</f>
        <v/>
      </c>
      <c r="AS12" s="2" t="str" cm="1">
        <f t="array" ref="AS12">IF('NILAI CPL'!$B12&lt;&gt;"",IFERROR(_xlfn.IFS(V12&gt;=$B$3,4,V12&gt;=$B$4,3,V12&gt;=$B$5,2,V12&gt;$B$6,1),0),"")</f>
        <v/>
      </c>
      <c r="AT12" s="2" t="str" cm="1">
        <f t="array" ref="AT12">IF('NILAI CPL'!$B12&lt;&gt;"",IFERROR(_xlfn.IFS(W12&gt;=$B$3,4,W12&gt;=$B$4,3,W12&gt;=$B$5,2,W12&gt;$B$6,1),0),"")</f>
        <v/>
      </c>
      <c r="AU12" s="2" t="str" cm="1">
        <f t="array" ref="AU12">IF('NILAI CPL'!$B12&lt;&gt;"",IFERROR(_xlfn.IFS(X12&gt;=$B$3,4,X12&gt;=$B$4,3,X12&gt;=$B$5,2,X12&gt;$B$6,1),0),"")</f>
        <v/>
      </c>
      <c r="AV12" s="2" t="str" cm="1">
        <f t="array" ref="AV12">IF('NILAI CPL'!$B12&lt;&gt;"",IFERROR(_xlfn.IFS(Y12&gt;=$B$3,4,Y12&gt;=$B$4,3,Y12&gt;=$B$5,2,Y12&gt;$B$6,1),0),"")</f>
        <v/>
      </c>
      <c r="AW12" s="2" t="str" cm="1">
        <f t="array" ref="AW12">IF('NILAI CPL'!$B12&lt;&gt;"",IFERROR(_xlfn.IFS(Z12&gt;=$B$3,4,Z12&gt;=$B$4,3,Z12&gt;=$B$5,2,Z12&gt;$B$6,1),0),"")</f>
        <v/>
      </c>
      <c r="AY12" s="2" t="str">
        <f t="shared" ref="AY12:AY75" si="0">IF($B12&lt;&gt;"",IFERROR(SUMPRODUCT(E12:F12,$E$9:$F$9)/SUM($E$9:$F$9),0),"")</f>
        <v/>
      </c>
      <c r="AZ12" s="2" t="str">
        <f t="shared" ref="AZ12:AZ75" si="1">IF($B12&lt;&gt;"",IFERROR(SUMPRODUCT(G12:J12,$G$9:$J$9)/SUM($G$9:$J$9),0),"")</f>
        <v/>
      </c>
      <c r="BA12" s="2" t="str">
        <f t="shared" ref="BA12:BA75" si="2">IF($B12&lt;&gt;"",IFERROR(SUMPRODUCT(K12:L12,$K$9:$L$9)/SUM($K$9:$L$9),0),"")</f>
        <v/>
      </c>
      <c r="BB12" s="2" t="str">
        <f t="shared" ref="BB12:BB75" si="3">IF($B12&lt;&gt;"",IFERROR(SUMPRODUCT(M12:N12,$M$9:$N$9)/SUM($M$9:$N$9),0),"")</f>
        <v/>
      </c>
      <c r="BC12" s="2" t="str">
        <f t="shared" ref="BC12:BC75" si="4">IF($B12&lt;&gt;"",IFERROR(SUMPRODUCT(O12:P12,$O$9:$P$9)/SUM($O$9:$P$9),0),"")</f>
        <v/>
      </c>
      <c r="BD12" s="2" t="str">
        <f t="shared" ref="BD12:BD75" si="5">IF($B12&lt;&gt;"",IFERROR(SUMPRODUCT(Q12:R12,$Q$9:$R$9)/SUM($Q$9:$R$9),0),"")</f>
        <v/>
      </c>
      <c r="BE12" s="2" t="str">
        <f t="shared" ref="BE12:BE75" si="6">IF($B12&lt;&gt;"",IFERROR(SUMPRODUCT(S12:T12,$S$9:$T$9)/SUM($S$9:$T$9),0),"")</f>
        <v/>
      </c>
      <c r="BF12" s="2" t="str">
        <f t="shared" ref="BF12:BF75" si="7">IF($B12&lt;&gt;"",IFERROR(SUMPRODUCT(U12:V12,$U$9:$V$9)/SUM($U$9:$V$9),0),"")</f>
        <v/>
      </c>
      <c r="BG12" s="2" t="str">
        <f t="shared" ref="BG12:BG75" si="8">IF($B12&lt;&gt;"",IFERROR(SUMPRODUCT(W12:X12,$W$9:$X$9)/SUM($W$9:$X$9),0),"")</f>
        <v/>
      </c>
      <c r="BH12" s="2" t="str">
        <f t="shared" ref="BH12:BH75" si="9">IF($B12&lt;&gt;"",IFERROR(SUMPRODUCT(Y12:Z12,$Y$9:$Z$9)/SUM($Y$9:$Z$9),0),"")</f>
        <v/>
      </c>
      <c r="BJ12" s="2" t="str" cm="1">
        <f t="array" ref="BJ12">IF('NILAI CPL'!$B12&lt;&gt;"",IFERROR(_xlfn.IFS(AY12&gt;=$B$3,4,AY12&gt;=$B$4,3,AY12&gt;=$B$5,2,AY12&gt;$B$6,1),0),"")</f>
        <v/>
      </c>
      <c r="BK12" s="2" t="str" cm="1">
        <f t="array" ref="BK12">IF('NILAI CPL'!$B12&lt;&gt;"",IFERROR(_xlfn.IFS(AZ12&gt;=$B$3,4,AZ12&gt;=$B$4,3,AZ12&gt;=$B$5,2,AZ12&gt;$B$6,1),0),"")</f>
        <v/>
      </c>
      <c r="BL12" s="2" t="str" cm="1">
        <f t="array" ref="BL12">IF('NILAI CPL'!$B12&lt;&gt;"",IFERROR(_xlfn.IFS(BA12&gt;=$B$3,4,BA12&gt;=$B$4,3,BA12&gt;=$B$5,2,BA12&gt;$B$6,1),0),"")</f>
        <v/>
      </c>
      <c r="BM12" s="2" t="str" cm="1">
        <f t="array" ref="BM12">IF('NILAI CPL'!$B12&lt;&gt;"",IFERROR(_xlfn.IFS(BB12&gt;=$B$3,4,BB12&gt;=$B$4,3,BB12&gt;=$B$5,2,BB12&gt;$B$6,1),0),"")</f>
        <v/>
      </c>
      <c r="BN12" s="2" t="str" cm="1">
        <f t="array" ref="BN12">IF('NILAI CPL'!$B12&lt;&gt;"",IFERROR(_xlfn.IFS(BC12&gt;=$B$3,4,BC12&gt;=$B$4,3,BC12&gt;=$B$5,2,BC12&gt;$B$6,1),0),"")</f>
        <v/>
      </c>
      <c r="BO12" s="2" t="str" cm="1">
        <f t="array" ref="BO12">IF('NILAI CPL'!$B12&lt;&gt;"",IFERROR(_xlfn.IFS(BD12&gt;=$B$3,4,BD12&gt;=$B$4,3,BD12&gt;=$B$5,2,BD12&gt;$B$6,1),0),"")</f>
        <v/>
      </c>
      <c r="BP12" s="2" t="str" cm="1">
        <f t="array" ref="BP12">IF('NILAI CPL'!$B12&lt;&gt;"",IFERROR(_xlfn.IFS(BE12&gt;=$B$3,4,BE12&gt;=$B$4,3,BE12&gt;=$B$5,2,BE12&gt;$B$6,1),0),"")</f>
        <v/>
      </c>
      <c r="BQ12" s="2" t="str" cm="1">
        <f t="array" ref="BQ12">IF('NILAI CPL'!$B12&lt;&gt;"",IFERROR(_xlfn.IFS(BF12&gt;=$B$3,4,BF12&gt;=$B$4,3,BF12&gt;=$B$5,2,BF12&gt;$B$6,1),0),"")</f>
        <v/>
      </c>
      <c r="BR12" s="2" t="str" cm="1">
        <f t="array" ref="BR12">IF('NILAI CPL'!$B12&lt;&gt;"",IFERROR(_xlfn.IFS(BG12&gt;=$B$3,4,BG12&gt;=$B$4,3,BG12&gt;=$B$5,2,BG12&gt;$B$6,1),0),"")</f>
        <v/>
      </c>
      <c r="BS12" s="2" t="str" cm="1">
        <f t="array" ref="BS12">IF('NILAI CPL'!$B12&lt;&gt;"",IFERROR(_xlfn.IFS(BH12&gt;=$B$3,4,BH12&gt;=$B$4,3,BH12&gt;=$B$5,2,BH12&gt;$B$6,1),0),"")</f>
        <v/>
      </c>
    </row>
    <row r="13" spans="1:71" x14ac:dyDescent="0.2">
      <c r="A13" s="2">
        <v>3</v>
      </c>
      <c r="B13" s="2" t="str">
        <f>IF(LEN(SUMMARY!B13)&gt;0, SUMMARY!B13, "")</f>
        <v/>
      </c>
      <c r="C13" s="2" t="str">
        <f>IF(LEN(SUMMARY!C13)&gt;0, SUMMARY!C13, "")</f>
        <v/>
      </c>
      <c r="E13" s="2" t="str" cm="1">
        <f t="array" ref="E13">IF('NILAI CPL'!$B13&lt;&gt;"",IFERROR(JumlahPI(ROW(),COLUMN()),0),"")</f>
        <v/>
      </c>
      <c r="F13" s="2" t="str" cm="1">
        <f t="array" ref="F13">IF('NILAI CPL'!$B13&lt;&gt;"",IFERROR(JumlahPI(ROW(),COLUMN()),0),"")</f>
        <v/>
      </c>
      <c r="G13" s="2" t="str" cm="1">
        <f t="array" ref="G13">IF('NILAI CPL'!$B13&lt;&gt;"",IFERROR(JumlahPI(ROW(),COLUMN()),0),"")</f>
        <v/>
      </c>
      <c r="H13" s="2" t="str" cm="1">
        <f t="array" ref="H13">IF('NILAI CPL'!$B13&lt;&gt;"",IFERROR(JumlahPI(ROW(),COLUMN()),0),"")</f>
        <v/>
      </c>
      <c r="I13" s="2" t="str" cm="1">
        <f t="array" ref="I13">IF('NILAI CPL'!$B13&lt;&gt;"",IFERROR(JumlahPI(ROW(),COLUMN()),0),"")</f>
        <v/>
      </c>
      <c r="J13" s="2" t="str" cm="1">
        <f t="array" ref="J13">IF('NILAI CPL'!$B13&lt;&gt;"",IFERROR(JumlahPI(ROW(),COLUMN()),0),"")</f>
        <v/>
      </c>
      <c r="K13" s="2" t="str" cm="1">
        <f t="array" ref="K13">IF('NILAI CPL'!$B13&lt;&gt;"",IFERROR(JumlahPI(ROW(),COLUMN()),0),"")</f>
        <v/>
      </c>
      <c r="L13" s="2" t="str" cm="1">
        <f t="array" ref="L13">IF('NILAI CPL'!$B13&lt;&gt;"",IFERROR(JumlahPI(ROW(),COLUMN()),0),"")</f>
        <v/>
      </c>
      <c r="M13" s="2" t="str" cm="1">
        <f t="array" ref="M13">IF('NILAI CPL'!$B13&lt;&gt;"",IFERROR(JumlahPI(ROW(),COLUMN()),0),"")</f>
        <v/>
      </c>
      <c r="N13" s="2" t="str" cm="1">
        <f t="array" ref="N13">IF('NILAI CPL'!$B13&lt;&gt;"",IFERROR(JumlahPI(ROW(),COLUMN()),0),"")</f>
        <v/>
      </c>
      <c r="O13" s="2" t="str" cm="1">
        <f t="array" ref="O13">IF('NILAI CPL'!$B13&lt;&gt;"",IFERROR(JumlahPI(ROW(),COLUMN()),0),"")</f>
        <v/>
      </c>
      <c r="P13" s="2" t="str" cm="1">
        <f t="array" ref="P13">IF('NILAI CPL'!$B13&lt;&gt;"",IFERROR(JumlahPI(ROW(),COLUMN()),0),"")</f>
        <v/>
      </c>
      <c r="Q13" s="2" t="str" cm="1">
        <f t="array" ref="Q13">IF('NILAI CPL'!$B13&lt;&gt;"",IFERROR(JumlahPI(ROW(),COLUMN()),0),"")</f>
        <v/>
      </c>
      <c r="R13" s="2" t="str" cm="1">
        <f t="array" ref="R13">IF('NILAI CPL'!$B13&lt;&gt;"",IFERROR(JumlahPI(ROW(),COLUMN()),0),"")</f>
        <v/>
      </c>
      <c r="S13" s="2" t="str" cm="1">
        <f t="array" ref="S13">IF('NILAI CPL'!$B13&lt;&gt;"",IFERROR(JumlahPI(ROW(),COLUMN()),0),"")</f>
        <v/>
      </c>
      <c r="T13" s="2" t="str" cm="1">
        <f t="array" ref="T13">IF('NILAI CPL'!$B13&lt;&gt;"",IFERROR(JumlahPI(ROW(),COLUMN()),0),"")</f>
        <v/>
      </c>
      <c r="U13" s="2" t="str" cm="1">
        <f t="array" ref="U13">IF('NILAI CPL'!$B13&lt;&gt;"",IFERROR(JumlahPI(ROW(),COLUMN()),0),"")</f>
        <v/>
      </c>
      <c r="V13" s="2" t="str" cm="1">
        <f t="array" ref="V13">IF('NILAI CPL'!$B13&lt;&gt;"",IFERROR(JumlahPI(ROW(),COLUMN()),0),"")</f>
        <v/>
      </c>
      <c r="W13" s="2" t="str" cm="1">
        <f t="array" ref="W13">IF('NILAI CPL'!$B13&lt;&gt;"",IFERROR(JumlahPI(ROW(),COLUMN()),0),"")</f>
        <v/>
      </c>
      <c r="X13" s="2" t="str" cm="1">
        <f t="array" ref="X13">IF('NILAI CPL'!$B13&lt;&gt;"",IFERROR(JumlahPI(ROW(),COLUMN()),0),"")</f>
        <v/>
      </c>
      <c r="Y13" s="2" t="str" cm="1">
        <f t="array" ref="Y13">IF('NILAI CPL'!$B13&lt;&gt;"",IFERROR(JumlahPI(ROW(),COLUMN()),0),"")</f>
        <v/>
      </c>
      <c r="Z13" s="2" t="str" cm="1">
        <f t="array" ref="Z13">IF('NILAI CPL'!$B13&lt;&gt;"",IFERROR(JumlahPI(ROW(),COLUMN()),0),"")</f>
        <v/>
      </c>
      <c r="AB13" s="2" t="str" cm="1">
        <f t="array" ref="AB13">IF('NILAI CPL'!$B13&lt;&gt;"",IFERROR(_xlfn.IFS(E13&gt;=$B$3,4,E13&gt;=$B$4,3,E13&gt;=$B$5,2,E13&gt;$B$6,1),0),"")</f>
        <v/>
      </c>
      <c r="AC13" s="2" t="str" cm="1">
        <f t="array" ref="AC13">IF('NILAI CPL'!$B13&lt;&gt;"",IFERROR(_xlfn.IFS(F13&gt;=$B$3,4,F13&gt;=$B$4,3,F13&gt;=$B$5,2,F13&gt;$B$6,1),0),"")</f>
        <v/>
      </c>
      <c r="AD13" s="2" t="str" cm="1">
        <f t="array" ref="AD13">IF('NILAI CPL'!$B13&lt;&gt;"",IFERROR(_xlfn.IFS(G13&gt;=$B$3,4,G13&gt;=$B$4,3,G13&gt;=$B$5,2,G13&gt;$B$6,1),0),"")</f>
        <v/>
      </c>
      <c r="AE13" s="2" t="str" cm="1">
        <f t="array" ref="AE13">IF('NILAI CPL'!$B13&lt;&gt;"",IFERROR(_xlfn.IFS(H13&gt;=$B$3,4,H13&gt;=$B$4,3,H13&gt;=$B$5,2,H13&gt;$B$6,1),0),"")</f>
        <v/>
      </c>
      <c r="AF13" s="2" t="str" cm="1">
        <f t="array" ref="AF13">IF('NILAI CPL'!$B13&lt;&gt;"",IFERROR(_xlfn.IFS(I13&gt;=$B$3,4,I13&gt;=$B$4,3,I13&gt;=$B$5,2,I13&gt;$B$6,1),0),"")</f>
        <v/>
      </c>
      <c r="AG13" s="2" t="str" cm="1">
        <f t="array" ref="AG13">IF('NILAI CPL'!$B13&lt;&gt;"",IFERROR(_xlfn.IFS(J13&gt;=$B$3,4,J13&gt;=$B$4,3,J13&gt;=$B$5,2,J13&gt;$B$6,1),0),"")</f>
        <v/>
      </c>
      <c r="AH13" s="2" t="str" cm="1">
        <f t="array" ref="AH13">IF('NILAI CPL'!$B13&lt;&gt;"",IFERROR(_xlfn.IFS(K13&gt;=$B$3,4,K13&gt;=$B$4,3,K13&gt;=$B$5,2,K13&gt;$B$6,1),0),"")</f>
        <v/>
      </c>
      <c r="AI13" s="2" t="str" cm="1">
        <f t="array" ref="AI13">IF('NILAI CPL'!$B13&lt;&gt;"",IFERROR(_xlfn.IFS(L13&gt;=$B$3,4,L13&gt;=$B$4,3,L13&gt;=$B$5,2,L13&gt;$B$6,1),0),"")</f>
        <v/>
      </c>
      <c r="AJ13" s="2" t="str" cm="1">
        <f t="array" ref="AJ13">IF('NILAI CPL'!$B13&lt;&gt;"",IFERROR(_xlfn.IFS(M13&gt;=$B$3,4,M13&gt;=$B$4,3,M13&gt;=$B$5,2,M13&gt;$B$6,1),0),"")</f>
        <v/>
      </c>
      <c r="AK13" s="2" t="str" cm="1">
        <f t="array" ref="AK13">IF('NILAI CPL'!$B13&lt;&gt;"",IFERROR(_xlfn.IFS(N13&gt;=$B$3,4,N13&gt;=$B$4,3,N13&gt;=$B$5,2,N13&gt;$B$6,1),0),"")</f>
        <v/>
      </c>
      <c r="AL13" s="2" t="str" cm="1">
        <f t="array" ref="AL13">IF('NILAI CPL'!$B13&lt;&gt;"",IFERROR(_xlfn.IFS(O13&gt;=$B$3,4,O13&gt;=$B$4,3,O13&gt;=$B$5,2,O13&gt;$B$6,1),0),"")</f>
        <v/>
      </c>
      <c r="AM13" s="2" t="str" cm="1">
        <f t="array" ref="AM13">IF('NILAI CPL'!$B13&lt;&gt;"",IFERROR(_xlfn.IFS(P13&gt;=$B$3,4,P13&gt;=$B$4,3,P13&gt;=$B$5,2,P13&gt;$B$6,1),0),"")</f>
        <v/>
      </c>
      <c r="AN13" s="2" t="str" cm="1">
        <f t="array" ref="AN13">IF('NILAI CPL'!$B13&lt;&gt;"",IFERROR(_xlfn.IFS(Q13&gt;=$B$3,4,Q13&gt;=$B$4,3,Q13&gt;=$B$5,2,Q13&gt;$B$6,1),0),"")</f>
        <v/>
      </c>
      <c r="AO13" s="2" t="str" cm="1">
        <f t="array" ref="AO13">IF('NILAI CPL'!$B13&lt;&gt;"",IFERROR(_xlfn.IFS(R13&gt;=$B$3,4,R13&gt;=$B$4,3,R13&gt;=$B$5,2,R13&gt;$B$6,1),0),"")</f>
        <v/>
      </c>
      <c r="AP13" s="2" t="str" cm="1">
        <f t="array" ref="AP13">IF('NILAI CPL'!$B13&lt;&gt;"",IFERROR(_xlfn.IFS(S13&gt;=$B$3,4,S13&gt;=$B$4,3,S13&gt;=$B$5,2,S13&gt;$B$6,1),0),"")</f>
        <v/>
      </c>
      <c r="AQ13" s="2" t="str" cm="1">
        <f t="array" ref="AQ13">IF('NILAI CPL'!$B13&lt;&gt;"",IFERROR(_xlfn.IFS(T13&gt;=$B$3,4,T13&gt;=$B$4,3,T13&gt;=$B$5,2,T13&gt;$B$6,1),0),"")</f>
        <v/>
      </c>
      <c r="AR13" s="2" t="str" cm="1">
        <f t="array" ref="AR13">IF('NILAI CPL'!$B13&lt;&gt;"",IFERROR(_xlfn.IFS(U13&gt;=$B$3,4,U13&gt;=$B$4,3,U13&gt;=$B$5,2,U13&gt;$B$6,1),0),"")</f>
        <v/>
      </c>
      <c r="AS13" s="2" t="str" cm="1">
        <f t="array" ref="AS13">IF('NILAI CPL'!$B13&lt;&gt;"",IFERROR(_xlfn.IFS(V13&gt;=$B$3,4,V13&gt;=$B$4,3,V13&gt;=$B$5,2,V13&gt;$B$6,1),0),"")</f>
        <v/>
      </c>
      <c r="AT13" s="2" t="str" cm="1">
        <f t="array" ref="AT13">IF('NILAI CPL'!$B13&lt;&gt;"",IFERROR(_xlfn.IFS(W13&gt;=$B$3,4,W13&gt;=$B$4,3,W13&gt;=$B$5,2,W13&gt;$B$6,1),0),"")</f>
        <v/>
      </c>
      <c r="AU13" s="2" t="str" cm="1">
        <f t="array" ref="AU13">IF('NILAI CPL'!$B13&lt;&gt;"",IFERROR(_xlfn.IFS(X13&gt;=$B$3,4,X13&gt;=$B$4,3,X13&gt;=$B$5,2,X13&gt;$B$6,1),0),"")</f>
        <v/>
      </c>
      <c r="AV13" s="2" t="str" cm="1">
        <f t="array" ref="AV13">IF('NILAI CPL'!$B13&lt;&gt;"",IFERROR(_xlfn.IFS(Y13&gt;=$B$3,4,Y13&gt;=$B$4,3,Y13&gt;=$B$5,2,Y13&gt;$B$6,1),0),"")</f>
        <v/>
      </c>
      <c r="AW13" s="2" t="str" cm="1">
        <f t="array" ref="AW13">IF('NILAI CPL'!$B13&lt;&gt;"",IFERROR(_xlfn.IFS(Z13&gt;=$B$3,4,Z13&gt;=$B$4,3,Z13&gt;=$B$5,2,Z13&gt;$B$6,1),0),"")</f>
        <v/>
      </c>
      <c r="AY13" s="2" t="str">
        <f t="shared" si="0"/>
        <v/>
      </c>
      <c r="AZ13" s="2" t="str">
        <f t="shared" si="1"/>
        <v/>
      </c>
      <c r="BA13" s="2" t="str">
        <f t="shared" si="2"/>
        <v/>
      </c>
      <c r="BB13" s="2" t="str">
        <f t="shared" si="3"/>
        <v/>
      </c>
      <c r="BC13" s="2" t="str">
        <f t="shared" si="4"/>
        <v/>
      </c>
      <c r="BD13" s="2" t="str">
        <f t="shared" si="5"/>
        <v/>
      </c>
      <c r="BE13" s="2" t="str">
        <f t="shared" si="6"/>
        <v/>
      </c>
      <c r="BF13" s="2" t="str">
        <f t="shared" si="7"/>
        <v/>
      </c>
      <c r="BG13" s="2" t="str">
        <f t="shared" si="8"/>
        <v/>
      </c>
      <c r="BH13" s="2" t="str">
        <f t="shared" si="9"/>
        <v/>
      </c>
      <c r="BJ13" s="2" t="str" cm="1">
        <f t="array" ref="BJ13">IF('NILAI CPL'!$B13&lt;&gt;"",IFERROR(_xlfn.IFS(AY13&gt;=$B$3,4,AY13&gt;=$B$4,3,AY13&gt;=$B$5,2,AY13&gt;$B$6,1),0),"")</f>
        <v/>
      </c>
      <c r="BK13" s="2" t="str" cm="1">
        <f t="array" ref="BK13">IF('NILAI CPL'!$B13&lt;&gt;"",IFERROR(_xlfn.IFS(AZ13&gt;=$B$3,4,AZ13&gt;=$B$4,3,AZ13&gt;=$B$5,2,AZ13&gt;$B$6,1),0),"")</f>
        <v/>
      </c>
      <c r="BL13" s="2" t="str" cm="1">
        <f t="array" ref="BL13">IF('NILAI CPL'!$B13&lt;&gt;"",IFERROR(_xlfn.IFS(BA13&gt;=$B$3,4,BA13&gt;=$B$4,3,BA13&gt;=$B$5,2,BA13&gt;$B$6,1),0),"")</f>
        <v/>
      </c>
      <c r="BM13" s="2" t="str" cm="1">
        <f t="array" ref="BM13">IF('NILAI CPL'!$B13&lt;&gt;"",IFERROR(_xlfn.IFS(BB13&gt;=$B$3,4,BB13&gt;=$B$4,3,BB13&gt;=$B$5,2,BB13&gt;$B$6,1),0),"")</f>
        <v/>
      </c>
      <c r="BN13" s="2" t="str" cm="1">
        <f t="array" ref="BN13">IF('NILAI CPL'!$B13&lt;&gt;"",IFERROR(_xlfn.IFS(BC13&gt;=$B$3,4,BC13&gt;=$B$4,3,BC13&gt;=$B$5,2,BC13&gt;$B$6,1),0),"")</f>
        <v/>
      </c>
      <c r="BO13" s="2" t="str" cm="1">
        <f t="array" ref="BO13">IF('NILAI CPL'!$B13&lt;&gt;"",IFERROR(_xlfn.IFS(BD13&gt;=$B$3,4,BD13&gt;=$B$4,3,BD13&gt;=$B$5,2,BD13&gt;$B$6,1),0),"")</f>
        <v/>
      </c>
      <c r="BP13" s="2" t="str" cm="1">
        <f t="array" ref="BP13">IF('NILAI CPL'!$B13&lt;&gt;"",IFERROR(_xlfn.IFS(BE13&gt;=$B$3,4,BE13&gt;=$B$4,3,BE13&gt;=$B$5,2,BE13&gt;$B$6,1),0),"")</f>
        <v/>
      </c>
      <c r="BQ13" s="2" t="str" cm="1">
        <f t="array" ref="BQ13">IF('NILAI CPL'!$B13&lt;&gt;"",IFERROR(_xlfn.IFS(BF13&gt;=$B$3,4,BF13&gt;=$B$4,3,BF13&gt;=$B$5,2,BF13&gt;$B$6,1),0),"")</f>
        <v/>
      </c>
      <c r="BR13" s="2" t="str" cm="1">
        <f t="array" ref="BR13">IF('NILAI CPL'!$B13&lt;&gt;"",IFERROR(_xlfn.IFS(BG13&gt;=$B$3,4,BG13&gt;=$B$4,3,BG13&gt;=$B$5,2,BG13&gt;$B$6,1),0),"")</f>
        <v/>
      </c>
      <c r="BS13" s="2" t="str" cm="1">
        <f t="array" ref="BS13">IF('NILAI CPL'!$B13&lt;&gt;"",IFERROR(_xlfn.IFS(BH13&gt;=$B$3,4,BH13&gt;=$B$4,3,BH13&gt;=$B$5,2,BH13&gt;$B$6,1),0),"")</f>
        <v/>
      </c>
    </row>
    <row r="14" spans="1:71" x14ac:dyDescent="0.2">
      <c r="A14" s="2">
        <v>4</v>
      </c>
      <c r="B14" s="2" t="str">
        <f>IF(LEN(SUMMARY!B14)&gt;0, SUMMARY!B14, "")</f>
        <v/>
      </c>
      <c r="C14" s="2" t="str">
        <f>IF(LEN(SUMMARY!C14)&gt;0, SUMMARY!C14, "")</f>
        <v/>
      </c>
      <c r="E14" s="2" t="str" cm="1">
        <f t="array" ref="E14">IF('NILAI CPL'!$B14&lt;&gt;"",IFERROR(JumlahPI(ROW(),COLUMN()),0),"")</f>
        <v/>
      </c>
      <c r="F14" s="2" t="str" cm="1">
        <f t="array" ref="F14">IF('NILAI CPL'!$B14&lt;&gt;"",IFERROR(JumlahPI(ROW(),COLUMN()),0),"")</f>
        <v/>
      </c>
      <c r="G14" s="2" t="str" cm="1">
        <f t="array" ref="G14">IF('NILAI CPL'!$B14&lt;&gt;"",IFERROR(JumlahPI(ROW(),COLUMN()),0),"")</f>
        <v/>
      </c>
      <c r="H14" s="2" t="str" cm="1">
        <f t="array" ref="H14">IF('NILAI CPL'!$B14&lt;&gt;"",IFERROR(JumlahPI(ROW(),COLUMN()),0),"")</f>
        <v/>
      </c>
      <c r="I14" s="2" t="str" cm="1">
        <f t="array" ref="I14">IF('NILAI CPL'!$B14&lt;&gt;"",IFERROR(JumlahPI(ROW(),COLUMN()),0),"")</f>
        <v/>
      </c>
      <c r="J14" s="2" t="str" cm="1">
        <f t="array" ref="J14">IF('NILAI CPL'!$B14&lt;&gt;"",IFERROR(JumlahPI(ROW(),COLUMN()),0),"")</f>
        <v/>
      </c>
      <c r="K14" s="2" t="str" cm="1">
        <f t="array" ref="K14">IF('NILAI CPL'!$B14&lt;&gt;"",IFERROR(JumlahPI(ROW(),COLUMN()),0),"")</f>
        <v/>
      </c>
      <c r="L14" s="2" t="str" cm="1">
        <f t="array" ref="L14">IF('NILAI CPL'!$B14&lt;&gt;"",IFERROR(JumlahPI(ROW(),COLUMN()),0),"")</f>
        <v/>
      </c>
      <c r="M14" s="2" t="str" cm="1">
        <f t="array" ref="M14">IF('NILAI CPL'!$B14&lt;&gt;"",IFERROR(JumlahPI(ROW(),COLUMN()),0),"")</f>
        <v/>
      </c>
      <c r="N14" s="2" t="str" cm="1">
        <f t="array" ref="N14">IF('NILAI CPL'!$B14&lt;&gt;"",IFERROR(JumlahPI(ROW(),COLUMN()),0),"")</f>
        <v/>
      </c>
      <c r="O14" s="2" t="str" cm="1">
        <f t="array" ref="O14">IF('NILAI CPL'!$B14&lt;&gt;"",IFERROR(JumlahPI(ROW(),COLUMN()),0),"")</f>
        <v/>
      </c>
      <c r="P14" s="2" t="str" cm="1">
        <f t="array" ref="P14">IF('NILAI CPL'!$B14&lt;&gt;"",IFERROR(JumlahPI(ROW(),COLUMN()),0),"")</f>
        <v/>
      </c>
      <c r="Q14" s="2" t="str" cm="1">
        <f t="array" ref="Q14">IF('NILAI CPL'!$B14&lt;&gt;"",IFERROR(JumlahPI(ROW(),COLUMN()),0),"")</f>
        <v/>
      </c>
      <c r="R14" s="2" t="str" cm="1">
        <f t="array" ref="R14">IF('NILAI CPL'!$B14&lt;&gt;"",IFERROR(JumlahPI(ROW(),COLUMN()),0),"")</f>
        <v/>
      </c>
      <c r="S14" s="2" t="str" cm="1">
        <f t="array" ref="S14">IF('NILAI CPL'!$B14&lt;&gt;"",IFERROR(JumlahPI(ROW(),COLUMN()),0),"")</f>
        <v/>
      </c>
      <c r="T14" s="2" t="str" cm="1">
        <f t="array" ref="T14">IF('NILAI CPL'!$B14&lt;&gt;"",IFERROR(JumlahPI(ROW(),COLUMN()),0),"")</f>
        <v/>
      </c>
      <c r="U14" s="2" t="str" cm="1">
        <f t="array" ref="U14">IF('NILAI CPL'!$B14&lt;&gt;"",IFERROR(JumlahPI(ROW(),COLUMN()),0),"")</f>
        <v/>
      </c>
      <c r="V14" s="2" t="str" cm="1">
        <f t="array" ref="V14">IF('NILAI CPL'!$B14&lt;&gt;"",IFERROR(JumlahPI(ROW(),COLUMN()),0),"")</f>
        <v/>
      </c>
      <c r="W14" s="2" t="str" cm="1">
        <f t="array" ref="W14">IF('NILAI CPL'!$B14&lt;&gt;"",IFERROR(JumlahPI(ROW(),COLUMN()),0),"")</f>
        <v/>
      </c>
      <c r="X14" s="2" t="str" cm="1">
        <f t="array" ref="X14">IF('NILAI CPL'!$B14&lt;&gt;"",IFERROR(JumlahPI(ROW(),COLUMN()),0),"")</f>
        <v/>
      </c>
      <c r="Y14" s="2" t="str" cm="1">
        <f t="array" ref="Y14">IF('NILAI CPL'!$B14&lt;&gt;"",IFERROR(JumlahPI(ROW(),COLUMN()),0),"")</f>
        <v/>
      </c>
      <c r="Z14" s="2" t="str" cm="1">
        <f t="array" ref="Z14">IF('NILAI CPL'!$B14&lt;&gt;"",IFERROR(JumlahPI(ROW(),COLUMN()),0),"")</f>
        <v/>
      </c>
      <c r="AB14" s="2" t="str" cm="1">
        <f t="array" ref="AB14">IF('NILAI CPL'!$B14&lt;&gt;"",IFERROR(_xlfn.IFS(E14&gt;=$B$3,4,E14&gt;=$B$4,3,E14&gt;=$B$5,2,E14&gt;$B$6,1),0),"")</f>
        <v/>
      </c>
      <c r="AC14" s="2" t="str" cm="1">
        <f t="array" ref="AC14">IF('NILAI CPL'!$B14&lt;&gt;"",IFERROR(_xlfn.IFS(F14&gt;=$B$3,4,F14&gt;=$B$4,3,F14&gt;=$B$5,2,F14&gt;$B$6,1),0),"")</f>
        <v/>
      </c>
      <c r="AD14" s="2" t="str" cm="1">
        <f t="array" ref="AD14">IF('NILAI CPL'!$B14&lt;&gt;"",IFERROR(_xlfn.IFS(G14&gt;=$B$3,4,G14&gt;=$B$4,3,G14&gt;=$B$5,2,G14&gt;$B$6,1),0),"")</f>
        <v/>
      </c>
      <c r="AE14" s="2" t="str" cm="1">
        <f t="array" ref="AE14">IF('NILAI CPL'!$B14&lt;&gt;"",IFERROR(_xlfn.IFS(H14&gt;=$B$3,4,H14&gt;=$B$4,3,H14&gt;=$B$5,2,H14&gt;$B$6,1),0),"")</f>
        <v/>
      </c>
      <c r="AF14" s="2" t="str" cm="1">
        <f t="array" ref="AF14">IF('NILAI CPL'!$B14&lt;&gt;"",IFERROR(_xlfn.IFS(I14&gt;=$B$3,4,I14&gt;=$B$4,3,I14&gt;=$B$5,2,I14&gt;$B$6,1),0),"")</f>
        <v/>
      </c>
      <c r="AG14" s="2" t="str" cm="1">
        <f t="array" ref="AG14">IF('NILAI CPL'!$B14&lt;&gt;"",IFERROR(_xlfn.IFS(J14&gt;=$B$3,4,J14&gt;=$B$4,3,J14&gt;=$B$5,2,J14&gt;$B$6,1),0),"")</f>
        <v/>
      </c>
      <c r="AH14" s="2" t="str" cm="1">
        <f t="array" ref="AH14">IF('NILAI CPL'!$B14&lt;&gt;"",IFERROR(_xlfn.IFS(K14&gt;=$B$3,4,K14&gt;=$B$4,3,K14&gt;=$B$5,2,K14&gt;$B$6,1),0),"")</f>
        <v/>
      </c>
      <c r="AI14" s="2" t="str" cm="1">
        <f t="array" ref="AI14">IF('NILAI CPL'!$B14&lt;&gt;"",IFERROR(_xlfn.IFS(L14&gt;=$B$3,4,L14&gt;=$B$4,3,L14&gt;=$B$5,2,L14&gt;$B$6,1),0),"")</f>
        <v/>
      </c>
      <c r="AJ14" s="2" t="str" cm="1">
        <f t="array" ref="AJ14">IF('NILAI CPL'!$B14&lt;&gt;"",IFERROR(_xlfn.IFS(M14&gt;=$B$3,4,M14&gt;=$B$4,3,M14&gt;=$B$5,2,M14&gt;$B$6,1),0),"")</f>
        <v/>
      </c>
      <c r="AK14" s="2" t="str" cm="1">
        <f t="array" ref="AK14">IF('NILAI CPL'!$B14&lt;&gt;"",IFERROR(_xlfn.IFS(N14&gt;=$B$3,4,N14&gt;=$B$4,3,N14&gt;=$B$5,2,N14&gt;$B$6,1),0),"")</f>
        <v/>
      </c>
      <c r="AL14" s="2" t="str" cm="1">
        <f t="array" ref="AL14">IF('NILAI CPL'!$B14&lt;&gt;"",IFERROR(_xlfn.IFS(O14&gt;=$B$3,4,O14&gt;=$B$4,3,O14&gt;=$B$5,2,O14&gt;$B$6,1),0),"")</f>
        <v/>
      </c>
      <c r="AM14" s="2" t="str" cm="1">
        <f t="array" ref="AM14">IF('NILAI CPL'!$B14&lt;&gt;"",IFERROR(_xlfn.IFS(P14&gt;=$B$3,4,P14&gt;=$B$4,3,P14&gt;=$B$5,2,P14&gt;$B$6,1),0),"")</f>
        <v/>
      </c>
      <c r="AN14" s="2" t="str" cm="1">
        <f t="array" ref="AN14">IF('NILAI CPL'!$B14&lt;&gt;"",IFERROR(_xlfn.IFS(Q14&gt;=$B$3,4,Q14&gt;=$B$4,3,Q14&gt;=$B$5,2,Q14&gt;$B$6,1),0),"")</f>
        <v/>
      </c>
      <c r="AO14" s="2" t="str" cm="1">
        <f t="array" ref="AO14">IF('NILAI CPL'!$B14&lt;&gt;"",IFERROR(_xlfn.IFS(R14&gt;=$B$3,4,R14&gt;=$B$4,3,R14&gt;=$B$5,2,R14&gt;$B$6,1),0),"")</f>
        <v/>
      </c>
      <c r="AP14" s="2" t="str" cm="1">
        <f t="array" ref="AP14">IF('NILAI CPL'!$B14&lt;&gt;"",IFERROR(_xlfn.IFS(S14&gt;=$B$3,4,S14&gt;=$B$4,3,S14&gt;=$B$5,2,S14&gt;$B$6,1),0),"")</f>
        <v/>
      </c>
      <c r="AQ14" s="2" t="str" cm="1">
        <f t="array" ref="AQ14">IF('NILAI CPL'!$B14&lt;&gt;"",IFERROR(_xlfn.IFS(T14&gt;=$B$3,4,T14&gt;=$B$4,3,T14&gt;=$B$5,2,T14&gt;$B$6,1),0),"")</f>
        <v/>
      </c>
      <c r="AR14" s="2" t="str" cm="1">
        <f t="array" ref="AR14">IF('NILAI CPL'!$B14&lt;&gt;"",IFERROR(_xlfn.IFS(U14&gt;=$B$3,4,U14&gt;=$B$4,3,U14&gt;=$B$5,2,U14&gt;$B$6,1),0),"")</f>
        <v/>
      </c>
      <c r="AS14" s="2" t="str" cm="1">
        <f t="array" ref="AS14">IF('NILAI CPL'!$B14&lt;&gt;"",IFERROR(_xlfn.IFS(V14&gt;=$B$3,4,V14&gt;=$B$4,3,V14&gt;=$B$5,2,V14&gt;$B$6,1),0),"")</f>
        <v/>
      </c>
      <c r="AT14" s="2" t="str" cm="1">
        <f t="array" ref="AT14">IF('NILAI CPL'!$B14&lt;&gt;"",IFERROR(_xlfn.IFS(W14&gt;=$B$3,4,W14&gt;=$B$4,3,W14&gt;=$B$5,2,W14&gt;$B$6,1),0),"")</f>
        <v/>
      </c>
      <c r="AU14" s="2" t="str" cm="1">
        <f t="array" ref="AU14">IF('NILAI CPL'!$B14&lt;&gt;"",IFERROR(_xlfn.IFS(X14&gt;=$B$3,4,X14&gt;=$B$4,3,X14&gt;=$B$5,2,X14&gt;$B$6,1),0),"")</f>
        <v/>
      </c>
      <c r="AV14" s="2" t="str" cm="1">
        <f t="array" ref="AV14">IF('NILAI CPL'!$B14&lt;&gt;"",IFERROR(_xlfn.IFS(Y14&gt;=$B$3,4,Y14&gt;=$B$4,3,Y14&gt;=$B$5,2,Y14&gt;$B$6,1),0),"")</f>
        <v/>
      </c>
      <c r="AW14" s="2" t="str" cm="1">
        <f t="array" ref="AW14">IF('NILAI CPL'!$B14&lt;&gt;"",IFERROR(_xlfn.IFS(Z14&gt;=$B$3,4,Z14&gt;=$B$4,3,Z14&gt;=$B$5,2,Z14&gt;$B$6,1),0),"")</f>
        <v/>
      </c>
      <c r="AY14" s="2" t="str">
        <f t="shared" si="0"/>
        <v/>
      </c>
      <c r="AZ14" s="2" t="str">
        <f t="shared" si="1"/>
        <v/>
      </c>
      <c r="BA14" s="2" t="str">
        <f t="shared" si="2"/>
        <v/>
      </c>
      <c r="BB14" s="2" t="str">
        <f t="shared" si="3"/>
        <v/>
      </c>
      <c r="BC14" s="2" t="str">
        <f t="shared" si="4"/>
        <v/>
      </c>
      <c r="BD14" s="2" t="str">
        <f t="shared" si="5"/>
        <v/>
      </c>
      <c r="BE14" s="2" t="str">
        <f t="shared" si="6"/>
        <v/>
      </c>
      <c r="BF14" s="2" t="str">
        <f t="shared" si="7"/>
        <v/>
      </c>
      <c r="BG14" s="2" t="str">
        <f t="shared" si="8"/>
        <v/>
      </c>
      <c r="BH14" s="2" t="str">
        <f t="shared" si="9"/>
        <v/>
      </c>
      <c r="BJ14" s="2" t="str" cm="1">
        <f t="array" ref="BJ14">IF('NILAI CPL'!$B14&lt;&gt;"",IFERROR(_xlfn.IFS(AY14&gt;=$B$3,4,AY14&gt;=$B$4,3,AY14&gt;=$B$5,2,AY14&gt;$B$6,1),0),"")</f>
        <v/>
      </c>
      <c r="BK14" s="2" t="str" cm="1">
        <f t="array" ref="BK14">IF('NILAI CPL'!$B14&lt;&gt;"",IFERROR(_xlfn.IFS(AZ14&gt;=$B$3,4,AZ14&gt;=$B$4,3,AZ14&gt;=$B$5,2,AZ14&gt;$B$6,1),0),"")</f>
        <v/>
      </c>
      <c r="BL14" s="2" t="str" cm="1">
        <f t="array" ref="BL14">IF('NILAI CPL'!$B14&lt;&gt;"",IFERROR(_xlfn.IFS(BA14&gt;=$B$3,4,BA14&gt;=$B$4,3,BA14&gt;=$B$5,2,BA14&gt;$B$6,1),0),"")</f>
        <v/>
      </c>
      <c r="BM14" s="2" t="str" cm="1">
        <f t="array" ref="BM14">IF('NILAI CPL'!$B14&lt;&gt;"",IFERROR(_xlfn.IFS(BB14&gt;=$B$3,4,BB14&gt;=$B$4,3,BB14&gt;=$B$5,2,BB14&gt;$B$6,1),0),"")</f>
        <v/>
      </c>
      <c r="BN14" s="2" t="str" cm="1">
        <f t="array" ref="BN14">IF('NILAI CPL'!$B14&lt;&gt;"",IFERROR(_xlfn.IFS(BC14&gt;=$B$3,4,BC14&gt;=$B$4,3,BC14&gt;=$B$5,2,BC14&gt;$B$6,1),0),"")</f>
        <v/>
      </c>
      <c r="BO14" s="2" t="str" cm="1">
        <f t="array" ref="BO14">IF('NILAI CPL'!$B14&lt;&gt;"",IFERROR(_xlfn.IFS(BD14&gt;=$B$3,4,BD14&gt;=$B$4,3,BD14&gt;=$B$5,2,BD14&gt;$B$6,1),0),"")</f>
        <v/>
      </c>
      <c r="BP14" s="2" t="str" cm="1">
        <f t="array" ref="BP14">IF('NILAI CPL'!$B14&lt;&gt;"",IFERROR(_xlfn.IFS(BE14&gt;=$B$3,4,BE14&gt;=$B$4,3,BE14&gt;=$B$5,2,BE14&gt;$B$6,1),0),"")</f>
        <v/>
      </c>
      <c r="BQ14" s="2" t="str" cm="1">
        <f t="array" ref="BQ14">IF('NILAI CPL'!$B14&lt;&gt;"",IFERROR(_xlfn.IFS(BF14&gt;=$B$3,4,BF14&gt;=$B$4,3,BF14&gt;=$B$5,2,BF14&gt;$B$6,1),0),"")</f>
        <v/>
      </c>
      <c r="BR14" s="2" t="str" cm="1">
        <f t="array" ref="BR14">IF('NILAI CPL'!$B14&lt;&gt;"",IFERROR(_xlfn.IFS(BG14&gt;=$B$3,4,BG14&gt;=$B$4,3,BG14&gt;=$B$5,2,BG14&gt;$B$6,1),0),"")</f>
        <v/>
      </c>
      <c r="BS14" s="2" t="str" cm="1">
        <f t="array" ref="BS14">IF('NILAI CPL'!$B14&lt;&gt;"",IFERROR(_xlfn.IFS(BH14&gt;=$B$3,4,BH14&gt;=$B$4,3,BH14&gt;=$B$5,2,BH14&gt;$B$6,1),0),"")</f>
        <v/>
      </c>
    </row>
    <row r="15" spans="1:71" x14ac:dyDescent="0.2">
      <c r="A15" s="2">
        <v>5</v>
      </c>
      <c r="B15" s="2" t="str">
        <f>IF(LEN(SUMMARY!B15)&gt;0, SUMMARY!B15, "")</f>
        <v/>
      </c>
      <c r="C15" s="2" t="str">
        <f>IF(LEN(SUMMARY!C15)&gt;0, SUMMARY!C15, "")</f>
        <v/>
      </c>
      <c r="E15" s="2" t="str" cm="1">
        <f t="array" ref="E15">IF('NILAI CPL'!$B15&lt;&gt;"",IFERROR(JumlahPI(ROW(),COLUMN()),0),"")</f>
        <v/>
      </c>
      <c r="F15" s="2" t="str" cm="1">
        <f t="array" ref="F15">IF('NILAI CPL'!$B15&lt;&gt;"",IFERROR(JumlahPI(ROW(),COLUMN()),0),"")</f>
        <v/>
      </c>
      <c r="G15" s="2" t="str" cm="1">
        <f t="array" ref="G15">IF('NILAI CPL'!$B15&lt;&gt;"",IFERROR(JumlahPI(ROW(),COLUMN()),0),"")</f>
        <v/>
      </c>
      <c r="H15" s="2" t="str" cm="1">
        <f t="array" ref="H15">IF('NILAI CPL'!$B15&lt;&gt;"",IFERROR(JumlahPI(ROW(),COLUMN()),0),"")</f>
        <v/>
      </c>
      <c r="I15" s="2" t="str" cm="1">
        <f t="array" ref="I15">IF('NILAI CPL'!$B15&lt;&gt;"",IFERROR(JumlahPI(ROW(),COLUMN()),0),"")</f>
        <v/>
      </c>
      <c r="J15" s="2" t="str" cm="1">
        <f t="array" ref="J15">IF('NILAI CPL'!$B15&lt;&gt;"",IFERROR(JumlahPI(ROW(),COLUMN()),0),"")</f>
        <v/>
      </c>
      <c r="K15" s="2" t="str" cm="1">
        <f t="array" ref="K15">IF('NILAI CPL'!$B15&lt;&gt;"",IFERROR(JumlahPI(ROW(),COLUMN()),0),"")</f>
        <v/>
      </c>
      <c r="L15" s="2" t="str" cm="1">
        <f t="array" ref="L15">IF('NILAI CPL'!$B15&lt;&gt;"",IFERROR(JumlahPI(ROW(),COLUMN()),0),"")</f>
        <v/>
      </c>
      <c r="M15" s="2" t="str" cm="1">
        <f t="array" ref="M15">IF('NILAI CPL'!$B15&lt;&gt;"",IFERROR(JumlahPI(ROW(),COLUMN()),0),"")</f>
        <v/>
      </c>
      <c r="N15" s="2" t="str" cm="1">
        <f t="array" ref="N15">IF('NILAI CPL'!$B15&lt;&gt;"",IFERROR(JumlahPI(ROW(),COLUMN()),0),"")</f>
        <v/>
      </c>
      <c r="O15" s="2" t="str" cm="1">
        <f t="array" ref="O15">IF('NILAI CPL'!$B15&lt;&gt;"",IFERROR(JumlahPI(ROW(),COLUMN()),0),"")</f>
        <v/>
      </c>
      <c r="P15" s="2" t="str" cm="1">
        <f t="array" ref="P15">IF('NILAI CPL'!$B15&lt;&gt;"",IFERROR(JumlahPI(ROW(),COLUMN()),0),"")</f>
        <v/>
      </c>
      <c r="Q15" s="2" t="str" cm="1">
        <f t="array" ref="Q15">IF('NILAI CPL'!$B15&lt;&gt;"",IFERROR(JumlahPI(ROW(),COLUMN()),0),"")</f>
        <v/>
      </c>
      <c r="R15" s="2" t="str" cm="1">
        <f t="array" ref="R15">IF('NILAI CPL'!$B15&lt;&gt;"",IFERROR(JumlahPI(ROW(),COLUMN()),0),"")</f>
        <v/>
      </c>
      <c r="S15" s="2" t="str" cm="1">
        <f t="array" ref="S15">IF('NILAI CPL'!$B15&lt;&gt;"",IFERROR(JumlahPI(ROW(),COLUMN()),0),"")</f>
        <v/>
      </c>
      <c r="T15" s="2" t="str" cm="1">
        <f t="array" ref="T15">IF('NILAI CPL'!$B15&lt;&gt;"",IFERROR(JumlahPI(ROW(),COLUMN()),0),"")</f>
        <v/>
      </c>
      <c r="U15" s="2" t="str" cm="1">
        <f t="array" ref="U15">IF('NILAI CPL'!$B15&lt;&gt;"",IFERROR(JumlahPI(ROW(),COLUMN()),0),"")</f>
        <v/>
      </c>
      <c r="V15" s="2" t="str" cm="1">
        <f t="array" ref="V15">IF('NILAI CPL'!$B15&lt;&gt;"",IFERROR(JumlahPI(ROW(),COLUMN()),0),"")</f>
        <v/>
      </c>
      <c r="W15" s="2" t="str" cm="1">
        <f t="array" ref="W15">IF('NILAI CPL'!$B15&lt;&gt;"",IFERROR(JumlahPI(ROW(),COLUMN()),0),"")</f>
        <v/>
      </c>
      <c r="X15" s="2" t="str" cm="1">
        <f t="array" ref="X15">IF('NILAI CPL'!$B15&lt;&gt;"",IFERROR(JumlahPI(ROW(),COLUMN()),0),"")</f>
        <v/>
      </c>
      <c r="Y15" s="2" t="str" cm="1">
        <f t="array" ref="Y15">IF('NILAI CPL'!$B15&lt;&gt;"",IFERROR(JumlahPI(ROW(),COLUMN()),0),"")</f>
        <v/>
      </c>
      <c r="Z15" s="2" t="str" cm="1">
        <f t="array" ref="Z15">IF('NILAI CPL'!$B15&lt;&gt;"",IFERROR(JumlahPI(ROW(),COLUMN()),0),"")</f>
        <v/>
      </c>
      <c r="AB15" s="2" t="str" cm="1">
        <f t="array" ref="AB15">IF('NILAI CPL'!$B15&lt;&gt;"",IFERROR(_xlfn.IFS(E15&gt;=$B$3,4,E15&gt;=$B$4,3,E15&gt;=$B$5,2,E15&gt;$B$6,1),0),"")</f>
        <v/>
      </c>
      <c r="AC15" s="2" t="str" cm="1">
        <f t="array" ref="AC15">IF('NILAI CPL'!$B15&lt;&gt;"",IFERROR(_xlfn.IFS(F15&gt;=$B$3,4,F15&gt;=$B$4,3,F15&gt;=$B$5,2,F15&gt;$B$6,1),0),"")</f>
        <v/>
      </c>
      <c r="AD15" s="2" t="str" cm="1">
        <f t="array" ref="AD15">IF('NILAI CPL'!$B15&lt;&gt;"",IFERROR(_xlfn.IFS(G15&gt;=$B$3,4,G15&gt;=$B$4,3,G15&gt;=$B$5,2,G15&gt;$B$6,1),0),"")</f>
        <v/>
      </c>
      <c r="AE15" s="2" t="str" cm="1">
        <f t="array" ref="AE15">IF('NILAI CPL'!$B15&lt;&gt;"",IFERROR(_xlfn.IFS(H15&gt;=$B$3,4,H15&gt;=$B$4,3,H15&gt;=$B$5,2,H15&gt;$B$6,1),0),"")</f>
        <v/>
      </c>
      <c r="AF15" s="2" t="str" cm="1">
        <f t="array" ref="AF15">IF('NILAI CPL'!$B15&lt;&gt;"",IFERROR(_xlfn.IFS(I15&gt;=$B$3,4,I15&gt;=$B$4,3,I15&gt;=$B$5,2,I15&gt;$B$6,1),0),"")</f>
        <v/>
      </c>
      <c r="AG15" s="2" t="str" cm="1">
        <f t="array" ref="AG15">IF('NILAI CPL'!$B15&lt;&gt;"",IFERROR(_xlfn.IFS(J15&gt;=$B$3,4,J15&gt;=$B$4,3,J15&gt;=$B$5,2,J15&gt;$B$6,1),0),"")</f>
        <v/>
      </c>
      <c r="AH15" s="2" t="str" cm="1">
        <f t="array" ref="AH15">IF('NILAI CPL'!$B15&lt;&gt;"",IFERROR(_xlfn.IFS(K15&gt;=$B$3,4,K15&gt;=$B$4,3,K15&gt;=$B$5,2,K15&gt;$B$6,1),0),"")</f>
        <v/>
      </c>
      <c r="AI15" s="2" t="str" cm="1">
        <f t="array" ref="AI15">IF('NILAI CPL'!$B15&lt;&gt;"",IFERROR(_xlfn.IFS(L15&gt;=$B$3,4,L15&gt;=$B$4,3,L15&gt;=$B$5,2,L15&gt;$B$6,1),0),"")</f>
        <v/>
      </c>
      <c r="AJ15" s="2" t="str" cm="1">
        <f t="array" ref="AJ15">IF('NILAI CPL'!$B15&lt;&gt;"",IFERROR(_xlfn.IFS(M15&gt;=$B$3,4,M15&gt;=$B$4,3,M15&gt;=$B$5,2,M15&gt;$B$6,1),0),"")</f>
        <v/>
      </c>
      <c r="AK15" s="2" t="str" cm="1">
        <f t="array" ref="AK15">IF('NILAI CPL'!$B15&lt;&gt;"",IFERROR(_xlfn.IFS(N15&gt;=$B$3,4,N15&gt;=$B$4,3,N15&gt;=$B$5,2,N15&gt;$B$6,1),0),"")</f>
        <v/>
      </c>
      <c r="AL15" s="2" t="str" cm="1">
        <f t="array" ref="AL15">IF('NILAI CPL'!$B15&lt;&gt;"",IFERROR(_xlfn.IFS(O15&gt;=$B$3,4,O15&gt;=$B$4,3,O15&gt;=$B$5,2,O15&gt;$B$6,1),0),"")</f>
        <v/>
      </c>
      <c r="AM15" s="2" t="str" cm="1">
        <f t="array" ref="AM15">IF('NILAI CPL'!$B15&lt;&gt;"",IFERROR(_xlfn.IFS(P15&gt;=$B$3,4,P15&gt;=$B$4,3,P15&gt;=$B$5,2,P15&gt;$B$6,1),0),"")</f>
        <v/>
      </c>
      <c r="AN15" s="2" t="str" cm="1">
        <f t="array" ref="AN15">IF('NILAI CPL'!$B15&lt;&gt;"",IFERROR(_xlfn.IFS(Q15&gt;=$B$3,4,Q15&gt;=$B$4,3,Q15&gt;=$B$5,2,Q15&gt;$B$6,1),0),"")</f>
        <v/>
      </c>
      <c r="AO15" s="2" t="str" cm="1">
        <f t="array" ref="AO15">IF('NILAI CPL'!$B15&lt;&gt;"",IFERROR(_xlfn.IFS(R15&gt;=$B$3,4,R15&gt;=$B$4,3,R15&gt;=$B$5,2,R15&gt;$B$6,1),0),"")</f>
        <v/>
      </c>
      <c r="AP15" s="2" t="str" cm="1">
        <f t="array" ref="AP15">IF('NILAI CPL'!$B15&lt;&gt;"",IFERROR(_xlfn.IFS(S15&gt;=$B$3,4,S15&gt;=$B$4,3,S15&gt;=$B$5,2,S15&gt;$B$6,1),0),"")</f>
        <v/>
      </c>
      <c r="AQ15" s="2" t="str" cm="1">
        <f t="array" ref="AQ15">IF('NILAI CPL'!$B15&lt;&gt;"",IFERROR(_xlfn.IFS(T15&gt;=$B$3,4,T15&gt;=$B$4,3,T15&gt;=$B$5,2,T15&gt;$B$6,1),0),"")</f>
        <v/>
      </c>
      <c r="AR15" s="2" t="str" cm="1">
        <f t="array" ref="AR15">IF('NILAI CPL'!$B15&lt;&gt;"",IFERROR(_xlfn.IFS(U15&gt;=$B$3,4,U15&gt;=$B$4,3,U15&gt;=$B$5,2,U15&gt;$B$6,1),0),"")</f>
        <v/>
      </c>
      <c r="AS15" s="2" t="str" cm="1">
        <f t="array" ref="AS15">IF('NILAI CPL'!$B15&lt;&gt;"",IFERROR(_xlfn.IFS(V15&gt;=$B$3,4,V15&gt;=$B$4,3,V15&gt;=$B$5,2,V15&gt;$B$6,1),0),"")</f>
        <v/>
      </c>
      <c r="AT15" s="2" t="str" cm="1">
        <f t="array" ref="AT15">IF('NILAI CPL'!$B15&lt;&gt;"",IFERROR(_xlfn.IFS(W15&gt;=$B$3,4,W15&gt;=$B$4,3,W15&gt;=$B$5,2,W15&gt;$B$6,1),0),"")</f>
        <v/>
      </c>
      <c r="AU15" s="2" t="str" cm="1">
        <f t="array" ref="AU15">IF('NILAI CPL'!$B15&lt;&gt;"",IFERROR(_xlfn.IFS(X15&gt;=$B$3,4,X15&gt;=$B$4,3,X15&gt;=$B$5,2,X15&gt;$B$6,1),0),"")</f>
        <v/>
      </c>
      <c r="AV15" s="2" t="str" cm="1">
        <f t="array" ref="AV15">IF('NILAI CPL'!$B15&lt;&gt;"",IFERROR(_xlfn.IFS(Y15&gt;=$B$3,4,Y15&gt;=$B$4,3,Y15&gt;=$B$5,2,Y15&gt;$B$6,1),0),"")</f>
        <v/>
      </c>
      <c r="AW15" s="2" t="str" cm="1">
        <f t="array" ref="AW15">IF('NILAI CPL'!$B15&lt;&gt;"",IFERROR(_xlfn.IFS(Z15&gt;=$B$3,4,Z15&gt;=$B$4,3,Z15&gt;=$B$5,2,Z15&gt;$B$6,1),0),"")</f>
        <v/>
      </c>
      <c r="AY15" s="2" t="str">
        <f t="shared" si="0"/>
        <v/>
      </c>
      <c r="AZ15" s="2" t="str">
        <f t="shared" si="1"/>
        <v/>
      </c>
      <c r="BA15" s="2" t="str">
        <f t="shared" si="2"/>
        <v/>
      </c>
      <c r="BB15" s="2" t="str">
        <f t="shared" si="3"/>
        <v/>
      </c>
      <c r="BC15" s="2" t="str">
        <f t="shared" si="4"/>
        <v/>
      </c>
      <c r="BD15" s="2" t="str">
        <f t="shared" si="5"/>
        <v/>
      </c>
      <c r="BE15" s="2" t="str">
        <f t="shared" si="6"/>
        <v/>
      </c>
      <c r="BF15" s="2" t="str">
        <f t="shared" si="7"/>
        <v/>
      </c>
      <c r="BG15" s="2" t="str">
        <f t="shared" si="8"/>
        <v/>
      </c>
      <c r="BH15" s="2" t="str">
        <f t="shared" si="9"/>
        <v/>
      </c>
      <c r="BJ15" s="2" t="str" cm="1">
        <f t="array" ref="BJ15">IF('NILAI CPL'!$B15&lt;&gt;"",IFERROR(_xlfn.IFS(AY15&gt;=$B$3,4,AY15&gt;=$B$4,3,AY15&gt;=$B$5,2,AY15&gt;$B$6,1),0),"")</f>
        <v/>
      </c>
      <c r="BK15" s="2" t="str" cm="1">
        <f t="array" ref="BK15">IF('NILAI CPL'!$B15&lt;&gt;"",IFERROR(_xlfn.IFS(AZ15&gt;=$B$3,4,AZ15&gt;=$B$4,3,AZ15&gt;=$B$5,2,AZ15&gt;$B$6,1),0),"")</f>
        <v/>
      </c>
      <c r="BL15" s="2" t="str" cm="1">
        <f t="array" ref="BL15">IF('NILAI CPL'!$B15&lt;&gt;"",IFERROR(_xlfn.IFS(BA15&gt;=$B$3,4,BA15&gt;=$B$4,3,BA15&gt;=$B$5,2,BA15&gt;$B$6,1),0),"")</f>
        <v/>
      </c>
      <c r="BM15" s="2" t="str" cm="1">
        <f t="array" ref="BM15">IF('NILAI CPL'!$B15&lt;&gt;"",IFERROR(_xlfn.IFS(BB15&gt;=$B$3,4,BB15&gt;=$B$4,3,BB15&gt;=$B$5,2,BB15&gt;$B$6,1),0),"")</f>
        <v/>
      </c>
      <c r="BN15" s="2" t="str" cm="1">
        <f t="array" ref="BN15">IF('NILAI CPL'!$B15&lt;&gt;"",IFERROR(_xlfn.IFS(BC15&gt;=$B$3,4,BC15&gt;=$B$4,3,BC15&gt;=$B$5,2,BC15&gt;$B$6,1),0),"")</f>
        <v/>
      </c>
      <c r="BO15" s="2" t="str" cm="1">
        <f t="array" ref="BO15">IF('NILAI CPL'!$B15&lt;&gt;"",IFERROR(_xlfn.IFS(BD15&gt;=$B$3,4,BD15&gt;=$B$4,3,BD15&gt;=$B$5,2,BD15&gt;$B$6,1),0),"")</f>
        <v/>
      </c>
      <c r="BP15" s="2" t="str" cm="1">
        <f t="array" ref="BP15">IF('NILAI CPL'!$B15&lt;&gt;"",IFERROR(_xlfn.IFS(BE15&gt;=$B$3,4,BE15&gt;=$B$4,3,BE15&gt;=$B$5,2,BE15&gt;$B$6,1),0),"")</f>
        <v/>
      </c>
      <c r="BQ15" s="2" t="str" cm="1">
        <f t="array" ref="BQ15">IF('NILAI CPL'!$B15&lt;&gt;"",IFERROR(_xlfn.IFS(BF15&gt;=$B$3,4,BF15&gt;=$B$4,3,BF15&gt;=$B$5,2,BF15&gt;$B$6,1),0),"")</f>
        <v/>
      </c>
      <c r="BR15" s="2" t="str" cm="1">
        <f t="array" ref="BR15">IF('NILAI CPL'!$B15&lt;&gt;"",IFERROR(_xlfn.IFS(BG15&gt;=$B$3,4,BG15&gt;=$B$4,3,BG15&gt;=$B$5,2,BG15&gt;$B$6,1),0),"")</f>
        <v/>
      </c>
      <c r="BS15" s="2" t="str" cm="1">
        <f t="array" ref="BS15">IF('NILAI CPL'!$B15&lt;&gt;"",IFERROR(_xlfn.IFS(BH15&gt;=$B$3,4,BH15&gt;=$B$4,3,BH15&gt;=$B$5,2,BH15&gt;$B$6,1),0),"")</f>
        <v/>
      </c>
    </row>
    <row r="16" spans="1:71" x14ac:dyDescent="0.2">
      <c r="A16" s="2">
        <v>6</v>
      </c>
      <c r="B16" s="2" t="str">
        <f>IF(LEN(SUMMARY!B16)&gt;0, SUMMARY!B16, "")</f>
        <v/>
      </c>
      <c r="C16" s="2" t="str">
        <f>IF(LEN(SUMMARY!C16)&gt;0, SUMMARY!C16, "")</f>
        <v/>
      </c>
      <c r="E16" s="2" t="str" cm="1">
        <f t="array" ref="E16">IF('NILAI CPL'!$B16&lt;&gt;"",IFERROR(JumlahPI(ROW(),COLUMN()),0),"")</f>
        <v/>
      </c>
      <c r="F16" s="2" t="str" cm="1">
        <f t="array" ref="F16">IF('NILAI CPL'!$B16&lt;&gt;"",IFERROR(JumlahPI(ROW(),COLUMN()),0),"")</f>
        <v/>
      </c>
      <c r="G16" s="2" t="str" cm="1">
        <f t="array" ref="G16">IF('NILAI CPL'!$B16&lt;&gt;"",IFERROR(JumlahPI(ROW(),COLUMN()),0),"")</f>
        <v/>
      </c>
      <c r="H16" s="2" t="str" cm="1">
        <f t="array" ref="H16">IF('NILAI CPL'!$B16&lt;&gt;"",IFERROR(JumlahPI(ROW(),COLUMN()),0),"")</f>
        <v/>
      </c>
      <c r="I16" s="2" t="str" cm="1">
        <f t="array" ref="I16">IF('NILAI CPL'!$B16&lt;&gt;"",IFERROR(JumlahPI(ROW(),COLUMN()),0),"")</f>
        <v/>
      </c>
      <c r="J16" s="2" t="str" cm="1">
        <f t="array" ref="J16">IF('NILAI CPL'!$B16&lt;&gt;"",IFERROR(JumlahPI(ROW(),COLUMN()),0),"")</f>
        <v/>
      </c>
      <c r="K16" s="2" t="str" cm="1">
        <f t="array" ref="K16">IF('NILAI CPL'!$B16&lt;&gt;"",IFERROR(JumlahPI(ROW(),COLUMN()),0),"")</f>
        <v/>
      </c>
      <c r="L16" s="2" t="str" cm="1">
        <f t="array" ref="L16">IF('NILAI CPL'!$B16&lt;&gt;"",IFERROR(JumlahPI(ROW(),COLUMN()),0),"")</f>
        <v/>
      </c>
      <c r="M16" s="2" t="str" cm="1">
        <f t="array" ref="M16">IF('NILAI CPL'!$B16&lt;&gt;"",IFERROR(JumlahPI(ROW(),COLUMN()),0),"")</f>
        <v/>
      </c>
      <c r="N16" s="2" t="str" cm="1">
        <f t="array" ref="N16">IF('NILAI CPL'!$B16&lt;&gt;"",IFERROR(JumlahPI(ROW(),COLUMN()),0),"")</f>
        <v/>
      </c>
      <c r="O16" s="2" t="str" cm="1">
        <f t="array" ref="O16">IF('NILAI CPL'!$B16&lt;&gt;"",IFERROR(JumlahPI(ROW(),COLUMN()),0),"")</f>
        <v/>
      </c>
      <c r="P16" s="2" t="str" cm="1">
        <f t="array" ref="P16">IF('NILAI CPL'!$B16&lt;&gt;"",IFERROR(JumlahPI(ROW(),COLUMN()),0),"")</f>
        <v/>
      </c>
      <c r="Q16" s="2" t="str" cm="1">
        <f t="array" ref="Q16">IF('NILAI CPL'!$B16&lt;&gt;"",IFERROR(JumlahPI(ROW(),COLUMN()),0),"")</f>
        <v/>
      </c>
      <c r="R16" s="2" t="str" cm="1">
        <f t="array" ref="R16">IF('NILAI CPL'!$B16&lt;&gt;"",IFERROR(JumlahPI(ROW(),COLUMN()),0),"")</f>
        <v/>
      </c>
      <c r="S16" s="2" t="str" cm="1">
        <f t="array" ref="S16">IF('NILAI CPL'!$B16&lt;&gt;"",IFERROR(JumlahPI(ROW(),COLUMN()),0),"")</f>
        <v/>
      </c>
      <c r="T16" s="2" t="str" cm="1">
        <f t="array" ref="T16">IF('NILAI CPL'!$B16&lt;&gt;"",IFERROR(JumlahPI(ROW(),COLUMN()),0),"")</f>
        <v/>
      </c>
      <c r="U16" s="2" t="str" cm="1">
        <f t="array" ref="U16">IF('NILAI CPL'!$B16&lt;&gt;"",IFERROR(JumlahPI(ROW(),COLUMN()),0),"")</f>
        <v/>
      </c>
      <c r="V16" s="2" t="str" cm="1">
        <f t="array" ref="V16">IF('NILAI CPL'!$B16&lt;&gt;"",IFERROR(JumlahPI(ROW(),COLUMN()),0),"")</f>
        <v/>
      </c>
      <c r="W16" s="2" t="str" cm="1">
        <f t="array" ref="W16">IF('NILAI CPL'!$B16&lt;&gt;"",IFERROR(JumlahPI(ROW(),COLUMN()),0),"")</f>
        <v/>
      </c>
      <c r="X16" s="2" t="str" cm="1">
        <f t="array" ref="X16">IF('NILAI CPL'!$B16&lt;&gt;"",IFERROR(JumlahPI(ROW(),COLUMN()),0),"")</f>
        <v/>
      </c>
      <c r="Y16" s="2" t="str" cm="1">
        <f t="array" ref="Y16">IF('NILAI CPL'!$B16&lt;&gt;"",IFERROR(JumlahPI(ROW(),COLUMN()),0),"")</f>
        <v/>
      </c>
      <c r="Z16" s="2" t="str" cm="1">
        <f t="array" ref="Z16">IF('NILAI CPL'!$B16&lt;&gt;"",IFERROR(JumlahPI(ROW(),COLUMN()),0),"")</f>
        <v/>
      </c>
      <c r="AB16" s="2" t="str" cm="1">
        <f t="array" ref="AB16">IF('NILAI CPL'!$B16&lt;&gt;"",IFERROR(_xlfn.IFS(E16&gt;=$B$3,4,E16&gt;=$B$4,3,E16&gt;=$B$5,2,E16&gt;$B$6,1),0),"")</f>
        <v/>
      </c>
      <c r="AC16" s="2" t="str" cm="1">
        <f t="array" ref="AC16">IF('NILAI CPL'!$B16&lt;&gt;"",IFERROR(_xlfn.IFS(F16&gt;=$B$3,4,F16&gt;=$B$4,3,F16&gt;=$B$5,2,F16&gt;$B$6,1),0),"")</f>
        <v/>
      </c>
      <c r="AD16" s="2" t="str" cm="1">
        <f t="array" ref="AD16">IF('NILAI CPL'!$B16&lt;&gt;"",IFERROR(_xlfn.IFS(G16&gt;=$B$3,4,G16&gt;=$B$4,3,G16&gt;=$B$5,2,G16&gt;$B$6,1),0),"")</f>
        <v/>
      </c>
      <c r="AE16" s="2" t="str" cm="1">
        <f t="array" ref="AE16">IF('NILAI CPL'!$B16&lt;&gt;"",IFERROR(_xlfn.IFS(H16&gt;=$B$3,4,H16&gt;=$B$4,3,H16&gt;=$B$5,2,H16&gt;$B$6,1),0),"")</f>
        <v/>
      </c>
      <c r="AF16" s="2" t="str" cm="1">
        <f t="array" ref="AF16">IF('NILAI CPL'!$B16&lt;&gt;"",IFERROR(_xlfn.IFS(I16&gt;=$B$3,4,I16&gt;=$B$4,3,I16&gt;=$B$5,2,I16&gt;$B$6,1),0),"")</f>
        <v/>
      </c>
      <c r="AG16" s="2" t="str" cm="1">
        <f t="array" ref="AG16">IF('NILAI CPL'!$B16&lt;&gt;"",IFERROR(_xlfn.IFS(J16&gt;=$B$3,4,J16&gt;=$B$4,3,J16&gt;=$B$5,2,J16&gt;$B$6,1),0),"")</f>
        <v/>
      </c>
      <c r="AH16" s="2" t="str" cm="1">
        <f t="array" ref="AH16">IF('NILAI CPL'!$B16&lt;&gt;"",IFERROR(_xlfn.IFS(K16&gt;=$B$3,4,K16&gt;=$B$4,3,K16&gt;=$B$5,2,K16&gt;$B$6,1),0),"")</f>
        <v/>
      </c>
      <c r="AI16" s="2" t="str" cm="1">
        <f t="array" ref="AI16">IF('NILAI CPL'!$B16&lt;&gt;"",IFERROR(_xlfn.IFS(L16&gt;=$B$3,4,L16&gt;=$B$4,3,L16&gt;=$B$5,2,L16&gt;$B$6,1),0),"")</f>
        <v/>
      </c>
      <c r="AJ16" s="2" t="str" cm="1">
        <f t="array" ref="AJ16">IF('NILAI CPL'!$B16&lt;&gt;"",IFERROR(_xlfn.IFS(M16&gt;=$B$3,4,M16&gt;=$B$4,3,M16&gt;=$B$5,2,M16&gt;$B$6,1),0),"")</f>
        <v/>
      </c>
      <c r="AK16" s="2" t="str" cm="1">
        <f t="array" ref="AK16">IF('NILAI CPL'!$B16&lt;&gt;"",IFERROR(_xlfn.IFS(N16&gt;=$B$3,4,N16&gt;=$B$4,3,N16&gt;=$B$5,2,N16&gt;$B$6,1),0),"")</f>
        <v/>
      </c>
      <c r="AL16" s="2" t="str" cm="1">
        <f t="array" ref="AL16">IF('NILAI CPL'!$B16&lt;&gt;"",IFERROR(_xlfn.IFS(O16&gt;=$B$3,4,O16&gt;=$B$4,3,O16&gt;=$B$5,2,O16&gt;$B$6,1),0),"")</f>
        <v/>
      </c>
      <c r="AM16" s="2" t="str" cm="1">
        <f t="array" ref="AM16">IF('NILAI CPL'!$B16&lt;&gt;"",IFERROR(_xlfn.IFS(P16&gt;=$B$3,4,P16&gt;=$B$4,3,P16&gt;=$B$5,2,P16&gt;$B$6,1),0),"")</f>
        <v/>
      </c>
      <c r="AN16" s="2" t="str" cm="1">
        <f t="array" ref="AN16">IF('NILAI CPL'!$B16&lt;&gt;"",IFERROR(_xlfn.IFS(Q16&gt;=$B$3,4,Q16&gt;=$B$4,3,Q16&gt;=$B$5,2,Q16&gt;$B$6,1),0),"")</f>
        <v/>
      </c>
      <c r="AO16" s="2" t="str" cm="1">
        <f t="array" ref="AO16">IF('NILAI CPL'!$B16&lt;&gt;"",IFERROR(_xlfn.IFS(R16&gt;=$B$3,4,R16&gt;=$B$4,3,R16&gt;=$B$5,2,R16&gt;$B$6,1),0),"")</f>
        <v/>
      </c>
      <c r="AP16" s="2" t="str" cm="1">
        <f t="array" ref="AP16">IF('NILAI CPL'!$B16&lt;&gt;"",IFERROR(_xlfn.IFS(S16&gt;=$B$3,4,S16&gt;=$B$4,3,S16&gt;=$B$5,2,S16&gt;$B$6,1),0),"")</f>
        <v/>
      </c>
      <c r="AQ16" s="2" t="str" cm="1">
        <f t="array" ref="AQ16">IF('NILAI CPL'!$B16&lt;&gt;"",IFERROR(_xlfn.IFS(T16&gt;=$B$3,4,T16&gt;=$B$4,3,T16&gt;=$B$5,2,T16&gt;$B$6,1),0),"")</f>
        <v/>
      </c>
      <c r="AR16" s="2" t="str" cm="1">
        <f t="array" ref="AR16">IF('NILAI CPL'!$B16&lt;&gt;"",IFERROR(_xlfn.IFS(U16&gt;=$B$3,4,U16&gt;=$B$4,3,U16&gt;=$B$5,2,U16&gt;$B$6,1),0),"")</f>
        <v/>
      </c>
      <c r="AS16" s="2" t="str" cm="1">
        <f t="array" ref="AS16">IF('NILAI CPL'!$B16&lt;&gt;"",IFERROR(_xlfn.IFS(V16&gt;=$B$3,4,V16&gt;=$B$4,3,V16&gt;=$B$5,2,V16&gt;$B$6,1),0),"")</f>
        <v/>
      </c>
      <c r="AT16" s="2" t="str" cm="1">
        <f t="array" ref="AT16">IF('NILAI CPL'!$B16&lt;&gt;"",IFERROR(_xlfn.IFS(W16&gt;=$B$3,4,W16&gt;=$B$4,3,W16&gt;=$B$5,2,W16&gt;$B$6,1),0),"")</f>
        <v/>
      </c>
      <c r="AU16" s="2" t="str" cm="1">
        <f t="array" ref="AU16">IF('NILAI CPL'!$B16&lt;&gt;"",IFERROR(_xlfn.IFS(X16&gt;=$B$3,4,X16&gt;=$B$4,3,X16&gt;=$B$5,2,X16&gt;$B$6,1),0),"")</f>
        <v/>
      </c>
      <c r="AV16" s="2" t="str" cm="1">
        <f t="array" ref="AV16">IF('NILAI CPL'!$B16&lt;&gt;"",IFERROR(_xlfn.IFS(Y16&gt;=$B$3,4,Y16&gt;=$B$4,3,Y16&gt;=$B$5,2,Y16&gt;$B$6,1),0),"")</f>
        <v/>
      </c>
      <c r="AW16" s="2" t="str" cm="1">
        <f t="array" ref="AW16">IF('NILAI CPL'!$B16&lt;&gt;"",IFERROR(_xlfn.IFS(Z16&gt;=$B$3,4,Z16&gt;=$B$4,3,Z16&gt;=$B$5,2,Z16&gt;$B$6,1),0),"")</f>
        <v/>
      </c>
      <c r="AY16" s="2" t="str">
        <f t="shared" si="0"/>
        <v/>
      </c>
      <c r="AZ16" s="2" t="str">
        <f t="shared" si="1"/>
        <v/>
      </c>
      <c r="BA16" s="2" t="str">
        <f t="shared" si="2"/>
        <v/>
      </c>
      <c r="BB16" s="2" t="str">
        <f t="shared" si="3"/>
        <v/>
      </c>
      <c r="BC16" s="2" t="str">
        <f t="shared" si="4"/>
        <v/>
      </c>
      <c r="BD16" s="2" t="str">
        <f t="shared" si="5"/>
        <v/>
      </c>
      <c r="BE16" s="2" t="str">
        <f t="shared" si="6"/>
        <v/>
      </c>
      <c r="BF16" s="2" t="str">
        <f t="shared" si="7"/>
        <v/>
      </c>
      <c r="BG16" s="2" t="str">
        <f t="shared" si="8"/>
        <v/>
      </c>
      <c r="BH16" s="2" t="str">
        <f t="shared" si="9"/>
        <v/>
      </c>
      <c r="BJ16" s="2" t="str" cm="1">
        <f t="array" ref="BJ16">IF('NILAI CPL'!$B16&lt;&gt;"",IFERROR(_xlfn.IFS(AY16&gt;=$B$3,4,AY16&gt;=$B$4,3,AY16&gt;=$B$5,2,AY16&gt;$B$6,1),0),"")</f>
        <v/>
      </c>
      <c r="BK16" s="2" t="str" cm="1">
        <f t="array" ref="BK16">IF('NILAI CPL'!$B16&lt;&gt;"",IFERROR(_xlfn.IFS(AZ16&gt;=$B$3,4,AZ16&gt;=$B$4,3,AZ16&gt;=$B$5,2,AZ16&gt;$B$6,1),0),"")</f>
        <v/>
      </c>
      <c r="BL16" s="2" t="str" cm="1">
        <f t="array" ref="BL16">IF('NILAI CPL'!$B16&lt;&gt;"",IFERROR(_xlfn.IFS(BA16&gt;=$B$3,4,BA16&gt;=$B$4,3,BA16&gt;=$B$5,2,BA16&gt;$B$6,1),0),"")</f>
        <v/>
      </c>
      <c r="BM16" s="2" t="str" cm="1">
        <f t="array" ref="BM16">IF('NILAI CPL'!$B16&lt;&gt;"",IFERROR(_xlfn.IFS(BB16&gt;=$B$3,4,BB16&gt;=$B$4,3,BB16&gt;=$B$5,2,BB16&gt;$B$6,1),0),"")</f>
        <v/>
      </c>
      <c r="BN16" s="2" t="str" cm="1">
        <f t="array" ref="BN16">IF('NILAI CPL'!$B16&lt;&gt;"",IFERROR(_xlfn.IFS(BC16&gt;=$B$3,4,BC16&gt;=$B$4,3,BC16&gt;=$B$5,2,BC16&gt;$B$6,1),0),"")</f>
        <v/>
      </c>
      <c r="BO16" s="2" t="str" cm="1">
        <f t="array" ref="BO16">IF('NILAI CPL'!$B16&lt;&gt;"",IFERROR(_xlfn.IFS(BD16&gt;=$B$3,4,BD16&gt;=$B$4,3,BD16&gt;=$B$5,2,BD16&gt;$B$6,1),0),"")</f>
        <v/>
      </c>
      <c r="BP16" s="2" t="str" cm="1">
        <f t="array" ref="BP16">IF('NILAI CPL'!$B16&lt;&gt;"",IFERROR(_xlfn.IFS(BE16&gt;=$B$3,4,BE16&gt;=$B$4,3,BE16&gt;=$B$5,2,BE16&gt;$B$6,1),0),"")</f>
        <v/>
      </c>
      <c r="BQ16" s="2" t="str" cm="1">
        <f t="array" ref="BQ16">IF('NILAI CPL'!$B16&lt;&gt;"",IFERROR(_xlfn.IFS(BF16&gt;=$B$3,4,BF16&gt;=$B$4,3,BF16&gt;=$B$5,2,BF16&gt;$B$6,1),0),"")</f>
        <v/>
      </c>
      <c r="BR16" s="2" t="str" cm="1">
        <f t="array" ref="BR16">IF('NILAI CPL'!$B16&lt;&gt;"",IFERROR(_xlfn.IFS(BG16&gt;=$B$3,4,BG16&gt;=$B$4,3,BG16&gt;=$B$5,2,BG16&gt;$B$6,1),0),"")</f>
        <v/>
      </c>
      <c r="BS16" s="2" t="str" cm="1">
        <f t="array" ref="BS16">IF('NILAI CPL'!$B16&lt;&gt;"",IFERROR(_xlfn.IFS(BH16&gt;=$B$3,4,BH16&gt;=$B$4,3,BH16&gt;=$B$5,2,BH16&gt;$B$6,1),0),"")</f>
        <v/>
      </c>
    </row>
    <row r="17" spans="1:71" x14ac:dyDescent="0.2">
      <c r="A17" s="2">
        <v>7</v>
      </c>
      <c r="B17" s="2" t="str">
        <f>IF(LEN(SUMMARY!B17)&gt;0, SUMMARY!B17, "")</f>
        <v/>
      </c>
      <c r="C17" s="2" t="str">
        <f>IF(LEN(SUMMARY!C17)&gt;0, SUMMARY!C17, "")</f>
        <v/>
      </c>
      <c r="E17" s="2" t="str" cm="1">
        <f t="array" ref="E17">IF('NILAI CPL'!$B17&lt;&gt;"",IFERROR(JumlahPI(ROW(),COLUMN()),0),"")</f>
        <v/>
      </c>
      <c r="F17" s="2" t="str" cm="1">
        <f t="array" ref="F17">IF('NILAI CPL'!$B17&lt;&gt;"",IFERROR(JumlahPI(ROW(),COLUMN()),0),"")</f>
        <v/>
      </c>
      <c r="G17" s="2" t="str" cm="1">
        <f t="array" ref="G17">IF('NILAI CPL'!$B17&lt;&gt;"",IFERROR(JumlahPI(ROW(),COLUMN()),0),"")</f>
        <v/>
      </c>
      <c r="H17" s="2" t="str" cm="1">
        <f t="array" ref="H17">IF('NILAI CPL'!$B17&lt;&gt;"",IFERROR(JumlahPI(ROW(),COLUMN()),0),"")</f>
        <v/>
      </c>
      <c r="I17" s="2" t="str" cm="1">
        <f t="array" ref="I17">IF('NILAI CPL'!$B17&lt;&gt;"",IFERROR(JumlahPI(ROW(),COLUMN()),0),"")</f>
        <v/>
      </c>
      <c r="J17" s="2" t="str" cm="1">
        <f t="array" ref="J17">IF('NILAI CPL'!$B17&lt;&gt;"",IFERROR(JumlahPI(ROW(),COLUMN()),0),"")</f>
        <v/>
      </c>
      <c r="K17" s="2" t="str" cm="1">
        <f t="array" ref="K17">IF('NILAI CPL'!$B17&lt;&gt;"",IFERROR(JumlahPI(ROW(),COLUMN()),0),"")</f>
        <v/>
      </c>
      <c r="L17" s="2" t="str" cm="1">
        <f t="array" ref="L17">IF('NILAI CPL'!$B17&lt;&gt;"",IFERROR(JumlahPI(ROW(),COLUMN()),0),"")</f>
        <v/>
      </c>
      <c r="M17" s="2" t="str" cm="1">
        <f t="array" ref="M17">IF('NILAI CPL'!$B17&lt;&gt;"",IFERROR(JumlahPI(ROW(),COLUMN()),0),"")</f>
        <v/>
      </c>
      <c r="N17" s="2" t="str" cm="1">
        <f t="array" ref="N17">IF('NILAI CPL'!$B17&lt;&gt;"",IFERROR(JumlahPI(ROW(),COLUMN()),0),"")</f>
        <v/>
      </c>
      <c r="O17" s="2" t="str" cm="1">
        <f t="array" ref="O17">IF('NILAI CPL'!$B17&lt;&gt;"",IFERROR(JumlahPI(ROW(),COLUMN()),0),"")</f>
        <v/>
      </c>
      <c r="P17" s="2" t="str" cm="1">
        <f t="array" ref="P17">IF('NILAI CPL'!$B17&lt;&gt;"",IFERROR(JumlahPI(ROW(),COLUMN()),0),"")</f>
        <v/>
      </c>
      <c r="Q17" s="2" t="str" cm="1">
        <f t="array" ref="Q17">IF('NILAI CPL'!$B17&lt;&gt;"",IFERROR(JumlahPI(ROW(),COLUMN()),0),"")</f>
        <v/>
      </c>
      <c r="R17" s="2" t="str" cm="1">
        <f t="array" ref="R17">IF('NILAI CPL'!$B17&lt;&gt;"",IFERROR(JumlahPI(ROW(),COLUMN()),0),"")</f>
        <v/>
      </c>
      <c r="S17" s="2" t="str" cm="1">
        <f t="array" ref="S17">IF('NILAI CPL'!$B17&lt;&gt;"",IFERROR(JumlahPI(ROW(),COLUMN()),0),"")</f>
        <v/>
      </c>
      <c r="T17" s="2" t="str" cm="1">
        <f t="array" ref="T17">IF('NILAI CPL'!$B17&lt;&gt;"",IFERROR(JumlahPI(ROW(),COLUMN()),0),"")</f>
        <v/>
      </c>
      <c r="U17" s="2" t="str" cm="1">
        <f t="array" ref="U17">IF('NILAI CPL'!$B17&lt;&gt;"",IFERROR(JumlahPI(ROW(),COLUMN()),0),"")</f>
        <v/>
      </c>
      <c r="V17" s="2" t="str" cm="1">
        <f t="array" ref="V17">IF('NILAI CPL'!$B17&lt;&gt;"",IFERROR(JumlahPI(ROW(),COLUMN()),0),"")</f>
        <v/>
      </c>
      <c r="W17" s="2" t="str" cm="1">
        <f t="array" ref="W17">IF('NILAI CPL'!$B17&lt;&gt;"",IFERROR(JumlahPI(ROW(),COLUMN()),0),"")</f>
        <v/>
      </c>
      <c r="X17" s="2" t="str" cm="1">
        <f t="array" ref="X17">IF('NILAI CPL'!$B17&lt;&gt;"",IFERROR(JumlahPI(ROW(),COLUMN()),0),"")</f>
        <v/>
      </c>
      <c r="Y17" s="2" t="str" cm="1">
        <f t="array" ref="Y17">IF('NILAI CPL'!$B17&lt;&gt;"",IFERROR(JumlahPI(ROW(),COLUMN()),0),"")</f>
        <v/>
      </c>
      <c r="Z17" s="2" t="str" cm="1">
        <f t="array" ref="Z17">IF('NILAI CPL'!$B17&lt;&gt;"",IFERROR(JumlahPI(ROW(),COLUMN()),0),"")</f>
        <v/>
      </c>
      <c r="AB17" s="2" t="str" cm="1">
        <f t="array" ref="AB17">IF('NILAI CPL'!$B17&lt;&gt;"",IFERROR(_xlfn.IFS(E17&gt;=$B$3,4,E17&gt;=$B$4,3,E17&gt;=$B$5,2,E17&gt;$B$6,1),0),"")</f>
        <v/>
      </c>
      <c r="AC17" s="2" t="str" cm="1">
        <f t="array" ref="AC17">IF('NILAI CPL'!$B17&lt;&gt;"",IFERROR(_xlfn.IFS(F17&gt;=$B$3,4,F17&gt;=$B$4,3,F17&gt;=$B$5,2,F17&gt;$B$6,1),0),"")</f>
        <v/>
      </c>
      <c r="AD17" s="2" t="str" cm="1">
        <f t="array" ref="AD17">IF('NILAI CPL'!$B17&lt;&gt;"",IFERROR(_xlfn.IFS(G17&gt;=$B$3,4,G17&gt;=$B$4,3,G17&gt;=$B$5,2,G17&gt;$B$6,1),0),"")</f>
        <v/>
      </c>
      <c r="AE17" s="2" t="str" cm="1">
        <f t="array" ref="AE17">IF('NILAI CPL'!$B17&lt;&gt;"",IFERROR(_xlfn.IFS(H17&gt;=$B$3,4,H17&gt;=$B$4,3,H17&gt;=$B$5,2,H17&gt;$B$6,1),0),"")</f>
        <v/>
      </c>
      <c r="AF17" s="2" t="str" cm="1">
        <f t="array" ref="AF17">IF('NILAI CPL'!$B17&lt;&gt;"",IFERROR(_xlfn.IFS(I17&gt;=$B$3,4,I17&gt;=$B$4,3,I17&gt;=$B$5,2,I17&gt;$B$6,1),0),"")</f>
        <v/>
      </c>
      <c r="AG17" s="2" t="str" cm="1">
        <f t="array" ref="AG17">IF('NILAI CPL'!$B17&lt;&gt;"",IFERROR(_xlfn.IFS(J17&gt;=$B$3,4,J17&gt;=$B$4,3,J17&gt;=$B$5,2,J17&gt;$B$6,1),0),"")</f>
        <v/>
      </c>
      <c r="AH17" s="2" t="str" cm="1">
        <f t="array" ref="AH17">IF('NILAI CPL'!$B17&lt;&gt;"",IFERROR(_xlfn.IFS(K17&gt;=$B$3,4,K17&gt;=$B$4,3,K17&gt;=$B$5,2,K17&gt;$B$6,1),0),"")</f>
        <v/>
      </c>
      <c r="AI17" s="2" t="str" cm="1">
        <f t="array" ref="AI17">IF('NILAI CPL'!$B17&lt;&gt;"",IFERROR(_xlfn.IFS(L17&gt;=$B$3,4,L17&gt;=$B$4,3,L17&gt;=$B$5,2,L17&gt;$B$6,1),0),"")</f>
        <v/>
      </c>
      <c r="AJ17" s="2" t="str" cm="1">
        <f t="array" ref="AJ17">IF('NILAI CPL'!$B17&lt;&gt;"",IFERROR(_xlfn.IFS(M17&gt;=$B$3,4,M17&gt;=$B$4,3,M17&gt;=$B$5,2,M17&gt;$B$6,1),0),"")</f>
        <v/>
      </c>
      <c r="AK17" s="2" t="str" cm="1">
        <f t="array" ref="AK17">IF('NILAI CPL'!$B17&lt;&gt;"",IFERROR(_xlfn.IFS(N17&gt;=$B$3,4,N17&gt;=$B$4,3,N17&gt;=$B$5,2,N17&gt;$B$6,1),0),"")</f>
        <v/>
      </c>
      <c r="AL17" s="2" t="str" cm="1">
        <f t="array" ref="AL17">IF('NILAI CPL'!$B17&lt;&gt;"",IFERROR(_xlfn.IFS(O17&gt;=$B$3,4,O17&gt;=$B$4,3,O17&gt;=$B$5,2,O17&gt;$B$6,1),0),"")</f>
        <v/>
      </c>
      <c r="AM17" s="2" t="str" cm="1">
        <f t="array" ref="AM17">IF('NILAI CPL'!$B17&lt;&gt;"",IFERROR(_xlfn.IFS(P17&gt;=$B$3,4,P17&gt;=$B$4,3,P17&gt;=$B$5,2,P17&gt;$B$6,1),0),"")</f>
        <v/>
      </c>
      <c r="AN17" s="2" t="str" cm="1">
        <f t="array" ref="AN17">IF('NILAI CPL'!$B17&lt;&gt;"",IFERROR(_xlfn.IFS(Q17&gt;=$B$3,4,Q17&gt;=$B$4,3,Q17&gt;=$B$5,2,Q17&gt;$B$6,1),0),"")</f>
        <v/>
      </c>
      <c r="AO17" s="2" t="str" cm="1">
        <f t="array" ref="AO17">IF('NILAI CPL'!$B17&lt;&gt;"",IFERROR(_xlfn.IFS(R17&gt;=$B$3,4,R17&gt;=$B$4,3,R17&gt;=$B$5,2,R17&gt;$B$6,1),0),"")</f>
        <v/>
      </c>
      <c r="AP17" s="2" t="str" cm="1">
        <f t="array" ref="AP17">IF('NILAI CPL'!$B17&lt;&gt;"",IFERROR(_xlfn.IFS(S17&gt;=$B$3,4,S17&gt;=$B$4,3,S17&gt;=$B$5,2,S17&gt;$B$6,1),0),"")</f>
        <v/>
      </c>
      <c r="AQ17" s="2" t="str" cm="1">
        <f t="array" ref="AQ17">IF('NILAI CPL'!$B17&lt;&gt;"",IFERROR(_xlfn.IFS(T17&gt;=$B$3,4,T17&gt;=$B$4,3,T17&gt;=$B$5,2,T17&gt;$B$6,1),0),"")</f>
        <v/>
      </c>
      <c r="AR17" s="2" t="str" cm="1">
        <f t="array" ref="AR17">IF('NILAI CPL'!$B17&lt;&gt;"",IFERROR(_xlfn.IFS(U17&gt;=$B$3,4,U17&gt;=$B$4,3,U17&gt;=$B$5,2,U17&gt;$B$6,1),0),"")</f>
        <v/>
      </c>
      <c r="AS17" s="2" t="str" cm="1">
        <f t="array" ref="AS17">IF('NILAI CPL'!$B17&lt;&gt;"",IFERROR(_xlfn.IFS(V17&gt;=$B$3,4,V17&gt;=$B$4,3,V17&gt;=$B$5,2,V17&gt;$B$6,1),0),"")</f>
        <v/>
      </c>
      <c r="AT17" s="2" t="str" cm="1">
        <f t="array" ref="AT17">IF('NILAI CPL'!$B17&lt;&gt;"",IFERROR(_xlfn.IFS(W17&gt;=$B$3,4,W17&gt;=$B$4,3,W17&gt;=$B$5,2,W17&gt;$B$6,1),0),"")</f>
        <v/>
      </c>
      <c r="AU17" s="2" t="str" cm="1">
        <f t="array" ref="AU17">IF('NILAI CPL'!$B17&lt;&gt;"",IFERROR(_xlfn.IFS(X17&gt;=$B$3,4,X17&gt;=$B$4,3,X17&gt;=$B$5,2,X17&gt;$B$6,1),0),"")</f>
        <v/>
      </c>
      <c r="AV17" s="2" t="str" cm="1">
        <f t="array" ref="AV17">IF('NILAI CPL'!$B17&lt;&gt;"",IFERROR(_xlfn.IFS(Y17&gt;=$B$3,4,Y17&gt;=$B$4,3,Y17&gt;=$B$5,2,Y17&gt;$B$6,1),0),"")</f>
        <v/>
      </c>
      <c r="AW17" s="2" t="str" cm="1">
        <f t="array" ref="AW17">IF('NILAI CPL'!$B17&lt;&gt;"",IFERROR(_xlfn.IFS(Z17&gt;=$B$3,4,Z17&gt;=$B$4,3,Z17&gt;=$B$5,2,Z17&gt;$B$6,1),0),"")</f>
        <v/>
      </c>
      <c r="AY17" s="2" t="str">
        <f t="shared" si="0"/>
        <v/>
      </c>
      <c r="AZ17" s="2" t="str">
        <f t="shared" si="1"/>
        <v/>
      </c>
      <c r="BA17" s="2" t="str">
        <f t="shared" si="2"/>
        <v/>
      </c>
      <c r="BB17" s="2" t="str">
        <f t="shared" si="3"/>
        <v/>
      </c>
      <c r="BC17" s="2" t="str">
        <f t="shared" si="4"/>
        <v/>
      </c>
      <c r="BD17" s="2" t="str">
        <f t="shared" si="5"/>
        <v/>
      </c>
      <c r="BE17" s="2" t="str">
        <f t="shared" si="6"/>
        <v/>
      </c>
      <c r="BF17" s="2" t="str">
        <f t="shared" si="7"/>
        <v/>
      </c>
      <c r="BG17" s="2" t="str">
        <f t="shared" si="8"/>
        <v/>
      </c>
      <c r="BH17" s="2" t="str">
        <f t="shared" si="9"/>
        <v/>
      </c>
      <c r="BJ17" s="2" t="str" cm="1">
        <f t="array" ref="BJ17">IF('NILAI CPL'!$B17&lt;&gt;"",IFERROR(_xlfn.IFS(AY17&gt;=$B$3,4,AY17&gt;=$B$4,3,AY17&gt;=$B$5,2,AY17&gt;$B$6,1),0),"")</f>
        <v/>
      </c>
      <c r="BK17" s="2" t="str" cm="1">
        <f t="array" ref="BK17">IF('NILAI CPL'!$B17&lt;&gt;"",IFERROR(_xlfn.IFS(AZ17&gt;=$B$3,4,AZ17&gt;=$B$4,3,AZ17&gt;=$B$5,2,AZ17&gt;$B$6,1),0),"")</f>
        <v/>
      </c>
      <c r="BL17" s="2" t="str" cm="1">
        <f t="array" ref="BL17">IF('NILAI CPL'!$B17&lt;&gt;"",IFERROR(_xlfn.IFS(BA17&gt;=$B$3,4,BA17&gt;=$B$4,3,BA17&gt;=$B$5,2,BA17&gt;$B$6,1),0),"")</f>
        <v/>
      </c>
      <c r="BM17" s="2" t="str" cm="1">
        <f t="array" ref="BM17">IF('NILAI CPL'!$B17&lt;&gt;"",IFERROR(_xlfn.IFS(BB17&gt;=$B$3,4,BB17&gt;=$B$4,3,BB17&gt;=$B$5,2,BB17&gt;$B$6,1),0),"")</f>
        <v/>
      </c>
      <c r="BN17" s="2" t="str" cm="1">
        <f t="array" ref="BN17">IF('NILAI CPL'!$B17&lt;&gt;"",IFERROR(_xlfn.IFS(BC17&gt;=$B$3,4,BC17&gt;=$B$4,3,BC17&gt;=$B$5,2,BC17&gt;$B$6,1),0),"")</f>
        <v/>
      </c>
      <c r="BO17" s="2" t="str" cm="1">
        <f t="array" ref="BO17">IF('NILAI CPL'!$B17&lt;&gt;"",IFERROR(_xlfn.IFS(BD17&gt;=$B$3,4,BD17&gt;=$B$4,3,BD17&gt;=$B$5,2,BD17&gt;$B$6,1),0),"")</f>
        <v/>
      </c>
      <c r="BP17" s="2" t="str" cm="1">
        <f t="array" ref="BP17">IF('NILAI CPL'!$B17&lt;&gt;"",IFERROR(_xlfn.IFS(BE17&gt;=$B$3,4,BE17&gt;=$B$4,3,BE17&gt;=$B$5,2,BE17&gt;$B$6,1),0),"")</f>
        <v/>
      </c>
      <c r="BQ17" s="2" t="str" cm="1">
        <f t="array" ref="BQ17">IF('NILAI CPL'!$B17&lt;&gt;"",IFERROR(_xlfn.IFS(BF17&gt;=$B$3,4,BF17&gt;=$B$4,3,BF17&gt;=$B$5,2,BF17&gt;$B$6,1),0),"")</f>
        <v/>
      </c>
      <c r="BR17" s="2" t="str" cm="1">
        <f t="array" ref="BR17">IF('NILAI CPL'!$B17&lt;&gt;"",IFERROR(_xlfn.IFS(BG17&gt;=$B$3,4,BG17&gt;=$B$4,3,BG17&gt;=$B$5,2,BG17&gt;$B$6,1),0),"")</f>
        <v/>
      </c>
      <c r="BS17" s="2" t="str" cm="1">
        <f t="array" ref="BS17">IF('NILAI CPL'!$B17&lt;&gt;"",IFERROR(_xlfn.IFS(BH17&gt;=$B$3,4,BH17&gt;=$B$4,3,BH17&gt;=$B$5,2,BH17&gt;$B$6,1),0),"")</f>
        <v/>
      </c>
    </row>
    <row r="18" spans="1:71" x14ac:dyDescent="0.2">
      <c r="A18" s="2">
        <v>8</v>
      </c>
      <c r="B18" s="2" t="str">
        <f>IF(LEN(SUMMARY!B18)&gt;0, SUMMARY!B18, "")</f>
        <v/>
      </c>
      <c r="C18" s="2" t="str">
        <f>IF(LEN(SUMMARY!C18)&gt;0, SUMMARY!C18, "")</f>
        <v/>
      </c>
      <c r="E18" s="2" t="str" cm="1">
        <f t="array" ref="E18">IF('NILAI CPL'!$B18&lt;&gt;"",IFERROR(JumlahPI(ROW(),COLUMN()),0),"")</f>
        <v/>
      </c>
      <c r="F18" s="2" t="str" cm="1">
        <f t="array" ref="F18">IF('NILAI CPL'!$B18&lt;&gt;"",IFERROR(JumlahPI(ROW(),COLUMN()),0),"")</f>
        <v/>
      </c>
      <c r="G18" s="2" t="str" cm="1">
        <f t="array" ref="G18">IF('NILAI CPL'!$B18&lt;&gt;"",IFERROR(JumlahPI(ROW(),COLUMN()),0),"")</f>
        <v/>
      </c>
      <c r="H18" s="2" t="str" cm="1">
        <f t="array" ref="H18">IF('NILAI CPL'!$B18&lt;&gt;"",IFERROR(JumlahPI(ROW(),COLUMN()),0),"")</f>
        <v/>
      </c>
      <c r="I18" s="2" t="str" cm="1">
        <f t="array" ref="I18">IF('NILAI CPL'!$B18&lt;&gt;"",IFERROR(JumlahPI(ROW(),COLUMN()),0),"")</f>
        <v/>
      </c>
      <c r="J18" s="2" t="str" cm="1">
        <f t="array" ref="J18">IF('NILAI CPL'!$B18&lt;&gt;"",IFERROR(JumlahPI(ROW(),COLUMN()),0),"")</f>
        <v/>
      </c>
      <c r="K18" s="2" t="str" cm="1">
        <f t="array" ref="K18">IF('NILAI CPL'!$B18&lt;&gt;"",IFERROR(JumlahPI(ROW(),COLUMN()),0),"")</f>
        <v/>
      </c>
      <c r="L18" s="2" t="str" cm="1">
        <f t="array" ref="L18">IF('NILAI CPL'!$B18&lt;&gt;"",IFERROR(JumlahPI(ROW(),COLUMN()),0),"")</f>
        <v/>
      </c>
      <c r="M18" s="2" t="str" cm="1">
        <f t="array" ref="M18">IF('NILAI CPL'!$B18&lt;&gt;"",IFERROR(JumlahPI(ROW(),COLUMN()),0),"")</f>
        <v/>
      </c>
      <c r="N18" s="2" t="str" cm="1">
        <f t="array" ref="N18">IF('NILAI CPL'!$B18&lt;&gt;"",IFERROR(JumlahPI(ROW(),COLUMN()),0),"")</f>
        <v/>
      </c>
      <c r="O18" s="2" t="str" cm="1">
        <f t="array" ref="O18">IF('NILAI CPL'!$B18&lt;&gt;"",IFERROR(JumlahPI(ROW(),COLUMN()),0),"")</f>
        <v/>
      </c>
      <c r="P18" s="2" t="str" cm="1">
        <f t="array" ref="P18">IF('NILAI CPL'!$B18&lt;&gt;"",IFERROR(JumlahPI(ROW(),COLUMN()),0),"")</f>
        <v/>
      </c>
      <c r="Q18" s="2" t="str" cm="1">
        <f t="array" ref="Q18">IF('NILAI CPL'!$B18&lt;&gt;"",IFERROR(JumlahPI(ROW(),COLUMN()),0),"")</f>
        <v/>
      </c>
      <c r="R18" s="2" t="str" cm="1">
        <f t="array" ref="R18">IF('NILAI CPL'!$B18&lt;&gt;"",IFERROR(JumlahPI(ROW(),COLUMN()),0),"")</f>
        <v/>
      </c>
      <c r="S18" s="2" t="str" cm="1">
        <f t="array" ref="S18">IF('NILAI CPL'!$B18&lt;&gt;"",IFERROR(JumlahPI(ROW(),COLUMN()),0),"")</f>
        <v/>
      </c>
      <c r="T18" s="2" t="str" cm="1">
        <f t="array" ref="T18">IF('NILAI CPL'!$B18&lt;&gt;"",IFERROR(JumlahPI(ROW(),COLUMN()),0),"")</f>
        <v/>
      </c>
      <c r="U18" s="2" t="str" cm="1">
        <f t="array" ref="U18">IF('NILAI CPL'!$B18&lt;&gt;"",IFERROR(JumlahPI(ROW(),COLUMN()),0),"")</f>
        <v/>
      </c>
      <c r="V18" s="2" t="str" cm="1">
        <f t="array" ref="V18">IF('NILAI CPL'!$B18&lt;&gt;"",IFERROR(JumlahPI(ROW(),COLUMN()),0),"")</f>
        <v/>
      </c>
      <c r="W18" s="2" t="str" cm="1">
        <f t="array" ref="W18">IF('NILAI CPL'!$B18&lt;&gt;"",IFERROR(JumlahPI(ROW(),COLUMN()),0),"")</f>
        <v/>
      </c>
      <c r="X18" s="2" t="str" cm="1">
        <f t="array" ref="X18">IF('NILAI CPL'!$B18&lt;&gt;"",IFERROR(JumlahPI(ROW(),COLUMN()),0),"")</f>
        <v/>
      </c>
      <c r="Y18" s="2" t="str" cm="1">
        <f t="array" ref="Y18">IF('NILAI CPL'!$B18&lt;&gt;"",IFERROR(JumlahPI(ROW(),COLUMN()),0),"")</f>
        <v/>
      </c>
      <c r="Z18" s="2" t="str" cm="1">
        <f t="array" ref="Z18">IF('NILAI CPL'!$B18&lt;&gt;"",IFERROR(JumlahPI(ROW(),COLUMN()),0),"")</f>
        <v/>
      </c>
      <c r="AB18" s="2" t="str" cm="1">
        <f t="array" ref="AB18">IF('NILAI CPL'!$B18&lt;&gt;"",IFERROR(_xlfn.IFS(E18&gt;=$B$3,4,E18&gt;=$B$4,3,E18&gt;=$B$5,2,E18&gt;$B$6,1),0),"")</f>
        <v/>
      </c>
      <c r="AC18" s="2" t="str" cm="1">
        <f t="array" ref="AC18">IF('NILAI CPL'!$B18&lt;&gt;"",IFERROR(_xlfn.IFS(F18&gt;=$B$3,4,F18&gt;=$B$4,3,F18&gt;=$B$5,2,F18&gt;$B$6,1),0),"")</f>
        <v/>
      </c>
      <c r="AD18" s="2" t="str" cm="1">
        <f t="array" ref="AD18">IF('NILAI CPL'!$B18&lt;&gt;"",IFERROR(_xlfn.IFS(G18&gt;=$B$3,4,G18&gt;=$B$4,3,G18&gt;=$B$5,2,G18&gt;$B$6,1),0),"")</f>
        <v/>
      </c>
      <c r="AE18" s="2" t="str" cm="1">
        <f t="array" ref="AE18">IF('NILAI CPL'!$B18&lt;&gt;"",IFERROR(_xlfn.IFS(H18&gt;=$B$3,4,H18&gt;=$B$4,3,H18&gt;=$B$5,2,H18&gt;$B$6,1),0),"")</f>
        <v/>
      </c>
      <c r="AF18" s="2" t="str" cm="1">
        <f t="array" ref="AF18">IF('NILAI CPL'!$B18&lt;&gt;"",IFERROR(_xlfn.IFS(I18&gt;=$B$3,4,I18&gt;=$B$4,3,I18&gt;=$B$5,2,I18&gt;$B$6,1),0),"")</f>
        <v/>
      </c>
      <c r="AG18" s="2" t="str" cm="1">
        <f t="array" ref="AG18">IF('NILAI CPL'!$B18&lt;&gt;"",IFERROR(_xlfn.IFS(J18&gt;=$B$3,4,J18&gt;=$B$4,3,J18&gt;=$B$5,2,J18&gt;$B$6,1),0),"")</f>
        <v/>
      </c>
      <c r="AH18" s="2" t="str" cm="1">
        <f t="array" ref="AH18">IF('NILAI CPL'!$B18&lt;&gt;"",IFERROR(_xlfn.IFS(K18&gt;=$B$3,4,K18&gt;=$B$4,3,K18&gt;=$B$5,2,K18&gt;$B$6,1),0),"")</f>
        <v/>
      </c>
      <c r="AI18" s="2" t="str" cm="1">
        <f t="array" ref="AI18">IF('NILAI CPL'!$B18&lt;&gt;"",IFERROR(_xlfn.IFS(L18&gt;=$B$3,4,L18&gt;=$B$4,3,L18&gt;=$B$5,2,L18&gt;$B$6,1),0),"")</f>
        <v/>
      </c>
      <c r="AJ18" s="2" t="str" cm="1">
        <f t="array" ref="AJ18">IF('NILAI CPL'!$B18&lt;&gt;"",IFERROR(_xlfn.IFS(M18&gt;=$B$3,4,M18&gt;=$B$4,3,M18&gt;=$B$5,2,M18&gt;$B$6,1),0),"")</f>
        <v/>
      </c>
      <c r="AK18" s="2" t="str" cm="1">
        <f t="array" ref="AK18">IF('NILAI CPL'!$B18&lt;&gt;"",IFERROR(_xlfn.IFS(N18&gt;=$B$3,4,N18&gt;=$B$4,3,N18&gt;=$B$5,2,N18&gt;$B$6,1),0),"")</f>
        <v/>
      </c>
      <c r="AL18" s="2" t="str" cm="1">
        <f t="array" ref="AL18">IF('NILAI CPL'!$B18&lt;&gt;"",IFERROR(_xlfn.IFS(O18&gt;=$B$3,4,O18&gt;=$B$4,3,O18&gt;=$B$5,2,O18&gt;$B$6,1),0),"")</f>
        <v/>
      </c>
      <c r="AM18" s="2" t="str" cm="1">
        <f t="array" ref="AM18">IF('NILAI CPL'!$B18&lt;&gt;"",IFERROR(_xlfn.IFS(P18&gt;=$B$3,4,P18&gt;=$B$4,3,P18&gt;=$B$5,2,P18&gt;$B$6,1),0),"")</f>
        <v/>
      </c>
      <c r="AN18" s="2" t="str" cm="1">
        <f t="array" ref="AN18">IF('NILAI CPL'!$B18&lt;&gt;"",IFERROR(_xlfn.IFS(Q18&gt;=$B$3,4,Q18&gt;=$B$4,3,Q18&gt;=$B$5,2,Q18&gt;$B$6,1),0),"")</f>
        <v/>
      </c>
      <c r="AO18" s="2" t="str" cm="1">
        <f t="array" ref="AO18">IF('NILAI CPL'!$B18&lt;&gt;"",IFERROR(_xlfn.IFS(R18&gt;=$B$3,4,R18&gt;=$B$4,3,R18&gt;=$B$5,2,R18&gt;$B$6,1),0),"")</f>
        <v/>
      </c>
      <c r="AP18" s="2" t="str" cm="1">
        <f t="array" ref="AP18">IF('NILAI CPL'!$B18&lt;&gt;"",IFERROR(_xlfn.IFS(S18&gt;=$B$3,4,S18&gt;=$B$4,3,S18&gt;=$B$5,2,S18&gt;$B$6,1),0),"")</f>
        <v/>
      </c>
      <c r="AQ18" s="2" t="str" cm="1">
        <f t="array" ref="AQ18">IF('NILAI CPL'!$B18&lt;&gt;"",IFERROR(_xlfn.IFS(T18&gt;=$B$3,4,T18&gt;=$B$4,3,T18&gt;=$B$5,2,T18&gt;$B$6,1),0),"")</f>
        <v/>
      </c>
      <c r="AR18" s="2" t="str" cm="1">
        <f t="array" ref="AR18">IF('NILAI CPL'!$B18&lt;&gt;"",IFERROR(_xlfn.IFS(U18&gt;=$B$3,4,U18&gt;=$B$4,3,U18&gt;=$B$5,2,U18&gt;$B$6,1),0),"")</f>
        <v/>
      </c>
      <c r="AS18" s="2" t="str" cm="1">
        <f t="array" ref="AS18">IF('NILAI CPL'!$B18&lt;&gt;"",IFERROR(_xlfn.IFS(V18&gt;=$B$3,4,V18&gt;=$B$4,3,V18&gt;=$B$5,2,V18&gt;$B$6,1),0),"")</f>
        <v/>
      </c>
      <c r="AT18" s="2" t="str" cm="1">
        <f t="array" ref="AT18">IF('NILAI CPL'!$B18&lt;&gt;"",IFERROR(_xlfn.IFS(W18&gt;=$B$3,4,W18&gt;=$B$4,3,W18&gt;=$B$5,2,W18&gt;$B$6,1),0),"")</f>
        <v/>
      </c>
      <c r="AU18" s="2" t="str" cm="1">
        <f t="array" ref="AU18">IF('NILAI CPL'!$B18&lt;&gt;"",IFERROR(_xlfn.IFS(X18&gt;=$B$3,4,X18&gt;=$B$4,3,X18&gt;=$B$5,2,X18&gt;$B$6,1),0),"")</f>
        <v/>
      </c>
      <c r="AV18" s="2" t="str" cm="1">
        <f t="array" ref="AV18">IF('NILAI CPL'!$B18&lt;&gt;"",IFERROR(_xlfn.IFS(Y18&gt;=$B$3,4,Y18&gt;=$B$4,3,Y18&gt;=$B$5,2,Y18&gt;$B$6,1),0),"")</f>
        <v/>
      </c>
      <c r="AW18" s="2" t="str" cm="1">
        <f t="array" ref="AW18">IF('NILAI CPL'!$B18&lt;&gt;"",IFERROR(_xlfn.IFS(Z18&gt;=$B$3,4,Z18&gt;=$B$4,3,Z18&gt;=$B$5,2,Z18&gt;$B$6,1),0),"")</f>
        <v/>
      </c>
      <c r="AY18" s="2" t="str">
        <f t="shared" si="0"/>
        <v/>
      </c>
      <c r="AZ18" s="2" t="str">
        <f t="shared" si="1"/>
        <v/>
      </c>
      <c r="BA18" s="2" t="str">
        <f t="shared" si="2"/>
        <v/>
      </c>
      <c r="BB18" s="2" t="str">
        <f t="shared" si="3"/>
        <v/>
      </c>
      <c r="BC18" s="2" t="str">
        <f t="shared" si="4"/>
        <v/>
      </c>
      <c r="BD18" s="2" t="str">
        <f t="shared" si="5"/>
        <v/>
      </c>
      <c r="BE18" s="2" t="str">
        <f t="shared" si="6"/>
        <v/>
      </c>
      <c r="BF18" s="2" t="str">
        <f t="shared" si="7"/>
        <v/>
      </c>
      <c r="BG18" s="2" t="str">
        <f t="shared" si="8"/>
        <v/>
      </c>
      <c r="BH18" s="2" t="str">
        <f t="shared" si="9"/>
        <v/>
      </c>
      <c r="BJ18" s="2" t="str" cm="1">
        <f t="array" ref="BJ18">IF('NILAI CPL'!$B18&lt;&gt;"",IFERROR(_xlfn.IFS(AY18&gt;=$B$3,4,AY18&gt;=$B$4,3,AY18&gt;=$B$5,2,AY18&gt;$B$6,1),0),"")</f>
        <v/>
      </c>
      <c r="BK18" s="2" t="str" cm="1">
        <f t="array" ref="BK18">IF('NILAI CPL'!$B18&lt;&gt;"",IFERROR(_xlfn.IFS(AZ18&gt;=$B$3,4,AZ18&gt;=$B$4,3,AZ18&gt;=$B$5,2,AZ18&gt;$B$6,1),0),"")</f>
        <v/>
      </c>
      <c r="BL18" s="2" t="str" cm="1">
        <f t="array" ref="BL18">IF('NILAI CPL'!$B18&lt;&gt;"",IFERROR(_xlfn.IFS(BA18&gt;=$B$3,4,BA18&gt;=$B$4,3,BA18&gt;=$B$5,2,BA18&gt;$B$6,1),0),"")</f>
        <v/>
      </c>
      <c r="BM18" s="2" t="str" cm="1">
        <f t="array" ref="BM18">IF('NILAI CPL'!$B18&lt;&gt;"",IFERROR(_xlfn.IFS(BB18&gt;=$B$3,4,BB18&gt;=$B$4,3,BB18&gt;=$B$5,2,BB18&gt;$B$6,1),0),"")</f>
        <v/>
      </c>
      <c r="BN18" s="2" t="str" cm="1">
        <f t="array" ref="BN18">IF('NILAI CPL'!$B18&lt;&gt;"",IFERROR(_xlfn.IFS(BC18&gt;=$B$3,4,BC18&gt;=$B$4,3,BC18&gt;=$B$5,2,BC18&gt;$B$6,1),0),"")</f>
        <v/>
      </c>
      <c r="BO18" s="2" t="str" cm="1">
        <f t="array" ref="BO18">IF('NILAI CPL'!$B18&lt;&gt;"",IFERROR(_xlfn.IFS(BD18&gt;=$B$3,4,BD18&gt;=$B$4,3,BD18&gt;=$B$5,2,BD18&gt;$B$6,1),0),"")</f>
        <v/>
      </c>
      <c r="BP18" s="2" t="str" cm="1">
        <f t="array" ref="BP18">IF('NILAI CPL'!$B18&lt;&gt;"",IFERROR(_xlfn.IFS(BE18&gt;=$B$3,4,BE18&gt;=$B$4,3,BE18&gt;=$B$5,2,BE18&gt;$B$6,1),0),"")</f>
        <v/>
      </c>
      <c r="BQ18" s="2" t="str" cm="1">
        <f t="array" ref="BQ18">IF('NILAI CPL'!$B18&lt;&gt;"",IFERROR(_xlfn.IFS(BF18&gt;=$B$3,4,BF18&gt;=$B$4,3,BF18&gt;=$B$5,2,BF18&gt;$B$6,1),0),"")</f>
        <v/>
      </c>
      <c r="BR18" s="2" t="str" cm="1">
        <f t="array" ref="BR18">IF('NILAI CPL'!$B18&lt;&gt;"",IFERROR(_xlfn.IFS(BG18&gt;=$B$3,4,BG18&gt;=$B$4,3,BG18&gt;=$B$5,2,BG18&gt;$B$6,1),0),"")</f>
        <v/>
      </c>
      <c r="BS18" s="2" t="str" cm="1">
        <f t="array" ref="BS18">IF('NILAI CPL'!$B18&lt;&gt;"",IFERROR(_xlfn.IFS(BH18&gt;=$B$3,4,BH18&gt;=$B$4,3,BH18&gt;=$B$5,2,BH18&gt;$B$6,1),0),"")</f>
        <v/>
      </c>
    </row>
    <row r="19" spans="1:71" x14ac:dyDescent="0.2">
      <c r="A19" s="2">
        <v>9</v>
      </c>
      <c r="B19" s="2" t="str">
        <f>IF(LEN(SUMMARY!B19)&gt;0, SUMMARY!B19, "")</f>
        <v/>
      </c>
      <c r="C19" s="2" t="str">
        <f>IF(LEN(SUMMARY!C19)&gt;0, SUMMARY!C19, "")</f>
        <v/>
      </c>
      <c r="E19" s="2" t="str" cm="1">
        <f t="array" ref="E19">IF('NILAI CPL'!$B19&lt;&gt;"",IFERROR(JumlahPI(ROW(),COLUMN()),0),"")</f>
        <v/>
      </c>
      <c r="F19" s="2" t="str" cm="1">
        <f t="array" ref="F19">IF('NILAI CPL'!$B19&lt;&gt;"",IFERROR(JumlahPI(ROW(),COLUMN()),0),"")</f>
        <v/>
      </c>
      <c r="G19" s="2" t="str" cm="1">
        <f t="array" ref="G19">IF('NILAI CPL'!$B19&lt;&gt;"",IFERROR(JumlahPI(ROW(),COLUMN()),0),"")</f>
        <v/>
      </c>
      <c r="H19" s="2" t="str" cm="1">
        <f t="array" ref="H19">IF('NILAI CPL'!$B19&lt;&gt;"",IFERROR(JumlahPI(ROW(),COLUMN()),0),"")</f>
        <v/>
      </c>
      <c r="I19" s="2" t="str" cm="1">
        <f t="array" ref="I19">IF('NILAI CPL'!$B19&lt;&gt;"",IFERROR(JumlahPI(ROW(),COLUMN()),0),"")</f>
        <v/>
      </c>
      <c r="J19" s="2" t="str" cm="1">
        <f t="array" ref="J19">IF('NILAI CPL'!$B19&lt;&gt;"",IFERROR(JumlahPI(ROW(),COLUMN()),0),"")</f>
        <v/>
      </c>
      <c r="K19" s="2" t="str" cm="1">
        <f t="array" ref="K19">IF('NILAI CPL'!$B19&lt;&gt;"",IFERROR(JumlahPI(ROW(),COLUMN()),0),"")</f>
        <v/>
      </c>
      <c r="L19" s="2" t="str" cm="1">
        <f t="array" ref="L19">IF('NILAI CPL'!$B19&lt;&gt;"",IFERROR(JumlahPI(ROW(),COLUMN()),0),"")</f>
        <v/>
      </c>
      <c r="M19" s="2" t="str" cm="1">
        <f t="array" ref="M19">IF('NILAI CPL'!$B19&lt;&gt;"",IFERROR(JumlahPI(ROW(),COLUMN()),0),"")</f>
        <v/>
      </c>
      <c r="N19" s="2" t="str" cm="1">
        <f t="array" ref="N19">IF('NILAI CPL'!$B19&lt;&gt;"",IFERROR(JumlahPI(ROW(),COLUMN()),0),"")</f>
        <v/>
      </c>
      <c r="O19" s="2" t="str" cm="1">
        <f t="array" ref="O19">IF('NILAI CPL'!$B19&lt;&gt;"",IFERROR(JumlahPI(ROW(),COLUMN()),0),"")</f>
        <v/>
      </c>
      <c r="P19" s="2" t="str" cm="1">
        <f t="array" ref="P19">IF('NILAI CPL'!$B19&lt;&gt;"",IFERROR(JumlahPI(ROW(),COLUMN()),0),"")</f>
        <v/>
      </c>
      <c r="Q19" s="2" t="str" cm="1">
        <f t="array" ref="Q19">IF('NILAI CPL'!$B19&lt;&gt;"",IFERROR(JumlahPI(ROW(),COLUMN()),0),"")</f>
        <v/>
      </c>
      <c r="R19" s="2" t="str" cm="1">
        <f t="array" ref="R19">IF('NILAI CPL'!$B19&lt;&gt;"",IFERROR(JumlahPI(ROW(),COLUMN()),0),"")</f>
        <v/>
      </c>
      <c r="S19" s="2" t="str" cm="1">
        <f t="array" ref="S19">IF('NILAI CPL'!$B19&lt;&gt;"",IFERROR(JumlahPI(ROW(),COLUMN()),0),"")</f>
        <v/>
      </c>
      <c r="T19" s="2" t="str" cm="1">
        <f t="array" ref="T19">IF('NILAI CPL'!$B19&lt;&gt;"",IFERROR(JumlahPI(ROW(),COLUMN()),0),"")</f>
        <v/>
      </c>
      <c r="U19" s="2" t="str" cm="1">
        <f t="array" ref="U19">IF('NILAI CPL'!$B19&lt;&gt;"",IFERROR(JumlahPI(ROW(),COLUMN()),0),"")</f>
        <v/>
      </c>
      <c r="V19" s="2" t="str" cm="1">
        <f t="array" ref="V19">IF('NILAI CPL'!$B19&lt;&gt;"",IFERROR(JumlahPI(ROW(),COLUMN()),0),"")</f>
        <v/>
      </c>
      <c r="W19" s="2" t="str" cm="1">
        <f t="array" ref="W19">IF('NILAI CPL'!$B19&lt;&gt;"",IFERROR(JumlahPI(ROW(),COLUMN()),0),"")</f>
        <v/>
      </c>
      <c r="X19" s="2" t="str" cm="1">
        <f t="array" ref="X19">IF('NILAI CPL'!$B19&lt;&gt;"",IFERROR(JumlahPI(ROW(),COLUMN()),0),"")</f>
        <v/>
      </c>
      <c r="Y19" s="2" t="str" cm="1">
        <f t="array" ref="Y19">IF('NILAI CPL'!$B19&lt;&gt;"",IFERROR(JumlahPI(ROW(),COLUMN()),0),"")</f>
        <v/>
      </c>
      <c r="Z19" s="2" t="str" cm="1">
        <f t="array" ref="Z19">IF('NILAI CPL'!$B19&lt;&gt;"",IFERROR(JumlahPI(ROW(),COLUMN()),0),"")</f>
        <v/>
      </c>
      <c r="AB19" s="2" t="str" cm="1">
        <f t="array" ref="AB19">IF('NILAI CPL'!$B19&lt;&gt;"",IFERROR(_xlfn.IFS(E19&gt;=$B$3,4,E19&gt;=$B$4,3,E19&gt;=$B$5,2,E19&gt;$B$6,1),0),"")</f>
        <v/>
      </c>
      <c r="AC19" s="2" t="str" cm="1">
        <f t="array" ref="AC19">IF('NILAI CPL'!$B19&lt;&gt;"",IFERROR(_xlfn.IFS(F19&gt;=$B$3,4,F19&gt;=$B$4,3,F19&gt;=$B$5,2,F19&gt;$B$6,1),0),"")</f>
        <v/>
      </c>
      <c r="AD19" s="2" t="str" cm="1">
        <f t="array" ref="AD19">IF('NILAI CPL'!$B19&lt;&gt;"",IFERROR(_xlfn.IFS(G19&gt;=$B$3,4,G19&gt;=$B$4,3,G19&gt;=$B$5,2,G19&gt;$B$6,1),0),"")</f>
        <v/>
      </c>
      <c r="AE19" s="2" t="str" cm="1">
        <f t="array" ref="AE19">IF('NILAI CPL'!$B19&lt;&gt;"",IFERROR(_xlfn.IFS(H19&gt;=$B$3,4,H19&gt;=$B$4,3,H19&gt;=$B$5,2,H19&gt;$B$6,1),0),"")</f>
        <v/>
      </c>
      <c r="AF19" s="2" t="str" cm="1">
        <f t="array" ref="AF19">IF('NILAI CPL'!$B19&lt;&gt;"",IFERROR(_xlfn.IFS(I19&gt;=$B$3,4,I19&gt;=$B$4,3,I19&gt;=$B$5,2,I19&gt;$B$6,1),0),"")</f>
        <v/>
      </c>
      <c r="AG19" s="2" t="str" cm="1">
        <f t="array" ref="AG19">IF('NILAI CPL'!$B19&lt;&gt;"",IFERROR(_xlfn.IFS(J19&gt;=$B$3,4,J19&gt;=$B$4,3,J19&gt;=$B$5,2,J19&gt;$B$6,1),0),"")</f>
        <v/>
      </c>
      <c r="AH19" s="2" t="str" cm="1">
        <f t="array" ref="AH19">IF('NILAI CPL'!$B19&lt;&gt;"",IFERROR(_xlfn.IFS(K19&gt;=$B$3,4,K19&gt;=$B$4,3,K19&gt;=$B$5,2,K19&gt;$B$6,1),0),"")</f>
        <v/>
      </c>
      <c r="AI19" s="2" t="str" cm="1">
        <f t="array" ref="AI19">IF('NILAI CPL'!$B19&lt;&gt;"",IFERROR(_xlfn.IFS(L19&gt;=$B$3,4,L19&gt;=$B$4,3,L19&gt;=$B$5,2,L19&gt;$B$6,1),0),"")</f>
        <v/>
      </c>
      <c r="AJ19" s="2" t="str" cm="1">
        <f t="array" ref="AJ19">IF('NILAI CPL'!$B19&lt;&gt;"",IFERROR(_xlfn.IFS(M19&gt;=$B$3,4,M19&gt;=$B$4,3,M19&gt;=$B$5,2,M19&gt;$B$6,1),0),"")</f>
        <v/>
      </c>
      <c r="AK19" s="2" t="str" cm="1">
        <f t="array" ref="AK19">IF('NILAI CPL'!$B19&lt;&gt;"",IFERROR(_xlfn.IFS(N19&gt;=$B$3,4,N19&gt;=$B$4,3,N19&gt;=$B$5,2,N19&gt;$B$6,1),0),"")</f>
        <v/>
      </c>
      <c r="AL19" s="2" t="str" cm="1">
        <f t="array" ref="AL19">IF('NILAI CPL'!$B19&lt;&gt;"",IFERROR(_xlfn.IFS(O19&gt;=$B$3,4,O19&gt;=$B$4,3,O19&gt;=$B$5,2,O19&gt;$B$6,1),0),"")</f>
        <v/>
      </c>
      <c r="AM19" s="2" t="str" cm="1">
        <f t="array" ref="AM19">IF('NILAI CPL'!$B19&lt;&gt;"",IFERROR(_xlfn.IFS(P19&gt;=$B$3,4,P19&gt;=$B$4,3,P19&gt;=$B$5,2,P19&gt;$B$6,1),0),"")</f>
        <v/>
      </c>
      <c r="AN19" s="2" t="str" cm="1">
        <f t="array" ref="AN19">IF('NILAI CPL'!$B19&lt;&gt;"",IFERROR(_xlfn.IFS(Q19&gt;=$B$3,4,Q19&gt;=$B$4,3,Q19&gt;=$B$5,2,Q19&gt;$B$6,1),0),"")</f>
        <v/>
      </c>
      <c r="AO19" s="2" t="str" cm="1">
        <f t="array" ref="AO19">IF('NILAI CPL'!$B19&lt;&gt;"",IFERROR(_xlfn.IFS(R19&gt;=$B$3,4,R19&gt;=$B$4,3,R19&gt;=$B$5,2,R19&gt;$B$6,1),0),"")</f>
        <v/>
      </c>
      <c r="AP19" s="2" t="str" cm="1">
        <f t="array" ref="AP19">IF('NILAI CPL'!$B19&lt;&gt;"",IFERROR(_xlfn.IFS(S19&gt;=$B$3,4,S19&gt;=$B$4,3,S19&gt;=$B$5,2,S19&gt;$B$6,1),0),"")</f>
        <v/>
      </c>
      <c r="AQ19" s="2" t="str" cm="1">
        <f t="array" ref="AQ19">IF('NILAI CPL'!$B19&lt;&gt;"",IFERROR(_xlfn.IFS(T19&gt;=$B$3,4,T19&gt;=$B$4,3,T19&gt;=$B$5,2,T19&gt;$B$6,1),0),"")</f>
        <v/>
      </c>
      <c r="AR19" s="2" t="str" cm="1">
        <f t="array" ref="AR19">IF('NILAI CPL'!$B19&lt;&gt;"",IFERROR(_xlfn.IFS(U19&gt;=$B$3,4,U19&gt;=$B$4,3,U19&gt;=$B$5,2,U19&gt;$B$6,1),0),"")</f>
        <v/>
      </c>
      <c r="AS19" s="2" t="str" cm="1">
        <f t="array" ref="AS19">IF('NILAI CPL'!$B19&lt;&gt;"",IFERROR(_xlfn.IFS(V19&gt;=$B$3,4,V19&gt;=$B$4,3,V19&gt;=$B$5,2,V19&gt;$B$6,1),0),"")</f>
        <v/>
      </c>
      <c r="AT19" s="2" t="str" cm="1">
        <f t="array" ref="AT19">IF('NILAI CPL'!$B19&lt;&gt;"",IFERROR(_xlfn.IFS(W19&gt;=$B$3,4,W19&gt;=$B$4,3,W19&gt;=$B$5,2,W19&gt;$B$6,1),0),"")</f>
        <v/>
      </c>
      <c r="AU19" s="2" t="str" cm="1">
        <f t="array" ref="AU19">IF('NILAI CPL'!$B19&lt;&gt;"",IFERROR(_xlfn.IFS(X19&gt;=$B$3,4,X19&gt;=$B$4,3,X19&gt;=$B$5,2,X19&gt;$B$6,1),0),"")</f>
        <v/>
      </c>
      <c r="AV19" s="2" t="str" cm="1">
        <f t="array" ref="AV19">IF('NILAI CPL'!$B19&lt;&gt;"",IFERROR(_xlfn.IFS(Y19&gt;=$B$3,4,Y19&gt;=$B$4,3,Y19&gt;=$B$5,2,Y19&gt;$B$6,1),0),"")</f>
        <v/>
      </c>
      <c r="AW19" s="2" t="str" cm="1">
        <f t="array" ref="AW19">IF('NILAI CPL'!$B19&lt;&gt;"",IFERROR(_xlfn.IFS(Z19&gt;=$B$3,4,Z19&gt;=$B$4,3,Z19&gt;=$B$5,2,Z19&gt;$B$6,1),0),"")</f>
        <v/>
      </c>
      <c r="AY19" s="2" t="str">
        <f t="shared" si="0"/>
        <v/>
      </c>
      <c r="AZ19" s="2" t="str">
        <f t="shared" si="1"/>
        <v/>
      </c>
      <c r="BA19" s="2" t="str">
        <f t="shared" si="2"/>
        <v/>
      </c>
      <c r="BB19" s="2" t="str">
        <f t="shared" si="3"/>
        <v/>
      </c>
      <c r="BC19" s="2" t="str">
        <f t="shared" si="4"/>
        <v/>
      </c>
      <c r="BD19" s="2" t="str">
        <f t="shared" si="5"/>
        <v/>
      </c>
      <c r="BE19" s="2" t="str">
        <f t="shared" si="6"/>
        <v/>
      </c>
      <c r="BF19" s="2" t="str">
        <f t="shared" si="7"/>
        <v/>
      </c>
      <c r="BG19" s="2" t="str">
        <f t="shared" si="8"/>
        <v/>
      </c>
      <c r="BH19" s="2" t="str">
        <f t="shared" si="9"/>
        <v/>
      </c>
      <c r="BJ19" s="2" t="str" cm="1">
        <f t="array" ref="BJ19">IF('NILAI CPL'!$B19&lt;&gt;"",IFERROR(_xlfn.IFS(AY19&gt;=$B$3,4,AY19&gt;=$B$4,3,AY19&gt;=$B$5,2,AY19&gt;$B$6,1),0),"")</f>
        <v/>
      </c>
      <c r="BK19" s="2" t="str" cm="1">
        <f t="array" ref="BK19">IF('NILAI CPL'!$B19&lt;&gt;"",IFERROR(_xlfn.IFS(AZ19&gt;=$B$3,4,AZ19&gt;=$B$4,3,AZ19&gt;=$B$5,2,AZ19&gt;$B$6,1),0),"")</f>
        <v/>
      </c>
      <c r="BL19" s="2" t="str" cm="1">
        <f t="array" ref="BL19">IF('NILAI CPL'!$B19&lt;&gt;"",IFERROR(_xlfn.IFS(BA19&gt;=$B$3,4,BA19&gt;=$B$4,3,BA19&gt;=$B$5,2,BA19&gt;$B$6,1),0),"")</f>
        <v/>
      </c>
      <c r="BM19" s="2" t="str" cm="1">
        <f t="array" ref="BM19">IF('NILAI CPL'!$B19&lt;&gt;"",IFERROR(_xlfn.IFS(BB19&gt;=$B$3,4,BB19&gt;=$B$4,3,BB19&gt;=$B$5,2,BB19&gt;$B$6,1),0),"")</f>
        <v/>
      </c>
      <c r="BN19" s="2" t="str" cm="1">
        <f t="array" ref="BN19">IF('NILAI CPL'!$B19&lt;&gt;"",IFERROR(_xlfn.IFS(BC19&gt;=$B$3,4,BC19&gt;=$B$4,3,BC19&gt;=$B$5,2,BC19&gt;$B$6,1),0),"")</f>
        <v/>
      </c>
      <c r="BO19" s="2" t="str" cm="1">
        <f t="array" ref="BO19">IF('NILAI CPL'!$B19&lt;&gt;"",IFERROR(_xlfn.IFS(BD19&gt;=$B$3,4,BD19&gt;=$B$4,3,BD19&gt;=$B$5,2,BD19&gt;$B$6,1),0),"")</f>
        <v/>
      </c>
      <c r="BP19" s="2" t="str" cm="1">
        <f t="array" ref="BP19">IF('NILAI CPL'!$B19&lt;&gt;"",IFERROR(_xlfn.IFS(BE19&gt;=$B$3,4,BE19&gt;=$B$4,3,BE19&gt;=$B$5,2,BE19&gt;$B$6,1),0),"")</f>
        <v/>
      </c>
      <c r="BQ19" s="2" t="str" cm="1">
        <f t="array" ref="BQ19">IF('NILAI CPL'!$B19&lt;&gt;"",IFERROR(_xlfn.IFS(BF19&gt;=$B$3,4,BF19&gt;=$B$4,3,BF19&gt;=$B$5,2,BF19&gt;$B$6,1),0),"")</f>
        <v/>
      </c>
      <c r="BR19" s="2" t="str" cm="1">
        <f t="array" ref="BR19">IF('NILAI CPL'!$B19&lt;&gt;"",IFERROR(_xlfn.IFS(BG19&gt;=$B$3,4,BG19&gt;=$B$4,3,BG19&gt;=$B$5,2,BG19&gt;$B$6,1),0),"")</f>
        <v/>
      </c>
      <c r="BS19" s="2" t="str" cm="1">
        <f t="array" ref="BS19">IF('NILAI CPL'!$B19&lt;&gt;"",IFERROR(_xlfn.IFS(BH19&gt;=$B$3,4,BH19&gt;=$B$4,3,BH19&gt;=$B$5,2,BH19&gt;$B$6,1),0),"")</f>
        <v/>
      </c>
    </row>
    <row r="20" spans="1:71" x14ac:dyDescent="0.2">
      <c r="A20" s="2">
        <v>10</v>
      </c>
      <c r="B20" s="2" t="str">
        <f>IF(LEN(SUMMARY!B20)&gt;0, SUMMARY!B20, "")</f>
        <v/>
      </c>
      <c r="C20" s="2" t="str">
        <f>IF(LEN(SUMMARY!C20)&gt;0, SUMMARY!C20, "")</f>
        <v/>
      </c>
      <c r="E20" s="2" t="str" cm="1">
        <f t="array" ref="E20">IF('NILAI CPL'!$B20&lt;&gt;"",IFERROR(JumlahPI(ROW(),COLUMN()),0),"")</f>
        <v/>
      </c>
      <c r="F20" s="2" t="str" cm="1">
        <f t="array" ref="F20">IF('NILAI CPL'!$B20&lt;&gt;"",IFERROR(JumlahPI(ROW(),COLUMN()),0),"")</f>
        <v/>
      </c>
      <c r="G20" s="2" t="str" cm="1">
        <f t="array" ref="G20">IF('NILAI CPL'!$B20&lt;&gt;"",IFERROR(JumlahPI(ROW(),COLUMN()),0),"")</f>
        <v/>
      </c>
      <c r="H20" s="2" t="str" cm="1">
        <f t="array" ref="H20">IF('NILAI CPL'!$B20&lt;&gt;"",IFERROR(JumlahPI(ROW(),COLUMN()),0),"")</f>
        <v/>
      </c>
      <c r="I20" s="2" t="str" cm="1">
        <f t="array" ref="I20">IF('NILAI CPL'!$B20&lt;&gt;"",IFERROR(JumlahPI(ROW(),COLUMN()),0),"")</f>
        <v/>
      </c>
      <c r="J20" s="2" t="str" cm="1">
        <f t="array" ref="J20">IF('NILAI CPL'!$B20&lt;&gt;"",IFERROR(JumlahPI(ROW(),COLUMN()),0),"")</f>
        <v/>
      </c>
      <c r="K20" s="2" t="str" cm="1">
        <f t="array" ref="K20">IF('NILAI CPL'!$B20&lt;&gt;"",IFERROR(JumlahPI(ROW(),COLUMN()),0),"")</f>
        <v/>
      </c>
      <c r="L20" s="2" t="str" cm="1">
        <f t="array" ref="L20">IF('NILAI CPL'!$B20&lt;&gt;"",IFERROR(JumlahPI(ROW(),COLUMN()),0),"")</f>
        <v/>
      </c>
      <c r="M20" s="2" t="str" cm="1">
        <f t="array" ref="M20">IF('NILAI CPL'!$B20&lt;&gt;"",IFERROR(JumlahPI(ROW(),COLUMN()),0),"")</f>
        <v/>
      </c>
      <c r="N20" s="2" t="str" cm="1">
        <f t="array" ref="N20">IF('NILAI CPL'!$B20&lt;&gt;"",IFERROR(JumlahPI(ROW(),COLUMN()),0),"")</f>
        <v/>
      </c>
      <c r="O20" s="2" t="str" cm="1">
        <f t="array" ref="O20">IF('NILAI CPL'!$B20&lt;&gt;"",IFERROR(JumlahPI(ROW(),COLUMN()),0),"")</f>
        <v/>
      </c>
      <c r="P20" s="2" t="str" cm="1">
        <f t="array" ref="P20">IF('NILAI CPL'!$B20&lt;&gt;"",IFERROR(JumlahPI(ROW(),COLUMN()),0),"")</f>
        <v/>
      </c>
      <c r="Q20" s="2" t="str" cm="1">
        <f t="array" ref="Q20">IF('NILAI CPL'!$B20&lt;&gt;"",IFERROR(JumlahPI(ROW(),COLUMN()),0),"")</f>
        <v/>
      </c>
      <c r="R20" s="2" t="str" cm="1">
        <f t="array" ref="R20">IF('NILAI CPL'!$B20&lt;&gt;"",IFERROR(JumlahPI(ROW(),COLUMN()),0),"")</f>
        <v/>
      </c>
      <c r="S20" s="2" t="str" cm="1">
        <f t="array" ref="S20">IF('NILAI CPL'!$B20&lt;&gt;"",IFERROR(JumlahPI(ROW(),COLUMN()),0),"")</f>
        <v/>
      </c>
      <c r="T20" s="2" t="str" cm="1">
        <f t="array" ref="T20">IF('NILAI CPL'!$B20&lt;&gt;"",IFERROR(JumlahPI(ROW(),COLUMN()),0),"")</f>
        <v/>
      </c>
      <c r="U20" s="2" t="str" cm="1">
        <f t="array" ref="U20">IF('NILAI CPL'!$B20&lt;&gt;"",IFERROR(JumlahPI(ROW(),COLUMN()),0),"")</f>
        <v/>
      </c>
      <c r="V20" s="2" t="str" cm="1">
        <f t="array" ref="V20">IF('NILAI CPL'!$B20&lt;&gt;"",IFERROR(JumlahPI(ROW(),COLUMN()),0),"")</f>
        <v/>
      </c>
      <c r="W20" s="2" t="str" cm="1">
        <f t="array" ref="W20">IF('NILAI CPL'!$B20&lt;&gt;"",IFERROR(JumlahPI(ROW(),COLUMN()),0),"")</f>
        <v/>
      </c>
      <c r="X20" s="2" t="str" cm="1">
        <f t="array" ref="X20">IF('NILAI CPL'!$B20&lt;&gt;"",IFERROR(JumlahPI(ROW(),COLUMN()),0),"")</f>
        <v/>
      </c>
      <c r="Y20" s="2" t="str" cm="1">
        <f t="array" ref="Y20">IF('NILAI CPL'!$B20&lt;&gt;"",IFERROR(JumlahPI(ROW(),COLUMN()),0),"")</f>
        <v/>
      </c>
      <c r="Z20" s="2" t="str" cm="1">
        <f t="array" ref="Z20">IF('NILAI CPL'!$B20&lt;&gt;"",IFERROR(JumlahPI(ROW(),COLUMN()),0),"")</f>
        <v/>
      </c>
      <c r="AB20" s="2" t="str" cm="1">
        <f t="array" ref="AB20">IF('NILAI CPL'!$B20&lt;&gt;"",IFERROR(_xlfn.IFS(E20&gt;=$B$3,4,E20&gt;=$B$4,3,E20&gt;=$B$5,2,E20&gt;$B$6,1),0),"")</f>
        <v/>
      </c>
      <c r="AC20" s="2" t="str" cm="1">
        <f t="array" ref="AC20">IF('NILAI CPL'!$B20&lt;&gt;"",IFERROR(_xlfn.IFS(F20&gt;=$B$3,4,F20&gt;=$B$4,3,F20&gt;=$B$5,2,F20&gt;$B$6,1),0),"")</f>
        <v/>
      </c>
      <c r="AD20" s="2" t="str" cm="1">
        <f t="array" ref="AD20">IF('NILAI CPL'!$B20&lt;&gt;"",IFERROR(_xlfn.IFS(G20&gt;=$B$3,4,G20&gt;=$B$4,3,G20&gt;=$B$5,2,G20&gt;$B$6,1),0),"")</f>
        <v/>
      </c>
      <c r="AE20" s="2" t="str" cm="1">
        <f t="array" ref="AE20">IF('NILAI CPL'!$B20&lt;&gt;"",IFERROR(_xlfn.IFS(H20&gt;=$B$3,4,H20&gt;=$B$4,3,H20&gt;=$B$5,2,H20&gt;$B$6,1),0),"")</f>
        <v/>
      </c>
      <c r="AF20" s="2" t="str" cm="1">
        <f t="array" ref="AF20">IF('NILAI CPL'!$B20&lt;&gt;"",IFERROR(_xlfn.IFS(I20&gt;=$B$3,4,I20&gt;=$B$4,3,I20&gt;=$B$5,2,I20&gt;$B$6,1),0),"")</f>
        <v/>
      </c>
      <c r="AG20" s="2" t="str" cm="1">
        <f t="array" ref="AG20">IF('NILAI CPL'!$B20&lt;&gt;"",IFERROR(_xlfn.IFS(J20&gt;=$B$3,4,J20&gt;=$B$4,3,J20&gt;=$B$5,2,J20&gt;$B$6,1),0),"")</f>
        <v/>
      </c>
      <c r="AH20" s="2" t="str" cm="1">
        <f t="array" ref="AH20">IF('NILAI CPL'!$B20&lt;&gt;"",IFERROR(_xlfn.IFS(K20&gt;=$B$3,4,K20&gt;=$B$4,3,K20&gt;=$B$5,2,K20&gt;$B$6,1),0),"")</f>
        <v/>
      </c>
      <c r="AI20" s="2" t="str" cm="1">
        <f t="array" ref="AI20">IF('NILAI CPL'!$B20&lt;&gt;"",IFERROR(_xlfn.IFS(L20&gt;=$B$3,4,L20&gt;=$B$4,3,L20&gt;=$B$5,2,L20&gt;$B$6,1),0),"")</f>
        <v/>
      </c>
      <c r="AJ20" s="2" t="str" cm="1">
        <f t="array" ref="AJ20">IF('NILAI CPL'!$B20&lt;&gt;"",IFERROR(_xlfn.IFS(M20&gt;=$B$3,4,M20&gt;=$B$4,3,M20&gt;=$B$5,2,M20&gt;$B$6,1),0),"")</f>
        <v/>
      </c>
      <c r="AK20" s="2" t="str" cm="1">
        <f t="array" ref="AK20">IF('NILAI CPL'!$B20&lt;&gt;"",IFERROR(_xlfn.IFS(N20&gt;=$B$3,4,N20&gt;=$B$4,3,N20&gt;=$B$5,2,N20&gt;$B$6,1),0),"")</f>
        <v/>
      </c>
      <c r="AL20" s="2" t="str" cm="1">
        <f t="array" ref="AL20">IF('NILAI CPL'!$B20&lt;&gt;"",IFERROR(_xlfn.IFS(O20&gt;=$B$3,4,O20&gt;=$B$4,3,O20&gt;=$B$5,2,O20&gt;$B$6,1),0),"")</f>
        <v/>
      </c>
      <c r="AM20" s="2" t="str" cm="1">
        <f t="array" ref="AM20">IF('NILAI CPL'!$B20&lt;&gt;"",IFERROR(_xlfn.IFS(P20&gt;=$B$3,4,P20&gt;=$B$4,3,P20&gt;=$B$5,2,P20&gt;$B$6,1),0),"")</f>
        <v/>
      </c>
      <c r="AN20" s="2" t="str" cm="1">
        <f t="array" ref="AN20">IF('NILAI CPL'!$B20&lt;&gt;"",IFERROR(_xlfn.IFS(Q20&gt;=$B$3,4,Q20&gt;=$B$4,3,Q20&gt;=$B$5,2,Q20&gt;$B$6,1),0),"")</f>
        <v/>
      </c>
      <c r="AO20" s="2" t="str" cm="1">
        <f t="array" ref="AO20">IF('NILAI CPL'!$B20&lt;&gt;"",IFERROR(_xlfn.IFS(R20&gt;=$B$3,4,R20&gt;=$B$4,3,R20&gt;=$B$5,2,R20&gt;$B$6,1),0),"")</f>
        <v/>
      </c>
      <c r="AP20" s="2" t="str" cm="1">
        <f t="array" ref="AP20">IF('NILAI CPL'!$B20&lt;&gt;"",IFERROR(_xlfn.IFS(S20&gt;=$B$3,4,S20&gt;=$B$4,3,S20&gt;=$B$5,2,S20&gt;$B$6,1),0),"")</f>
        <v/>
      </c>
      <c r="AQ20" s="2" t="str" cm="1">
        <f t="array" ref="AQ20">IF('NILAI CPL'!$B20&lt;&gt;"",IFERROR(_xlfn.IFS(T20&gt;=$B$3,4,T20&gt;=$B$4,3,T20&gt;=$B$5,2,T20&gt;$B$6,1),0),"")</f>
        <v/>
      </c>
      <c r="AR20" s="2" t="str" cm="1">
        <f t="array" ref="AR20">IF('NILAI CPL'!$B20&lt;&gt;"",IFERROR(_xlfn.IFS(U20&gt;=$B$3,4,U20&gt;=$B$4,3,U20&gt;=$B$5,2,U20&gt;$B$6,1),0),"")</f>
        <v/>
      </c>
      <c r="AS20" s="2" t="str" cm="1">
        <f t="array" ref="AS20">IF('NILAI CPL'!$B20&lt;&gt;"",IFERROR(_xlfn.IFS(V20&gt;=$B$3,4,V20&gt;=$B$4,3,V20&gt;=$B$5,2,V20&gt;$B$6,1),0),"")</f>
        <v/>
      </c>
      <c r="AT20" s="2" t="str" cm="1">
        <f t="array" ref="AT20">IF('NILAI CPL'!$B20&lt;&gt;"",IFERROR(_xlfn.IFS(W20&gt;=$B$3,4,W20&gt;=$B$4,3,W20&gt;=$B$5,2,W20&gt;$B$6,1),0),"")</f>
        <v/>
      </c>
      <c r="AU20" s="2" t="str" cm="1">
        <f t="array" ref="AU20">IF('NILAI CPL'!$B20&lt;&gt;"",IFERROR(_xlfn.IFS(X20&gt;=$B$3,4,X20&gt;=$B$4,3,X20&gt;=$B$5,2,X20&gt;$B$6,1),0),"")</f>
        <v/>
      </c>
      <c r="AV20" s="2" t="str" cm="1">
        <f t="array" ref="AV20">IF('NILAI CPL'!$B20&lt;&gt;"",IFERROR(_xlfn.IFS(Y20&gt;=$B$3,4,Y20&gt;=$B$4,3,Y20&gt;=$B$5,2,Y20&gt;$B$6,1),0),"")</f>
        <v/>
      </c>
      <c r="AW20" s="2" t="str" cm="1">
        <f t="array" ref="AW20">IF('NILAI CPL'!$B20&lt;&gt;"",IFERROR(_xlfn.IFS(Z20&gt;=$B$3,4,Z20&gt;=$B$4,3,Z20&gt;=$B$5,2,Z20&gt;$B$6,1),0),"")</f>
        <v/>
      </c>
      <c r="AY20" s="2" t="str">
        <f t="shared" si="0"/>
        <v/>
      </c>
      <c r="AZ20" s="2" t="str">
        <f t="shared" si="1"/>
        <v/>
      </c>
      <c r="BA20" s="2" t="str">
        <f t="shared" si="2"/>
        <v/>
      </c>
      <c r="BB20" s="2" t="str">
        <f t="shared" si="3"/>
        <v/>
      </c>
      <c r="BC20" s="2" t="str">
        <f t="shared" si="4"/>
        <v/>
      </c>
      <c r="BD20" s="2" t="str">
        <f t="shared" si="5"/>
        <v/>
      </c>
      <c r="BE20" s="2" t="str">
        <f t="shared" si="6"/>
        <v/>
      </c>
      <c r="BF20" s="2" t="str">
        <f t="shared" si="7"/>
        <v/>
      </c>
      <c r="BG20" s="2" t="str">
        <f t="shared" si="8"/>
        <v/>
      </c>
      <c r="BH20" s="2" t="str">
        <f t="shared" si="9"/>
        <v/>
      </c>
      <c r="BJ20" s="2" t="str" cm="1">
        <f t="array" ref="BJ20">IF('NILAI CPL'!$B20&lt;&gt;"",IFERROR(_xlfn.IFS(AY20&gt;=$B$3,4,AY20&gt;=$B$4,3,AY20&gt;=$B$5,2,AY20&gt;$B$6,1),0),"")</f>
        <v/>
      </c>
      <c r="BK20" s="2" t="str" cm="1">
        <f t="array" ref="BK20">IF('NILAI CPL'!$B20&lt;&gt;"",IFERROR(_xlfn.IFS(AZ20&gt;=$B$3,4,AZ20&gt;=$B$4,3,AZ20&gt;=$B$5,2,AZ20&gt;$B$6,1),0),"")</f>
        <v/>
      </c>
      <c r="BL20" s="2" t="str" cm="1">
        <f t="array" ref="BL20">IF('NILAI CPL'!$B20&lt;&gt;"",IFERROR(_xlfn.IFS(BA20&gt;=$B$3,4,BA20&gt;=$B$4,3,BA20&gt;=$B$5,2,BA20&gt;$B$6,1),0),"")</f>
        <v/>
      </c>
      <c r="BM20" s="2" t="str" cm="1">
        <f t="array" ref="BM20">IF('NILAI CPL'!$B20&lt;&gt;"",IFERROR(_xlfn.IFS(BB20&gt;=$B$3,4,BB20&gt;=$B$4,3,BB20&gt;=$B$5,2,BB20&gt;$B$6,1),0),"")</f>
        <v/>
      </c>
      <c r="BN20" s="2" t="str" cm="1">
        <f t="array" ref="BN20">IF('NILAI CPL'!$B20&lt;&gt;"",IFERROR(_xlfn.IFS(BC20&gt;=$B$3,4,BC20&gt;=$B$4,3,BC20&gt;=$B$5,2,BC20&gt;$B$6,1),0),"")</f>
        <v/>
      </c>
      <c r="BO20" s="2" t="str" cm="1">
        <f t="array" ref="BO20">IF('NILAI CPL'!$B20&lt;&gt;"",IFERROR(_xlfn.IFS(BD20&gt;=$B$3,4,BD20&gt;=$B$4,3,BD20&gt;=$B$5,2,BD20&gt;$B$6,1),0),"")</f>
        <v/>
      </c>
      <c r="BP20" s="2" t="str" cm="1">
        <f t="array" ref="BP20">IF('NILAI CPL'!$B20&lt;&gt;"",IFERROR(_xlfn.IFS(BE20&gt;=$B$3,4,BE20&gt;=$B$4,3,BE20&gt;=$B$5,2,BE20&gt;$B$6,1),0),"")</f>
        <v/>
      </c>
      <c r="BQ20" s="2" t="str" cm="1">
        <f t="array" ref="BQ20">IF('NILAI CPL'!$B20&lt;&gt;"",IFERROR(_xlfn.IFS(BF20&gt;=$B$3,4,BF20&gt;=$B$4,3,BF20&gt;=$B$5,2,BF20&gt;$B$6,1),0),"")</f>
        <v/>
      </c>
      <c r="BR20" s="2" t="str" cm="1">
        <f t="array" ref="BR20">IF('NILAI CPL'!$B20&lt;&gt;"",IFERROR(_xlfn.IFS(BG20&gt;=$B$3,4,BG20&gt;=$B$4,3,BG20&gt;=$B$5,2,BG20&gt;$B$6,1),0),"")</f>
        <v/>
      </c>
      <c r="BS20" s="2" t="str" cm="1">
        <f t="array" ref="BS20">IF('NILAI CPL'!$B20&lt;&gt;"",IFERROR(_xlfn.IFS(BH20&gt;=$B$3,4,BH20&gt;=$B$4,3,BH20&gt;=$B$5,2,BH20&gt;$B$6,1),0),"")</f>
        <v/>
      </c>
    </row>
    <row r="21" spans="1:71" x14ac:dyDescent="0.2">
      <c r="A21" s="2">
        <v>11</v>
      </c>
      <c r="B21" s="2" t="str">
        <f>IF(LEN(SUMMARY!B21)&gt;0, SUMMARY!B21, "")</f>
        <v/>
      </c>
      <c r="C21" s="2" t="str">
        <f>IF(LEN(SUMMARY!C21)&gt;0, SUMMARY!C21, "")</f>
        <v/>
      </c>
      <c r="E21" s="2" t="str" cm="1">
        <f t="array" ref="E21">IF('NILAI CPL'!$B21&lt;&gt;"",IFERROR(JumlahPI(ROW(),COLUMN()),0),"")</f>
        <v/>
      </c>
      <c r="F21" s="2" t="str" cm="1">
        <f t="array" ref="F21">IF('NILAI CPL'!$B21&lt;&gt;"",IFERROR(JumlahPI(ROW(),COLUMN()),0),"")</f>
        <v/>
      </c>
      <c r="G21" s="2" t="str" cm="1">
        <f t="array" ref="G21">IF('NILAI CPL'!$B21&lt;&gt;"",IFERROR(JumlahPI(ROW(),COLUMN()),0),"")</f>
        <v/>
      </c>
      <c r="H21" s="2" t="str" cm="1">
        <f t="array" ref="H21">IF('NILAI CPL'!$B21&lt;&gt;"",IFERROR(JumlahPI(ROW(),COLUMN()),0),"")</f>
        <v/>
      </c>
      <c r="I21" s="2" t="str" cm="1">
        <f t="array" ref="I21">IF('NILAI CPL'!$B21&lt;&gt;"",IFERROR(JumlahPI(ROW(),COLUMN()),0),"")</f>
        <v/>
      </c>
      <c r="J21" s="2" t="str" cm="1">
        <f t="array" ref="J21">IF('NILAI CPL'!$B21&lt;&gt;"",IFERROR(JumlahPI(ROW(),COLUMN()),0),"")</f>
        <v/>
      </c>
      <c r="K21" s="2" t="str" cm="1">
        <f t="array" ref="K21">IF('NILAI CPL'!$B21&lt;&gt;"",IFERROR(JumlahPI(ROW(),COLUMN()),0),"")</f>
        <v/>
      </c>
      <c r="L21" s="2" t="str" cm="1">
        <f t="array" ref="L21">IF('NILAI CPL'!$B21&lt;&gt;"",IFERROR(JumlahPI(ROW(),COLUMN()),0),"")</f>
        <v/>
      </c>
      <c r="M21" s="2" t="str" cm="1">
        <f t="array" ref="M21">IF('NILAI CPL'!$B21&lt;&gt;"",IFERROR(JumlahPI(ROW(),COLUMN()),0),"")</f>
        <v/>
      </c>
      <c r="N21" s="2" t="str" cm="1">
        <f t="array" ref="N21">IF('NILAI CPL'!$B21&lt;&gt;"",IFERROR(JumlahPI(ROW(),COLUMN()),0),"")</f>
        <v/>
      </c>
      <c r="O21" s="2" t="str" cm="1">
        <f t="array" ref="O21">IF('NILAI CPL'!$B21&lt;&gt;"",IFERROR(JumlahPI(ROW(),COLUMN()),0),"")</f>
        <v/>
      </c>
      <c r="P21" s="2" t="str" cm="1">
        <f t="array" ref="P21">IF('NILAI CPL'!$B21&lt;&gt;"",IFERROR(JumlahPI(ROW(),COLUMN()),0),"")</f>
        <v/>
      </c>
      <c r="Q21" s="2" t="str" cm="1">
        <f t="array" ref="Q21">IF('NILAI CPL'!$B21&lt;&gt;"",IFERROR(JumlahPI(ROW(),COLUMN()),0),"")</f>
        <v/>
      </c>
      <c r="R21" s="2" t="str" cm="1">
        <f t="array" ref="R21">IF('NILAI CPL'!$B21&lt;&gt;"",IFERROR(JumlahPI(ROW(),COLUMN()),0),"")</f>
        <v/>
      </c>
      <c r="S21" s="2" t="str" cm="1">
        <f t="array" ref="S21">IF('NILAI CPL'!$B21&lt;&gt;"",IFERROR(JumlahPI(ROW(),COLUMN()),0),"")</f>
        <v/>
      </c>
      <c r="T21" s="2" t="str" cm="1">
        <f t="array" ref="T21">IF('NILAI CPL'!$B21&lt;&gt;"",IFERROR(JumlahPI(ROW(),COLUMN()),0),"")</f>
        <v/>
      </c>
      <c r="U21" s="2" t="str" cm="1">
        <f t="array" ref="U21">IF('NILAI CPL'!$B21&lt;&gt;"",IFERROR(JumlahPI(ROW(),COLUMN()),0),"")</f>
        <v/>
      </c>
      <c r="V21" s="2" t="str" cm="1">
        <f t="array" ref="V21">IF('NILAI CPL'!$B21&lt;&gt;"",IFERROR(JumlahPI(ROW(),COLUMN()),0),"")</f>
        <v/>
      </c>
      <c r="W21" s="2" t="str" cm="1">
        <f t="array" ref="W21">IF('NILAI CPL'!$B21&lt;&gt;"",IFERROR(JumlahPI(ROW(),COLUMN()),0),"")</f>
        <v/>
      </c>
      <c r="X21" s="2" t="str" cm="1">
        <f t="array" ref="X21">IF('NILAI CPL'!$B21&lt;&gt;"",IFERROR(JumlahPI(ROW(),COLUMN()),0),"")</f>
        <v/>
      </c>
      <c r="Y21" s="2" t="str" cm="1">
        <f t="array" ref="Y21">IF('NILAI CPL'!$B21&lt;&gt;"",IFERROR(JumlahPI(ROW(),COLUMN()),0),"")</f>
        <v/>
      </c>
      <c r="Z21" s="2" t="str" cm="1">
        <f t="array" ref="Z21">IF('NILAI CPL'!$B21&lt;&gt;"",IFERROR(JumlahPI(ROW(),COLUMN()),0),"")</f>
        <v/>
      </c>
      <c r="AB21" s="2" t="str" cm="1">
        <f t="array" ref="AB21">IF('NILAI CPL'!$B21&lt;&gt;"",IFERROR(_xlfn.IFS(E21&gt;=$B$3,4,E21&gt;=$B$4,3,E21&gt;=$B$5,2,E21&gt;$B$6,1),0),"")</f>
        <v/>
      </c>
      <c r="AC21" s="2" t="str" cm="1">
        <f t="array" ref="AC21">IF('NILAI CPL'!$B21&lt;&gt;"",IFERROR(_xlfn.IFS(F21&gt;=$B$3,4,F21&gt;=$B$4,3,F21&gt;=$B$5,2,F21&gt;$B$6,1),0),"")</f>
        <v/>
      </c>
      <c r="AD21" s="2" t="str" cm="1">
        <f t="array" ref="AD21">IF('NILAI CPL'!$B21&lt;&gt;"",IFERROR(_xlfn.IFS(G21&gt;=$B$3,4,G21&gt;=$B$4,3,G21&gt;=$B$5,2,G21&gt;$B$6,1),0),"")</f>
        <v/>
      </c>
      <c r="AE21" s="2" t="str" cm="1">
        <f t="array" ref="AE21">IF('NILAI CPL'!$B21&lt;&gt;"",IFERROR(_xlfn.IFS(H21&gt;=$B$3,4,H21&gt;=$B$4,3,H21&gt;=$B$5,2,H21&gt;$B$6,1),0),"")</f>
        <v/>
      </c>
      <c r="AF21" s="2" t="str" cm="1">
        <f t="array" ref="AF21">IF('NILAI CPL'!$B21&lt;&gt;"",IFERROR(_xlfn.IFS(I21&gt;=$B$3,4,I21&gt;=$B$4,3,I21&gt;=$B$5,2,I21&gt;$B$6,1),0),"")</f>
        <v/>
      </c>
      <c r="AG21" s="2" t="str" cm="1">
        <f t="array" ref="AG21">IF('NILAI CPL'!$B21&lt;&gt;"",IFERROR(_xlfn.IFS(J21&gt;=$B$3,4,J21&gt;=$B$4,3,J21&gt;=$B$5,2,J21&gt;$B$6,1),0),"")</f>
        <v/>
      </c>
      <c r="AH21" s="2" t="str" cm="1">
        <f t="array" ref="AH21">IF('NILAI CPL'!$B21&lt;&gt;"",IFERROR(_xlfn.IFS(K21&gt;=$B$3,4,K21&gt;=$B$4,3,K21&gt;=$B$5,2,K21&gt;$B$6,1),0),"")</f>
        <v/>
      </c>
      <c r="AI21" s="2" t="str" cm="1">
        <f t="array" ref="AI21">IF('NILAI CPL'!$B21&lt;&gt;"",IFERROR(_xlfn.IFS(L21&gt;=$B$3,4,L21&gt;=$B$4,3,L21&gt;=$B$5,2,L21&gt;$B$6,1),0),"")</f>
        <v/>
      </c>
      <c r="AJ21" s="2" t="str" cm="1">
        <f t="array" ref="AJ21">IF('NILAI CPL'!$B21&lt;&gt;"",IFERROR(_xlfn.IFS(M21&gt;=$B$3,4,M21&gt;=$B$4,3,M21&gt;=$B$5,2,M21&gt;$B$6,1),0),"")</f>
        <v/>
      </c>
      <c r="AK21" s="2" t="str" cm="1">
        <f t="array" ref="AK21">IF('NILAI CPL'!$B21&lt;&gt;"",IFERROR(_xlfn.IFS(N21&gt;=$B$3,4,N21&gt;=$B$4,3,N21&gt;=$B$5,2,N21&gt;$B$6,1),0),"")</f>
        <v/>
      </c>
      <c r="AL21" s="2" t="str" cm="1">
        <f t="array" ref="AL21">IF('NILAI CPL'!$B21&lt;&gt;"",IFERROR(_xlfn.IFS(O21&gt;=$B$3,4,O21&gt;=$B$4,3,O21&gt;=$B$5,2,O21&gt;$B$6,1),0),"")</f>
        <v/>
      </c>
      <c r="AM21" s="2" t="str" cm="1">
        <f t="array" ref="AM21">IF('NILAI CPL'!$B21&lt;&gt;"",IFERROR(_xlfn.IFS(P21&gt;=$B$3,4,P21&gt;=$B$4,3,P21&gt;=$B$5,2,P21&gt;$B$6,1),0),"")</f>
        <v/>
      </c>
      <c r="AN21" s="2" t="str" cm="1">
        <f t="array" ref="AN21">IF('NILAI CPL'!$B21&lt;&gt;"",IFERROR(_xlfn.IFS(Q21&gt;=$B$3,4,Q21&gt;=$B$4,3,Q21&gt;=$B$5,2,Q21&gt;$B$6,1),0),"")</f>
        <v/>
      </c>
      <c r="AO21" s="2" t="str" cm="1">
        <f t="array" ref="AO21">IF('NILAI CPL'!$B21&lt;&gt;"",IFERROR(_xlfn.IFS(R21&gt;=$B$3,4,R21&gt;=$B$4,3,R21&gt;=$B$5,2,R21&gt;$B$6,1),0),"")</f>
        <v/>
      </c>
      <c r="AP21" s="2" t="str" cm="1">
        <f t="array" ref="AP21">IF('NILAI CPL'!$B21&lt;&gt;"",IFERROR(_xlfn.IFS(S21&gt;=$B$3,4,S21&gt;=$B$4,3,S21&gt;=$B$5,2,S21&gt;$B$6,1),0),"")</f>
        <v/>
      </c>
      <c r="AQ21" s="2" t="str" cm="1">
        <f t="array" ref="AQ21">IF('NILAI CPL'!$B21&lt;&gt;"",IFERROR(_xlfn.IFS(T21&gt;=$B$3,4,T21&gt;=$B$4,3,T21&gt;=$B$5,2,T21&gt;$B$6,1),0),"")</f>
        <v/>
      </c>
      <c r="AR21" s="2" t="str" cm="1">
        <f t="array" ref="AR21">IF('NILAI CPL'!$B21&lt;&gt;"",IFERROR(_xlfn.IFS(U21&gt;=$B$3,4,U21&gt;=$B$4,3,U21&gt;=$B$5,2,U21&gt;$B$6,1),0),"")</f>
        <v/>
      </c>
      <c r="AS21" s="2" t="str" cm="1">
        <f t="array" ref="AS21">IF('NILAI CPL'!$B21&lt;&gt;"",IFERROR(_xlfn.IFS(V21&gt;=$B$3,4,V21&gt;=$B$4,3,V21&gt;=$B$5,2,V21&gt;$B$6,1),0),"")</f>
        <v/>
      </c>
      <c r="AT21" s="2" t="str" cm="1">
        <f t="array" ref="AT21">IF('NILAI CPL'!$B21&lt;&gt;"",IFERROR(_xlfn.IFS(W21&gt;=$B$3,4,W21&gt;=$B$4,3,W21&gt;=$B$5,2,W21&gt;$B$6,1),0),"")</f>
        <v/>
      </c>
      <c r="AU21" s="2" t="str" cm="1">
        <f t="array" ref="AU21">IF('NILAI CPL'!$B21&lt;&gt;"",IFERROR(_xlfn.IFS(X21&gt;=$B$3,4,X21&gt;=$B$4,3,X21&gt;=$B$5,2,X21&gt;$B$6,1),0),"")</f>
        <v/>
      </c>
      <c r="AV21" s="2" t="str" cm="1">
        <f t="array" ref="AV21">IF('NILAI CPL'!$B21&lt;&gt;"",IFERROR(_xlfn.IFS(Y21&gt;=$B$3,4,Y21&gt;=$B$4,3,Y21&gt;=$B$5,2,Y21&gt;$B$6,1),0),"")</f>
        <v/>
      </c>
      <c r="AW21" s="2" t="str" cm="1">
        <f t="array" ref="AW21">IF('NILAI CPL'!$B21&lt;&gt;"",IFERROR(_xlfn.IFS(Z21&gt;=$B$3,4,Z21&gt;=$B$4,3,Z21&gt;=$B$5,2,Z21&gt;$B$6,1),0),"")</f>
        <v/>
      </c>
      <c r="AY21" s="2" t="str">
        <f t="shared" si="0"/>
        <v/>
      </c>
      <c r="AZ21" s="2" t="str">
        <f t="shared" si="1"/>
        <v/>
      </c>
      <c r="BA21" s="2" t="str">
        <f t="shared" si="2"/>
        <v/>
      </c>
      <c r="BB21" s="2" t="str">
        <f t="shared" si="3"/>
        <v/>
      </c>
      <c r="BC21" s="2" t="str">
        <f t="shared" si="4"/>
        <v/>
      </c>
      <c r="BD21" s="2" t="str">
        <f t="shared" si="5"/>
        <v/>
      </c>
      <c r="BE21" s="2" t="str">
        <f t="shared" si="6"/>
        <v/>
      </c>
      <c r="BF21" s="2" t="str">
        <f t="shared" si="7"/>
        <v/>
      </c>
      <c r="BG21" s="2" t="str">
        <f t="shared" si="8"/>
        <v/>
      </c>
      <c r="BH21" s="2" t="str">
        <f t="shared" si="9"/>
        <v/>
      </c>
      <c r="BJ21" s="2" t="str" cm="1">
        <f t="array" ref="BJ21">IF('NILAI CPL'!$B21&lt;&gt;"",IFERROR(_xlfn.IFS(AY21&gt;=$B$3,4,AY21&gt;=$B$4,3,AY21&gt;=$B$5,2,AY21&gt;$B$6,1),0),"")</f>
        <v/>
      </c>
      <c r="BK21" s="2" t="str" cm="1">
        <f t="array" ref="BK21">IF('NILAI CPL'!$B21&lt;&gt;"",IFERROR(_xlfn.IFS(AZ21&gt;=$B$3,4,AZ21&gt;=$B$4,3,AZ21&gt;=$B$5,2,AZ21&gt;$B$6,1),0),"")</f>
        <v/>
      </c>
      <c r="BL21" s="2" t="str" cm="1">
        <f t="array" ref="BL21">IF('NILAI CPL'!$B21&lt;&gt;"",IFERROR(_xlfn.IFS(BA21&gt;=$B$3,4,BA21&gt;=$B$4,3,BA21&gt;=$B$5,2,BA21&gt;$B$6,1),0),"")</f>
        <v/>
      </c>
      <c r="BM21" s="2" t="str" cm="1">
        <f t="array" ref="BM21">IF('NILAI CPL'!$B21&lt;&gt;"",IFERROR(_xlfn.IFS(BB21&gt;=$B$3,4,BB21&gt;=$B$4,3,BB21&gt;=$B$5,2,BB21&gt;$B$6,1),0),"")</f>
        <v/>
      </c>
      <c r="BN21" s="2" t="str" cm="1">
        <f t="array" ref="BN21">IF('NILAI CPL'!$B21&lt;&gt;"",IFERROR(_xlfn.IFS(BC21&gt;=$B$3,4,BC21&gt;=$B$4,3,BC21&gt;=$B$5,2,BC21&gt;$B$6,1),0),"")</f>
        <v/>
      </c>
      <c r="BO21" s="2" t="str" cm="1">
        <f t="array" ref="BO21">IF('NILAI CPL'!$B21&lt;&gt;"",IFERROR(_xlfn.IFS(BD21&gt;=$B$3,4,BD21&gt;=$B$4,3,BD21&gt;=$B$5,2,BD21&gt;$B$6,1),0),"")</f>
        <v/>
      </c>
      <c r="BP21" s="2" t="str" cm="1">
        <f t="array" ref="BP21">IF('NILAI CPL'!$B21&lt;&gt;"",IFERROR(_xlfn.IFS(BE21&gt;=$B$3,4,BE21&gt;=$B$4,3,BE21&gt;=$B$5,2,BE21&gt;$B$6,1),0),"")</f>
        <v/>
      </c>
      <c r="BQ21" s="2" t="str" cm="1">
        <f t="array" ref="BQ21">IF('NILAI CPL'!$B21&lt;&gt;"",IFERROR(_xlfn.IFS(BF21&gt;=$B$3,4,BF21&gt;=$B$4,3,BF21&gt;=$B$5,2,BF21&gt;$B$6,1),0),"")</f>
        <v/>
      </c>
      <c r="BR21" s="2" t="str" cm="1">
        <f t="array" ref="BR21">IF('NILAI CPL'!$B21&lt;&gt;"",IFERROR(_xlfn.IFS(BG21&gt;=$B$3,4,BG21&gt;=$B$4,3,BG21&gt;=$B$5,2,BG21&gt;$B$6,1),0),"")</f>
        <v/>
      </c>
      <c r="BS21" s="2" t="str" cm="1">
        <f t="array" ref="BS21">IF('NILAI CPL'!$B21&lt;&gt;"",IFERROR(_xlfn.IFS(BH21&gt;=$B$3,4,BH21&gt;=$B$4,3,BH21&gt;=$B$5,2,BH21&gt;$B$6,1),0),"")</f>
        <v/>
      </c>
    </row>
    <row r="22" spans="1:71" x14ac:dyDescent="0.2">
      <c r="A22" s="2">
        <v>12</v>
      </c>
      <c r="B22" s="2" t="str">
        <f>IF(LEN(SUMMARY!B22)&gt;0, SUMMARY!B22, "")</f>
        <v/>
      </c>
      <c r="C22" s="2" t="str">
        <f>IF(LEN(SUMMARY!C22)&gt;0, SUMMARY!C22, "")</f>
        <v/>
      </c>
      <c r="E22" s="2" t="str" cm="1">
        <f t="array" ref="E22">IF('NILAI CPL'!$B22&lt;&gt;"",IFERROR(JumlahPI(ROW(),COLUMN()),0),"")</f>
        <v/>
      </c>
      <c r="F22" s="2" t="str" cm="1">
        <f t="array" ref="F22">IF('NILAI CPL'!$B22&lt;&gt;"",IFERROR(JumlahPI(ROW(),COLUMN()),0),"")</f>
        <v/>
      </c>
      <c r="G22" s="2" t="str" cm="1">
        <f t="array" ref="G22">IF('NILAI CPL'!$B22&lt;&gt;"",IFERROR(JumlahPI(ROW(),COLUMN()),0),"")</f>
        <v/>
      </c>
      <c r="H22" s="2" t="str" cm="1">
        <f t="array" ref="H22">IF('NILAI CPL'!$B22&lt;&gt;"",IFERROR(JumlahPI(ROW(),COLUMN()),0),"")</f>
        <v/>
      </c>
      <c r="I22" s="2" t="str" cm="1">
        <f t="array" ref="I22">IF('NILAI CPL'!$B22&lt;&gt;"",IFERROR(JumlahPI(ROW(),COLUMN()),0),"")</f>
        <v/>
      </c>
      <c r="J22" s="2" t="str" cm="1">
        <f t="array" ref="J22">IF('NILAI CPL'!$B22&lt;&gt;"",IFERROR(JumlahPI(ROW(),COLUMN()),0),"")</f>
        <v/>
      </c>
      <c r="K22" s="2" t="str" cm="1">
        <f t="array" ref="K22">IF('NILAI CPL'!$B22&lt;&gt;"",IFERROR(JumlahPI(ROW(),COLUMN()),0),"")</f>
        <v/>
      </c>
      <c r="L22" s="2" t="str" cm="1">
        <f t="array" ref="L22">IF('NILAI CPL'!$B22&lt;&gt;"",IFERROR(JumlahPI(ROW(),COLUMN()),0),"")</f>
        <v/>
      </c>
      <c r="M22" s="2" t="str" cm="1">
        <f t="array" ref="M22">IF('NILAI CPL'!$B22&lt;&gt;"",IFERROR(JumlahPI(ROW(),COLUMN()),0),"")</f>
        <v/>
      </c>
      <c r="N22" s="2" t="str" cm="1">
        <f t="array" ref="N22">IF('NILAI CPL'!$B22&lt;&gt;"",IFERROR(JumlahPI(ROW(),COLUMN()),0),"")</f>
        <v/>
      </c>
      <c r="O22" s="2" t="str" cm="1">
        <f t="array" ref="O22">IF('NILAI CPL'!$B22&lt;&gt;"",IFERROR(JumlahPI(ROW(),COLUMN()),0),"")</f>
        <v/>
      </c>
      <c r="P22" s="2" t="str" cm="1">
        <f t="array" ref="P22">IF('NILAI CPL'!$B22&lt;&gt;"",IFERROR(JumlahPI(ROW(),COLUMN()),0),"")</f>
        <v/>
      </c>
      <c r="Q22" s="2" t="str" cm="1">
        <f t="array" ref="Q22">IF('NILAI CPL'!$B22&lt;&gt;"",IFERROR(JumlahPI(ROW(),COLUMN()),0),"")</f>
        <v/>
      </c>
      <c r="R22" s="2" t="str" cm="1">
        <f t="array" ref="R22">IF('NILAI CPL'!$B22&lt;&gt;"",IFERROR(JumlahPI(ROW(),COLUMN()),0),"")</f>
        <v/>
      </c>
      <c r="S22" s="2" t="str" cm="1">
        <f t="array" ref="S22">IF('NILAI CPL'!$B22&lt;&gt;"",IFERROR(JumlahPI(ROW(),COLUMN()),0),"")</f>
        <v/>
      </c>
      <c r="T22" s="2" t="str" cm="1">
        <f t="array" ref="T22">IF('NILAI CPL'!$B22&lt;&gt;"",IFERROR(JumlahPI(ROW(),COLUMN()),0),"")</f>
        <v/>
      </c>
      <c r="U22" s="2" t="str" cm="1">
        <f t="array" ref="U22">IF('NILAI CPL'!$B22&lt;&gt;"",IFERROR(JumlahPI(ROW(),COLUMN()),0),"")</f>
        <v/>
      </c>
      <c r="V22" s="2" t="str" cm="1">
        <f t="array" ref="V22">IF('NILAI CPL'!$B22&lt;&gt;"",IFERROR(JumlahPI(ROW(),COLUMN()),0),"")</f>
        <v/>
      </c>
      <c r="W22" s="2" t="str" cm="1">
        <f t="array" ref="W22">IF('NILAI CPL'!$B22&lt;&gt;"",IFERROR(JumlahPI(ROW(),COLUMN()),0),"")</f>
        <v/>
      </c>
      <c r="X22" s="2" t="str" cm="1">
        <f t="array" ref="X22">IF('NILAI CPL'!$B22&lt;&gt;"",IFERROR(JumlahPI(ROW(),COLUMN()),0),"")</f>
        <v/>
      </c>
      <c r="Y22" s="2" t="str" cm="1">
        <f t="array" ref="Y22">IF('NILAI CPL'!$B22&lt;&gt;"",IFERROR(JumlahPI(ROW(),COLUMN()),0),"")</f>
        <v/>
      </c>
      <c r="Z22" s="2" t="str" cm="1">
        <f t="array" ref="Z22">IF('NILAI CPL'!$B22&lt;&gt;"",IFERROR(JumlahPI(ROW(),COLUMN()),0),"")</f>
        <v/>
      </c>
      <c r="AB22" s="2" t="str" cm="1">
        <f t="array" ref="AB22">IF('NILAI CPL'!$B22&lt;&gt;"",IFERROR(_xlfn.IFS(E22&gt;=$B$3,4,E22&gt;=$B$4,3,E22&gt;=$B$5,2,E22&gt;$B$6,1),0),"")</f>
        <v/>
      </c>
      <c r="AC22" s="2" t="str" cm="1">
        <f t="array" ref="AC22">IF('NILAI CPL'!$B22&lt;&gt;"",IFERROR(_xlfn.IFS(F22&gt;=$B$3,4,F22&gt;=$B$4,3,F22&gt;=$B$5,2,F22&gt;$B$6,1),0),"")</f>
        <v/>
      </c>
      <c r="AD22" s="2" t="str" cm="1">
        <f t="array" ref="AD22">IF('NILAI CPL'!$B22&lt;&gt;"",IFERROR(_xlfn.IFS(G22&gt;=$B$3,4,G22&gt;=$B$4,3,G22&gt;=$B$5,2,G22&gt;$B$6,1),0),"")</f>
        <v/>
      </c>
      <c r="AE22" s="2" t="str" cm="1">
        <f t="array" ref="AE22">IF('NILAI CPL'!$B22&lt;&gt;"",IFERROR(_xlfn.IFS(H22&gt;=$B$3,4,H22&gt;=$B$4,3,H22&gt;=$B$5,2,H22&gt;$B$6,1),0),"")</f>
        <v/>
      </c>
      <c r="AF22" s="2" t="str" cm="1">
        <f t="array" ref="AF22">IF('NILAI CPL'!$B22&lt;&gt;"",IFERROR(_xlfn.IFS(I22&gt;=$B$3,4,I22&gt;=$B$4,3,I22&gt;=$B$5,2,I22&gt;$B$6,1),0),"")</f>
        <v/>
      </c>
      <c r="AG22" s="2" t="str" cm="1">
        <f t="array" ref="AG22">IF('NILAI CPL'!$B22&lt;&gt;"",IFERROR(_xlfn.IFS(J22&gt;=$B$3,4,J22&gt;=$B$4,3,J22&gt;=$B$5,2,J22&gt;$B$6,1),0),"")</f>
        <v/>
      </c>
      <c r="AH22" s="2" t="str" cm="1">
        <f t="array" ref="AH22">IF('NILAI CPL'!$B22&lt;&gt;"",IFERROR(_xlfn.IFS(K22&gt;=$B$3,4,K22&gt;=$B$4,3,K22&gt;=$B$5,2,K22&gt;$B$6,1),0),"")</f>
        <v/>
      </c>
      <c r="AI22" s="2" t="str" cm="1">
        <f t="array" ref="AI22">IF('NILAI CPL'!$B22&lt;&gt;"",IFERROR(_xlfn.IFS(L22&gt;=$B$3,4,L22&gt;=$B$4,3,L22&gt;=$B$5,2,L22&gt;$B$6,1),0),"")</f>
        <v/>
      </c>
      <c r="AJ22" s="2" t="str" cm="1">
        <f t="array" ref="AJ22">IF('NILAI CPL'!$B22&lt;&gt;"",IFERROR(_xlfn.IFS(M22&gt;=$B$3,4,M22&gt;=$B$4,3,M22&gt;=$B$5,2,M22&gt;$B$6,1),0),"")</f>
        <v/>
      </c>
      <c r="AK22" s="2" t="str" cm="1">
        <f t="array" ref="AK22">IF('NILAI CPL'!$B22&lt;&gt;"",IFERROR(_xlfn.IFS(N22&gt;=$B$3,4,N22&gt;=$B$4,3,N22&gt;=$B$5,2,N22&gt;$B$6,1),0),"")</f>
        <v/>
      </c>
      <c r="AL22" s="2" t="str" cm="1">
        <f t="array" ref="AL22">IF('NILAI CPL'!$B22&lt;&gt;"",IFERROR(_xlfn.IFS(O22&gt;=$B$3,4,O22&gt;=$B$4,3,O22&gt;=$B$5,2,O22&gt;$B$6,1),0),"")</f>
        <v/>
      </c>
      <c r="AM22" s="2" t="str" cm="1">
        <f t="array" ref="AM22">IF('NILAI CPL'!$B22&lt;&gt;"",IFERROR(_xlfn.IFS(P22&gt;=$B$3,4,P22&gt;=$B$4,3,P22&gt;=$B$5,2,P22&gt;$B$6,1),0),"")</f>
        <v/>
      </c>
      <c r="AN22" s="2" t="str" cm="1">
        <f t="array" ref="AN22">IF('NILAI CPL'!$B22&lt;&gt;"",IFERROR(_xlfn.IFS(Q22&gt;=$B$3,4,Q22&gt;=$B$4,3,Q22&gt;=$B$5,2,Q22&gt;$B$6,1),0),"")</f>
        <v/>
      </c>
      <c r="AO22" s="2" t="str" cm="1">
        <f t="array" ref="AO22">IF('NILAI CPL'!$B22&lt;&gt;"",IFERROR(_xlfn.IFS(R22&gt;=$B$3,4,R22&gt;=$B$4,3,R22&gt;=$B$5,2,R22&gt;$B$6,1),0),"")</f>
        <v/>
      </c>
      <c r="AP22" s="2" t="str" cm="1">
        <f t="array" ref="AP22">IF('NILAI CPL'!$B22&lt;&gt;"",IFERROR(_xlfn.IFS(S22&gt;=$B$3,4,S22&gt;=$B$4,3,S22&gt;=$B$5,2,S22&gt;$B$6,1),0),"")</f>
        <v/>
      </c>
      <c r="AQ22" s="2" t="str" cm="1">
        <f t="array" ref="AQ22">IF('NILAI CPL'!$B22&lt;&gt;"",IFERROR(_xlfn.IFS(T22&gt;=$B$3,4,T22&gt;=$B$4,3,T22&gt;=$B$5,2,T22&gt;$B$6,1),0),"")</f>
        <v/>
      </c>
      <c r="AR22" s="2" t="str" cm="1">
        <f t="array" ref="AR22">IF('NILAI CPL'!$B22&lt;&gt;"",IFERROR(_xlfn.IFS(U22&gt;=$B$3,4,U22&gt;=$B$4,3,U22&gt;=$B$5,2,U22&gt;$B$6,1),0),"")</f>
        <v/>
      </c>
      <c r="AS22" s="2" t="str" cm="1">
        <f t="array" ref="AS22">IF('NILAI CPL'!$B22&lt;&gt;"",IFERROR(_xlfn.IFS(V22&gt;=$B$3,4,V22&gt;=$B$4,3,V22&gt;=$B$5,2,V22&gt;$B$6,1),0),"")</f>
        <v/>
      </c>
      <c r="AT22" s="2" t="str" cm="1">
        <f t="array" ref="AT22">IF('NILAI CPL'!$B22&lt;&gt;"",IFERROR(_xlfn.IFS(W22&gt;=$B$3,4,W22&gt;=$B$4,3,W22&gt;=$B$5,2,W22&gt;$B$6,1),0),"")</f>
        <v/>
      </c>
      <c r="AU22" s="2" t="str" cm="1">
        <f t="array" ref="AU22">IF('NILAI CPL'!$B22&lt;&gt;"",IFERROR(_xlfn.IFS(X22&gt;=$B$3,4,X22&gt;=$B$4,3,X22&gt;=$B$5,2,X22&gt;$B$6,1),0),"")</f>
        <v/>
      </c>
      <c r="AV22" s="2" t="str" cm="1">
        <f t="array" ref="AV22">IF('NILAI CPL'!$B22&lt;&gt;"",IFERROR(_xlfn.IFS(Y22&gt;=$B$3,4,Y22&gt;=$B$4,3,Y22&gt;=$B$5,2,Y22&gt;$B$6,1),0),"")</f>
        <v/>
      </c>
      <c r="AW22" s="2" t="str" cm="1">
        <f t="array" ref="AW22">IF('NILAI CPL'!$B22&lt;&gt;"",IFERROR(_xlfn.IFS(Z22&gt;=$B$3,4,Z22&gt;=$B$4,3,Z22&gt;=$B$5,2,Z22&gt;$B$6,1),0),"")</f>
        <v/>
      </c>
      <c r="AY22" s="2" t="str">
        <f t="shared" si="0"/>
        <v/>
      </c>
      <c r="AZ22" s="2" t="str">
        <f t="shared" si="1"/>
        <v/>
      </c>
      <c r="BA22" s="2" t="str">
        <f t="shared" si="2"/>
        <v/>
      </c>
      <c r="BB22" s="2" t="str">
        <f t="shared" si="3"/>
        <v/>
      </c>
      <c r="BC22" s="2" t="str">
        <f t="shared" si="4"/>
        <v/>
      </c>
      <c r="BD22" s="2" t="str">
        <f t="shared" si="5"/>
        <v/>
      </c>
      <c r="BE22" s="2" t="str">
        <f t="shared" si="6"/>
        <v/>
      </c>
      <c r="BF22" s="2" t="str">
        <f t="shared" si="7"/>
        <v/>
      </c>
      <c r="BG22" s="2" t="str">
        <f t="shared" si="8"/>
        <v/>
      </c>
      <c r="BH22" s="2" t="str">
        <f t="shared" si="9"/>
        <v/>
      </c>
      <c r="BJ22" s="2" t="str" cm="1">
        <f t="array" ref="BJ22">IF('NILAI CPL'!$B22&lt;&gt;"",IFERROR(_xlfn.IFS(AY22&gt;=$B$3,4,AY22&gt;=$B$4,3,AY22&gt;=$B$5,2,AY22&gt;$B$6,1),0),"")</f>
        <v/>
      </c>
      <c r="BK22" s="2" t="str" cm="1">
        <f t="array" ref="BK22">IF('NILAI CPL'!$B22&lt;&gt;"",IFERROR(_xlfn.IFS(AZ22&gt;=$B$3,4,AZ22&gt;=$B$4,3,AZ22&gt;=$B$5,2,AZ22&gt;$B$6,1),0),"")</f>
        <v/>
      </c>
      <c r="BL22" s="2" t="str" cm="1">
        <f t="array" ref="BL22">IF('NILAI CPL'!$B22&lt;&gt;"",IFERROR(_xlfn.IFS(BA22&gt;=$B$3,4,BA22&gt;=$B$4,3,BA22&gt;=$B$5,2,BA22&gt;$B$6,1),0),"")</f>
        <v/>
      </c>
      <c r="BM22" s="2" t="str" cm="1">
        <f t="array" ref="BM22">IF('NILAI CPL'!$B22&lt;&gt;"",IFERROR(_xlfn.IFS(BB22&gt;=$B$3,4,BB22&gt;=$B$4,3,BB22&gt;=$B$5,2,BB22&gt;$B$6,1),0),"")</f>
        <v/>
      </c>
      <c r="BN22" s="2" t="str" cm="1">
        <f t="array" ref="BN22">IF('NILAI CPL'!$B22&lt;&gt;"",IFERROR(_xlfn.IFS(BC22&gt;=$B$3,4,BC22&gt;=$B$4,3,BC22&gt;=$B$5,2,BC22&gt;$B$6,1),0),"")</f>
        <v/>
      </c>
      <c r="BO22" s="2" t="str" cm="1">
        <f t="array" ref="BO22">IF('NILAI CPL'!$B22&lt;&gt;"",IFERROR(_xlfn.IFS(BD22&gt;=$B$3,4,BD22&gt;=$B$4,3,BD22&gt;=$B$5,2,BD22&gt;$B$6,1),0),"")</f>
        <v/>
      </c>
      <c r="BP22" s="2" t="str" cm="1">
        <f t="array" ref="BP22">IF('NILAI CPL'!$B22&lt;&gt;"",IFERROR(_xlfn.IFS(BE22&gt;=$B$3,4,BE22&gt;=$B$4,3,BE22&gt;=$B$5,2,BE22&gt;$B$6,1),0),"")</f>
        <v/>
      </c>
      <c r="BQ22" s="2" t="str" cm="1">
        <f t="array" ref="BQ22">IF('NILAI CPL'!$B22&lt;&gt;"",IFERROR(_xlfn.IFS(BF22&gt;=$B$3,4,BF22&gt;=$B$4,3,BF22&gt;=$B$5,2,BF22&gt;$B$6,1),0),"")</f>
        <v/>
      </c>
      <c r="BR22" s="2" t="str" cm="1">
        <f t="array" ref="BR22">IF('NILAI CPL'!$B22&lt;&gt;"",IFERROR(_xlfn.IFS(BG22&gt;=$B$3,4,BG22&gt;=$B$4,3,BG22&gt;=$B$5,2,BG22&gt;$B$6,1),0),"")</f>
        <v/>
      </c>
      <c r="BS22" s="2" t="str" cm="1">
        <f t="array" ref="BS22">IF('NILAI CPL'!$B22&lt;&gt;"",IFERROR(_xlfn.IFS(BH22&gt;=$B$3,4,BH22&gt;=$B$4,3,BH22&gt;=$B$5,2,BH22&gt;$B$6,1),0),"")</f>
        <v/>
      </c>
    </row>
    <row r="23" spans="1:71" x14ac:dyDescent="0.2">
      <c r="A23" s="2">
        <v>13</v>
      </c>
      <c r="B23" s="2" t="str">
        <f>IF(LEN(SUMMARY!B23)&gt;0, SUMMARY!B23, "")</f>
        <v/>
      </c>
      <c r="C23" s="2" t="str">
        <f>IF(LEN(SUMMARY!C23)&gt;0, SUMMARY!C23, "")</f>
        <v/>
      </c>
      <c r="E23" s="2" t="str" cm="1">
        <f t="array" ref="E23">IF('NILAI CPL'!$B23&lt;&gt;"",IFERROR(JumlahPI(ROW(),COLUMN()),0),"")</f>
        <v/>
      </c>
      <c r="F23" s="2" t="str" cm="1">
        <f t="array" ref="F23">IF('NILAI CPL'!$B23&lt;&gt;"",IFERROR(JumlahPI(ROW(),COLUMN()),0),"")</f>
        <v/>
      </c>
      <c r="G23" s="2" t="str" cm="1">
        <f t="array" ref="G23">IF('NILAI CPL'!$B23&lt;&gt;"",IFERROR(JumlahPI(ROW(),COLUMN()),0),"")</f>
        <v/>
      </c>
      <c r="H23" s="2" t="str" cm="1">
        <f t="array" ref="H23">IF('NILAI CPL'!$B23&lt;&gt;"",IFERROR(JumlahPI(ROW(),COLUMN()),0),"")</f>
        <v/>
      </c>
      <c r="I23" s="2" t="str" cm="1">
        <f t="array" ref="I23">IF('NILAI CPL'!$B23&lt;&gt;"",IFERROR(JumlahPI(ROW(),COLUMN()),0),"")</f>
        <v/>
      </c>
      <c r="J23" s="2" t="str" cm="1">
        <f t="array" ref="J23">IF('NILAI CPL'!$B23&lt;&gt;"",IFERROR(JumlahPI(ROW(),COLUMN()),0),"")</f>
        <v/>
      </c>
      <c r="K23" s="2" t="str" cm="1">
        <f t="array" ref="K23">IF('NILAI CPL'!$B23&lt;&gt;"",IFERROR(JumlahPI(ROW(),COLUMN()),0),"")</f>
        <v/>
      </c>
      <c r="L23" s="2" t="str" cm="1">
        <f t="array" ref="L23">IF('NILAI CPL'!$B23&lt;&gt;"",IFERROR(JumlahPI(ROW(),COLUMN()),0),"")</f>
        <v/>
      </c>
      <c r="M23" s="2" t="str" cm="1">
        <f t="array" ref="M23">IF('NILAI CPL'!$B23&lt;&gt;"",IFERROR(JumlahPI(ROW(),COLUMN()),0),"")</f>
        <v/>
      </c>
      <c r="N23" s="2" t="str" cm="1">
        <f t="array" ref="N23">IF('NILAI CPL'!$B23&lt;&gt;"",IFERROR(JumlahPI(ROW(),COLUMN()),0),"")</f>
        <v/>
      </c>
      <c r="O23" s="2" t="str" cm="1">
        <f t="array" ref="O23">IF('NILAI CPL'!$B23&lt;&gt;"",IFERROR(JumlahPI(ROW(),COLUMN()),0),"")</f>
        <v/>
      </c>
      <c r="P23" s="2" t="str" cm="1">
        <f t="array" ref="P23">IF('NILAI CPL'!$B23&lt;&gt;"",IFERROR(JumlahPI(ROW(),COLUMN()),0),"")</f>
        <v/>
      </c>
      <c r="Q23" s="2" t="str" cm="1">
        <f t="array" ref="Q23">IF('NILAI CPL'!$B23&lt;&gt;"",IFERROR(JumlahPI(ROW(),COLUMN()),0),"")</f>
        <v/>
      </c>
      <c r="R23" s="2" t="str" cm="1">
        <f t="array" ref="R23">IF('NILAI CPL'!$B23&lt;&gt;"",IFERROR(JumlahPI(ROW(),COLUMN()),0),"")</f>
        <v/>
      </c>
      <c r="S23" s="2" t="str" cm="1">
        <f t="array" ref="S23">IF('NILAI CPL'!$B23&lt;&gt;"",IFERROR(JumlahPI(ROW(),COLUMN()),0),"")</f>
        <v/>
      </c>
      <c r="T23" s="2" t="str" cm="1">
        <f t="array" ref="T23">IF('NILAI CPL'!$B23&lt;&gt;"",IFERROR(JumlahPI(ROW(),COLUMN()),0),"")</f>
        <v/>
      </c>
      <c r="U23" s="2" t="str" cm="1">
        <f t="array" ref="U23">IF('NILAI CPL'!$B23&lt;&gt;"",IFERROR(JumlahPI(ROW(),COLUMN()),0),"")</f>
        <v/>
      </c>
      <c r="V23" s="2" t="str" cm="1">
        <f t="array" ref="V23">IF('NILAI CPL'!$B23&lt;&gt;"",IFERROR(JumlahPI(ROW(),COLUMN()),0),"")</f>
        <v/>
      </c>
      <c r="W23" s="2" t="str" cm="1">
        <f t="array" ref="W23">IF('NILAI CPL'!$B23&lt;&gt;"",IFERROR(JumlahPI(ROW(),COLUMN()),0),"")</f>
        <v/>
      </c>
      <c r="X23" s="2" t="str" cm="1">
        <f t="array" ref="X23">IF('NILAI CPL'!$B23&lt;&gt;"",IFERROR(JumlahPI(ROW(),COLUMN()),0),"")</f>
        <v/>
      </c>
      <c r="Y23" s="2" t="str" cm="1">
        <f t="array" ref="Y23">IF('NILAI CPL'!$B23&lt;&gt;"",IFERROR(JumlahPI(ROW(),COLUMN()),0),"")</f>
        <v/>
      </c>
      <c r="Z23" s="2" t="str" cm="1">
        <f t="array" ref="Z23">IF('NILAI CPL'!$B23&lt;&gt;"",IFERROR(JumlahPI(ROW(),COLUMN()),0),"")</f>
        <v/>
      </c>
      <c r="AB23" s="2" t="str" cm="1">
        <f t="array" ref="AB23">IF('NILAI CPL'!$B23&lt;&gt;"",IFERROR(_xlfn.IFS(E23&gt;=$B$3,4,E23&gt;=$B$4,3,E23&gt;=$B$5,2,E23&gt;$B$6,1),0),"")</f>
        <v/>
      </c>
      <c r="AC23" s="2" t="str" cm="1">
        <f t="array" ref="AC23">IF('NILAI CPL'!$B23&lt;&gt;"",IFERROR(_xlfn.IFS(F23&gt;=$B$3,4,F23&gt;=$B$4,3,F23&gt;=$B$5,2,F23&gt;$B$6,1),0),"")</f>
        <v/>
      </c>
      <c r="AD23" s="2" t="str" cm="1">
        <f t="array" ref="AD23">IF('NILAI CPL'!$B23&lt;&gt;"",IFERROR(_xlfn.IFS(G23&gt;=$B$3,4,G23&gt;=$B$4,3,G23&gt;=$B$5,2,G23&gt;$B$6,1),0),"")</f>
        <v/>
      </c>
      <c r="AE23" s="2" t="str" cm="1">
        <f t="array" ref="AE23">IF('NILAI CPL'!$B23&lt;&gt;"",IFERROR(_xlfn.IFS(H23&gt;=$B$3,4,H23&gt;=$B$4,3,H23&gt;=$B$5,2,H23&gt;$B$6,1),0),"")</f>
        <v/>
      </c>
      <c r="AF23" s="2" t="str" cm="1">
        <f t="array" ref="AF23">IF('NILAI CPL'!$B23&lt;&gt;"",IFERROR(_xlfn.IFS(I23&gt;=$B$3,4,I23&gt;=$B$4,3,I23&gt;=$B$5,2,I23&gt;$B$6,1),0),"")</f>
        <v/>
      </c>
      <c r="AG23" s="2" t="str" cm="1">
        <f t="array" ref="AG23">IF('NILAI CPL'!$B23&lt;&gt;"",IFERROR(_xlfn.IFS(J23&gt;=$B$3,4,J23&gt;=$B$4,3,J23&gt;=$B$5,2,J23&gt;$B$6,1),0),"")</f>
        <v/>
      </c>
      <c r="AH23" s="2" t="str" cm="1">
        <f t="array" ref="AH23">IF('NILAI CPL'!$B23&lt;&gt;"",IFERROR(_xlfn.IFS(K23&gt;=$B$3,4,K23&gt;=$B$4,3,K23&gt;=$B$5,2,K23&gt;$B$6,1),0),"")</f>
        <v/>
      </c>
      <c r="AI23" s="2" t="str" cm="1">
        <f t="array" ref="AI23">IF('NILAI CPL'!$B23&lt;&gt;"",IFERROR(_xlfn.IFS(L23&gt;=$B$3,4,L23&gt;=$B$4,3,L23&gt;=$B$5,2,L23&gt;$B$6,1),0),"")</f>
        <v/>
      </c>
      <c r="AJ23" s="2" t="str" cm="1">
        <f t="array" ref="AJ23">IF('NILAI CPL'!$B23&lt;&gt;"",IFERROR(_xlfn.IFS(M23&gt;=$B$3,4,M23&gt;=$B$4,3,M23&gt;=$B$5,2,M23&gt;$B$6,1),0),"")</f>
        <v/>
      </c>
      <c r="AK23" s="2" t="str" cm="1">
        <f t="array" ref="AK23">IF('NILAI CPL'!$B23&lt;&gt;"",IFERROR(_xlfn.IFS(N23&gt;=$B$3,4,N23&gt;=$B$4,3,N23&gt;=$B$5,2,N23&gt;$B$6,1),0),"")</f>
        <v/>
      </c>
      <c r="AL23" s="2" t="str" cm="1">
        <f t="array" ref="AL23">IF('NILAI CPL'!$B23&lt;&gt;"",IFERROR(_xlfn.IFS(O23&gt;=$B$3,4,O23&gt;=$B$4,3,O23&gt;=$B$5,2,O23&gt;$B$6,1),0),"")</f>
        <v/>
      </c>
      <c r="AM23" s="2" t="str" cm="1">
        <f t="array" ref="AM23">IF('NILAI CPL'!$B23&lt;&gt;"",IFERROR(_xlfn.IFS(P23&gt;=$B$3,4,P23&gt;=$B$4,3,P23&gt;=$B$5,2,P23&gt;$B$6,1),0),"")</f>
        <v/>
      </c>
      <c r="AN23" s="2" t="str" cm="1">
        <f t="array" ref="AN23">IF('NILAI CPL'!$B23&lt;&gt;"",IFERROR(_xlfn.IFS(Q23&gt;=$B$3,4,Q23&gt;=$B$4,3,Q23&gt;=$B$5,2,Q23&gt;$B$6,1),0),"")</f>
        <v/>
      </c>
      <c r="AO23" s="2" t="str" cm="1">
        <f t="array" ref="AO23">IF('NILAI CPL'!$B23&lt;&gt;"",IFERROR(_xlfn.IFS(R23&gt;=$B$3,4,R23&gt;=$B$4,3,R23&gt;=$B$5,2,R23&gt;$B$6,1),0),"")</f>
        <v/>
      </c>
      <c r="AP23" s="2" t="str" cm="1">
        <f t="array" ref="AP23">IF('NILAI CPL'!$B23&lt;&gt;"",IFERROR(_xlfn.IFS(S23&gt;=$B$3,4,S23&gt;=$B$4,3,S23&gt;=$B$5,2,S23&gt;$B$6,1),0),"")</f>
        <v/>
      </c>
      <c r="AQ23" s="2" t="str" cm="1">
        <f t="array" ref="AQ23">IF('NILAI CPL'!$B23&lt;&gt;"",IFERROR(_xlfn.IFS(T23&gt;=$B$3,4,T23&gt;=$B$4,3,T23&gt;=$B$5,2,T23&gt;$B$6,1),0),"")</f>
        <v/>
      </c>
      <c r="AR23" s="2" t="str" cm="1">
        <f t="array" ref="AR23">IF('NILAI CPL'!$B23&lt;&gt;"",IFERROR(_xlfn.IFS(U23&gt;=$B$3,4,U23&gt;=$B$4,3,U23&gt;=$B$5,2,U23&gt;$B$6,1),0),"")</f>
        <v/>
      </c>
      <c r="AS23" s="2" t="str" cm="1">
        <f t="array" ref="AS23">IF('NILAI CPL'!$B23&lt;&gt;"",IFERROR(_xlfn.IFS(V23&gt;=$B$3,4,V23&gt;=$B$4,3,V23&gt;=$B$5,2,V23&gt;$B$6,1),0),"")</f>
        <v/>
      </c>
      <c r="AT23" s="2" t="str" cm="1">
        <f t="array" ref="AT23">IF('NILAI CPL'!$B23&lt;&gt;"",IFERROR(_xlfn.IFS(W23&gt;=$B$3,4,W23&gt;=$B$4,3,W23&gt;=$B$5,2,W23&gt;$B$6,1),0),"")</f>
        <v/>
      </c>
      <c r="AU23" s="2" t="str" cm="1">
        <f t="array" ref="AU23">IF('NILAI CPL'!$B23&lt;&gt;"",IFERROR(_xlfn.IFS(X23&gt;=$B$3,4,X23&gt;=$B$4,3,X23&gt;=$B$5,2,X23&gt;$B$6,1),0),"")</f>
        <v/>
      </c>
      <c r="AV23" s="2" t="str" cm="1">
        <f t="array" ref="AV23">IF('NILAI CPL'!$B23&lt;&gt;"",IFERROR(_xlfn.IFS(Y23&gt;=$B$3,4,Y23&gt;=$B$4,3,Y23&gt;=$B$5,2,Y23&gt;$B$6,1),0),"")</f>
        <v/>
      </c>
      <c r="AW23" s="2" t="str" cm="1">
        <f t="array" ref="AW23">IF('NILAI CPL'!$B23&lt;&gt;"",IFERROR(_xlfn.IFS(Z23&gt;=$B$3,4,Z23&gt;=$B$4,3,Z23&gt;=$B$5,2,Z23&gt;$B$6,1),0),"")</f>
        <v/>
      </c>
      <c r="AY23" s="2" t="str">
        <f t="shared" si="0"/>
        <v/>
      </c>
      <c r="AZ23" s="2" t="str">
        <f t="shared" si="1"/>
        <v/>
      </c>
      <c r="BA23" s="2" t="str">
        <f t="shared" si="2"/>
        <v/>
      </c>
      <c r="BB23" s="2" t="str">
        <f t="shared" si="3"/>
        <v/>
      </c>
      <c r="BC23" s="2" t="str">
        <f t="shared" si="4"/>
        <v/>
      </c>
      <c r="BD23" s="2" t="str">
        <f t="shared" si="5"/>
        <v/>
      </c>
      <c r="BE23" s="2" t="str">
        <f t="shared" si="6"/>
        <v/>
      </c>
      <c r="BF23" s="2" t="str">
        <f t="shared" si="7"/>
        <v/>
      </c>
      <c r="BG23" s="2" t="str">
        <f t="shared" si="8"/>
        <v/>
      </c>
      <c r="BH23" s="2" t="str">
        <f t="shared" si="9"/>
        <v/>
      </c>
      <c r="BJ23" s="2" t="str" cm="1">
        <f t="array" ref="BJ23">IF('NILAI CPL'!$B23&lt;&gt;"",IFERROR(_xlfn.IFS(AY23&gt;=$B$3,4,AY23&gt;=$B$4,3,AY23&gt;=$B$5,2,AY23&gt;$B$6,1),0),"")</f>
        <v/>
      </c>
      <c r="BK23" s="2" t="str" cm="1">
        <f t="array" ref="BK23">IF('NILAI CPL'!$B23&lt;&gt;"",IFERROR(_xlfn.IFS(AZ23&gt;=$B$3,4,AZ23&gt;=$B$4,3,AZ23&gt;=$B$5,2,AZ23&gt;$B$6,1),0),"")</f>
        <v/>
      </c>
      <c r="BL23" s="2" t="str" cm="1">
        <f t="array" ref="BL23">IF('NILAI CPL'!$B23&lt;&gt;"",IFERROR(_xlfn.IFS(BA23&gt;=$B$3,4,BA23&gt;=$B$4,3,BA23&gt;=$B$5,2,BA23&gt;$B$6,1),0),"")</f>
        <v/>
      </c>
      <c r="BM23" s="2" t="str" cm="1">
        <f t="array" ref="BM23">IF('NILAI CPL'!$B23&lt;&gt;"",IFERROR(_xlfn.IFS(BB23&gt;=$B$3,4,BB23&gt;=$B$4,3,BB23&gt;=$B$5,2,BB23&gt;$B$6,1),0),"")</f>
        <v/>
      </c>
      <c r="BN23" s="2" t="str" cm="1">
        <f t="array" ref="BN23">IF('NILAI CPL'!$B23&lt;&gt;"",IFERROR(_xlfn.IFS(BC23&gt;=$B$3,4,BC23&gt;=$B$4,3,BC23&gt;=$B$5,2,BC23&gt;$B$6,1),0),"")</f>
        <v/>
      </c>
      <c r="BO23" s="2" t="str" cm="1">
        <f t="array" ref="BO23">IF('NILAI CPL'!$B23&lt;&gt;"",IFERROR(_xlfn.IFS(BD23&gt;=$B$3,4,BD23&gt;=$B$4,3,BD23&gt;=$B$5,2,BD23&gt;$B$6,1),0),"")</f>
        <v/>
      </c>
      <c r="BP23" s="2" t="str" cm="1">
        <f t="array" ref="BP23">IF('NILAI CPL'!$B23&lt;&gt;"",IFERROR(_xlfn.IFS(BE23&gt;=$B$3,4,BE23&gt;=$B$4,3,BE23&gt;=$B$5,2,BE23&gt;$B$6,1),0),"")</f>
        <v/>
      </c>
      <c r="BQ23" s="2" t="str" cm="1">
        <f t="array" ref="BQ23">IF('NILAI CPL'!$B23&lt;&gt;"",IFERROR(_xlfn.IFS(BF23&gt;=$B$3,4,BF23&gt;=$B$4,3,BF23&gt;=$B$5,2,BF23&gt;$B$6,1),0),"")</f>
        <v/>
      </c>
      <c r="BR23" s="2" t="str" cm="1">
        <f t="array" ref="BR23">IF('NILAI CPL'!$B23&lt;&gt;"",IFERROR(_xlfn.IFS(BG23&gt;=$B$3,4,BG23&gt;=$B$4,3,BG23&gt;=$B$5,2,BG23&gt;$B$6,1),0),"")</f>
        <v/>
      </c>
      <c r="BS23" s="2" t="str" cm="1">
        <f t="array" ref="BS23">IF('NILAI CPL'!$B23&lt;&gt;"",IFERROR(_xlfn.IFS(BH23&gt;=$B$3,4,BH23&gt;=$B$4,3,BH23&gt;=$B$5,2,BH23&gt;$B$6,1),0),"")</f>
        <v/>
      </c>
    </row>
    <row r="24" spans="1:71" x14ac:dyDescent="0.2">
      <c r="A24" s="2">
        <v>14</v>
      </c>
      <c r="B24" s="2" t="str">
        <f>IF(LEN(SUMMARY!B24)&gt;0, SUMMARY!B24, "")</f>
        <v/>
      </c>
      <c r="C24" s="2" t="str">
        <f>IF(LEN(SUMMARY!C24)&gt;0, SUMMARY!C24, "")</f>
        <v/>
      </c>
      <c r="E24" s="2" t="str" cm="1">
        <f t="array" ref="E24">IF('NILAI CPL'!$B24&lt;&gt;"",IFERROR(JumlahPI(ROW(),COLUMN()),0),"")</f>
        <v/>
      </c>
      <c r="F24" s="2" t="str" cm="1">
        <f t="array" ref="F24">IF('NILAI CPL'!$B24&lt;&gt;"",IFERROR(JumlahPI(ROW(),COLUMN()),0),"")</f>
        <v/>
      </c>
      <c r="G24" s="2" t="str" cm="1">
        <f t="array" ref="G24">IF('NILAI CPL'!$B24&lt;&gt;"",IFERROR(JumlahPI(ROW(),COLUMN()),0),"")</f>
        <v/>
      </c>
      <c r="H24" s="2" t="str" cm="1">
        <f t="array" ref="H24">IF('NILAI CPL'!$B24&lt;&gt;"",IFERROR(JumlahPI(ROW(),COLUMN()),0),"")</f>
        <v/>
      </c>
      <c r="I24" s="2" t="str" cm="1">
        <f t="array" ref="I24">IF('NILAI CPL'!$B24&lt;&gt;"",IFERROR(JumlahPI(ROW(),COLUMN()),0),"")</f>
        <v/>
      </c>
      <c r="J24" s="2" t="str" cm="1">
        <f t="array" ref="J24">IF('NILAI CPL'!$B24&lt;&gt;"",IFERROR(JumlahPI(ROW(),COLUMN()),0),"")</f>
        <v/>
      </c>
      <c r="K24" s="2" t="str" cm="1">
        <f t="array" ref="K24">IF('NILAI CPL'!$B24&lt;&gt;"",IFERROR(JumlahPI(ROW(),COLUMN()),0),"")</f>
        <v/>
      </c>
      <c r="L24" s="2" t="str" cm="1">
        <f t="array" ref="L24">IF('NILAI CPL'!$B24&lt;&gt;"",IFERROR(JumlahPI(ROW(),COLUMN()),0),"")</f>
        <v/>
      </c>
      <c r="M24" s="2" t="str" cm="1">
        <f t="array" ref="M24">IF('NILAI CPL'!$B24&lt;&gt;"",IFERROR(JumlahPI(ROW(),COLUMN()),0),"")</f>
        <v/>
      </c>
      <c r="N24" s="2" t="str" cm="1">
        <f t="array" ref="N24">IF('NILAI CPL'!$B24&lt;&gt;"",IFERROR(JumlahPI(ROW(),COLUMN()),0),"")</f>
        <v/>
      </c>
      <c r="O24" s="2" t="str" cm="1">
        <f t="array" ref="O24">IF('NILAI CPL'!$B24&lt;&gt;"",IFERROR(JumlahPI(ROW(),COLUMN()),0),"")</f>
        <v/>
      </c>
      <c r="P24" s="2" t="str" cm="1">
        <f t="array" ref="P24">IF('NILAI CPL'!$B24&lt;&gt;"",IFERROR(JumlahPI(ROW(),COLUMN()),0),"")</f>
        <v/>
      </c>
      <c r="Q24" s="2" t="str" cm="1">
        <f t="array" ref="Q24">IF('NILAI CPL'!$B24&lt;&gt;"",IFERROR(JumlahPI(ROW(),COLUMN()),0),"")</f>
        <v/>
      </c>
      <c r="R24" s="2" t="str" cm="1">
        <f t="array" ref="R24">IF('NILAI CPL'!$B24&lt;&gt;"",IFERROR(JumlahPI(ROW(),COLUMN()),0),"")</f>
        <v/>
      </c>
      <c r="S24" s="2" t="str" cm="1">
        <f t="array" ref="S24">IF('NILAI CPL'!$B24&lt;&gt;"",IFERROR(JumlahPI(ROW(),COLUMN()),0),"")</f>
        <v/>
      </c>
      <c r="T24" s="2" t="str" cm="1">
        <f t="array" ref="T24">IF('NILAI CPL'!$B24&lt;&gt;"",IFERROR(JumlahPI(ROW(),COLUMN()),0),"")</f>
        <v/>
      </c>
      <c r="U24" s="2" t="str" cm="1">
        <f t="array" ref="U24">IF('NILAI CPL'!$B24&lt;&gt;"",IFERROR(JumlahPI(ROW(),COLUMN()),0),"")</f>
        <v/>
      </c>
      <c r="V24" s="2" t="str" cm="1">
        <f t="array" ref="V24">IF('NILAI CPL'!$B24&lt;&gt;"",IFERROR(JumlahPI(ROW(),COLUMN()),0),"")</f>
        <v/>
      </c>
      <c r="W24" s="2" t="str" cm="1">
        <f t="array" ref="W24">IF('NILAI CPL'!$B24&lt;&gt;"",IFERROR(JumlahPI(ROW(),COLUMN()),0),"")</f>
        <v/>
      </c>
      <c r="X24" s="2" t="str" cm="1">
        <f t="array" ref="X24">IF('NILAI CPL'!$B24&lt;&gt;"",IFERROR(JumlahPI(ROW(),COLUMN()),0),"")</f>
        <v/>
      </c>
      <c r="Y24" s="2" t="str" cm="1">
        <f t="array" ref="Y24">IF('NILAI CPL'!$B24&lt;&gt;"",IFERROR(JumlahPI(ROW(),COLUMN()),0),"")</f>
        <v/>
      </c>
      <c r="Z24" s="2" t="str" cm="1">
        <f t="array" ref="Z24">IF('NILAI CPL'!$B24&lt;&gt;"",IFERROR(JumlahPI(ROW(),COLUMN()),0),"")</f>
        <v/>
      </c>
      <c r="AB24" s="2" t="str" cm="1">
        <f t="array" ref="AB24">IF('NILAI CPL'!$B24&lt;&gt;"",IFERROR(_xlfn.IFS(E24&gt;=$B$3,4,E24&gt;=$B$4,3,E24&gt;=$B$5,2,E24&gt;$B$6,1),0),"")</f>
        <v/>
      </c>
      <c r="AC24" s="2" t="str" cm="1">
        <f t="array" ref="AC24">IF('NILAI CPL'!$B24&lt;&gt;"",IFERROR(_xlfn.IFS(F24&gt;=$B$3,4,F24&gt;=$B$4,3,F24&gt;=$B$5,2,F24&gt;$B$6,1),0),"")</f>
        <v/>
      </c>
      <c r="AD24" s="2" t="str" cm="1">
        <f t="array" ref="AD24">IF('NILAI CPL'!$B24&lt;&gt;"",IFERROR(_xlfn.IFS(G24&gt;=$B$3,4,G24&gt;=$B$4,3,G24&gt;=$B$5,2,G24&gt;$B$6,1),0),"")</f>
        <v/>
      </c>
      <c r="AE24" s="2" t="str" cm="1">
        <f t="array" ref="AE24">IF('NILAI CPL'!$B24&lt;&gt;"",IFERROR(_xlfn.IFS(H24&gt;=$B$3,4,H24&gt;=$B$4,3,H24&gt;=$B$5,2,H24&gt;$B$6,1),0),"")</f>
        <v/>
      </c>
      <c r="AF24" s="2" t="str" cm="1">
        <f t="array" ref="AF24">IF('NILAI CPL'!$B24&lt;&gt;"",IFERROR(_xlfn.IFS(I24&gt;=$B$3,4,I24&gt;=$B$4,3,I24&gt;=$B$5,2,I24&gt;$B$6,1),0),"")</f>
        <v/>
      </c>
      <c r="AG24" s="2" t="str" cm="1">
        <f t="array" ref="AG24">IF('NILAI CPL'!$B24&lt;&gt;"",IFERROR(_xlfn.IFS(J24&gt;=$B$3,4,J24&gt;=$B$4,3,J24&gt;=$B$5,2,J24&gt;$B$6,1),0),"")</f>
        <v/>
      </c>
      <c r="AH24" s="2" t="str" cm="1">
        <f t="array" ref="AH24">IF('NILAI CPL'!$B24&lt;&gt;"",IFERROR(_xlfn.IFS(K24&gt;=$B$3,4,K24&gt;=$B$4,3,K24&gt;=$B$5,2,K24&gt;$B$6,1),0),"")</f>
        <v/>
      </c>
      <c r="AI24" s="2" t="str" cm="1">
        <f t="array" ref="AI24">IF('NILAI CPL'!$B24&lt;&gt;"",IFERROR(_xlfn.IFS(L24&gt;=$B$3,4,L24&gt;=$B$4,3,L24&gt;=$B$5,2,L24&gt;$B$6,1),0),"")</f>
        <v/>
      </c>
      <c r="AJ24" s="2" t="str" cm="1">
        <f t="array" ref="AJ24">IF('NILAI CPL'!$B24&lt;&gt;"",IFERROR(_xlfn.IFS(M24&gt;=$B$3,4,M24&gt;=$B$4,3,M24&gt;=$B$5,2,M24&gt;$B$6,1),0),"")</f>
        <v/>
      </c>
      <c r="AK24" s="2" t="str" cm="1">
        <f t="array" ref="AK24">IF('NILAI CPL'!$B24&lt;&gt;"",IFERROR(_xlfn.IFS(N24&gt;=$B$3,4,N24&gt;=$B$4,3,N24&gt;=$B$5,2,N24&gt;$B$6,1),0),"")</f>
        <v/>
      </c>
      <c r="AL24" s="2" t="str" cm="1">
        <f t="array" ref="AL24">IF('NILAI CPL'!$B24&lt;&gt;"",IFERROR(_xlfn.IFS(O24&gt;=$B$3,4,O24&gt;=$B$4,3,O24&gt;=$B$5,2,O24&gt;$B$6,1),0),"")</f>
        <v/>
      </c>
      <c r="AM24" s="2" t="str" cm="1">
        <f t="array" ref="AM24">IF('NILAI CPL'!$B24&lt;&gt;"",IFERROR(_xlfn.IFS(P24&gt;=$B$3,4,P24&gt;=$B$4,3,P24&gt;=$B$5,2,P24&gt;$B$6,1),0),"")</f>
        <v/>
      </c>
      <c r="AN24" s="2" t="str" cm="1">
        <f t="array" ref="AN24">IF('NILAI CPL'!$B24&lt;&gt;"",IFERROR(_xlfn.IFS(Q24&gt;=$B$3,4,Q24&gt;=$B$4,3,Q24&gt;=$B$5,2,Q24&gt;$B$6,1),0),"")</f>
        <v/>
      </c>
      <c r="AO24" s="2" t="str" cm="1">
        <f t="array" ref="AO24">IF('NILAI CPL'!$B24&lt;&gt;"",IFERROR(_xlfn.IFS(R24&gt;=$B$3,4,R24&gt;=$B$4,3,R24&gt;=$B$5,2,R24&gt;$B$6,1),0),"")</f>
        <v/>
      </c>
      <c r="AP24" s="2" t="str" cm="1">
        <f t="array" ref="AP24">IF('NILAI CPL'!$B24&lt;&gt;"",IFERROR(_xlfn.IFS(S24&gt;=$B$3,4,S24&gt;=$B$4,3,S24&gt;=$B$5,2,S24&gt;$B$6,1),0),"")</f>
        <v/>
      </c>
      <c r="AQ24" s="2" t="str" cm="1">
        <f t="array" ref="AQ24">IF('NILAI CPL'!$B24&lt;&gt;"",IFERROR(_xlfn.IFS(T24&gt;=$B$3,4,T24&gt;=$B$4,3,T24&gt;=$B$5,2,T24&gt;$B$6,1),0),"")</f>
        <v/>
      </c>
      <c r="AR24" s="2" t="str" cm="1">
        <f t="array" ref="AR24">IF('NILAI CPL'!$B24&lt;&gt;"",IFERROR(_xlfn.IFS(U24&gt;=$B$3,4,U24&gt;=$B$4,3,U24&gt;=$B$5,2,U24&gt;$B$6,1),0),"")</f>
        <v/>
      </c>
      <c r="AS24" s="2" t="str" cm="1">
        <f t="array" ref="AS24">IF('NILAI CPL'!$B24&lt;&gt;"",IFERROR(_xlfn.IFS(V24&gt;=$B$3,4,V24&gt;=$B$4,3,V24&gt;=$B$5,2,V24&gt;$B$6,1),0),"")</f>
        <v/>
      </c>
      <c r="AT24" s="2" t="str" cm="1">
        <f t="array" ref="AT24">IF('NILAI CPL'!$B24&lt;&gt;"",IFERROR(_xlfn.IFS(W24&gt;=$B$3,4,W24&gt;=$B$4,3,W24&gt;=$B$5,2,W24&gt;$B$6,1),0),"")</f>
        <v/>
      </c>
      <c r="AU24" s="2" t="str" cm="1">
        <f t="array" ref="AU24">IF('NILAI CPL'!$B24&lt;&gt;"",IFERROR(_xlfn.IFS(X24&gt;=$B$3,4,X24&gt;=$B$4,3,X24&gt;=$B$5,2,X24&gt;$B$6,1),0),"")</f>
        <v/>
      </c>
      <c r="AV24" s="2" t="str" cm="1">
        <f t="array" ref="AV24">IF('NILAI CPL'!$B24&lt;&gt;"",IFERROR(_xlfn.IFS(Y24&gt;=$B$3,4,Y24&gt;=$B$4,3,Y24&gt;=$B$5,2,Y24&gt;$B$6,1),0),"")</f>
        <v/>
      </c>
      <c r="AW24" s="2" t="str" cm="1">
        <f t="array" ref="AW24">IF('NILAI CPL'!$B24&lt;&gt;"",IFERROR(_xlfn.IFS(Z24&gt;=$B$3,4,Z24&gt;=$B$4,3,Z24&gt;=$B$5,2,Z24&gt;$B$6,1),0),"")</f>
        <v/>
      </c>
      <c r="AY24" s="2" t="str">
        <f t="shared" si="0"/>
        <v/>
      </c>
      <c r="AZ24" s="2" t="str">
        <f t="shared" si="1"/>
        <v/>
      </c>
      <c r="BA24" s="2" t="str">
        <f t="shared" si="2"/>
        <v/>
      </c>
      <c r="BB24" s="2" t="str">
        <f t="shared" si="3"/>
        <v/>
      </c>
      <c r="BC24" s="2" t="str">
        <f t="shared" si="4"/>
        <v/>
      </c>
      <c r="BD24" s="2" t="str">
        <f t="shared" si="5"/>
        <v/>
      </c>
      <c r="BE24" s="2" t="str">
        <f t="shared" si="6"/>
        <v/>
      </c>
      <c r="BF24" s="2" t="str">
        <f t="shared" si="7"/>
        <v/>
      </c>
      <c r="BG24" s="2" t="str">
        <f t="shared" si="8"/>
        <v/>
      </c>
      <c r="BH24" s="2" t="str">
        <f t="shared" si="9"/>
        <v/>
      </c>
      <c r="BJ24" s="2" t="str" cm="1">
        <f t="array" ref="BJ24">IF('NILAI CPL'!$B24&lt;&gt;"",IFERROR(_xlfn.IFS(AY24&gt;=$B$3,4,AY24&gt;=$B$4,3,AY24&gt;=$B$5,2,AY24&gt;$B$6,1),0),"")</f>
        <v/>
      </c>
      <c r="BK24" s="2" t="str" cm="1">
        <f t="array" ref="BK24">IF('NILAI CPL'!$B24&lt;&gt;"",IFERROR(_xlfn.IFS(AZ24&gt;=$B$3,4,AZ24&gt;=$B$4,3,AZ24&gt;=$B$5,2,AZ24&gt;$B$6,1),0),"")</f>
        <v/>
      </c>
      <c r="BL24" s="2" t="str" cm="1">
        <f t="array" ref="BL24">IF('NILAI CPL'!$B24&lt;&gt;"",IFERROR(_xlfn.IFS(BA24&gt;=$B$3,4,BA24&gt;=$B$4,3,BA24&gt;=$B$5,2,BA24&gt;$B$6,1),0),"")</f>
        <v/>
      </c>
      <c r="BM24" s="2" t="str" cm="1">
        <f t="array" ref="BM24">IF('NILAI CPL'!$B24&lt;&gt;"",IFERROR(_xlfn.IFS(BB24&gt;=$B$3,4,BB24&gt;=$B$4,3,BB24&gt;=$B$5,2,BB24&gt;$B$6,1),0),"")</f>
        <v/>
      </c>
      <c r="BN24" s="2" t="str" cm="1">
        <f t="array" ref="BN24">IF('NILAI CPL'!$B24&lt;&gt;"",IFERROR(_xlfn.IFS(BC24&gt;=$B$3,4,BC24&gt;=$B$4,3,BC24&gt;=$B$5,2,BC24&gt;$B$6,1),0),"")</f>
        <v/>
      </c>
      <c r="BO24" s="2" t="str" cm="1">
        <f t="array" ref="BO24">IF('NILAI CPL'!$B24&lt;&gt;"",IFERROR(_xlfn.IFS(BD24&gt;=$B$3,4,BD24&gt;=$B$4,3,BD24&gt;=$B$5,2,BD24&gt;$B$6,1),0),"")</f>
        <v/>
      </c>
      <c r="BP24" s="2" t="str" cm="1">
        <f t="array" ref="BP24">IF('NILAI CPL'!$B24&lt;&gt;"",IFERROR(_xlfn.IFS(BE24&gt;=$B$3,4,BE24&gt;=$B$4,3,BE24&gt;=$B$5,2,BE24&gt;$B$6,1),0),"")</f>
        <v/>
      </c>
      <c r="BQ24" s="2" t="str" cm="1">
        <f t="array" ref="BQ24">IF('NILAI CPL'!$B24&lt;&gt;"",IFERROR(_xlfn.IFS(BF24&gt;=$B$3,4,BF24&gt;=$B$4,3,BF24&gt;=$B$5,2,BF24&gt;$B$6,1),0),"")</f>
        <v/>
      </c>
      <c r="BR24" s="2" t="str" cm="1">
        <f t="array" ref="BR24">IF('NILAI CPL'!$B24&lt;&gt;"",IFERROR(_xlfn.IFS(BG24&gt;=$B$3,4,BG24&gt;=$B$4,3,BG24&gt;=$B$5,2,BG24&gt;$B$6,1),0),"")</f>
        <v/>
      </c>
      <c r="BS24" s="2" t="str" cm="1">
        <f t="array" ref="BS24">IF('NILAI CPL'!$B24&lt;&gt;"",IFERROR(_xlfn.IFS(BH24&gt;=$B$3,4,BH24&gt;=$B$4,3,BH24&gt;=$B$5,2,BH24&gt;$B$6,1),0),"")</f>
        <v/>
      </c>
    </row>
    <row r="25" spans="1:71" x14ac:dyDescent="0.2">
      <c r="A25" s="2">
        <v>15</v>
      </c>
      <c r="B25" s="2" t="str">
        <f>IF(LEN(SUMMARY!B25)&gt;0, SUMMARY!B25, "")</f>
        <v/>
      </c>
      <c r="C25" s="2" t="str">
        <f>IF(LEN(SUMMARY!C25)&gt;0, SUMMARY!C25, "")</f>
        <v/>
      </c>
      <c r="E25" s="2" t="str" cm="1">
        <f t="array" ref="E25">IF('NILAI CPL'!$B25&lt;&gt;"",IFERROR(JumlahPI(ROW(),COLUMN()),0),"")</f>
        <v/>
      </c>
      <c r="F25" s="2" t="str" cm="1">
        <f t="array" ref="F25">IF('NILAI CPL'!$B25&lt;&gt;"",IFERROR(JumlahPI(ROW(),COLUMN()),0),"")</f>
        <v/>
      </c>
      <c r="G25" s="2" t="str" cm="1">
        <f t="array" ref="G25">IF('NILAI CPL'!$B25&lt;&gt;"",IFERROR(JumlahPI(ROW(),COLUMN()),0),"")</f>
        <v/>
      </c>
      <c r="H25" s="2" t="str" cm="1">
        <f t="array" ref="H25">IF('NILAI CPL'!$B25&lt;&gt;"",IFERROR(JumlahPI(ROW(),COLUMN()),0),"")</f>
        <v/>
      </c>
      <c r="I25" s="2" t="str" cm="1">
        <f t="array" ref="I25">IF('NILAI CPL'!$B25&lt;&gt;"",IFERROR(JumlahPI(ROW(),COLUMN()),0),"")</f>
        <v/>
      </c>
      <c r="J25" s="2" t="str" cm="1">
        <f t="array" ref="J25">IF('NILAI CPL'!$B25&lt;&gt;"",IFERROR(JumlahPI(ROW(),COLUMN()),0),"")</f>
        <v/>
      </c>
      <c r="K25" s="2" t="str" cm="1">
        <f t="array" ref="K25">IF('NILAI CPL'!$B25&lt;&gt;"",IFERROR(JumlahPI(ROW(),COLUMN()),0),"")</f>
        <v/>
      </c>
      <c r="L25" s="2" t="str" cm="1">
        <f t="array" ref="L25">IF('NILAI CPL'!$B25&lt;&gt;"",IFERROR(JumlahPI(ROW(),COLUMN()),0),"")</f>
        <v/>
      </c>
      <c r="M25" s="2" t="str" cm="1">
        <f t="array" ref="M25">IF('NILAI CPL'!$B25&lt;&gt;"",IFERROR(JumlahPI(ROW(),COLUMN()),0),"")</f>
        <v/>
      </c>
      <c r="N25" s="2" t="str" cm="1">
        <f t="array" ref="N25">IF('NILAI CPL'!$B25&lt;&gt;"",IFERROR(JumlahPI(ROW(),COLUMN()),0),"")</f>
        <v/>
      </c>
      <c r="O25" s="2" t="str" cm="1">
        <f t="array" ref="O25">IF('NILAI CPL'!$B25&lt;&gt;"",IFERROR(JumlahPI(ROW(),COLUMN()),0),"")</f>
        <v/>
      </c>
      <c r="P25" s="2" t="str" cm="1">
        <f t="array" ref="P25">IF('NILAI CPL'!$B25&lt;&gt;"",IFERROR(JumlahPI(ROW(),COLUMN()),0),"")</f>
        <v/>
      </c>
      <c r="Q25" s="2" t="str" cm="1">
        <f t="array" ref="Q25">IF('NILAI CPL'!$B25&lt;&gt;"",IFERROR(JumlahPI(ROW(),COLUMN()),0),"")</f>
        <v/>
      </c>
      <c r="R25" s="2" t="str" cm="1">
        <f t="array" ref="R25">IF('NILAI CPL'!$B25&lt;&gt;"",IFERROR(JumlahPI(ROW(),COLUMN()),0),"")</f>
        <v/>
      </c>
      <c r="S25" s="2" t="str" cm="1">
        <f t="array" ref="S25">IF('NILAI CPL'!$B25&lt;&gt;"",IFERROR(JumlahPI(ROW(),COLUMN()),0),"")</f>
        <v/>
      </c>
      <c r="T25" s="2" t="str" cm="1">
        <f t="array" ref="T25">IF('NILAI CPL'!$B25&lt;&gt;"",IFERROR(JumlahPI(ROW(),COLUMN()),0),"")</f>
        <v/>
      </c>
      <c r="U25" s="2" t="str" cm="1">
        <f t="array" ref="U25">IF('NILAI CPL'!$B25&lt;&gt;"",IFERROR(JumlahPI(ROW(),COLUMN()),0),"")</f>
        <v/>
      </c>
      <c r="V25" s="2" t="str" cm="1">
        <f t="array" ref="V25">IF('NILAI CPL'!$B25&lt;&gt;"",IFERROR(JumlahPI(ROW(),COLUMN()),0),"")</f>
        <v/>
      </c>
      <c r="W25" s="2" t="str" cm="1">
        <f t="array" ref="W25">IF('NILAI CPL'!$B25&lt;&gt;"",IFERROR(JumlahPI(ROW(),COLUMN()),0),"")</f>
        <v/>
      </c>
      <c r="X25" s="2" t="str" cm="1">
        <f t="array" ref="X25">IF('NILAI CPL'!$B25&lt;&gt;"",IFERROR(JumlahPI(ROW(),COLUMN()),0),"")</f>
        <v/>
      </c>
      <c r="Y25" s="2" t="str" cm="1">
        <f t="array" ref="Y25">IF('NILAI CPL'!$B25&lt;&gt;"",IFERROR(JumlahPI(ROW(),COLUMN()),0),"")</f>
        <v/>
      </c>
      <c r="Z25" s="2" t="str" cm="1">
        <f t="array" ref="Z25">IF('NILAI CPL'!$B25&lt;&gt;"",IFERROR(JumlahPI(ROW(),COLUMN()),0),"")</f>
        <v/>
      </c>
      <c r="AB25" s="2" t="str" cm="1">
        <f t="array" ref="AB25">IF('NILAI CPL'!$B25&lt;&gt;"",IFERROR(_xlfn.IFS(E25&gt;=$B$3,4,E25&gt;=$B$4,3,E25&gt;=$B$5,2,E25&gt;$B$6,1),0),"")</f>
        <v/>
      </c>
      <c r="AC25" s="2" t="str" cm="1">
        <f t="array" ref="AC25">IF('NILAI CPL'!$B25&lt;&gt;"",IFERROR(_xlfn.IFS(F25&gt;=$B$3,4,F25&gt;=$B$4,3,F25&gt;=$B$5,2,F25&gt;$B$6,1),0),"")</f>
        <v/>
      </c>
      <c r="AD25" s="2" t="str" cm="1">
        <f t="array" ref="AD25">IF('NILAI CPL'!$B25&lt;&gt;"",IFERROR(_xlfn.IFS(G25&gt;=$B$3,4,G25&gt;=$B$4,3,G25&gt;=$B$5,2,G25&gt;$B$6,1),0),"")</f>
        <v/>
      </c>
      <c r="AE25" s="2" t="str" cm="1">
        <f t="array" ref="AE25">IF('NILAI CPL'!$B25&lt;&gt;"",IFERROR(_xlfn.IFS(H25&gt;=$B$3,4,H25&gt;=$B$4,3,H25&gt;=$B$5,2,H25&gt;$B$6,1),0),"")</f>
        <v/>
      </c>
      <c r="AF25" s="2" t="str" cm="1">
        <f t="array" ref="AF25">IF('NILAI CPL'!$B25&lt;&gt;"",IFERROR(_xlfn.IFS(I25&gt;=$B$3,4,I25&gt;=$B$4,3,I25&gt;=$B$5,2,I25&gt;$B$6,1),0),"")</f>
        <v/>
      </c>
      <c r="AG25" s="2" t="str" cm="1">
        <f t="array" ref="AG25">IF('NILAI CPL'!$B25&lt;&gt;"",IFERROR(_xlfn.IFS(J25&gt;=$B$3,4,J25&gt;=$B$4,3,J25&gt;=$B$5,2,J25&gt;$B$6,1),0),"")</f>
        <v/>
      </c>
      <c r="AH25" s="2" t="str" cm="1">
        <f t="array" ref="AH25">IF('NILAI CPL'!$B25&lt;&gt;"",IFERROR(_xlfn.IFS(K25&gt;=$B$3,4,K25&gt;=$B$4,3,K25&gt;=$B$5,2,K25&gt;$B$6,1),0),"")</f>
        <v/>
      </c>
      <c r="AI25" s="2" t="str" cm="1">
        <f t="array" ref="AI25">IF('NILAI CPL'!$B25&lt;&gt;"",IFERROR(_xlfn.IFS(L25&gt;=$B$3,4,L25&gt;=$B$4,3,L25&gt;=$B$5,2,L25&gt;$B$6,1),0),"")</f>
        <v/>
      </c>
      <c r="AJ25" s="2" t="str" cm="1">
        <f t="array" ref="AJ25">IF('NILAI CPL'!$B25&lt;&gt;"",IFERROR(_xlfn.IFS(M25&gt;=$B$3,4,M25&gt;=$B$4,3,M25&gt;=$B$5,2,M25&gt;$B$6,1),0),"")</f>
        <v/>
      </c>
      <c r="AK25" s="2" t="str" cm="1">
        <f t="array" ref="AK25">IF('NILAI CPL'!$B25&lt;&gt;"",IFERROR(_xlfn.IFS(N25&gt;=$B$3,4,N25&gt;=$B$4,3,N25&gt;=$B$5,2,N25&gt;$B$6,1),0),"")</f>
        <v/>
      </c>
      <c r="AL25" s="2" t="str" cm="1">
        <f t="array" ref="AL25">IF('NILAI CPL'!$B25&lt;&gt;"",IFERROR(_xlfn.IFS(O25&gt;=$B$3,4,O25&gt;=$B$4,3,O25&gt;=$B$5,2,O25&gt;$B$6,1),0),"")</f>
        <v/>
      </c>
      <c r="AM25" s="2" t="str" cm="1">
        <f t="array" ref="AM25">IF('NILAI CPL'!$B25&lt;&gt;"",IFERROR(_xlfn.IFS(P25&gt;=$B$3,4,P25&gt;=$B$4,3,P25&gt;=$B$5,2,P25&gt;$B$6,1),0),"")</f>
        <v/>
      </c>
      <c r="AN25" s="2" t="str" cm="1">
        <f t="array" ref="AN25">IF('NILAI CPL'!$B25&lt;&gt;"",IFERROR(_xlfn.IFS(Q25&gt;=$B$3,4,Q25&gt;=$B$4,3,Q25&gt;=$B$5,2,Q25&gt;$B$6,1),0),"")</f>
        <v/>
      </c>
      <c r="AO25" s="2" t="str" cm="1">
        <f t="array" ref="AO25">IF('NILAI CPL'!$B25&lt;&gt;"",IFERROR(_xlfn.IFS(R25&gt;=$B$3,4,R25&gt;=$B$4,3,R25&gt;=$B$5,2,R25&gt;$B$6,1),0),"")</f>
        <v/>
      </c>
      <c r="AP25" s="2" t="str" cm="1">
        <f t="array" ref="AP25">IF('NILAI CPL'!$B25&lt;&gt;"",IFERROR(_xlfn.IFS(S25&gt;=$B$3,4,S25&gt;=$B$4,3,S25&gt;=$B$5,2,S25&gt;$B$6,1),0),"")</f>
        <v/>
      </c>
      <c r="AQ25" s="2" t="str" cm="1">
        <f t="array" ref="AQ25">IF('NILAI CPL'!$B25&lt;&gt;"",IFERROR(_xlfn.IFS(T25&gt;=$B$3,4,T25&gt;=$B$4,3,T25&gt;=$B$5,2,T25&gt;$B$6,1),0),"")</f>
        <v/>
      </c>
      <c r="AR25" s="2" t="str" cm="1">
        <f t="array" ref="AR25">IF('NILAI CPL'!$B25&lt;&gt;"",IFERROR(_xlfn.IFS(U25&gt;=$B$3,4,U25&gt;=$B$4,3,U25&gt;=$B$5,2,U25&gt;$B$6,1),0),"")</f>
        <v/>
      </c>
      <c r="AS25" s="2" t="str" cm="1">
        <f t="array" ref="AS25">IF('NILAI CPL'!$B25&lt;&gt;"",IFERROR(_xlfn.IFS(V25&gt;=$B$3,4,V25&gt;=$B$4,3,V25&gt;=$B$5,2,V25&gt;$B$6,1),0),"")</f>
        <v/>
      </c>
      <c r="AT25" s="2" t="str" cm="1">
        <f t="array" ref="AT25">IF('NILAI CPL'!$B25&lt;&gt;"",IFERROR(_xlfn.IFS(W25&gt;=$B$3,4,W25&gt;=$B$4,3,W25&gt;=$B$5,2,W25&gt;$B$6,1),0),"")</f>
        <v/>
      </c>
      <c r="AU25" s="2" t="str" cm="1">
        <f t="array" ref="AU25">IF('NILAI CPL'!$B25&lt;&gt;"",IFERROR(_xlfn.IFS(X25&gt;=$B$3,4,X25&gt;=$B$4,3,X25&gt;=$B$5,2,X25&gt;$B$6,1),0),"")</f>
        <v/>
      </c>
      <c r="AV25" s="2" t="str" cm="1">
        <f t="array" ref="AV25">IF('NILAI CPL'!$B25&lt;&gt;"",IFERROR(_xlfn.IFS(Y25&gt;=$B$3,4,Y25&gt;=$B$4,3,Y25&gt;=$B$5,2,Y25&gt;$B$6,1),0),"")</f>
        <v/>
      </c>
      <c r="AW25" s="2" t="str" cm="1">
        <f t="array" ref="AW25">IF('NILAI CPL'!$B25&lt;&gt;"",IFERROR(_xlfn.IFS(Z25&gt;=$B$3,4,Z25&gt;=$B$4,3,Z25&gt;=$B$5,2,Z25&gt;$B$6,1),0),"")</f>
        <v/>
      </c>
      <c r="AY25" s="2" t="str">
        <f t="shared" si="0"/>
        <v/>
      </c>
      <c r="AZ25" s="2" t="str">
        <f t="shared" si="1"/>
        <v/>
      </c>
      <c r="BA25" s="2" t="str">
        <f t="shared" si="2"/>
        <v/>
      </c>
      <c r="BB25" s="2" t="str">
        <f t="shared" si="3"/>
        <v/>
      </c>
      <c r="BC25" s="2" t="str">
        <f t="shared" si="4"/>
        <v/>
      </c>
      <c r="BD25" s="2" t="str">
        <f t="shared" si="5"/>
        <v/>
      </c>
      <c r="BE25" s="2" t="str">
        <f t="shared" si="6"/>
        <v/>
      </c>
      <c r="BF25" s="2" t="str">
        <f t="shared" si="7"/>
        <v/>
      </c>
      <c r="BG25" s="2" t="str">
        <f t="shared" si="8"/>
        <v/>
      </c>
      <c r="BH25" s="2" t="str">
        <f t="shared" si="9"/>
        <v/>
      </c>
      <c r="BJ25" s="2" t="str" cm="1">
        <f t="array" ref="BJ25">IF('NILAI CPL'!$B25&lt;&gt;"",IFERROR(_xlfn.IFS(AY25&gt;=$B$3,4,AY25&gt;=$B$4,3,AY25&gt;=$B$5,2,AY25&gt;$B$6,1),0),"")</f>
        <v/>
      </c>
      <c r="BK25" s="2" t="str" cm="1">
        <f t="array" ref="BK25">IF('NILAI CPL'!$B25&lt;&gt;"",IFERROR(_xlfn.IFS(AZ25&gt;=$B$3,4,AZ25&gt;=$B$4,3,AZ25&gt;=$B$5,2,AZ25&gt;$B$6,1),0),"")</f>
        <v/>
      </c>
      <c r="BL25" s="2" t="str" cm="1">
        <f t="array" ref="BL25">IF('NILAI CPL'!$B25&lt;&gt;"",IFERROR(_xlfn.IFS(BA25&gt;=$B$3,4,BA25&gt;=$B$4,3,BA25&gt;=$B$5,2,BA25&gt;$B$6,1),0),"")</f>
        <v/>
      </c>
      <c r="BM25" s="2" t="str" cm="1">
        <f t="array" ref="BM25">IF('NILAI CPL'!$B25&lt;&gt;"",IFERROR(_xlfn.IFS(BB25&gt;=$B$3,4,BB25&gt;=$B$4,3,BB25&gt;=$B$5,2,BB25&gt;$B$6,1),0),"")</f>
        <v/>
      </c>
      <c r="BN25" s="2" t="str" cm="1">
        <f t="array" ref="BN25">IF('NILAI CPL'!$B25&lt;&gt;"",IFERROR(_xlfn.IFS(BC25&gt;=$B$3,4,BC25&gt;=$B$4,3,BC25&gt;=$B$5,2,BC25&gt;$B$6,1),0),"")</f>
        <v/>
      </c>
      <c r="BO25" s="2" t="str" cm="1">
        <f t="array" ref="BO25">IF('NILAI CPL'!$B25&lt;&gt;"",IFERROR(_xlfn.IFS(BD25&gt;=$B$3,4,BD25&gt;=$B$4,3,BD25&gt;=$B$5,2,BD25&gt;$B$6,1),0),"")</f>
        <v/>
      </c>
      <c r="BP25" s="2" t="str" cm="1">
        <f t="array" ref="BP25">IF('NILAI CPL'!$B25&lt;&gt;"",IFERROR(_xlfn.IFS(BE25&gt;=$B$3,4,BE25&gt;=$B$4,3,BE25&gt;=$B$5,2,BE25&gt;$B$6,1),0),"")</f>
        <v/>
      </c>
      <c r="BQ25" s="2" t="str" cm="1">
        <f t="array" ref="BQ25">IF('NILAI CPL'!$B25&lt;&gt;"",IFERROR(_xlfn.IFS(BF25&gt;=$B$3,4,BF25&gt;=$B$4,3,BF25&gt;=$B$5,2,BF25&gt;$B$6,1),0),"")</f>
        <v/>
      </c>
      <c r="BR25" s="2" t="str" cm="1">
        <f t="array" ref="BR25">IF('NILAI CPL'!$B25&lt;&gt;"",IFERROR(_xlfn.IFS(BG25&gt;=$B$3,4,BG25&gt;=$B$4,3,BG25&gt;=$B$5,2,BG25&gt;$B$6,1),0),"")</f>
        <v/>
      </c>
      <c r="BS25" s="2" t="str" cm="1">
        <f t="array" ref="BS25">IF('NILAI CPL'!$B25&lt;&gt;"",IFERROR(_xlfn.IFS(BH25&gt;=$B$3,4,BH25&gt;=$B$4,3,BH25&gt;=$B$5,2,BH25&gt;$B$6,1),0),"")</f>
        <v/>
      </c>
    </row>
    <row r="26" spans="1:71" x14ac:dyDescent="0.2">
      <c r="A26" s="2">
        <v>16</v>
      </c>
      <c r="B26" s="2" t="str">
        <f>IF(LEN(SUMMARY!B26)&gt;0, SUMMARY!B26, "")</f>
        <v/>
      </c>
      <c r="C26" s="2" t="str">
        <f>IF(LEN(SUMMARY!C26)&gt;0, SUMMARY!C26, "")</f>
        <v/>
      </c>
      <c r="E26" s="2" t="str" cm="1">
        <f t="array" ref="E26">IF('NILAI CPL'!$B26&lt;&gt;"",IFERROR(JumlahPI(ROW(),COLUMN()),0),"")</f>
        <v/>
      </c>
      <c r="F26" s="2" t="str" cm="1">
        <f t="array" ref="F26">IF('NILAI CPL'!$B26&lt;&gt;"",IFERROR(JumlahPI(ROW(),COLUMN()),0),"")</f>
        <v/>
      </c>
      <c r="G26" s="2" t="str" cm="1">
        <f t="array" ref="G26">IF('NILAI CPL'!$B26&lt;&gt;"",IFERROR(JumlahPI(ROW(),COLUMN()),0),"")</f>
        <v/>
      </c>
      <c r="H26" s="2" t="str" cm="1">
        <f t="array" ref="H26">IF('NILAI CPL'!$B26&lt;&gt;"",IFERROR(JumlahPI(ROW(),COLUMN()),0),"")</f>
        <v/>
      </c>
      <c r="I26" s="2" t="str" cm="1">
        <f t="array" ref="I26">IF('NILAI CPL'!$B26&lt;&gt;"",IFERROR(JumlahPI(ROW(),COLUMN()),0),"")</f>
        <v/>
      </c>
      <c r="J26" s="2" t="str" cm="1">
        <f t="array" ref="J26">IF('NILAI CPL'!$B26&lt;&gt;"",IFERROR(JumlahPI(ROW(),COLUMN()),0),"")</f>
        <v/>
      </c>
      <c r="K26" s="2" t="str" cm="1">
        <f t="array" ref="K26">IF('NILAI CPL'!$B26&lt;&gt;"",IFERROR(JumlahPI(ROW(),COLUMN()),0),"")</f>
        <v/>
      </c>
      <c r="L26" s="2" t="str" cm="1">
        <f t="array" ref="L26">IF('NILAI CPL'!$B26&lt;&gt;"",IFERROR(JumlahPI(ROW(),COLUMN()),0),"")</f>
        <v/>
      </c>
      <c r="M26" s="2" t="str" cm="1">
        <f t="array" ref="M26">IF('NILAI CPL'!$B26&lt;&gt;"",IFERROR(JumlahPI(ROW(),COLUMN()),0),"")</f>
        <v/>
      </c>
      <c r="N26" s="2" t="str" cm="1">
        <f t="array" ref="N26">IF('NILAI CPL'!$B26&lt;&gt;"",IFERROR(JumlahPI(ROW(),COLUMN()),0),"")</f>
        <v/>
      </c>
      <c r="O26" s="2" t="str" cm="1">
        <f t="array" ref="O26">IF('NILAI CPL'!$B26&lt;&gt;"",IFERROR(JumlahPI(ROW(),COLUMN()),0),"")</f>
        <v/>
      </c>
      <c r="P26" s="2" t="str" cm="1">
        <f t="array" ref="P26">IF('NILAI CPL'!$B26&lt;&gt;"",IFERROR(JumlahPI(ROW(),COLUMN()),0),"")</f>
        <v/>
      </c>
      <c r="Q26" s="2" t="str" cm="1">
        <f t="array" ref="Q26">IF('NILAI CPL'!$B26&lt;&gt;"",IFERROR(JumlahPI(ROW(),COLUMN()),0),"")</f>
        <v/>
      </c>
      <c r="R26" s="2" t="str" cm="1">
        <f t="array" ref="R26">IF('NILAI CPL'!$B26&lt;&gt;"",IFERROR(JumlahPI(ROW(),COLUMN()),0),"")</f>
        <v/>
      </c>
      <c r="S26" s="2" t="str" cm="1">
        <f t="array" ref="S26">IF('NILAI CPL'!$B26&lt;&gt;"",IFERROR(JumlahPI(ROW(),COLUMN()),0),"")</f>
        <v/>
      </c>
      <c r="T26" s="2" t="str" cm="1">
        <f t="array" ref="T26">IF('NILAI CPL'!$B26&lt;&gt;"",IFERROR(JumlahPI(ROW(),COLUMN()),0),"")</f>
        <v/>
      </c>
      <c r="U26" s="2" t="str" cm="1">
        <f t="array" ref="U26">IF('NILAI CPL'!$B26&lt;&gt;"",IFERROR(JumlahPI(ROW(),COLUMN()),0),"")</f>
        <v/>
      </c>
      <c r="V26" s="2" t="str" cm="1">
        <f t="array" ref="V26">IF('NILAI CPL'!$B26&lt;&gt;"",IFERROR(JumlahPI(ROW(),COLUMN()),0),"")</f>
        <v/>
      </c>
      <c r="W26" s="2" t="str" cm="1">
        <f t="array" ref="W26">IF('NILAI CPL'!$B26&lt;&gt;"",IFERROR(JumlahPI(ROW(),COLUMN()),0),"")</f>
        <v/>
      </c>
      <c r="X26" s="2" t="str" cm="1">
        <f t="array" ref="X26">IF('NILAI CPL'!$B26&lt;&gt;"",IFERROR(JumlahPI(ROW(),COLUMN()),0),"")</f>
        <v/>
      </c>
      <c r="Y26" s="2" t="str" cm="1">
        <f t="array" ref="Y26">IF('NILAI CPL'!$B26&lt;&gt;"",IFERROR(JumlahPI(ROW(),COLUMN()),0),"")</f>
        <v/>
      </c>
      <c r="Z26" s="2" t="str" cm="1">
        <f t="array" ref="Z26">IF('NILAI CPL'!$B26&lt;&gt;"",IFERROR(JumlahPI(ROW(),COLUMN()),0),"")</f>
        <v/>
      </c>
      <c r="AB26" s="2" t="str" cm="1">
        <f t="array" ref="AB26">IF('NILAI CPL'!$B26&lt;&gt;"",IFERROR(_xlfn.IFS(E26&gt;=$B$3,4,E26&gt;=$B$4,3,E26&gt;=$B$5,2,E26&gt;$B$6,1),0),"")</f>
        <v/>
      </c>
      <c r="AC26" s="2" t="str" cm="1">
        <f t="array" ref="AC26">IF('NILAI CPL'!$B26&lt;&gt;"",IFERROR(_xlfn.IFS(F26&gt;=$B$3,4,F26&gt;=$B$4,3,F26&gt;=$B$5,2,F26&gt;$B$6,1),0),"")</f>
        <v/>
      </c>
      <c r="AD26" s="2" t="str" cm="1">
        <f t="array" ref="AD26">IF('NILAI CPL'!$B26&lt;&gt;"",IFERROR(_xlfn.IFS(G26&gt;=$B$3,4,G26&gt;=$B$4,3,G26&gt;=$B$5,2,G26&gt;$B$6,1),0),"")</f>
        <v/>
      </c>
      <c r="AE26" s="2" t="str" cm="1">
        <f t="array" ref="AE26">IF('NILAI CPL'!$B26&lt;&gt;"",IFERROR(_xlfn.IFS(H26&gt;=$B$3,4,H26&gt;=$B$4,3,H26&gt;=$B$5,2,H26&gt;$B$6,1),0),"")</f>
        <v/>
      </c>
      <c r="AF26" s="2" t="str" cm="1">
        <f t="array" ref="AF26">IF('NILAI CPL'!$B26&lt;&gt;"",IFERROR(_xlfn.IFS(I26&gt;=$B$3,4,I26&gt;=$B$4,3,I26&gt;=$B$5,2,I26&gt;$B$6,1),0),"")</f>
        <v/>
      </c>
      <c r="AG26" s="2" t="str" cm="1">
        <f t="array" ref="AG26">IF('NILAI CPL'!$B26&lt;&gt;"",IFERROR(_xlfn.IFS(J26&gt;=$B$3,4,J26&gt;=$B$4,3,J26&gt;=$B$5,2,J26&gt;$B$6,1),0),"")</f>
        <v/>
      </c>
      <c r="AH26" s="2" t="str" cm="1">
        <f t="array" ref="AH26">IF('NILAI CPL'!$B26&lt;&gt;"",IFERROR(_xlfn.IFS(K26&gt;=$B$3,4,K26&gt;=$B$4,3,K26&gt;=$B$5,2,K26&gt;$B$6,1),0),"")</f>
        <v/>
      </c>
      <c r="AI26" s="2" t="str" cm="1">
        <f t="array" ref="AI26">IF('NILAI CPL'!$B26&lt;&gt;"",IFERROR(_xlfn.IFS(L26&gt;=$B$3,4,L26&gt;=$B$4,3,L26&gt;=$B$5,2,L26&gt;$B$6,1),0),"")</f>
        <v/>
      </c>
      <c r="AJ26" s="2" t="str" cm="1">
        <f t="array" ref="AJ26">IF('NILAI CPL'!$B26&lt;&gt;"",IFERROR(_xlfn.IFS(M26&gt;=$B$3,4,M26&gt;=$B$4,3,M26&gt;=$B$5,2,M26&gt;$B$6,1),0),"")</f>
        <v/>
      </c>
      <c r="AK26" s="2" t="str" cm="1">
        <f t="array" ref="AK26">IF('NILAI CPL'!$B26&lt;&gt;"",IFERROR(_xlfn.IFS(N26&gt;=$B$3,4,N26&gt;=$B$4,3,N26&gt;=$B$5,2,N26&gt;$B$6,1),0),"")</f>
        <v/>
      </c>
      <c r="AL26" s="2" t="str" cm="1">
        <f t="array" ref="AL26">IF('NILAI CPL'!$B26&lt;&gt;"",IFERROR(_xlfn.IFS(O26&gt;=$B$3,4,O26&gt;=$B$4,3,O26&gt;=$B$5,2,O26&gt;$B$6,1),0),"")</f>
        <v/>
      </c>
      <c r="AM26" s="2" t="str" cm="1">
        <f t="array" ref="AM26">IF('NILAI CPL'!$B26&lt;&gt;"",IFERROR(_xlfn.IFS(P26&gt;=$B$3,4,P26&gt;=$B$4,3,P26&gt;=$B$5,2,P26&gt;$B$6,1),0),"")</f>
        <v/>
      </c>
      <c r="AN26" s="2" t="str" cm="1">
        <f t="array" ref="AN26">IF('NILAI CPL'!$B26&lt;&gt;"",IFERROR(_xlfn.IFS(Q26&gt;=$B$3,4,Q26&gt;=$B$4,3,Q26&gt;=$B$5,2,Q26&gt;$B$6,1),0),"")</f>
        <v/>
      </c>
      <c r="AO26" s="2" t="str" cm="1">
        <f t="array" ref="AO26">IF('NILAI CPL'!$B26&lt;&gt;"",IFERROR(_xlfn.IFS(R26&gt;=$B$3,4,R26&gt;=$B$4,3,R26&gt;=$B$5,2,R26&gt;$B$6,1),0),"")</f>
        <v/>
      </c>
      <c r="AP26" s="2" t="str" cm="1">
        <f t="array" ref="AP26">IF('NILAI CPL'!$B26&lt;&gt;"",IFERROR(_xlfn.IFS(S26&gt;=$B$3,4,S26&gt;=$B$4,3,S26&gt;=$B$5,2,S26&gt;$B$6,1),0),"")</f>
        <v/>
      </c>
      <c r="AQ26" s="2" t="str" cm="1">
        <f t="array" ref="AQ26">IF('NILAI CPL'!$B26&lt;&gt;"",IFERROR(_xlfn.IFS(T26&gt;=$B$3,4,T26&gt;=$B$4,3,T26&gt;=$B$5,2,T26&gt;$B$6,1),0),"")</f>
        <v/>
      </c>
      <c r="AR26" s="2" t="str" cm="1">
        <f t="array" ref="AR26">IF('NILAI CPL'!$B26&lt;&gt;"",IFERROR(_xlfn.IFS(U26&gt;=$B$3,4,U26&gt;=$B$4,3,U26&gt;=$B$5,2,U26&gt;$B$6,1),0),"")</f>
        <v/>
      </c>
      <c r="AS26" s="2" t="str" cm="1">
        <f t="array" ref="AS26">IF('NILAI CPL'!$B26&lt;&gt;"",IFERROR(_xlfn.IFS(V26&gt;=$B$3,4,V26&gt;=$B$4,3,V26&gt;=$B$5,2,V26&gt;$B$6,1),0),"")</f>
        <v/>
      </c>
      <c r="AT26" s="2" t="str" cm="1">
        <f t="array" ref="AT26">IF('NILAI CPL'!$B26&lt;&gt;"",IFERROR(_xlfn.IFS(W26&gt;=$B$3,4,W26&gt;=$B$4,3,W26&gt;=$B$5,2,W26&gt;$B$6,1),0),"")</f>
        <v/>
      </c>
      <c r="AU26" s="2" t="str" cm="1">
        <f t="array" ref="AU26">IF('NILAI CPL'!$B26&lt;&gt;"",IFERROR(_xlfn.IFS(X26&gt;=$B$3,4,X26&gt;=$B$4,3,X26&gt;=$B$5,2,X26&gt;$B$6,1),0),"")</f>
        <v/>
      </c>
      <c r="AV26" s="2" t="str" cm="1">
        <f t="array" ref="AV26">IF('NILAI CPL'!$B26&lt;&gt;"",IFERROR(_xlfn.IFS(Y26&gt;=$B$3,4,Y26&gt;=$B$4,3,Y26&gt;=$B$5,2,Y26&gt;$B$6,1),0),"")</f>
        <v/>
      </c>
      <c r="AW26" s="2" t="str" cm="1">
        <f t="array" ref="AW26">IF('NILAI CPL'!$B26&lt;&gt;"",IFERROR(_xlfn.IFS(Z26&gt;=$B$3,4,Z26&gt;=$B$4,3,Z26&gt;=$B$5,2,Z26&gt;$B$6,1),0),"")</f>
        <v/>
      </c>
      <c r="AY26" s="2" t="str">
        <f t="shared" si="0"/>
        <v/>
      </c>
      <c r="AZ26" s="2" t="str">
        <f t="shared" si="1"/>
        <v/>
      </c>
      <c r="BA26" s="2" t="str">
        <f t="shared" si="2"/>
        <v/>
      </c>
      <c r="BB26" s="2" t="str">
        <f t="shared" si="3"/>
        <v/>
      </c>
      <c r="BC26" s="2" t="str">
        <f t="shared" si="4"/>
        <v/>
      </c>
      <c r="BD26" s="2" t="str">
        <f t="shared" si="5"/>
        <v/>
      </c>
      <c r="BE26" s="2" t="str">
        <f t="shared" si="6"/>
        <v/>
      </c>
      <c r="BF26" s="2" t="str">
        <f t="shared" si="7"/>
        <v/>
      </c>
      <c r="BG26" s="2" t="str">
        <f t="shared" si="8"/>
        <v/>
      </c>
      <c r="BH26" s="2" t="str">
        <f t="shared" si="9"/>
        <v/>
      </c>
      <c r="BJ26" s="2" t="str" cm="1">
        <f t="array" ref="BJ26">IF('NILAI CPL'!$B26&lt;&gt;"",IFERROR(_xlfn.IFS(AY26&gt;=$B$3,4,AY26&gt;=$B$4,3,AY26&gt;=$B$5,2,AY26&gt;$B$6,1),0),"")</f>
        <v/>
      </c>
      <c r="BK26" s="2" t="str" cm="1">
        <f t="array" ref="BK26">IF('NILAI CPL'!$B26&lt;&gt;"",IFERROR(_xlfn.IFS(AZ26&gt;=$B$3,4,AZ26&gt;=$B$4,3,AZ26&gt;=$B$5,2,AZ26&gt;$B$6,1),0),"")</f>
        <v/>
      </c>
      <c r="BL26" s="2" t="str" cm="1">
        <f t="array" ref="BL26">IF('NILAI CPL'!$B26&lt;&gt;"",IFERROR(_xlfn.IFS(BA26&gt;=$B$3,4,BA26&gt;=$B$4,3,BA26&gt;=$B$5,2,BA26&gt;$B$6,1),0),"")</f>
        <v/>
      </c>
      <c r="BM26" s="2" t="str" cm="1">
        <f t="array" ref="BM26">IF('NILAI CPL'!$B26&lt;&gt;"",IFERROR(_xlfn.IFS(BB26&gt;=$B$3,4,BB26&gt;=$B$4,3,BB26&gt;=$B$5,2,BB26&gt;$B$6,1),0),"")</f>
        <v/>
      </c>
      <c r="BN26" s="2" t="str" cm="1">
        <f t="array" ref="BN26">IF('NILAI CPL'!$B26&lt;&gt;"",IFERROR(_xlfn.IFS(BC26&gt;=$B$3,4,BC26&gt;=$B$4,3,BC26&gt;=$B$5,2,BC26&gt;$B$6,1),0),"")</f>
        <v/>
      </c>
      <c r="BO26" s="2" t="str" cm="1">
        <f t="array" ref="BO26">IF('NILAI CPL'!$B26&lt;&gt;"",IFERROR(_xlfn.IFS(BD26&gt;=$B$3,4,BD26&gt;=$B$4,3,BD26&gt;=$B$5,2,BD26&gt;$B$6,1),0),"")</f>
        <v/>
      </c>
      <c r="BP26" s="2" t="str" cm="1">
        <f t="array" ref="BP26">IF('NILAI CPL'!$B26&lt;&gt;"",IFERROR(_xlfn.IFS(BE26&gt;=$B$3,4,BE26&gt;=$B$4,3,BE26&gt;=$B$5,2,BE26&gt;$B$6,1),0),"")</f>
        <v/>
      </c>
      <c r="BQ26" s="2" t="str" cm="1">
        <f t="array" ref="BQ26">IF('NILAI CPL'!$B26&lt;&gt;"",IFERROR(_xlfn.IFS(BF26&gt;=$B$3,4,BF26&gt;=$B$4,3,BF26&gt;=$B$5,2,BF26&gt;$B$6,1),0),"")</f>
        <v/>
      </c>
      <c r="BR26" s="2" t="str" cm="1">
        <f t="array" ref="BR26">IF('NILAI CPL'!$B26&lt;&gt;"",IFERROR(_xlfn.IFS(BG26&gt;=$B$3,4,BG26&gt;=$B$4,3,BG26&gt;=$B$5,2,BG26&gt;$B$6,1),0),"")</f>
        <v/>
      </c>
      <c r="BS26" s="2" t="str" cm="1">
        <f t="array" ref="BS26">IF('NILAI CPL'!$B26&lt;&gt;"",IFERROR(_xlfn.IFS(BH26&gt;=$B$3,4,BH26&gt;=$B$4,3,BH26&gt;=$B$5,2,BH26&gt;$B$6,1),0),"")</f>
        <v/>
      </c>
    </row>
    <row r="27" spans="1:71" x14ac:dyDescent="0.2">
      <c r="A27" s="2">
        <v>17</v>
      </c>
      <c r="B27" s="2" t="str">
        <f>IF(LEN(SUMMARY!B27)&gt;0, SUMMARY!B27, "")</f>
        <v/>
      </c>
      <c r="C27" s="2" t="str">
        <f>IF(LEN(SUMMARY!C27)&gt;0, SUMMARY!C27, "")</f>
        <v/>
      </c>
      <c r="E27" s="2" t="str" cm="1">
        <f t="array" ref="E27">IF('NILAI CPL'!$B27&lt;&gt;"",IFERROR(JumlahPI(ROW(),COLUMN()),0),"")</f>
        <v/>
      </c>
      <c r="F27" s="2" t="str" cm="1">
        <f t="array" ref="F27">IF('NILAI CPL'!$B27&lt;&gt;"",IFERROR(JumlahPI(ROW(),COLUMN()),0),"")</f>
        <v/>
      </c>
      <c r="G27" s="2" t="str" cm="1">
        <f t="array" ref="G27">IF('NILAI CPL'!$B27&lt;&gt;"",IFERROR(JumlahPI(ROW(),COLUMN()),0),"")</f>
        <v/>
      </c>
      <c r="H27" s="2" t="str" cm="1">
        <f t="array" ref="H27">IF('NILAI CPL'!$B27&lt;&gt;"",IFERROR(JumlahPI(ROW(),COLUMN()),0),"")</f>
        <v/>
      </c>
      <c r="I27" s="2" t="str" cm="1">
        <f t="array" ref="I27">IF('NILAI CPL'!$B27&lt;&gt;"",IFERROR(JumlahPI(ROW(),COLUMN()),0),"")</f>
        <v/>
      </c>
      <c r="J27" s="2" t="str" cm="1">
        <f t="array" ref="J27">IF('NILAI CPL'!$B27&lt;&gt;"",IFERROR(JumlahPI(ROW(),COLUMN()),0),"")</f>
        <v/>
      </c>
      <c r="K27" s="2" t="str" cm="1">
        <f t="array" ref="K27">IF('NILAI CPL'!$B27&lt;&gt;"",IFERROR(JumlahPI(ROW(),COLUMN()),0),"")</f>
        <v/>
      </c>
      <c r="L27" s="2" t="str" cm="1">
        <f t="array" ref="L27">IF('NILAI CPL'!$B27&lt;&gt;"",IFERROR(JumlahPI(ROW(),COLUMN()),0),"")</f>
        <v/>
      </c>
      <c r="M27" s="2" t="str" cm="1">
        <f t="array" ref="M27">IF('NILAI CPL'!$B27&lt;&gt;"",IFERROR(JumlahPI(ROW(),COLUMN()),0),"")</f>
        <v/>
      </c>
      <c r="N27" s="2" t="str" cm="1">
        <f t="array" ref="N27">IF('NILAI CPL'!$B27&lt;&gt;"",IFERROR(JumlahPI(ROW(),COLUMN()),0),"")</f>
        <v/>
      </c>
      <c r="O27" s="2" t="str" cm="1">
        <f t="array" ref="O27">IF('NILAI CPL'!$B27&lt;&gt;"",IFERROR(JumlahPI(ROW(),COLUMN()),0),"")</f>
        <v/>
      </c>
      <c r="P27" s="2" t="str" cm="1">
        <f t="array" ref="P27">IF('NILAI CPL'!$B27&lt;&gt;"",IFERROR(JumlahPI(ROW(),COLUMN()),0),"")</f>
        <v/>
      </c>
      <c r="Q27" s="2" t="str" cm="1">
        <f t="array" ref="Q27">IF('NILAI CPL'!$B27&lt;&gt;"",IFERROR(JumlahPI(ROW(),COLUMN()),0),"")</f>
        <v/>
      </c>
      <c r="R27" s="2" t="str" cm="1">
        <f t="array" ref="R27">IF('NILAI CPL'!$B27&lt;&gt;"",IFERROR(JumlahPI(ROW(),COLUMN()),0),"")</f>
        <v/>
      </c>
      <c r="S27" s="2" t="str" cm="1">
        <f t="array" ref="S27">IF('NILAI CPL'!$B27&lt;&gt;"",IFERROR(JumlahPI(ROW(),COLUMN()),0),"")</f>
        <v/>
      </c>
      <c r="T27" s="2" t="str" cm="1">
        <f t="array" ref="T27">IF('NILAI CPL'!$B27&lt;&gt;"",IFERROR(JumlahPI(ROW(),COLUMN()),0),"")</f>
        <v/>
      </c>
      <c r="U27" s="2" t="str" cm="1">
        <f t="array" ref="U27">IF('NILAI CPL'!$B27&lt;&gt;"",IFERROR(JumlahPI(ROW(),COLUMN()),0),"")</f>
        <v/>
      </c>
      <c r="V27" s="2" t="str" cm="1">
        <f t="array" ref="V27">IF('NILAI CPL'!$B27&lt;&gt;"",IFERROR(JumlahPI(ROW(),COLUMN()),0),"")</f>
        <v/>
      </c>
      <c r="W27" s="2" t="str" cm="1">
        <f t="array" ref="W27">IF('NILAI CPL'!$B27&lt;&gt;"",IFERROR(JumlahPI(ROW(),COLUMN()),0),"")</f>
        <v/>
      </c>
      <c r="X27" s="2" t="str" cm="1">
        <f t="array" ref="X27">IF('NILAI CPL'!$B27&lt;&gt;"",IFERROR(JumlahPI(ROW(),COLUMN()),0),"")</f>
        <v/>
      </c>
      <c r="Y27" s="2" t="str" cm="1">
        <f t="array" ref="Y27">IF('NILAI CPL'!$B27&lt;&gt;"",IFERROR(JumlahPI(ROW(),COLUMN()),0),"")</f>
        <v/>
      </c>
      <c r="Z27" s="2" t="str" cm="1">
        <f t="array" ref="Z27">IF('NILAI CPL'!$B27&lt;&gt;"",IFERROR(JumlahPI(ROW(),COLUMN()),0),"")</f>
        <v/>
      </c>
      <c r="AB27" s="2" t="str" cm="1">
        <f t="array" ref="AB27">IF('NILAI CPL'!$B27&lt;&gt;"",IFERROR(_xlfn.IFS(E27&gt;=$B$3,4,E27&gt;=$B$4,3,E27&gt;=$B$5,2,E27&gt;$B$6,1),0),"")</f>
        <v/>
      </c>
      <c r="AC27" s="2" t="str" cm="1">
        <f t="array" ref="AC27">IF('NILAI CPL'!$B27&lt;&gt;"",IFERROR(_xlfn.IFS(F27&gt;=$B$3,4,F27&gt;=$B$4,3,F27&gt;=$B$5,2,F27&gt;$B$6,1),0),"")</f>
        <v/>
      </c>
      <c r="AD27" s="2" t="str" cm="1">
        <f t="array" ref="AD27">IF('NILAI CPL'!$B27&lt;&gt;"",IFERROR(_xlfn.IFS(G27&gt;=$B$3,4,G27&gt;=$B$4,3,G27&gt;=$B$5,2,G27&gt;$B$6,1),0),"")</f>
        <v/>
      </c>
      <c r="AE27" s="2" t="str" cm="1">
        <f t="array" ref="AE27">IF('NILAI CPL'!$B27&lt;&gt;"",IFERROR(_xlfn.IFS(H27&gt;=$B$3,4,H27&gt;=$B$4,3,H27&gt;=$B$5,2,H27&gt;$B$6,1),0),"")</f>
        <v/>
      </c>
      <c r="AF27" s="2" t="str" cm="1">
        <f t="array" ref="AF27">IF('NILAI CPL'!$B27&lt;&gt;"",IFERROR(_xlfn.IFS(I27&gt;=$B$3,4,I27&gt;=$B$4,3,I27&gt;=$B$5,2,I27&gt;$B$6,1),0),"")</f>
        <v/>
      </c>
      <c r="AG27" s="2" t="str" cm="1">
        <f t="array" ref="AG27">IF('NILAI CPL'!$B27&lt;&gt;"",IFERROR(_xlfn.IFS(J27&gt;=$B$3,4,J27&gt;=$B$4,3,J27&gt;=$B$5,2,J27&gt;$B$6,1),0),"")</f>
        <v/>
      </c>
      <c r="AH27" s="2" t="str" cm="1">
        <f t="array" ref="AH27">IF('NILAI CPL'!$B27&lt;&gt;"",IFERROR(_xlfn.IFS(K27&gt;=$B$3,4,K27&gt;=$B$4,3,K27&gt;=$B$5,2,K27&gt;$B$6,1),0),"")</f>
        <v/>
      </c>
      <c r="AI27" s="2" t="str" cm="1">
        <f t="array" ref="AI27">IF('NILAI CPL'!$B27&lt;&gt;"",IFERROR(_xlfn.IFS(L27&gt;=$B$3,4,L27&gt;=$B$4,3,L27&gt;=$B$5,2,L27&gt;$B$6,1),0),"")</f>
        <v/>
      </c>
      <c r="AJ27" s="2" t="str" cm="1">
        <f t="array" ref="AJ27">IF('NILAI CPL'!$B27&lt;&gt;"",IFERROR(_xlfn.IFS(M27&gt;=$B$3,4,M27&gt;=$B$4,3,M27&gt;=$B$5,2,M27&gt;$B$6,1),0),"")</f>
        <v/>
      </c>
      <c r="AK27" s="2" t="str" cm="1">
        <f t="array" ref="AK27">IF('NILAI CPL'!$B27&lt;&gt;"",IFERROR(_xlfn.IFS(N27&gt;=$B$3,4,N27&gt;=$B$4,3,N27&gt;=$B$5,2,N27&gt;$B$6,1),0),"")</f>
        <v/>
      </c>
      <c r="AL27" s="2" t="str" cm="1">
        <f t="array" ref="AL27">IF('NILAI CPL'!$B27&lt;&gt;"",IFERROR(_xlfn.IFS(O27&gt;=$B$3,4,O27&gt;=$B$4,3,O27&gt;=$B$5,2,O27&gt;$B$6,1),0),"")</f>
        <v/>
      </c>
      <c r="AM27" s="2" t="str" cm="1">
        <f t="array" ref="AM27">IF('NILAI CPL'!$B27&lt;&gt;"",IFERROR(_xlfn.IFS(P27&gt;=$B$3,4,P27&gt;=$B$4,3,P27&gt;=$B$5,2,P27&gt;$B$6,1),0),"")</f>
        <v/>
      </c>
      <c r="AN27" s="2" t="str" cm="1">
        <f t="array" ref="AN27">IF('NILAI CPL'!$B27&lt;&gt;"",IFERROR(_xlfn.IFS(Q27&gt;=$B$3,4,Q27&gt;=$B$4,3,Q27&gt;=$B$5,2,Q27&gt;$B$6,1),0),"")</f>
        <v/>
      </c>
      <c r="AO27" s="2" t="str" cm="1">
        <f t="array" ref="AO27">IF('NILAI CPL'!$B27&lt;&gt;"",IFERROR(_xlfn.IFS(R27&gt;=$B$3,4,R27&gt;=$B$4,3,R27&gt;=$B$5,2,R27&gt;$B$6,1),0),"")</f>
        <v/>
      </c>
      <c r="AP27" s="2" t="str" cm="1">
        <f t="array" ref="AP27">IF('NILAI CPL'!$B27&lt;&gt;"",IFERROR(_xlfn.IFS(S27&gt;=$B$3,4,S27&gt;=$B$4,3,S27&gt;=$B$5,2,S27&gt;$B$6,1),0),"")</f>
        <v/>
      </c>
      <c r="AQ27" s="2" t="str" cm="1">
        <f t="array" ref="AQ27">IF('NILAI CPL'!$B27&lt;&gt;"",IFERROR(_xlfn.IFS(T27&gt;=$B$3,4,T27&gt;=$B$4,3,T27&gt;=$B$5,2,T27&gt;$B$6,1),0),"")</f>
        <v/>
      </c>
      <c r="AR27" s="2" t="str" cm="1">
        <f t="array" ref="AR27">IF('NILAI CPL'!$B27&lt;&gt;"",IFERROR(_xlfn.IFS(U27&gt;=$B$3,4,U27&gt;=$B$4,3,U27&gt;=$B$5,2,U27&gt;$B$6,1),0),"")</f>
        <v/>
      </c>
      <c r="AS27" s="2" t="str" cm="1">
        <f t="array" ref="AS27">IF('NILAI CPL'!$B27&lt;&gt;"",IFERROR(_xlfn.IFS(V27&gt;=$B$3,4,V27&gt;=$B$4,3,V27&gt;=$B$5,2,V27&gt;$B$6,1),0),"")</f>
        <v/>
      </c>
      <c r="AT27" s="2" t="str" cm="1">
        <f t="array" ref="AT27">IF('NILAI CPL'!$B27&lt;&gt;"",IFERROR(_xlfn.IFS(W27&gt;=$B$3,4,W27&gt;=$B$4,3,W27&gt;=$B$5,2,W27&gt;$B$6,1),0),"")</f>
        <v/>
      </c>
      <c r="AU27" s="2" t="str" cm="1">
        <f t="array" ref="AU27">IF('NILAI CPL'!$B27&lt;&gt;"",IFERROR(_xlfn.IFS(X27&gt;=$B$3,4,X27&gt;=$B$4,3,X27&gt;=$B$5,2,X27&gt;$B$6,1),0),"")</f>
        <v/>
      </c>
      <c r="AV27" s="2" t="str" cm="1">
        <f t="array" ref="AV27">IF('NILAI CPL'!$B27&lt;&gt;"",IFERROR(_xlfn.IFS(Y27&gt;=$B$3,4,Y27&gt;=$B$4,3,Y27&gt;=$B$5,2,Y27&gt;$B$6,1),0),"")</f>
        <v/>
      </c>
      <c r="AW27" s="2" t="str" cm="1">
        <f t="array" ref="AW27">IF('NILAI CPL'!$B27&lt;&gt;"",IFERROR(_xlfn.IFS(Z27&gt;=$B$3,4,Z27&gt;=$B$4,3,Z27&gt;=$B$5,2,Z27&gt;$B$6,1),0),"")</f>
        <v/>
      </c>
      <c r="AY27" s="2" t="str">
        <f t="shared" si="0"/>
        <v/>
      </c>
      <c r="AZ27" s="2" t="str">
        <f t="shared" si="1"/>
        <v/>
      </c>
      <c r="BA27" s="2" t="str">
        <f t="shared" si="2"/>
        <v/>
      </c>
      <c r="BB27" s="2" t="str">
        <f t="shared" si="3"/>
        <v/>
      </c>
      <c r="BC27" s="2" t="str">
        <f t="shared" si="4"/>
        <v/>
      </c>
      <c r="BD27" s="2" t="str">
        <f t="shared" si="5"/>
        <v/>
      </c>
      <c r="BE27" s="2" t="str">
        <f t="shared" si="6"/>
        <v/>
      </c>
      <c r="BF27" s="2" t="str">
        <f t="shared" si="7"/>
        <v/>
      </c>
      <c r="BG27" s="2" t="str">
        <f t="shared" si="8"/>
        <v/>
      </c>
      <c r="BH27" s="2" t="str">
        <f t="shared" si="9"/>
        <v/>
      </c>
      <c r="BJ27" s="2" t="str" cm="1">
        <f t="array" ref="BJ27">IF('NILAI CPL'!$B27&lt;&gt;"",IFERROR(_xlfn.IFS(AY27&gt;=$B$3,4,AY27&gt;=$B$4,3,AY27&gt;=$B$5,2,AY27&gt;$B$6,1),0),"")</f>
        <v/>
      </c>
      <c r="BK27" s="2" t="str" cm="1">
        <f t="array" ref="BK27">IF('NILAI CPL'!$B27&lt;&gt;"",IFERROR(_xlfn.IFS(AZ27&gt;=$B$3,4,AZ27&gt;=$B$4,3,AZ27&gt;=$B$5,2,AZ27&gt;$B$6,1),0),"")</f>
        <v/>
      </c>
      <c r="BL27" s="2" t="str" cm="1">
        <f t="array" ref="BL27">IF('NILAI CPL'!$B27&lt;&gt;"",IFERROR(_xlfn.IFS(BA27&gt;=$B$3,4,BA27&gt;=$B$4,3,BA27&gt;=$B$5,2,BA27&gt;$B$6,1),0),"")</f>
        <v/>
      </c>
      <c r="BM27" s="2" t="str" cm="1">
        <f t="array" ref="BM27">IF('NILAI CPL'!$B27&lt;&gt;"",IFERROR(_xlfn.IFS(BB27&gt;=$B$3,4,BB27&gt;=$B$4,3,BB27&gt;=$B$5,2,BB27&gt;$B$6,1),0),"")</f>
        <v/>
      </c>
      <c r="BN27" s="2" t="str" cm="1">
        <f t="array" ref="BN27">IF('NILAI CPL'!$B27&lt;&gt;"",IFERROR(_xlfn.IFS(BC27&gt;=$B$3,4,BC27&gt;=$B$4,3,BC27&gt;=$B$5,2,BC27&gt;$B$6,1),0),"")</f>
        <v/>
      </c>
      <c r="BO27" s="2" t="str" cm="1">
        <f t="array" ref="BO27">IF('NILAI CPL'!$B27&lt;&gt;"",IFERROR(_xlfn.IFS(BD27&gt;=$B$3,4,BD27&gt;=$B$4,3,BD27&gt;=$B$5,2,BD27&gt;$B$6,1),0),"")</f>
        <v/>
      </c>
      <c r="BP27" s="2" t="str" cm="1">
        <f t="array" ref="BP27">IF('NILAI CPL'!$B27&lt;&gt;"",IFERROR(_xlfn.IFS(BE27&gt;=$B$3,4,BE27&gt;=$B$4,3,BE27&gt;=$B$5,2,BE27&gt;$B$6,1),0),"")</f>
        <v/>
      </c>
      <c r="BQ27" s="2" t="str" cm="1">
        <f t="array" ref="BQ27">IF('NILAI CPL'!$B27&lt;&gt;"",IFERROR(_xlfn.IFS(BF27&gt;=$B$3,4,BF27&gt;=$B$4,3,BF27&gt;=$B$5,2,BF27&gt;$B$6,1),0),"")</f>
        <v/>
      </c>
      <c r="BR27" s="2" t="str" cm="1">
        <f t="array" ref="BR27">IF('NILAI CPL'!$B27&lt;&gt;"",IFERROR(_xlfn.IFS(BG27&gt;=$B$3,4,BG27&gt;=$B$4,3,BG27&gt;=$B$5,2,BG27&gt;$B$6,1),0),"")</f>
        <v/>
      </c>
      <c r="BS27" s="2" t="str" cm="1">
        <f t="array" ref="BS27">IF('NILAI CPL'!$B27&lt;&gt;"",IFERROR(_xlfn.IFS(BH27&gt;=$B$3,4,BH27&gt;=$B$4,3,BH27&gt;=$B$5,2,BH27&gt;$B$6,1),0),"")</f>
        <v/>
      </c>
    </row>
    <row r="28" spans="1:71" x14ac:dyDescent="0.2">
      <c r="A28" s="2">
        <v>18</v>
      </c>
      <c r="B28" s="2" t="str">
        <f>IF(LEN(SUMMARY!B28)&gt;0, SUMMARY!B28, "")</f>
        <v/>
      </c>
      <c r="C28" s="2" t="str">
        <f>IF(LEN(SUMMARY!C28)&gt;0, SUMMARY!C28, "")</f>
        <v/>
      </c>
      <c r="E28" s="2" t="str" cm="1">
        <f t="array" ref="E28">IF('NILAI CPL'!$B28&lt;&gt;"",IFERROR(JumlahPI(ROW(),COLUMN()),0),"")</f>
        <v/>
      </c>
      <c r="F28" s="2" t="str" cm="1">
        <f t="array" ref="F28">IF('NILAI CPL'!$B28&lt;&gt;"",IFERROR(JumlahPI(ROW(),COLUMN()),0),"")</f>
        <v/>
      </c>
      <c r="G28" s="2" t="str" cm="1">
        <f t="array" ref="G28">IF('NILAI CPL'!$B28&lt;&gt;"",IFERROR(JumlahPI(ROW(),COLUMN()),0),"")</f>
        <v/>
      </c>
      <c r="H28" s="2" t="str" cm="1">
        <f t="array" ref="H28">IF('NILAI CPL'!$B28&lt;&gt;"",IFERROR(JumlahPI(ROW(),COLUMN()),0),"")</f>
        <v/>
      </c>
      <c r="I28" s="2" t="str" cm="1">
        <f t="array" ref="I28">IF('NILAI CPL'!$B28&lt;&gt;"",IFERROR(JumlahPI(ROW(),COLUMN()),0),"")</f>
        <v/>
      </c>
      <c r="J28" s="2" t="str" cm="1">
        <f t="array" ref="J28">IF('NILAI CPL'!$B28&lt;&gt;"",IFERROR(JumlahPI(ROW(),COLUMN()),0),"")</f>
        <v/>
      </c>
      <c r="K28" s="2" t="str" cm="1">
        <f t="array" ref="K28">IF('NILAI CPL'!$B28&lt;&gt;"",IFERROR(JumlahPI(ROW(),COLUMN()),0),"")</f>
        <v/>
      </c>
      <c r="L28" s="2" t="str" cm="1">
        <f t="array" ref="L28">IF('NILAI CPL'!$B28&lt;&gt;"",IFERROR(JumlahPI(ROW(),COLUMN()),0),"")</f>
        <v/>
      </c>
      <c r="M28" s="2" t="str" cm="1">
        <f t="array" ref="M28">IF('NILAI CPL'!$B28&lt;&gt;"",IFERROR(JumlahPI(ROW(),COLUMN()),0),"")</f>
        <v/>
      </c>
      <c r="N28" s="2" t="str" cm="1">
        <f t="array" ref="N28">IF('NILAI CPL'!$B28&lt;&gt;"",IFERROR(JumlahPI(ROW(),COLUMN()),0),"")</f>
        <v/>
      </c>
      <c r="O28" s="2" t="str" cm="1">
        <f t="array" ref="O28">IF('NILAI CPL'!$B28&lt;&gt;"",IFERROR(JumlahPI(ROW(),COLUMN()),0),"")</f>
        <v/>
      </c>
      <c r="P28" s="2" t="str" cm="1">
        <f t="array" ref="P28">IF('NILAI CPL'!$B28&lt;&gt;"",IFERROR(JumlahPI(ROW(),COLUMN()),0),"")</f>
        <v/>
      </c>
      <c r="Q28" s="2" t="str" cm="1">
        <f t="array" ref="Q28">IF('NILAI CPL'!$B28&lt;&gt;"",IFERROR(JumlahPI(ROW(),COLUMN()),0),"")</f>
        <v/>
      </c>
      <c r="R28" s="2" t="str" cm="1">
        <f t="array" ref="R28">IF('NILAI CPL'!$B28&lt;&gt;"",IFERROR(JumlahPI(ROW(),COLUMN()),0),"")</f>
        <v/>
      </c>
      <c r="S28" s="2" t="str" cm="1">
        <f t="array" ref="S28">IF('NILAI CPL'!$B28&lt;&gt;"",IFERROR(JumlahPI(ROW(),COLUMN()),0),"")</f>
        <v/>
      </c>
      <c r="T28" s="2" t="str" cm="1">
        <f t="array" ref="T28">IF('NILAI CPL'!$B28&lt;&gt;"",IFERROR(JumlahPI(ROW(),COLUMN()),0),"")</f>
        <v/>
      </c>
      <c r="U28" s="2" t="str" cm="1">
        <f t="array" ref="U28">IF('NILAI CPL'!$B28&lt;&gt;"",IFERROR(JumlahPI(ROW(),COLUMN()),0),"")</f>
        <v/>
      </c>
      <c r="V28" s="2" t="str" cm="1">
        <f t="array" ref="V28">IF('NILAI CPL'!$B28&lt;&gt;"",IFERROR(JumlahPI(ROW(),COLUMN()),0),"")</f>
        <v/>
      </c>
      <c r="W28" s="2" t="str" cm="1">
        <f t="array" ref="W28">IF('NILAI CPL'!$B28&lt;&gt;"",IFERROR(JumlahPI(ROW(),COLUMN()),0),"")</f>
        <v/>
      </c>
      <c r="X28" s="2" t="str" cm="1">
        <f t="array" ref="X28">IF('NILAI CPL'!$B28&lt;&gt;"",IFERROR(JumlahPI(ROW(),COLUMN()),0),"")</f>
        <v/>
      </c>
      <c r="Y28" s="2" t="str" cm="1">
        <f t="array" ref="Y28">IF('NILAI CPL'!$B28&lt;&gt;"",IFERROR(JumlahPI(ROW(),COLUMN()),0),"")</f>
        <v/>
      </c>
      <c r="Z28" s="2" t="str" cm="1">
        <f t="array" ref="Z28">IF('NILAI CPL'!$B28&lt;&gt;"",IFERROR(JumlahPI(ROW(),COLUMN()),0),"")</f>
        <v/>
      </c>
      <c r="AB28" s="2" t="str" cm="1">
        <f t="array" ref="AB28">IF('NILAI CPL'!$B28&lt;&gt;"",IFERROR(_xlfn.IFS(E28&gt;=$B$3,4,E28&gt;=$B$4,3,E28&gt;=$B$5,2,E28&gt;$B$6,1),0),"")</f>
        <v/>
      </c>
      <c r="AC28" s="2" t="str" cm="1">
        <f t="array" ref="AC28">IF('NILAI CPL'!$B28&lt;&gt;"",IFERROR(_xlfn.IFS(F28&gt;=$B$3,4,F28&gt;=$B$4,3,F28&gt;=$B$5,2,F28&gt;$B$6,1),0),"")</f>
        <v/>
      </c>
      <c r="AD28" s="2" t="str" cm="1">
        <f t="array" ref="AD28">IF('NILAI CPL'!$B28&lt;&gt;"",IFERROR(_xlfn.IFS(G28&gt;=$B$3,4,G28&gt;=$B$4,3,G28&gt;=$B$5,2,G28&gt;$B$6,1),0),"")</f>
        <v/>
      </c>
      <c r="AE28" s="2" t="str" cm="1">
        <f t="array" ref="AE28">IF('NILAI CPL'!$B28&lt;&gt;"",IFERROR(_xlfn.IFS(H28&gt;=$B$3,4,H28&gt;=$B$4,3,H28&gt;=$B$5,2,H28&gt;$B$6,1),0),"")</f>
        <v/>
      </c>
      <c r="AF28" s="2" t="str" cm="1">
        <f t="array" ref="AF28">IF('NILAI CPL'!$B28&lt;&gt;"",IFERROR(_xlfn.IFS(I28&gt;=$B$3,4,I28&gt;=$B$4,3,I28&gt;=$B$5,2,I28&gt;$B$6,1),0),"")</f>
        <v/>
      </c>
      <c r="AG28" s="2" t="str" cm="1">
        <f t="array" ref="AG28">IF('NILAI CPL'!$B28&lt;&gt;"",IFERROR(_xlfn.IFS(J28&gt;=$B$3,4,J28&gt;=$B$4,3,J28&gt;=$B$5,2,J28&gt;$B$6,1),0),"")</f>
        <v/>
      </c>
      <c r="AH28" s="2" t="str" cm="1">
        <f t="array" ref="AH28">IF('NILAI CPL'!$B28&lt;&gt;"",IFERROR(_xlfn.IFS(K28&gt;=$B$3,4,K28&gt;=$B$4,3,K28&gt;=$B$5,2,K28&gt;$B$6,1),0),"")</f>
        <v/>
      </c>
      <c r="AI28" s="2" t="str" cm="1">
        <f t="array" ref="AI28">IF('NILAI CPL'!$B28&lt;&gt;"",IFERROR(_xlfn.IFS(L28&gt;=$B$3,4,L28&gt;=$B$4,3,L28&gt;=$B$5,2,L28&gt;$B$6,1),0),"")</f>
        <v/>
      </c>
      <c r="AJ28" s="2" t="str" cm="1">
        <f t="array" ref="AJ28">IF('NILAI CPL'!$B28&lt;&gt;"",IFERROR(_xlfn.IFS(M28&gt;=$B$3,4,M28&gt;=$B$4,3,M28&gt;=$B$5,2,M28&gt;$B$6,1),0),"")</f>
        <v/>
      </c>
      <c r="AK28" s="2" t="str" cm="1">
        <f t="array" ref="AK28">IF('NILAI CPL'!$B28&lt;&gt;"",IFERROR(_xlfn.IFS(N28&gt;=$B$3,4,N28&gt;=$B$4,3,N28&gt;=$B$5,2,N28&gt;$B$6,1),0),"")</f>
        <v/>
      </c>
      <c r="AL28" s="2" t="str" cm="1">
        <f t="array" ref="AL28">IF('NILAI CPL'!$B28&lt;&gt;"",IFERROR(_xlfn.IFS(O28&gt;=$B$3,4,O28&gt;=$B$4,3,O28&gt;=$B$5,2,O28&gt;$B$6,1),0),"")</f>
        <v/>
      </c>
      <c r="AM28" s="2" t="str" cm="1">
        <f t="array" ref="AM28">IF('NILAI CPL'!$B28&lt;&gt;"",IFERROR(_xlfn.IFS(P28&gt;=$B$3,4,P28&gt;=$B$4,3,P28&gt;=$B$5,2,P28&gt;$B$6,1),0),"")</f>
        <v/>
      </c>
      <c r="AN28" s="2" t="str" cm="1">
        <f t="array" ref="AN28">IF('NILAI CPL'!$B28&lt;&gt;"",IFERROR(_xlfn.IFS(Q28&gt;=$B$3,4,Q28&gt;=$B$4,3,Q28&gt;=$B$5,2,Q28&gt;$B$6,1),0),"")</f>
        <v/>
      </c>
      <c r="AO28" s="2" t="str" cm="1">
        <f t="array" ref="AO28">IF('NILAI CPL'!$B28&lt;&gt;"",IFERROR(_xlfn.IFS(R28&gt;=$B$3,4,R28&gt;=$B$4,3,R28&gt;=$B$5,2,R28&gt;$B$6,1),0),"")</f>
        <v/>
      </c>
      <c r="AP28" s="2" t="str" cm="1">
        <f t="array" ref="AP28">IF('NILAI CPL'!$B28&lt;&gt;"",IFERROR(_xlfn.IFS(S28&gt;=$B$3,4,S28&gt;=$B$4,3,S28&gt;=$B$5,2,S28&gt;$B$6,1),0),"")</f>
        <v/>
      </c>
      <c r="AQ28" s="2" t="str" cm="1">
        <f t="array" ref="AQ28">IF('NILAI CPL'!$B28&lt;&gt;"",IFERROR(_xlfn.IFS(T28&gt;=$B$3,4,T28&gt;=$B$4,3,T28&gt;=$B$5,2,T28&gt;$B$6,1),0),"")</f>
        <v/>
      </c>
      <c r="AR28" s="2" t="str" cm="1">
        <f t="array" ref="AR28">IF('NILAI CPL'!$B28&lt;&gt;"",IFERROR(_xlfn.IFS(U28&gt;=$B$3,4,U28&gt;=$B$4,3,U28&gt;=$B$5,2,U28&gt;$B$6,1),0),"")</f>
        <v/>
      </c>
      <c r="AS28" s="2" t="str" cm="1">
        <f t="array" ref="AS28">IF('NILAI CPL'!$B28&lt;&gt;"",IFERROR(_xlfn.IFS(V28&gt;=$B$3,4,V28&gt;=$B$4,3,V28&gt;=$B$5,2,V28&gt;$B$6,1),0),"")</f>
        <v/>
      </c>
      <c r="AT28" s="2" t="str" cm="1">
        <f t="array" ref="AT28">IF('NILAI CPL'!$B28&lt;&gt;"",IFERROR(_xlfn.IFS(W28&gt;=$B$3,4,W28&gt;=$B$4,3,W28&gt;=$B$5,2,W28&gt;$B$6,1),0),"")</f>
        <v/>
      </c>
      <c r="AU28" s="2" t="str" cm="1">
        <f t="array" ref="AU28">IF('NILAI CPL'!$B28&lt;&gt;"",IFERROR(_xlfn.IFS(X28&gt;=$B$3,4,X28&gt;=$B$4,3,X28&gt;=$B$5,2,X28&gt;$B$6,1),0),"")</f>
        <v/>
      </c>
      <c r="AV28" s="2" t="str" cm="1">
        <f t="array" ref="AV28">IF('NILAI CPL'!$B28&lt;&gt;"",IFERROR(_xlfn.IFS(Y28&gt;=$B$3,4,Y28&gt;=$B$4,3,Y28&gt;=$B$5,2,Y28&gt;$B$6,1),0),"")</f>
        <v/>
      </c>
      <c r="AW28" s="2" t="str" cm="1">
        <f t="array" ref="AW28">IF('NILAI CPL'!$B28&lt;&gt;"",IFERROR(_xlfn.IFS(Z28&gt;=$B$3,4,Z28&gt;=$B$4,3,Z28&gt;=$B$5,2,Z28&gt;$B$6,1),0),"")</f>
        <v/>
      </c>
      <c r="AY28" s="2" t="str">
        <f t="shared" si="0"/>
        <v/>
      </c>
      <c r="AZ28" s="2" t="str">
        <f t="shared" si="1"/>
        <v/>
      </c>
      <c r="BA28" s="2" t="str">
        <f t="shared" si="2"/>
        <v/>
      </c>
      <c r="BB28" s="2" t="str">
        <f t="shared" si="3"/>
        <v/>
      </c>
      <c r="BC28" s="2" t="str">
        <f t="shared" si="4"/>
        <v/>
      </c>
      <c r="BD28" s="2" t="str">
        <f t="shared" si="5"/>
        <v/>
      </c>
      <c r="BE28" s="2" t="str">
        <f t="shared" si="6"/>
        <v/>
      </c>
      <c r="BF28" s="2" t="str">
        <f t="shared" si="7"/>
        <v/>
      </c>
      <c r="BG28" s="2" t="str">
        <f t="shared" si="8"/>
        <v/>
      </c>
      <c r="BH28" s="2" t="str">
        <f t="shared" si="9"/>
        <v/>
      </c>
      <c r="BJ28" s="2" t="str" cm="1">
        <f t="array" ref="BJ28">IF('NILAI CPL'!$B28&lt;&gt;"",IFERROR(_xlfn.IFS(AY28&gt;=$B$3,4,AY28&gt;=$B$4,3,AY28&gt;=$B$5,2,AY28&gt;$B$6,1),0),"")</f>
        <v/>
      </c>
      <c r="BK28" s="2" t="str" cm="1">
        <f t="array" ref="BK28">IF('NILAI CPL'!$B28&lt;&gt;"",IFERROR(_xlfn.IFS(AZ28&gt;=$B$3,4,AZ28&gt;=$B$4,3,AZ28&gt;=$B$5,2,AZ28&gt;$B$6,1),0),"")</f>
        <v/>
      </c>
      <c r="BL28" s="2" t="str" cm="1">
        <f t="array" ref="BL28">IF('NILAI CPL'!$B28&lt;&gt;"",IFERROR(_xlfn.IFS(BA28&gt;=$B$3,4,BA28&gt;=$B$4,3,BA28&gt;=$B$5,2,BA28&gt;$B$6,1),0),"")</f>
        <v/>
      </c>
      <c r="BM28" s="2" t="str" cm="1">
        <f t="array" ref="BM28">IF('NILAI CPL'!$B28&lt;&gt;"",IFERROR(_xlfn.IFS(BB28&gt;=$B$3,4,BB28&gt;=$B$4,3,BB28&gt;=$B$5,2,BB28&gt;$B$6,1),0),"")</f>
        <v/>
      </c>
      <c r="BN28" s="2" t="str" cm="1">
        <f t="array" ref="BN28">IF('NILAI CPL'!$B28&lt;&gt;"",IFERROR(_xlfn.IFS(BC28&gt;=$B$3,4,BC28&gt;=$B$4,3,BC28&gt;=$B$5,2,BC28&gt;$B$6,1),0),"")</f>
        <v/>
      </c>
      <c r="BO28" s="2" t="str" cm="1">
        <f t="array" ref="BO28">IF('NILAI CPL'!$B28&lt;&gt;"",IFERROR(_xlfn.IFS(BD28&gt;=$B$3,4,BD28&gt;=$B$4,3,BD28&gt;=$B$5,2,BD28&gt;$B$6,1),0),"")</f>
        <v/>
      </c>
      <c r="BP28" s="2" t="str" cm="1">
        <f t="array" ref="BP28">IF('NILAI CPL'!$B28&lt;&gt;"",IFERROR(_xlfn.IFS(BE28&gt;=$B$3,4,BE28&gt;=$B$4,3,BE28&gt;=$B$5,2,BE28&gt;$B$6,1),0),"")</f>
        <v/>
      </c>
      <c r="BQ28" s="2" t="str" cm="1">
        <f t="array" ref="BQ28">IF('NILAI CPL'!$B28&lt;&gt;"",IFERROR(_xlfn.IFS(BF28&gt;=$B$3,4,BF28&gt;=$B$4,3,BF28&gt;=$B$5,2,BF28&gt;$B$6,1),0),"")</f>
        <v/>
      </c>
      <c r="BR28" s="2" t="str" cm="1">
        <f t="array" ref="BR28">IF('NILAI CPL'!$B28&lt;&gt;"",IFERROR(_xlfn.IFS(BG28&gt;=$B$3,4,BG28&gt;=$B$4,3,BG28&gt;=$B$5,2,BG28&gt;$B$6,1),0),"")</f>
        <v/>
      </c>
      <c r="BS28" s="2" t="str" cm="1">
        <f t="array" ref="BS28">IF('NILAI CPL'!$B28&lt;&gt;"",IFERROR(_xlfn.IFS(BH28&gt;=$B$3,4,BH28&gt;=$B$4,3,BH28&gt;=$B$5,2,BH28&gt;$B$6,1),0),"")</f>
        <v/>
      </c>
    </row>
    <row r="29" spans="1:71" x14ac:dyDescent="0.2">
      <c r="A29" s="2">
        <v>19</v>
      </c>
      <c r="B29" s="2" t="str">
        <f>IF(LEN(SUMMARY!B29)&gt;0, SUMMARY!B29, "")</f>
        <v/>
      </c>
      <c r="C29" s="2" t="str">
        <f>IF(LEN(SUMMARY!C29)&gt;0, SUMMARY!C29, "")</f>
        <v/>
      </c>
      <c r="E29" s="2" t="str" cm="1">
        <f t="array" ref="E29">IF('NILAI CPL'!$B29&lt;&gt;"",IFERROR(JumlahPI(ROW(),COLUMN()),0),"")</f>
        <v/>
      </c>
      <c r="F29" s="2" t="str" cm="1">
        <f t="array" ref="F29">IF('NILAI CPL'!$B29&lt;&gt;"",IFERROR(JumlahPI(ROW(),COLUMN()),0),"")</f>
        <v/>
      </c>
      <c r="G29" s="2" t="str" cm="1">
        <f t="array" ref="G29">IF('NILAI CPL'!$B29&lt;&gt;"",IFERROR(JumlahPI(ROW(),COLUMN()),0),"")</f>
        <v/>
      </c>
      <c r="H29" s="2" t="str" cm="1">
        <f t="array" ref="H29">IF('NILAI CPL'!$B29&lt;&gt;"",IFERROR(JumlahPI(ROW(),COLUMN()),0),"")</f>
        <v/>
      </c>
      <c r="I29" s="2" t="str" cm="1">
        <f t="array" ref="I29">IF('NILAI CPL'!$B29&lt;&gt;"",IFERROR(JumlahPI(ROW(),COLUMN()),0),"")</f>
        <v/>
      </c>
      <c r="J29" s="2" t="str" cm="1">
        <f t="array" ref="J29">IF('NILAI CPL'!$B29&lt;&gt;"",IFERROR(JumlahPI(ROW(),COLUMN()),0),"")</f>
        <v/>
      </c>
      <c r="K29" s="2" t="str" cm="1">
        <f t="array" ref="K29">IF('NILAI CPL'!$B29&lt;&gt;"",IFERROR(JumlahPI(ROW(),COLUMN()),0),"")</f>
        <v/>
      </c>
      <c r="L29" s="2" t="str" cm="1">
        <f t="array" ref="L29">IF('NILAI CPL'!$B29&lt;&gt;"",IFERROR(JumlahPI(ROW(),COLUMN()),0),"")</f>
        <v/>
      </c>
      <c r="M29" s="2" t="str" cm="1">
        <f t="array" ref="M29">IF('NILAI CPL'!$B29&lt;&gt;"",IFERROR(JumlahPI(ROW(),COLUMN()),0),"")</f>
        <v/>
      </c>
      <c r="N29" s="2" t="str" cm="1">
        <f t="array" ref="N29">IF('NILAI CPL'!$B29&lt;&gt;"",IFERROR(JumlahPI(ROW(),COLUMN()),0),"")</f>
        <v/>
      </c>
      <c r="O29" s="2" t="str" cm="1">
        <f t="array" ref="O29">IF('NILAI CPL'!$B29&lt;&gt;"",IFERROR(JumlahPI(ROW(),COLUMN()),0),"")</f>
        <v/>
      </c>
      <c r="P29" s="2" t="str" cm="1">
        <f t="array" ref="P29">IF('NILAI CPL'!$B29&lt;&gt;"",IFERROR(JumlahPI(ROW(),COLUMN()),0),"")</f>
        <v/>
      </c>
      <c r="Q29" s="2" t="str" cm="1">
        <f t="array" ref="Q29">IF('NILAI CPL'!$B29&lt;&gt;"",IFERROR(JumlahPI(ROW(),COLUMN()),0),"")</f>
        <v/>
      </c>
      <c r="R29" s="2" t="str" cm="1">
        <f t="array" ref="R29">IF('NILAI CPL'!$B29&lt;&gt;"",IFERROR(JumlahPI(ROW(),COLUMN()),0),"")</f>
        <v/>
      </c>
      <c r="S29" s="2" t="str" cm="1">
        <f t="array" ref="S29">IF('NILAI CPL'!$B29&lt;&gt;"",IFERROR(JumlahPI(ROW(),COLUMN()),0),"")</f>
        <v/>
      </c>
      <c r="T29" s="2" t="str" cm="1">
        <f t="array" ref="T29">IF('NILAI CPL'!$B29&lt;&gt;"",IFERROR(JumlahPI(ROW(),COLUMN()),0),"")</f>
        <v/>
      </c>
      <c r="U29" s="2" t="str" cm="1">
        <f t="array" ref="U29">IF('NILAI CPL'!$B29&lt;&gt;"",IFERROR(JumlahPI(ROW(),COLUMN()),0),"")</f>
        <v/>
      </c>
      <c r="V29" s="2" t="str" cm="1">
        <f t="array" ref="V29">IF('NILAI CPL'!$B29&lt;&gt;"",IFERROR(JumlahPI(ROW(),COLUMN()),0),"")</f>
        <v/>
      </c>
      <c r="W29" s="2" t="str" cm="1">
        <f t="array" ref="W29">IF('NILAI CPL'!$B29&lt;&gt;"",IFERROR(JumlahPI(ROW(),COLUMN()),0),"")</f>
        <v/>
      </c>
      <c r="X29" s="2" t="str" cm="1">
        <f t="array" ref="X29">IF('NILAI CPL'!$B29&lt;&gt;"",IFERROR(JumlahPI(ROW(),COLUMN()),0),"")</f>
        <v/>
      </c>
      <c r="Y29" s="2" t="str" cm="1">
        <f t="array" ref="Y29">IF('NILAI CPL'!$B29&lt;&gt;"",IFERROR(JumlahPI(ROW(),COLUMN()),0),"")</f>
        <v/>
      </c>
      <c r="Z29" s="2" t="str" cm="1">
        <f t="array" ref="Z29">IF('NILAI CPL'!$B29&lt;&gt;"",IFERROR(JumlahPI(ROW(),COLUMN()),0),"")</f>
        <v/>
      </c>
      <c r="AB29" s="2" t="str" cm="1">
        <f t="array" ref="AB29">IF('NILAI CPL'!$B29&lt;&gt;"",IFERROR(_xlfn.IFS(E29&gt;=$B$3,4,E29&gt;=$B$4,3,E29&gt;=$B$5,2,E29&gt;$B$6,1),0),"")</f>
        <v/>
      </c>
      <c r="AC29" s="2" t="str" cm="1">
        <f t="array" ref="AC29">IF('NILAI CPL'!$B29&lt;&gt;"",IFERROR(_xlfn.IFS(F29&gt;=$B$3,4,F29&gt;=$B$4,3,F29&gt;=$B$5,2,F29&gt;$B$6,1),0),"")</f>
        <v/>
      </c>
      <c r="AD29" s="2" t="str" cm="1">
        <f t="array" ref="AD29">IF('NILAI CPL'!$B29&lt;&gt;"",IFERROR(_xlfn.IFS(G29&gt;=$B$3,4,G29&gt;=$B$4,3,G29&gt;=$B$5,2,G29&gt;$B$6,1),0),"")</f>
        <v/>
      </c>
      <c r="AE29" s="2" t="str" cm="1">
        <f t="array" ref="AE29">IF('NILAI CPL'!$B29&lt;&gt;"",IFERROR(_xlfn.IFS(H29&gt;=$B$3,4,H29&gt;=$B$4,3,H29&gt;=$B$5,2,H29&gt;$B$6,1),0),"")</f>
        <v/>
      </c>
      <c r="AF29" s="2" t="str" cm="1">
        <f t="array" ref="AF29">IF('NILAI CPL'!$B29&lt;&gt;"",IFERROR(_xlfn.IFS(I29&gt;=$B$3,4,I29&gt;=$B$4,3,I29&gt;=$B$5,2,I29&gt;$B$6,1),0),"")</f>
        <v/>
      </c>
      <c r="AG29" s="2" t="str" cm="1">
        <f t="array" ref="AG29">IF('NILAI CPL'!$B29&lt;&gt;"",IFERROR(_xlfn.IFS(J29&gt;=$B$3,4,J29&gt;=$B$4,3,J29&gt;=$B$5,2,J29&gt;$B$6,1),0),"")</f>
        <v/>
      </c>
      <c r="AH29" s="2" t="str" cm="1">
        <f t="array" ref="AH29">IF('NILAI CPL'!$B29&lt;&gt;"",IFERROR(_xlfn.IFS(K29&gt;=$B$3,4,K29&gt;=$B$4,3,K29&gt;=$B$5,2,K29&gt;$B$6,1),0),"")</f>
        <v/>
      </c>
      <c r="AI29" s="2" t="str" cm="1">
        <f t="array" ref="AI29">IF('NILAI CPL'!$B29&lt;&gt;"",IFERROR(_xlfn.IFS(L29&gt;=$B$3,4,L29&gt;=$B$4,3,L29&gt;=$B$5,2,L29&gt;$B$6,1),0),"")</f>
        <v/>
      </c>
      <c r="AJ29" s="2" t="str" cm="1">
        <f t="array" ref="AJ29">IF('NILAI CPL'!$B29&lt;&gt;"",IFERROR(_xlfn.IFS(M29&gt;=$B$3,4,M29&gt;=$B$4,3,M29&gt;=$B$5,2,M29&gt;$B$6,1),0),"")</f>
        <v/>
      </c>
      <c r="AK29" s="2" t="str" cm="1">
        <f t="array" ref="AK29">IF('NILAI CPL'!$B29&lt;&gt;"",IFERROR(_xlfn.IFS(N29&gt;=$B$3,4,N29&gt;=$B$4,3,N29&gt;=$B$5,2,N29&gt;$B$6,1),0),"")</f>
        <v/>
      </c>
      <c r="AL29" s="2" t="str" cm="1">
        <f t="array" ref="AL29">IF('NILAI CPL'!$B29&lt;&gt;"",IFERROR(_xlfn.IFS(O29&gt;=$B$3,4,O29&gt;=$B$4,3,O29&gt;=$B$5,2,O29&gt;$B$6,1),0),"")</f>
        <v/>
      </c>
      <c r="AM29" s="2" t="str" cm="1">
        <f t="array" ref="AM29">IF('NILAI CPL'!$B29&lt;&gt;"",IFERROR(_xlfn.IFS(P29&gt;=$B$3,4,P29&gt;=$B$4,3,P29&gt;=$B$5,2,P29&gt;$B$6,1),0),"")</f>
        <v/>
      </c>
      <c r="AN29" s="2" t="str" cm="1">
        <f t="array" ref="AN29">IF('NILAI CPL'!$B29&lt;&gt;"",IFERROR(_xlfn.IFS(Q29&gt;=$B$3,4,Q29&gt;=$B$4,3,Q29&gt;=$B$5,2,Q29&gt;$B$6,1),0),"")</f>
        <v/>
      </c>
      <c r="AO29" s="2" t="str" cm="1">
        <f t="array" ref="AO29">IF('NILAI CPL'!$B29&lt;&gt;"",IFERROR(_xlfn.IFS(R29&gt;=$B$3,4,R29&gt;=$B$4,3,R29&gt;=$B$5,2,R29&gt;$B$6,1),0),"")</f>
        <v/>
      </c>
      <c r="AP29" s="2" t="str" cm="1">
        <f t="array" ref="AP29">IF('NILAI CPL'!$B29&lt;&gt;"",IFERROR(_xlfn.IFS(S29&gt;=$B$3,4,S29&gt;=$B$4,3,S29&gt;=$B$5,2,S29&gt;$B$6,1),0),"")</f>
        <v/>
      </c>
      <c r="AQ29" s="2" t="str" cm="1">
        <f t="array" ref="AQ29">IF('NILAI CPL'!$B29&lt;&gt;"",IFERROR(_xlfn.IFS(T29&gt;=$B$3,4,T29&gt;=$B$4,3,T29&gt;=$B$5,2,T29&gt;$B$6,1),0),"")</f>
        <v/>
      </c>
      <c r="AR29" s="2" t="str" cm="1">
        <f t="array" ref="AR29">IF('NILAI CPL'!$B29&lt;&gt;"",IFERROR(_xlfn.IFS(U29&gt;=$B$3,4,U29&gt;=$B$4,3,U29&gt;=$B$5,2,U29&gt;$B$6,1),0),"")</f>
        <v/>
      </c>
      <c r="AS29" s="2" t="str" cm="1">
        <f t="array" ref="AS29">IF('NILAI CPL'!$B29&lt;&gt;"",IFERROR(_xlfn.IFS(V29&gt;=$B$3,4,V29&gt;=$B$4,3,V29&gt;=$B$5,2,V29&gt;$B$6,1),0),"")</f>
        <v/>
      </c>
      <c r="AT29" s="2" t="str" cm="1">
        <f t="array" ref="AT29">IF('NILAI CPL'!$B29&lt;&gt;"",IFERROR(_xlfn.IFS(W29&gt;=$B$3,4,W29&gt;=$B$4,3,W29&gt;=$B$5,2,W29&gt;$B$6,1),0),"")</f>
        <v/>
      </c>
      <c r="AU29" s="2" t="str" cm="1">
        <f t="array" ref="AU29">IF('NILAI CPL'!$B29&lt;&gt;"",IFERROR(_xlfn.IFS(X29&gt;=$B$3,4,X29&gt;=$B$4,3,X29&gt;=$B$5,2,X29&gt;$B$6,1),0),"")</f>
        <v/>
      </c>
      <c r="AV29" s="2" t="str" cm="1">
        <f t="array" ref="AV29">IF('NILAI CPL'!$B29&lt;&gt;"",IFERROR(_xlfn.IFS(Y29&gt;=$B$3,4,Y29&gt;=$B$4,3,Y29&gt;=$B$5,2,Y29&gt;$B$6,1),0),"")</f>
        <v/>
      </c>
      <c r="AW29" s="2" t="str" cm="1">
        <f t="array" ref="AW29">IF('NILAI CPL'!$B29&lt;&gt;"",IFERROR(_xlfn.IFS(Z29&gt;=$B$3,4,Z29&gt;=$B$4,3,Z29&gt;=$B$5,2,Z29&gt;$B$6,1),0),"")</f>
        <v/>
      </c>
      <c r="AY29" s="2" t="str">
        <f t="shared" si="0"/>
        <v/>
      </c>
      <c r="AZ29" s="2" t="str">
        <f t="shared" si="1"/>
        <v/>
      </c>
      <c r="BA29" s="2" t="str">
        <f t="shared" si="2"/>
        <v/>
      </c>
      <c r="BB29" s="2" t="str">
        <f t="shared" si="3"/>
        <v/>
      </c>
      <c r="BC29" s="2" t="str">
        <f t="shared" si="4"/>
        <v/>
      </c>
      <c r="BD29" s="2" t="str">
        <f t="shared" si="5"/>
        <v/>
      </c>
      <c r="BE29" s="2" t="str">
        <f t="shared" si="6"/>
        <v/>
      </c>
      <c r="BF29" s="2" t="str">
        <f t="shared" si="7"/>
        <v/>
      </c>
      <c r="BG29" s="2" t="str">
        <f t="shared" si="8"/>
        <v/>
      </c>
      <c r="BH29" s="2" t="str">
        <f t="shared" si="9"/>
        <v/>
      </c>
      <c r="BJ29" s="2" t="str" cm="1">
        <f t="array" ref="BJ29">IF('NILAI CPL'!$B29&lt;&gt;"",IFERROR(_xlfn.IFS(AY29&gt;=$B$3,4,AY29&gt;=$B$4,3,AY29&gt;=$B$5,2,AY29&gt;$B$6,1),0),"")</f>
        <v/>
      </c>
      <c r="BK29" s="2" t="str" cm="1">
        <f t="array" ref="BK29">IF('NILAI CPL'!$B29&lt;&gt;"",IFERROR(_xlfn.IFS(AZ29&gt;=$B$3,4,AZ29&gt;=$B$4,3,AZ29&gt;=$B$5,2,AZ29&gt;$B$6,1),0),"")</f>
        <v/>
      </c>
      <c r="BL29" s="2" t="str" cm="1">
        <f t="array" ref="BL29">IF('NILAI CPL'!$B29&lt;&gt;"",IFERROR(_xlfn.IFS(BA29&gt;=$B$3,4,BA29&gt;=$B$4,3,BA29&gt;=$B$5,2,BA29&gt;$B$6,1),0),"")</f>
        <v/>
      </c>
      <c r="BM29" s="2" t="str" cm="1">
        <f t="array" ref="BM29">IF('NILAI CPL'!$B29&lt;&gt;"",IFERROR(_xlfn.IFS(BB29&gt;=$B$3,4,BB29&gt;=$B$4,3,BB29&gt;=$B$5,2,BB29&gt;$B$6,1),0),"")</f>
        <v/>
      </c>
      <c r="BN29" s="2" t="str" cm="1">
        <f t="array" ref="BN29">IF('NILAI CPL'!$B29&lt;&gt;"",IFERROR(_xlfn.IFS(BC29&gt;=$B$3,4,BC29&gt;=$B$4,3,BC29&gt;=$B$5,2,BC29&gt;$B$6,1),0),"")</f>
        <v/>
      </c>
      <c r="BO29" s="2" t="str" cm="1">
        <f t="array" ref="BO29">IF('NILAI CPL'!$B29&lt;&gt;"",IFERROR(_xlfn.IFS(BD29&gt;=$B$3,4,BD29&gt;=$B$4,3,BD29&gt;=$B$5,2,BD29&gt;$B$6,1),0),"")</f>
        <v/>
      </c>
      <c r="BP29" s="2" t="str" cm="1">
        <f t="array" ref="BP29">IF('NILAI CPL'!$B29&lt;&gt;"",IFERROR(_xlfn.IFS(BE29&gt;=$B$3,4,BE29&gt;=$B$4,3,BE29&gt;=$B$5,2,BE29&gt;$B$6,1),0),"")</f>
        <v/>
      </c>
      <c r="BQ29" s="2" t="str" cm="1">
        <f t="array" ref="BQ29">IF('NILAI CPL'!$B29&lt;&gt;"",IFERROR(_xlfn.IFS(BF29&gt;=$B$3,4,BF29&gt;=$B$4,3,BF29&gt;=$B$5,2,BF29&gt;$B$6,1),0),"")</f>
        <v/>
      </c>
      <c r="BR29" s="2" t="str" cm="1">
        <f t="array" ref="BR29">IF('NILAI CPL'!$B29&lt;&gt;"",IFERROR(_xlfn.IFS(BG29&gt;=$B$3,4,BG29&gt;=$B$4,3,BG29&gt;=$B$5,2,BG29&gt;$B$6,1),0),"")</f>
        <v/>
      </c>
      <c r="BS29" s="2" t="str" cm="1">
        <f t="array" ref="BS29">IF('NILAI CPL'!$B29&lt;&gt;"",IFERROR(_xlfn.IFS(BH29&gt;=$B$3,4,BH29&gt;=$B$4,3,BH29&gt;=$B$5,2,BH29&gt;$B$6,1),0),"")</f>
        <v/>
      </c>
    </row>
    <row r="30" spans="1:71" x14ac:dyDescent="0.2">
      <c r="A30" s="2">
        <v>20</v>
      </c>
      <c r="B30" s="2" t="str">
        <f>IF(LEN(SUMMARY!B30)&gt;0, SUMMARY!B30, "")</f>
        <v/>
      </c>
      <c r="C30" s="2" t="str">
        <f>IF(LEN(SUMMARY!C30)&gt;0, SUMMARY!C30, "")</f>
        <v/>
      </c>
      <c r="E30" s="2" t="str" cm="1">
        <f t="array" ref="E30">IF('NILAI CPL'!$B30&lt;&gt;"",IFERROR(JumlahPI(ROW(),COLUMN()),0),"")</f>
        <v/>
      </c>
      <c r="F30" s="2" t="str" cm="1">
        <f t="array" ref="F30">IF('NILAI CPL'!$B30&lt;&gt;"",IFERROR(JumlahPI(ROW(),COLUMN()),0),"")</f>
        <v/>
      </c>
      <c r="G30" s="2" t="str" cm="1">
        <f t="array" ref="G30">IF('NILAI CPL'!$B30&lt;&gt;"",IFERROR(JumlahPI(ROW(),COLUMN()),0),"")</f>
        <v/>
      </c>
      <c r="H30" s="2" t="str" cm="1">
        <f t="array" ref="H30">IF('NILAI CPL'!$B30&lt;&gt;"",IFERROR(JumlahPI(ROW(),COLUMN()),0),"")</f>
        <v/>
      </c>
      <c r="I30" s="2" t="str" cm="1">
        <f t="array" ref="I30">IF('NILAI CPL'!$B30&lt;&gt;"",IFERROR(JumlahPI(ROW(),COLUMN()),0),"")</f>
        <v/>
      </c>
      <c r="J30" s="2" t="str" cm="1">
        <f t="array" ref="J30">IF('NILAI CPL'!$B30&lt;&gt;"",IFERROR(JumlahPI(ROW(),COLUMN()),0),"")</f>
        <v/>
      </c>
      <c r="K30" s="2" t="str" cm="1">
        <f t="array" ref="K30">IF('NILAI CPL'!$B30&lt;&gt;"",IFERROR(JumlahPI(ROW(),COLUMN()),0),"")</f>
        <v/>
      </c>
      <c r="L30" s="2" t="str" cm="1">
        <f t="array" ref="L30">IF('NILAI CPL'!$B30&lt;&gt;"",IFERROR(JumlahPI(ROW(),COLUMN()),0),"")</f>
        <v/>
      </c>
      <c r="M30" s="2" t="str" cm="1">
        <f t="array" ref="M30">IF('NILAI CPL'!$B30&lt;&gt;"",IFERROR(JumlahPI(ROW(),COLUMN()),0),"")</f>
        <v/>
      </c>
      <c r="N30" s="2" t="str" cm="1">
        <f t="array" ref="N30">IF('NILAI CPL'!$B30&lt;&gt;"",IFERROR(JumlahPI(ROW(),COLUMN()),0),"")</f>
        <v/>
      </c>
      <c r="O30" s="2" t="str" cm="1">
        <f t="array" ref="O30">IF('NILAI CPL'!$B30&lt;&gt;"",IFERROR(JumlahPI(ROW(),COLUMN()),0),"")</f>
        <v/>
      </c>
      <c r="P30" s="2" t="str" cm="1">
        <f t="array" ref="P30">IF('NILAI CPL'!$B30&lt;&gt;"",IFERROR(JumlahPI(ROW(),COLUMN()),0),"")</f>
        <v/>
      </c>
      <c r="Q30" s="2" t="str" cm="1">
        <f t="array" ref="Q30">IF('NILAI CPL'!$B30&lt;&gt;"",IFERROR(JumlahPI(ROW(),COLUMN()),0),"")</f>
        <v/>
      </c>
      <c r="R30" s="2" t="str" cm="1">
        <f t="array" ref="R30">IF('NILAI CPL'!$B30&lt;&gt;"",IFERROR(JumlahPI(ROW(),COLUMN()),0),"")</f>
        <v/>
      </c>
      <c r="S30" s="2" t="str" cm="1">
        <f t="array" ref="S30">IF('NILAI CPL'!$B30&lt;&gt;"",IFERROR(JumlahPI(ROW(),COLUMN()),0),"")</f>
        <v/>
      </c>
      <c r="T30" s="2" t="str" cm="1">
        <f t="array" ref="T30">IF('NILAI CPL'!$B30&lt;&gt;"",IFERROR(JumlahPI(ROW(),COLUMN()),0),"")</f>
        <v/>
      </c>
      <c r="U30" s="2" t="str" cm="1">
        <f t="array" ref="U30">IF('NILAI CPL'!$B30&lt;&gt;"",IFERROR(JumlahPI(ROW(),COLUMN()),0),"")</f>
        <v/>
      </c>
      <c r="V30" s="2" t="str" cm="1">
        <f t="array" ref="V30">IF('NILAI CPL'!$B30&lt;&gt;"",IFERROR(JumlahPI(ROW(),COLUMN()),0),"")</f>
        <v/>
      </c>
      <c r="W30" s="2" t="str" cm="1">
        <f t="array" ref="W30">IF('NILAI CPL'!$B30&lt;&gt;"",IFERROR(JumlahPI(ROW(),COLUMN()),0),"")</f>
        <v/>
      </c>
      <c r="X30" s="2" t="str" cm="1">
        <f t="array" ref="X30">IF('NILAI CPL'!$B30&lt;&gt;"",IFERROR(JumlahPI(ROW(),COLUMN()),0),"")</f>
        <v/>
      </c>
      <c r="Y30" s="2" t="str" cm="1">
        <f t="array" ref="Y30">IF('NILAI CPL'!$B30&lt;&gt;"",IFERROR(JumlahPI(ROW(),COLUMN()),0),"")</f>
        <v/>
      </c>
      <c r="Z30" s="2" t="str" cm="1">
        <f t="array" ref="Z30">IF('NILAI CPL'!$B30&lt;&gt;"",IFERROR(JumlahPI(ROW(),COLUMN()),0),"")</f>
        <v/>
      </c>
      <c r="AB30" s="2" t="str" cm="1">
        <f t="array" ref="AB30">IF('NILAI CPL'!$B30&lt;&gt;"",IFERROR(_xlfn.IFS(E30&gt;=$B$3,4,E30&gt;=$B$4,3,E30&gt;=$B$5,2,E30&gt;$B$6,1),0),"")</f>
        <v/>
      </c>
      <c r="AC30" s="2" t="str" cm="1">
        <f t="array" ref="AC30">IF('NILAI CPL'!$B30&lt;&gt;"",IFERROR(_xlfn.IFS(F30&gt;=$B$3,4,F30&gt;=$B$4,3,F30&gt;=$B$5,2,F30&gt;$B$6,1),0),"")</f>
        <v/>
      </c>
      <c r="AD30" s="2" t="str" cm="1">
        <f t="array" ref="AD30">IF('NILAI CPL'!$B30&lt;&gt;"",IFERROR(_xlfn.IFS(G30&gt;=$B$3,4,G30&gt;=$B$4,3,G30&gt;=$B$5,2,G30&gt;$B$6,1),0),"")</f>
        <v/>
      </c>
      <c r="AE30" s="2" t="str" cm="1">
        <f t="array" ref="AE30">IF('NILAI CPL'!$B30&lt;&gt;"",IFERROR(_xlfn.IFS(H30&gt;=$B$3,4,H30&gt;=$B$4,3,H30&gt;=$B$5,2,H30&gt;$B$6,1),0),"")</f>
        <v/>
      </c>
      <c r="AF30" s="2" t="str" cm="1">
        <f t="array" ref="AF30">IF('NILAI CPL'!$B30&lt;&gt;"",IFERROR(_xlfn.IFS(I30&gt;=$B$3,4,I30&gt;=$B$4,3,I30&gt;=$B$5,2,I30&gt;$B$6,1),0),"")</f>
        <v/>
      </c>
      <c r="AG30" s="2" t="str" cm="1">
        <f t="array" ref="AG30">IF('NILAI CPL'!$B30&lt;&gt;"",IFERROR(_xlfn.IFS(J30&gt;=$B$3,4,J30&gt;=$B$4,3,J30&gt;=$B$5,2,J30&gt;$B$6,1),0),"")</f>
        <v/>
      </c>
      <c r="AH30" s="2" t="str" cm="1">
        <f t="array" ref="AH30">IF('NILAI CPL'!$B30&lt;&gt;"",IFERROR(_xlfn.IFS(K30&gt;=$B$3,4,K30&gt;=$B$4,3,K30&gt;=$B$5,2,K30&gt;$B$6,1),0),"")</f>
        <v/>
      </c>
      <c r="AI30" s="2" t="str" cm="1">
        <f t="array" ref="AI30">IF('NILAI CPL'!$B30&lt;&gt;"",IFERROR(_xlfn.IFS(L30&gt;=$B$3,4,L30&gt;=$B$4,3,L30&gt;=$B$5,2,L30&gt;$B$6,1),0),"")</f>
        <v/>
      </c>
      <c r="AJ30" s="2" t="str" cm="1">
        <f t="array" ref="AJ30">IF('NILAI CPL'!$B30&lt;&gt;"",IFERROR(_xlfn.IFS(M30&gt;=$B$3,4,M30&gt;=$B$4,3,M30&gt;=$B$5,2,M30&gt;$B$6,1),0),"")</f>
        <v/>
      </c>
      <c r="AK30" s="2" t="str" cm="1">
        <f t="array" ref="AK30">IF('NILAI CPL'!$B30&lt;&gt;"",IFERROR(_xlfn.IFS(N30&gt;=$B$3,4,N30&gt;=$B$4,3,N30&gt;=$B$5,2,N30&gt;$B$6,1),0),"")</f>
        <v/>
      </c>
      <c r="AL30" s="2" t="str" cm="1">
        <f t="array" ref="AL30">IF('NILAI CPL'!$B30&lt;&gt;"",IFERROR(_xlfn.IFS(O30&gt;=$B$3,4,O30&gt;=$B$4,3,O30&gt;=$B$5,2,O30&gt;$B$6,1),0),"")</f>
        <v/>
      </c>
      <c r="AM30" s="2" t="str" cm="1">
        <f t="array" ref="AM30">IF('NILAI CPL'!$B30&lt;&gt;"",IFERROR(_xlfn.IFS(P30&gt;=$B$3,4,P30&gt;=$B$4,3,P30&gt;=$B$5,2,P30&gt;$B$6,1),0),"")</f>
        <v/>
      </c>
      <c r="AN30" s="2" t="str" cm="1">
        <f t="array" ref="AN30">IF('NILAI CPL'!$B30&lt;&gt;"",IFERROR(_xlfn.IFS(Q30&gt;=$B$3,4,Q30&gt;=$B$4,3,Q30&gt;=$B$5,2,Q30&gt;$B$6,1),0),"")</f>
        <v/>
      </c>
      <c r="AO30" s="2" t="str" cm="1">
        <f t="array" ref="AO30">IF('NILAI CPL'!$B30&lt;&gt;"",IFERROR(_xlfn.IFS(R30&gt;=$B$3,4,R30&gt;=$B$4,3,R30&gt;=$B$5,2,R30&gt;$B$6,1),0),"")</f>
        <v/>
      </c>
      <c r="AP30" s="2" t="str" cm="1">
        <f t="array" ref="AP30">IF('NILAI CPL'!$B30&lt;&gt;"",IFERROR(_xlfn.IFS(S30&gt;=$B$3,4,S30&gt;=$B$4,3,S30&gt;=$B$5,2,S30&gt;$B$6,1),0),"")</f>
        <v/>
      </c>
      <c r="AQ30" s="2" t="str" cm="1">
        <f t="array" ref="AQ30">IF('NILAI CPL'!$B30&lt;&gt;"",IFERROR(_xlfn.IFS(T30&gt;=$B$3,4,T30&gt;=$B$4,3,T30&gt;=$B$5,2,T30&gt;$B$6,1),0),"")</f>
        <v/>
      </c>
      <c r="AR30" s="2" t="str" cm="1">
        <f t="array" ref="AR30">IF('NILAI CPL'!$B30&lt;&gt;"",IFERROR(_xlfn.IFS(U30&gt;=$B$3,4,U30&gt;=$B$4,3,U30&gt;=$B$5,2,U30&gt;$B$6,1),0),"")</f>
        <v/>
      </c>
      <c r="AS30" s="2" t="str" cm="1">
        <f t="array" ref="AS30">IF('NILAI CPL'!$B30&lt;&gt;"",IFERROR(_xlfn.IFS(V30&gt;=$B$3,4,V30&gt;=$B$4,3,V30&gt;=$B$5,2,V30&gt;$B$6,1),0),"")</f>
        <v/>
      </c>
      <c r="AT30" s="2" t="str" cm="1">
        <f t="array" ref="AT30">IF('NILAI CPL'!$B30&lt;&gt;"",IFERROR(_xlfn.IFS(W30&gt;=$B$3,4,W30&gt;=$B$4,3,W30&gt;=$B$5,2,W30&gt;$B$6,1),0),"")</f>
        <v/>
      </c>
      <c r="AU30" s="2" t="str" cm="1">
        <f t="array" ref="AU30">IF('NILAI CPL'!$B30&lt;&gt;"",IFERROR(_xlfn.IFS(X30&gt;=$B$3,4,X30&gt;=$B$4,3,X30&gt;=$B$5,2,X30&gt;$B$6,1),0),"")</f>
        <v/>
      </c>
      <c r="AV30" s="2" t="str" cm="1">
        <f t="array" ref="AV30">IF('NILAI CPL'!$B30&lt;&gt;"",IFERROR(_xlfn.IFS(Y30&gt;=$B$3,4,Y30&gt;=$B$4,3,Y30&gt;=$B$5,2,Y30&gt;$B$6,1),0),"")</f>
        <v/>
      </c>
      <c r="AW30" s="2" t="str" cm="1">
        <f t="array" ref="AW30">IF('NILAI CPL'!$B30&lt;&gt;"",IFERROR(_xlfn.IFS(Z30&gt;=$B$3,4,Z30&gt;=$B$4,3,Z30&gt;=$B$5,2,Z30&gt;$B$6,1),0),"")</f>
        <v/>
      </c>
      <c r="AY30" s="2" t="str">
        <f t="shared" si="0"/>
        <v/>
      </c>
      <c r="AZ30" s="2" t="str">
        <f t="shared" si="1"/>
        <v/>
      </c>
      <c r="BA30" s="2" t="str">
        <f t="shared" si="2"/>
        <v/>
      </c>
      <c r="BB30" s="2" t="str">
        <f t="shared" si="3"/>
        <v/>
      </c>
      <c r="BC30" s="2" t="str">
        <f t="shared" si="4"/>
        <v/>
      </c>
      <c r="BD30" s="2" t="str">
        <f t="shared" si="5"/>
        <v/>
      </c>
      <c r="BE30" s="2" t="str">
        <f t="shared" si="6"/>
        <v/>
      </c>
      <c r="BF30" s="2" t="str">
        <f t="shared" si="7"/>
        <v/>
      </c>
      <c r="BG30" s="2" t="str">
        <f t="shared" si="8"/>
        <v/>
      </c>
      <c r="BH30" s="2" t="str">
        <f t="shared" si="9"/>
        <v/>
      </c>
      <c r="BJ30" s="2" t="str" cm="1">
        <f t="array" ref="BJ30">IF('NILAI CPL'!$B30&lt;&gt;"",IFERROR(_xlfn.IFS(AY30&gt;=$B$3,4,AY30&gt;=$B$4,3,AY30&gt;=$B$5,2,AY30&gt;$B$6,1),0),"")</f>
        <v/>
      </c>
      <c r="BK30" s="2" t="str" cm="1">
        <f t="array" ref="BK30">IF('NILAI CPL'!$B30&lt;&gt;"",IFERROR(_xlfn.IFS(AZ30&gt;=$B$3,4,AZ30&gt;=$B$4,3,AZ30&gt;=$B$5,2,AZ30&gt;$B$6,1),0),"")</f>
        <v/>
      </c>
      <c r="BL30" s="2" t="str" cm="1">
        <f t="array" ref="BL30">IF('NILAI CPL'!$B30&lt;&gt;"",IFERROR(_xlfn.IFS(BA30&gt;=$B$3,4,BA30&gt;=$B$4,3,BA30&gt;=$B$5,2,BA30&gt;$B$6,1),0),"")</f>
        <v/>
      </c>
      <c r="BM30" s="2" t="str" cm="1">
        <f t="array" ref="BM30">IF('NILAI CPL'!$B30&lt;&gt;"",IFERROR(_xlfn.IFS(BB30&gt;=$B$3,4,BB30&gt;=$B$4,3,BB30&gt;=$B$5,2,BB30&gt;$B$6,1),0),"")</f>
        <v/>
      </c>
      <c r="BN30" s="2" t="str" cm="1">
        <f t="array" ref="BN30">IF('NILAI CPL'!$B30&lt;&gt;"",IFERROR(_xlfn.IFS(BC30&gt;=$B$3,4,BC30&gt;=$B$4,3,BC30&gt;=$B$5,2,BC30&gt;$B$6,1),0),"")</f>
        <v/>
      </c>
      <c r="BO30" s="2" t="str" cm="1">
        <f t="array" ref="BO30">IF('NILAI CPL'!$B30&lt;&gt;"",IFERROR(_xlfn.IFS(BD30&gt;=$B$3,4,BD30&gt;=$B$4,3,BD30&gt;=$B$5,2,BD30&gt;$B$6,1),0),"")</f>
        <v/>
      </c>
      <c r="BP30" s="2" t="str" cm="1">
        <f t="array" ref="BP30">IF('NILAI CPL'!$B30&lt;&gt;"",IFERROR(_xlfn.IFS(BE30&gt;=$B$3,4,BE30&gt;=$B$4,3,BE30&gt;=$B$5,2,BE30&gt;$B$6,1),0),"")</f>
        <v/>
      </c>
      <c r="BQ30" s="2" t="str" cm="1">
        <f t="array" ref="BQ30">IF('NILAI CPL'!$B30&lt;&gt;"",IFERROR(_xlfn.IFS(BF30&gt;=$B$3,4,BF30&gt;=$B$4,3,BF30&gt;=$B$5,2,BF30&gt;$B$6,1),0),"")</f>
        <v/>
      </c>
      <c r="BR30" s="2" t="str" cm="1">
        <f t="array" ref="BR30">IF('NILAI CPL'!$B30&lt;&gt;"",IFERROR(_xlfn.IFS(BG30&gt;=$B$3,4,BG30&gt;=$B$4,3,BG30&gt;=$B$5,2,BG30&gt;$B$6,1),0),"")</f>
        <v/>
      </c>
      <c r="BS30" s="2" t="str" cm="1">
        <f t="array" ref="BS30">IF('NILAI CPL'!$B30&lt;&gt;"",IFERROR(_xlfn.IFS(BH30&gt;=$B$3,4,BH30&gt;=$B$4,3,BH30&gt;=$B$5,2,BH30&gt;$B$6,1),0),"")</f>
        <v/>
      </c>
    </row>
    <row r="31" spans="1:71" x14ac:dyDescent="0.2">
      <c r="A31" s="2">
        <v>21</v>
      </c>
      <c r="B31" s="2" t="str">
        <f>IF(LEN(SUMMARY!B31)&gt;0, SUMMARY!B31, "")</f>
        <v/>
      </c>
      <c r="C31" s="2" t="str">
        <f>IF(LEN(SUMMARY!C31)&gt;0, SUMMARY!C31, "")</f>
        <v/>
      </c>
      <c r="E31" s="2" t="str" cm="1">
        <f t="array" ref="E31">IF('NILAI CPL'!$B31&lt;&gt;"",IFERROR(JumlahPI(ROW(),COLUMN()),0),"")</f>
        <v/>
      </c>
      <c r="F31" s="2" t="str" cm="1">
        <f t="array" ref="F31">IF('NILAI CPL'!$B31&lt;&gt;"",IFERROR(JumlahPI(ROW(),COLUMN()),0),"")</f>
        <v/>
      </c>
      <c r="G31" s="2" t="str" cm="1">
        <f t="array" ref="G31">IF('NILAI CPL'!$B31&lt;&gt;"",IFERROR(JumlahPI(ROW(),COLUMN()),0),"")</f>
        <v/>
      </c>
      <c r="H31" s="2" t="str" cm="1">
        <f t="array" ref="H31">IF('NILAI CPL'!$B31&lt;&gt;"",IFERROR(JumlahPI(ROW(),COLUMN()),0),"")</f>
        <v/>
      </c>
      <c r="I31" s="2" t="str" cm="1">
        <f t="array" ref="I31">IF('NILAI CPL'!$B31&lt;&gt;"",IFERROR(JumlahPI(ROW(),COLUMN()),0),"")</f>
        <v/>
      </c>
      <c r="J31" s="2" t="str" cm="1">
        <f t="array" ref="J31">IF('NILAI CPL'!$B31&lt;&gt;"",IFERROR(JumlahPI(ROW(),COLUMN()),0),"")</f>
        <v/>
      </c>
      <c r="K31" s="2" t="str" cm="1">
        <f t="array" ref="K31">IF('NILAI CPL'!$B31&lt;&gt;"",IFERROR(JumlahPI(ROW(),COLUMN()),0),"")</f>
        <v/>
      </c>
      <c r="L31" s="2" t="str" cm="1">
        <f t="array" ref="L31">IF('NILAI CPL'!$B31&lt;&gt;"",IFERROR(JumlahPI(ROW(),COLUMN()),0),"")</f>
        <v/>
      </c>
      <c r="M31" s="2" t="str" cm="1">
        <f t="array" ref="M31">IF('NILAI CPL'!$B31&lt;&gt;"",IFERROR(JumlahPI(ROW(),COLUMN()),0),"")</f>
        <v/>
      </c>
      <c r="N31" s="2" t="str" cm="1">
        <f t="array" ref="N31">IF('NILAI CPL'!$B31&lt;&gt;"",IFERROR(JumlahPI(ROW(),COLUMN()),0),"")</f>
        <v/>
      </c>
      <c r="O31" s="2" t="str" cm="1">
        <f t="array" ref="O31">IF('NILAI CPL'!$B31&lt;&gt;"",IFERROR(JumlahPI(ROW(),COLUMN()),0),"")</f>
        <v/>
      </c>
      <c r="P31" s="2" t="str" cm="1">
        <f t="array" ref="P31">IF('NILAI CPL'!$B31&lt;&gt;"",IFERROR(JumlahPI(ROW(),COLUMN()),0),"")</f>
        <v/>
      </c>
      <c r="Q31" s="2" t="str" cm="1">
        <f t="array" ref="Q31">IF('NILAI CPL'!$B31&lt;&gt;"",IFERROR(JumlahPI(ROW(),COLUMN()),0),"")</f>
        <v/>
      </c>
      <c r="R31" s="2" t="str" cm="1">
        <f t="array" ref="R31">IF('NILAI CPL'!$B31&lt;&gt;"",IFERROR(JumlahPI(ROW(),COLUMN()),0),"")</f>
        <v/>
      </c>
      <c r="S31" s="2" t="str" cm="1">
        <f t="array" ref="S31">IF('NILAI CPL'!$B31&lt;&gt;"",IFERROR(JumlahPI(ROW(),COLUMN()),0),"")</f>
        <v/>
      </c>
      <c r="T31" s="2" t="str" cm="1">
        <f t="array" ref="T31">IF('NILAI CPL'!$B31&lt;&gt;"",IFERROR(JumlahPI(ROW(),COLUMN()),0),"")</f>
        <v/>
      </c>
      <c r="U31" s="2" t="str" cm="1">
        <f t="array" ref="U31">IF('NILAI CPL'!$B31&lt;&gt;"",IFERROR(JumlahPI(ROW(),COLUMN()),0),"")</f>
        <v/>
      </c>
      <c r="V31" s="2" t="str" cm="1">
        <f t="array" ref="V31">IF('NILAI CPL'!$B31&lt;&gt;"",IFERROR(JumlahPI(ROW(),COLUMN()),0),"")</f>
        <v/>
      </c>
      <c r="W31" s="2" t="str" cm="1">
        <f t="array" ref="W31">IF('NILAI CPL'!$B31&lt;&gt;"",IFERROR(JumlahPI(ROW(),COLUMN()),0),"")</f>
        <v/>
      </c>
      <c r="X31" s="2" t="str" cm="1">
        <f t="array" ref="X31">IF('NILAI CPL'!$B31&lt;&gt;"",IFERROR(JumlahPI(ROW(),COLUMN()),0),"")</f>
        <v/>
      </c>
      <c r="Y31" s="2" t="str" cm="1">
        <f t="array" ref="Y31">IF('NILAI CPL'!$B31&lt;&gt;"",IFERROR(JumlahPI(ROW(),COLUMN()),0),"")</f>
        <v/>
      </c>
      <c r="Z31" s="2" t="str" cm="1">
        <f t="array" ref="Z31">IF('NILAI CPL'!$B31&lt;&gt;"",IFERROR(JumlahPI(ROW(),COLUMN()),0),"")</f>
        <v/>
      </c>
      <c r="AB31" s="2" t="str" cm="1">
        <f t="array" ref="AB31">IF('NILAI CPL'!$B31&lt;&gt;"",IFERROR(_xlfn.IFS(E31&gt;=$B$3,4,E31&gt;=$B$4,3,E31&gt;=$B$5,2,E31&gt;$B$6,1),0),"")</f>
        <v/>
      </c>
      <c r="AC31" s="2" t="str" cm="1">
        <f t="array" ref="AC31">IF('NILAI CPL'!$B31&lt;&gt;"",IFERROR(_xlfn.IFS(F31&gt;=$B$3,4,F31&gt;=$B$4,3,F31&gt;=$B$5,2,F31&gt;$B$6,1),0),"")</f>
        <v/>
      </c>
      <c r="AD31" s="2" t="str" cm="1">
        <f t="array" ref="AD31">IF('NILAI CPL'!$B31&lt;&gt;"",IFERROR(_xlfn.IFS(G31&gt;=$B$3,4,G31&gt;=$B$4,3,G31&gt;=$B$5,2,G31&gt;$B$6,1),0),"")</f>
        <v/>
      </c>
      <c r="AE31" s="2" t="str" cm="1">
        <f t="array" ref="AE31">IF('NILAI CPL'!$B31&lt;&gt;"",IFERROR(_xlfn.IFS(H31&gt;=$B$3,4,H31&gt;=$B$4,3,H31&gt;=$B$5,2,H31&gt;$B$6,1),0),"")</f>
        <v/>
      </c>
      <c r="AF31" s="2" t="str" cm="1">
        <f t="array" ref="AF31">IF('NILAI CPL'!$B31&lt;&gt;"",IFERROR(_xlfn.IFS(I31&gt;=$B$3,4,I31&gt;=$B$4,3,I31&gt;=$B$5,2,I31&gt;$B$6,1),0),"")</f>
        <v/>
      </c>
      <c r="AG31" s="2" t="str" cm="1">
        <f t="array" ref="AG31">IF('NILAI CPL'!$B31&lt;&gt;"",IFERROR(_xlfn.IFS(J31&gt;=$B$3,4,J31&gt;=$B$4,3,J31&gt;=$B$5,2,J31&gt;$B$6,1),0),"")</f>
        <v/>
      </c>
      <c r="AH31" s="2" t="str" cm="1">
        <f t="array" ref="AH31">IF('NILAI CPL'!$B31&lt;&gt;"",IFERROR(_xlfn.IFS(K31&gt;=$B$3,4,K31&gt;=$B$4,3,K31&gt;=$B$5,2,K31&gt;$B$6,1),0),"")</f>
        <v/>
      </c>
      <c r="AI31" s="2" t="str" cm="1">
        <f t="array" ref="AI31">IF('NILAI CPL'!$B31&lt;&gt;"",IFERROR(_xlfn.IFS(L31&gt;=$B$3,4,L31&gt;=$B$4,3,L31&gt;=$B$5,2,L31&gt;$B$6,1),0),"")</f>
        <v/>
      </c>
      <c r="AJ31" s="2" t="str" cm="1">
        <f t="array" ref="AJ31">IF('NILAI CPL'!$B31&lt;&gt;"",IFERROR(_xlfn.IFS(M31&gt;=$B$3,4,M31&gt;=$B$4,3,M31&gt;=$B$5,2,M31&gt;$B$6,1),0),"")</f>
        <v/>
      </c>
      <c r="AK31" s="2" t="str" cm="1">
        <f t="array" ref="AK31">IF('NILAI CPL'!$B31&lt;&gt;"",IFERROR(_xlfn.IFS(N31&gt;=$B$3,4,N31&gt;=$B$4,3,N31&gt;=$B$5,2,N31&gt;$B$6,1),0),"")</f>
        <v/>
      </c>
      <c r="AL31" s="2" t="str" cm="1">
        <f t="array" ref="AL31">IF('NILAI CPL'!$B31&lt;&gt;"",IFERROR(_xlfn.IFS(O31&gt;=$B$3,4,O31&gt;=$B$4,3,O31&gt;=$B$5,2,O31&gt;$B$6,1),0),"")</f>
        <v/>
      </c>
      <c r="AM31" s="2" t="str" cm="1">
        <f t="array" ref="AM31">IF('NILAI CPL'!$B31&lt;&gt;"",IFERROR(_xlfn.IFS(P31&gt;=$B$3,4,P31&gt;=$B$4,3,P31&gt;=$B$5,2,P31&gt;$B$6,1),0),"")</f>
        <v/>
      </c>
      <c r="AN31" s="2" t="str" cm="1">
        <f t="array" ref="AN31">IF('NILAI CPL'!$B31&lt;&gt;"",IFERROR(_xlfn.IFS(Q31&gt;=$B$3,4,Q31&gt;=$B$4,3,Q31&gt;=$B$5,2,Q31&gt;$B$6,1),0),"")</f>
        <v/>
      </c>
      <c r="AO31" s="2" t="str" cm="1">
        <f t="array" ref="AO31">IF('NILAI CPL'!$B31&lt;&gt;"",IFERROR(_xlfn.IFS(R31&gt;=$B$3,4,R31&gt;=$B$4,3,R31&gt;=$B$5,2,R31&gt;$B$6,1),0),"")</f>
        <v/>
      </c>
      <c r="AP31" s="2" t="str" cm="1">
        <f t="array" ref="AP31">IF('NILAI CPL'!$B31&lt;&gt;"",IFERROR(_xlfn.IFS(S31&gt;=$B$3,4,S31&gt;=$B$4,3,S31&gt;=$B$5,2,S31&gt;$B$6,1),0),"")</f>
        <v/>
      </c>
      <c r="AQ31" s="2" t="str" cm="1">
        <f t="array" ref="AQ31">IF('NILAI CPL'!$B31&lt;&gt;"",IFERROR(_xlfn.IFS(T31&gt;=$B$3,4,T31&gt;=$B$4,3,T31&gt;=$B$5,2,T31&gt;$B$6,1),0),"")</f>
        <v/>
      </c>
      <c r="AR31" s="2" t="str" cm="1">
        <f t="array" ref="AR31">IF('NILAI CPL'!$B31&lt;&gt;"",IFERROR(_xlfn.IFS(U31&gt;=$B$3,4,U31&gt;=$B$4,3,U31&gt;=$B$5,2,U31&gt;$B$6,1),0),"")</f>
        <v/>
      </c>
      <c r="AS31" s="2" t="str" cm="1">
        <f t="array" ref="AS31">IF('NILAI CPL'!$B31&lt;&gt;"",IFERROR(_xlfn.IFS(V31&gt;=$B$3,4,V31&gt;=$B$4,3,V31&gt;=$B$5,2,V31&gt;$B$6,1),0),"")</f>
        <v/>
      </c>
      <c r="AT31" s="2" t="str" cm="1">
        <f t="array" ref="AT31">IF('NILAI CPL'!$B31&lt;&gt;"",IFERROR(_xlfn.IFS(W31&gt;=$B$3,4,W31&gt;=$B$4,3,W31&gt;=$B$5,2,W31&gt;$B$6,1),0),"")</f>
        <v/>
      </c>
      <c r="AU31" s="2" t="str" cm="1">
        <f t="array" ref="AU31">IF('NILAI CPL'!$B31&lt;&gt;"",IFERROR(_xlfn.IFS(X31&gt;=$B$3,4,X31&gt;=$B$4,3,X31&gt;=$B$5,2,X31&gt;$B$6,1),0),"")</f>
        <v/>
      </c>
      <c r="AV31" s="2" t="str" cm="1">
        <f t="array" ref="AV31">IF('NILAI CPL'!$B31&lt;&gt;"",IFERROR(_xlfn.IFS(Y31&gt;=$B$3,4,Y31&gt;=$B$4,3,Y31&gt;=$B$5,2,Y31&gt;$B$6,1),0),"")</f>
        <v/>
      </c>
      <c r="AW31" s="2" t="str" cm="1">
        <f t="array" ref="AW31">IF('NILAI CPL'!$B31&lt;&gt;"",IFERROR(_xlfn.IFS(Z31&gt;=$B$3,4,Z31&gt;=$B$4,3,Z31&gt;=$B$5,2,Z31&gt;$B$6,1),0),"")</f>
        <v/>
      </c>
      <c r="AY31" s="2" t="str">
        <f t="shared" si="0"/>
        <v/>
      </c>
      <c r="AZ31" s="2" t="str">
        <f t="shared" si="1"/>
        <v/>
      </c>
      <c r="BA31" s="2" t="str">
        <f t="shared" si="2"/>
        <v/>
      </c>
      <c r="BB31" s="2" t="str">
        <f t="shared" si="3"/>
        <v/>
      </c>
      <c r="BC31" s="2" t="str">
        <f t="shared" si="4"/>
        <v/>
      </c>
      <c r="BD31" s="2" t="str">
        <f t="shared" si="5"/>
        <v/>
      </c>
      <c r="BE31" s="2" t="str">
        <f t="shared" si="6"/>
        <v/>
      </c>
      <c r="BF31" s="2" t="str">
        <f t="shared" si="7"/>
        <v/>
      </c>
      <c r="BG31" s="2" t="str">
        <f t="shared" si="8"/>
        <v/>
      </c>
      <c r="BH31" s="2" t="str">
        <f t="shared" si="9"/>
        <v/>
      </c>
      <c r="BJ31" s="2" t="str" cm="1">
        <f t="array" ref="BJ31">IF('NILAI CPL'!$B31&lt;&gt;"",IFERROR(_xlfn.IFS(AY31&gt;=$B$3,4,AY31&gt;=$B$4,3,AY31&gt;=$B$5,2,AY31&gt;$B$6,1),0),"")</f>
        <v/>
      </c>
      <c r="BK31" s="2" t="str" cm="1">
        <f t="array" ref="BK31">IF('NILAI CPL'!$B31&lt;&gt;"",IFERROR(_xlfn.IFS(AZ31&gt;=$B$3,4,AZ31&gt;=$B$4,3,AZ31&gt;=$B$5,2,AZ31&gt;$B$6,1),0),"")</f>
        <v/>
      </c>
      <c r="BL31" s="2" t="str" cm="1">
        <f t="array" ref="BL31">IF('NILAI CPL'!$B31&lt;&gt;"",IFERROR(_xlfn.IFS(BA31&gt;=$B$3,4,BA31&gt;=$B$4,3,BA31&gt;=$B$5,2,BA31&gt;$B$6,1),0),"")</f>
        <v/>
      </c>
      <c r="BM31" s="2" t="str" cm="1">
        <f t="array" ref="BM31">IF('NILAI CPL'!$B31&lt;&gt;"",IFERROR(_xlfn.IFS(BB31&gt;=$B$3,4,BB31&gt;=$B$4,3,BB31&gt;=$B$5,2,BB31&gt;$B$6,1),0),"")</f>
        <v/>
      </c>
      <c r="BN31" s="2" t="str" cm="1">
        <f t="array" ref="BN31">IF('NILAI CPL'!$B31&lt;&gt;"",IFERROR(_xlfn.IFS(BC31&gt;=$B$3,4,BC31&gt;=$B$4,3,BC31&gt;=$B$5,2,BC31&gt;$B$6,1),0),"")</f>
        <v/>
      </c>
      <c r="BO31" s="2" t="str" cm="1">
        <f t="array" ref="BO31">IF('NILAI CPL'!$B31&lt;&gt;"",IFERROR(_xlfn.IFS(BD31&gt;=$B$3,4,BD31&gt;=$B$4,3,BD31&gt;=$B$5,2,BD31&gt;$B$6,1),0),"")</f>
        <v/>
      </c>
      <c r="BP31" s="2" t="str" cm="1">
        <f t="array" ref="BP31">IF('NILAI CPL'!$B31&lt;&gt;"",IFERROR(_xlfn.IFS(BE31&gt;=$B$3,4,BE31&gt;=$B$4,3,BE31&gt;=$B$5,2,BE31&gt;$B$6,1),0),"")</f>
        <v/>
      </c>
      <c r="BQ31" s="2" t="str" cm="1">
        <f t="array" ref="BQ31">IF('NILAI CPL'!$B31&lt;&gt;"",IFERROR(_xlfn.IFS(BF31&gt;=$B$3,4,BF31&gt;=$B$4,3,BF31&gt;=$B$5,2,BF31&gt;$B$6,1),0),"")</f>
        <v/>
      </c>
      <c r="BR31" s="2" t="str" cm="1">
        <f t="array" ref="BR31">IF('NILAI CPL'!$B31&lt;&gt;"",IFERROR(_xlfn.IFS(BG31&gt;=$B$3,4,BG31&gt;=$B$4,3,BG31&gt;=$B$5,2,BG31&gt;$B$6,1),0),"")</f>
        <v/>
      </c>
      <c r="BS31" s="2" t="str" cm="1">
        <f t="array" ref="BS31">IF('NILAI CPL'!$B31&lt;&gt;"",IFERROR(_xlfn.IFS(BH31&gt;=$B$3,4,BH31&gt;=$B$4,3,BH31&gt;=$B$5,2,BH31&gt;$B$6,1),0),"")</f>
        <v/>
      </c>
    </row>
    <row r="32" spans="1:71" x14ac:dyDescent="0.2">
      <c r="A32" s="2">
        <v>22</v>
      </c>
      <c r="B32" s="2" t="str">
        <f>IF(LEN(SUMMARY!B32)&gt;0, SUMMARY!B32, "")</f>
        <v/>
      </c>
      <c r="C32" s="2" t="str">
        <f>IF(LEN(SUMMARY!C32)&gt;0, SUMMARY!C32, "")</f>
        <v/>
      </c>
      <c r="E32" s="2" t="str" cm="1">
        <f t="array" ref="E32">IF('NILAI CPL'!$B32&lt;&gt;"",IFERROR(JumlahPI(ROW(),COLUMN()),0),"")</f>
        <v/>
      </c>
      <c r="F32" s="2" t="str" cm="1">
        <f t="array" ref="F32">IF('NILAI CPL'!$B32&lt;&gt;"",IFERROR(JumlahPI(ROW(),COLUMN()),0),"")</f>
        <v/>
      </c>
      <c r="G32" s="2" t="str" cm="1">
        <f t="array" ref="G32">IF('NILAI CPL'!$B32&lt;&gt;"",IFERROR(JumlahPI(ROW(),COLUMN()),0),"")</f>
        <v/>
      </c>
      <c r="H32" s="2" t="str" cm="1">
        <f t="array" ref="H32">IF('NILAI CPL'!$B32&lt;&gt;"",IFERROR(JumlahPI(ROW(),COLUMN()),0),"")</f>
        <v/>
      </c>
      <c r="I32" s="2" t="str" cm="1">
        <f t="array" ref="I32">IF('NILAI CPL'!$B32&lt;&gt;"",IFERROR(JumlahPI(ROW(),COLUMN()),0),"")</f>
        <v/>
      </c>
      <c r="J32" s="2" t="str" cm="1">
        <f t="array" ref="J32">IF('NILAI CPL'!$B32&lt;&gt;"",IFERROR(JumlahPI(ROW(),COLUMN()),0),"")</f>
        <v/>
      </c>
      <c r="K32" s="2" t="str" cm="1">
        <f t="array" ref="K32">IF('NILAI CPL'!$B32&lt;&gt;"",IFERROR(JumlahPI(ROW(),COLUMN()),0),"")</f>
        <v/>
      </c>
      <c r="L32" s="2" t="str" cm="1">
        <f t="array" ref="L32">IF('NILAI CPL'!$B32&lt;&gt;"",IFERROR(JumlahPI(ROW(),COLUMN()),0),"")</f>
        <v/>
      </c>
      <c r="M32" s="2" t="str" cm="1">
        <f t="array" ref="M32">IF('NILAI CPL'!$B32&lt;&gt;"",IFERROR(JumlahPI(ROW(),COLUMN()),0),"")</f>
        <v/>
      </c>
      <c r="N32" s="2" t="str" cm="1">
        <f t="array" ref="N32">IF('NILAI CPL'!$B32&lt;&gt;"",IFERROR(JumlahPI(ROW(),COLUMN()),0),"")</f>
        <v/>
      </c>
      <c r="O32" s="2" t="str" cm="1">
        <f t="array" ref="O32">IF('NILAI CPL'!$B32&lt;&gt;"",IFERROR(JumlahPI(ROW(),COLUMN()),0),"")</f>
        <v/>
      </c>
      <c r="P32" s="2" t="str" cm="1">
        <f t="array" ref="P32">IF('NILAI CPL'!$B32&lt;&gt;"",IFERROR(JumlahPI(ROW(),COLUMN()),0),"")</f>
        <v/>
      </c>
      <c r="Q32" s="2" t="str" cm="1">
        <f t="array" ref="Q32">IF('NILAI CPL'!$B32&lt;&gt;"",IFERROR(JumlahPI(ROW(),COLUMN()),0),"")</f>
        <v/>
      </c>
      <c r="R32" s="2" t="str" cm="1">
        <f t="array" ref="R32">IF('NILAI CPL'!$B32&lt;&gt;"",IFERROR(JumlahPI(ROW(),COLUMN()),0),"")</f>
        <v/>
      </c>
      <c r="S32" s="2" t="str" cm="1">
        <f t="array" ref="S32">IF('NILAI CPL'!$B32&lt;&gt;"",IFERROR(JumlahPI(ROW(),COLUMN()),0),"")</f>
        <v/>
      </c>
      <c r="T32" s="2" t="str" cm="1">
        <f t="array" ref="T32">IF('NILAI CPL'!$B32&lt;&gt;"",IFERROR(JumlahPI(ROW(),COLUMN()),0),"")</f>
        <v/>
      </c>
      <c r="U32" s="2" t="str" cm="1">
        <f t="array" ref="U32">IF('NILAI CPL'!$B32&lt;&gt;"",IFERROR(JumlahPI(ROW(),COLUMN()),0),"")</f>
        <v/>
      </c>
      <c r="V32" s="2" t="str" cm="1">
        <f t="array" ref="V32">IF('NILAI CPL'!$B32&lt;&gt;"",IFERROR(JumlahPI(ROW(),COLUMN()),0),"")</f>
        <v/>
      </c>
      <c r="W32" s="2" t="str" cm="1">
        <f t="array" ref="W32">IF('NILAI CPL'!$B32&lt;&gt;"",IFERROR(JumlahPI(ROW(),COLUMN()),0),"")</f>
        <v/>
      </c>
      <c r="X32" s="2" t="str" cm="1">
        <f t="array" ref="X32">IF('NILAI CPL'!$B32&lt;&gt;"",IFERROR(JumlahPI(ROW(),COLUMN()),0),"")</f>
        <v/>
      </c>
      <c r="Y32" s="2" t="str" cm="1">
        <f t="array" ref="Y32">IF('NILAI CPL'!$B32&lt;&gt;"",IFERROR(JumlahPI(ROW(),COLUMN()),0),"")</f>
        <v/>
      </c>
      <c r="Z32" s="2" t="str" cm="1">
        <f t="array" ref="Z32">IF('NILAI CPL'!$B32&lt;&gt;"",IFERROR(JumlahPI(ROW(),COLUMN()),0),"")</f>
        <v/>
      </c>
      <c r="AB32" s="2" t="str" cm="1">
        <f t="array" ref="AB32">IF('NILAI CPL'!$B32&lt;&gt;"",IFERROR(_xlfn.IFS(E32&gt;=$B$3,4,E32&gt;=$B$4,3,E32&gt;=$B$5,2,E32&gt;$B$6,1),0),"")</f>
        <v/>
      </c>
      <c r="AC32" s="2" t="str" cm="1">
        <f t="array" ref="AC32">IF('NILAI CPL'!$B32&lt;&gt;"",IFERROR(_xlfn.IFS(F32&gt;=$B$3,4,F32&gt;=$B$4,3,F32&gt;=$B$5,2,F32&gt;$B$6,1),0),"")</f>
        <v/>
      </c>
      <c r="AD32" s="2" t="str" cm="1">
        <f t="array" ref="AD32">IF('NILAI CPL'!$B32&lt;&gt;"",IFERROR(_xlfn.IFS(G32&gt;=$B$3,4,G32&gt;=$B$4,3,G32&gt;=$B$5,2,G32&gt;$B$6,1),0),"")</f>
        <v/>
      </c>
      <c r="AE32" s="2" t="str" cm="1">
        <f t="array" ref="AE32">IF('NILAI CPL'!$B32&lt;&gt;"",IFERROR(_xlfn.IFS(H32&gt;=$B$3,4,H32&gt;=$B$4,3,H32&gt;=$B$5,2,H32&gt;$B$6,1),0),"")</f>
        <v/>
      </c>
      <c r="AF32" s="2" t="str" cm="1">
        <f t="array" ref="AF32">IF('NILAI CPL'!$B32&lt;&gt;"",IFERROR(_xlfn.IFS(I32&gt;=$B$3,4,I32&gt;=$B$4,3,I32&gt;=$B$5,2,I32&gt;$B$6,1),0),"")</f>
        <v/>
      </c>
      <c r="AG32" s="2" t="str" cm="1">
        <f t="array" ref="AG32">IF('NILAI CPL'!$B32&lt;&gt;"",IFERROR(_xlfn.IFS(J32&gt;=$B$3,4,J32&gt;=$B$4,3,J32&gt;=$B$5,2,J32&gt;$B$6,1),0),"")</f>
        <v/>
      </c>
      <c r="AH32" s="2" t="str" cm="1">
        <f t="array" ref="AH32">IF('NILAI CPL'!$B32&lt;&gt;"",IFERROR(_xlfn.IFS(K32&gt;=$B$3,4,K32&gt;=$B$4,3,K32&gt;=$B$5,2,K32&gt;$B$6,1),0),"")</f>
        <v/>
      </c>
      <c r="AI32" s="2" t="str" cm="1">
        <f t="array" ref="AI32">IF('NILAI CPL'!$B32&lt;&gt;"",IFERROR(_xlfn.IFS(L32&gt;=$B$3,4,L32&gt;=$B$4,3,L32&gt;=$B$5,2,L32&gt;$B$6,1),0),"")</f>
        <v/>
      </c>
      <c r="AJ32" s="2" t="str" cm="1">
        <f t="array" ref="AJ32">IF('NILAI CPL'!$B32&lt;&gt;"",IFERROR(_xlfn.IFS(M32&gt;=$B$3,4,M32&gt;=$B$4,3,M32&gt;=$B$5,2,M32&gt;$B$6,1),0),"")</f>
        <v/>
      </c>
      <c r="AK32" s="2" t="str" cm="1">
        <f t="array" ref="AK32">IF('NILAI CPL'!$B32&lt;&gt;"",IFERROR(_xlfn.IFS(N32&gt;=$B$3,4,N32&gt;=$B$4,3,N32&gt;=$B$5,2,N32&gt;$B$6,1),0),"")</f>
        <v/>
      </c>
      <c r="AL32" s="2" t="str" cm="1">
        <f t="array" ref="AL32">IF('NILAI CPL'!$B32&lt;&gt;"",IFERROR(_xlfn.IFS(O32&gt;=$B$3,4,O32&gt;=$B$4,3,O32&gt;=$B$5,2,O32&gt;$B$6,1),0),"")</f>
        <v/>
      </c>
      <c r="AM32" s="2" t="str" cm="1">
        <f t="array" ref="AM32">IF('NILAI CPL'!$B32&lt;&gt;"",IFERROR(_xlfn.IFS(P32&gt;=$B$3,4,P32&gt;=$B$4,3,P32&gt;=$B$5,2,P32&gt;$B$6,1),0),"")</f>
        <v/>
      </c>
      <c r="AN32" s="2" t="str" cm="1">
        <f t="array" ref="AN32">IF('NILAI CPL'!$B32&lt;&gt;"",IFERROR(_xlfn.IFS(Q32&gt;=$B$3,4,Q32&gt;=$B$4,3,Q32&gt;=$B$5,2,Q32&gt;$B$6,1),0),"")</f>
        <v/>
      </c>
      <c r="AO32" s="2" t="str" cm="1">
        <f t="array" ref="AO32">IF('NILAI CPL'!$B32&lt;&gt;"",IFERROR(_xlfn.IFS(R32&gt;=$B$3,4,R32&gt;=$B$4,3,R32&gt;=$B$5,2,R32&gt;$B$6,1),0),"")</f>
        <v/>
      </c>
      <c r="AP32" s="2" t="str" cm="1">
        <f t="array" ref="AP32">IF('NILAI CPL'!$B32&lt;&gt;"",IFERROR(_xlfn.IFS(S32&gt;=$B$3,4,S32&gt;=$B$4,3,S32&gt;=$B$5,2,S32&gt;$B$6,1),0),"")</f>
        <v/>
      </c>
      <c r="AQ32" s="2" t="str" cm="1">
        <f t="array" ref="AQ32">IF('NILAI CPL'!$B32&lt;&gt;"",IFERROR(_xlfn.IFS(T32&gt;=$B$3,4,T32&gt;=$B$4,3,T32&gt;=$B$5,2,T32&gt;$B$6,1),0),"")</f>
        <v/>
      </c>
      <c r="AR32" s="2" t="str" cm="1">
        <f t="array" ref="AR32">IF('NILAI CPL'!$B32&lt;&gt;"",IFERROR(_xlfn.IFS(U32&gt;=$B$3,4,U32&gt;=$B$4,3,U32&gt;=$B$5,2,U32&gt;$B$6,1),0),"")</f>
        <v/>
      </c>
      <c r="AS32" s="2" t="str" cm="1">
        <f t="array" ref="AS32">IF('NILAI CPL'!$B32&lt;&gt;"",IFERROR(_xlfn.IFS(V32&gt;=$B$3,4,V32&gt;=$B$4,3,V32&gt;=$B$5,2,V32&gt;$B$6,1),0),"")</f>
        <v/>
      </c>
      <c r="AT32" s="2" t="str" cm="1">
        <f t="array" ref="AT32">IF('NILAI CPL'!$B32&lt;&gt;"",IFERROR(_xlfn.IFS(W32&gt;=$B$3,4,W32&gt;=$B$4,3,W32&gt;=$B$5,2,W32&gt;$B$6,1),0),"")</f>
        <v/>
      </c>
      <c r="AU32" s="2" t="str" cm="1">
        <f t="array" ref="AU32">IF('NILAI CPL'!$B32&lt;&gt;"",IFERROR(_xlfn.IFS(X32&gt;=$B$3,4,X32&gt;=$B$4,3,X32&gt;=$B$5,2,X32&gt;$B$6,1),0),"")</f>
        <v/>
      </c>
      <c r="AV32" s="2" t="str" cm="1">
        <f t="array" ref="AV32">IF('NILAI CPL'!$B32&lt;&gt;"",IFERROR(_xlfn.IFS(Y32&gt;=$B$3,4,Y32&gt;=$B$4,3,Y32&gt;=$B$5,2,Y32&gt;$B$6,1),0),"")</f>
        <v/>
      </c>
      <c r="AW32" s="2" t="str" cm="1">
        <f t="array" ref="AW32">IF('NILAI CPL'!$B32&lt;&gt;"",IFERROR(_xlfn.IFS(Z32&gt;=$B$3,4,Z32&gt;=$B$4,3,Z32&gt;=$B$5,2,Z32&gt;$B$6,1),0),"")</f>
        <v/>
      </c>
      <c r="AY32" s="2" t="str">
        <f t="shared" si="0"/>
        <v/>
      </c>
      <c r="AZ32" s="2" t="str">
        <f t="shared" si="1"/>
        <v/>
      </c>
      <c r="BA32" s="2" t="str">
        <f t="shared" si="2"/>
        <v/>
      </c>
      <c r="BB32" s="2" t="str">
        <f t="shared" si="3"/>
        <v/>
      </c>
      <c r="BC32" s="2" t="str">
        <f t="shared" si="4"/>
        <v/>
      </c>
      <c r="BD32" s="2" t="str">
        <f t="shared" si="5"/>
        <v/>
      </c>
      <c r="BE32" s="2" t="str">
        <f t="shared" si="6"/>
        <v/>
      </c>
      <c r="BF32" s="2" t="str">
        <f t="shared" si="7"/>
        <v/>
      </c>
      <c r="BG32" s="2" t="str">
        <f t="shared" si="8"/>
        <v/>
      </c>
      <c r="BH32" s="2" t="str">
        <f t="shared" si="9"/>
        <v/>
      </c>
      <c r="BJ32" s="2" t="str" cm="1">
        <f t="array" ref="BJ32">IF('NILAI CPL'!$B32&lt;&gt;"",IFERROR(_xlfn.IFS(AY32&gt;=$B$3,4,AY32&gt;=$B$4,3,AY32&gt;=$B$5,2,AY32&gt;$B$6,1),0),"")</f>
        <v/>
      </c>
      <c r="BK32" s="2" t="str" cm="1">
        <f t="array" ref="BK32">IF('NILAI CPL'!$B32&lt;&gt;"",IFERROR(_xlfn.IFS(AZ32&gt;=$B$3,4,AZ32&gt;=$B$4,3,AZ32&gt;=$B$5,2,AZ32&gt;$B$6,1),0),"")</f>
        <v/>
      </c>
      <c r="BL32" s="2" t="str" cm="1">
        <f t="array" ref="BL32">IF('NILAI CPL'!$B32&lt;&gt;"",IFERROR(_xlfn.IFS(BA32&gt;=$B$3,4,BA32&gt;=$B$4,3,BA32&gt;=$B$5,2,BA32&gt;$B$6,1),0),"")</f>
        <v/>
      </c>
      <c r="BM32" s="2" t="str" cm="1">
        <f t="array" ref="BM32">IF('NILAI CPL'!$B32&lt;&gt;"",IFERROR(_xlfn.IFS(BB32&gt;=$B$3,4,BB32&gt;=$B$4,3,BB32&gt;=$B$5,2,BB32&gt;$B$6,1),0),"")</f>
        <v/>
      </c>
      <c r="BN32" s="2" t="str" cm="1">
        <f t="array" ref="BN32">IF('NILAI CPL'!$B32&lt;&gt;"",IFERROR(_xlfn.IFS(BC32&gt;=$B$3,4,BC32&gt;=$B$4,3,BC32&gt;=$B$5,2,BC32&gt;$B$6,1),0),"")</f>
        <v/>
      </c>
      <c r="BO32" s="2" t="str" cm="1">
        <f t="array" ref="BO32">IF('NILAI CPL'!$B32&lt;&gt;"",IFERROR(_xlfn.IFS(BD32&gt;=$B$3,4,BD32&gt;=$B$4,3,BD32&gt;=$B$5,2,BD32&gt;$B$6,1),0),"")</f>
        <v/>
      </c>
      <c r="BP32" s="2" t="str" cm="1">
        <f t="array" ref="BP32">IF('NILAI CPL'!$B32&lt;&gt;"",IFERROR(_xlfn.IFS(BE32&gt;=$B$3,4,BE32&gt;=$B$4,3,BE32&gt;=$B$5,2,BE32&gt;$B$6,1),0),"")</f>
        <v/>
      </c>
      <c r="BQ32" s="2" t="str" cm="1">
        <f t="array" ref="BQ32">IF('NILAI CPL'!$B32&lt;&gt;"",IFERROR(_xlfn.IFS(BF32&gt;=$B$3,4,BF32&gt;=$B$4,3,BF32&gt;=$B$5,2,BF32&gt;$B$6,1),0),"")</f>
        <v/>
      </c>
      <c r="BR32" s="2" t="str" cm="1">
        <f t="array" ref="BR32">IF('NILAI CPL'!$B32&lt;&gt;"",IFERROR(_xlfn.IFS(BG32&gt;=$B$3,4,BG32&gt;=$B$4,3,BG32&gt;=$B$5,2,BG32&gt;$B$6,1),0),"")</f>
        <v/>
      </c>
      <c r="BS32" s="2" t="str" cm="1">
        <f t="array" ref="BS32">IF('NILAI CPL'!$B32&lt;&gt;"",IFERROR(_xlfn.IFS(BH32&gt;=$B$3,4,BH32&gt;=$B$4,3,BH32&gt;=$B$5,2,BH32&gt;$B$6,1),0),"")</f>
        <v/>
      </c>
    </row>
    <row r="33" spans="1:71" x14ac:dyDescent="0.2">
      <c r="A33" s="2">
        <v>23</v>
      </c>
      <c r="B33" s="2" t="str">
        <f>IF(LEN(SUMMARY!B33)&gt;0, SUMMARY!B33, "")</f>
        <v/>
      </c>
      <c r="C33" s="2" t="str">
        <f>IF(LEN(SUMMARY!C33)&gt;0, SUMMARY!C33, "")</f>
        <v/>
      </c>
      <c r="E33" s="2" t="str" cm="1">
        <f t="array" ref="E33">IF('NILAI CPL'!$B33&lt;&gt;"",IFERROR(JumlahPI(ROW(),COLUMN()),0),"")</f>
        <v/>
      </c>
      <c r="F33" s="2" t="str" cm="1">
        <f t="array" ref="F33">IF('NILAI CPL'!$B33&lt;&gt;"",IFERROR(JumlahPI(ROW(),COLUMN()),0),"")</f>
        <v/>
      </c>
      <c r="G33" s="2" t="str" cm="1">
        <f t="array" ref="G33">IF('NILAI CPL'!$B33&lt;&gt;"",IFERROR(JumlahPI(ROW(),COLUMN()),0),"")</f>
        <v/>
      </c>
      <c r="H33" s="2" t="str" cm="1">
        <f t="array" ref="H33">IF('NILAI CPL'!$B33&lt;&gt;"",IFERROR(JumlahPI(ROW(),COLUMN()),0),"")</f>
        <v/>
      </c>
      <c r="I33" s="2" t="str" cm="1">
        <f t="array" ref="I33">IF('NILAI CPL'!$B33&lt;&gt;"",IFERROR(JumlahPI(ROW(),COLUMN()),0),"")</f>
        <v/>
      </c>
      <c r="J33" s="2" t="str" cm="1">
        <f t="array" ref="J33">IF('NILAI CPL'!$B33&lt;&gt;"",IFERROR(JumlahPI(ROW(),COLUMN()),0),"")</f>
        <v/>
      </c>
      <c r="K33" s="2" t="str" cm="1">
        <f t="array" ref="K33">IF('NILAI CPL'!$B33&lt;&gt;"",IFERROR(JumlahPI(ROW(),COLUMN()),0),"")</f>
        <v/>
      </c>
      <c r="L33" s="2" t="str" cm="1">
        <f t="array" ref="L33">IF('NILAI CPL'!$B33&lt;&gt;"",IFERROR(JumlahPI(ROW(),COLUMN()),0),"")</f>
        <v/>
      </c>
      <c r="M33" s="2" t="str" cm="1">
        <f t="array" ref="M33">IF('NILAI CPL'!$B33&lt;&gt;"",IFERROR(JumlahPI(ROW(),COLUMN()),0),"")</f>
        <v/>
      </c>
      <c r="N33" s="2" t="str" cm="1">
        <f t="array" ref="N33">IF('NILAI CPL'!$B33&lt;&gt;"",IFERROR(JumlahPI(ROW(),COLUMN()),0),"")</f>
        <v/>
      </c>
      <c r="O33" s="2" t="str" cm="1">
        <f t="array" ref="O33">IF('NILAI CPL'!$B33&lt;&gt;"",IFERROR(JumlahPI(ROW(),COLUMN()),0),"")</f>
        <v/>
      </c>
      <c r="P33" s="2" t="str" cm="1">
        <f t="array" ref="P33">IF('NILAI CPL'!$B33&lt;&gt;"",IFERROR(JumlahPI(ROW(),COLUMN()),0),"")</f>
        <v/>
      </c>
      <c r="Q33" s="2" t="str" cm="1">
        <f t="array" ref="Q33">IF('NILAI CPL'!$B33&lt;&gt;"",IFERROR(JumlahPI(ROW(),COLUMN()),0),"")</f>
        <v/>
      </c>
      <c r="R33" s="2" t="str" cm="1">
        <f t="array" ref="R33">IF('NILAI CPL'!$B33&lt;&gt;"",IFERROR(JumlahPI(ROW(),COLUMN()),0),"")</f>
        <v/>
      </c>
      <c r="S33" s="2" t="str" cm="1">
        <f t="array" ref="S33">IF('NILAI CPL'!$B33&lt;&gt;"",IFERROR(JumlahPI(ROW(),COLUMN()),0),"")</f>
        <v/>
      </c>
      <c r="T33" s="2" t="str" cm="1">
        <f t="array" ref="T33">IF('NILAI CPL'!$B33&lt;&gt;"",IFERROR(JumlahPI(ROW(),COLUMN()),0),"")</f>
        <v/>
      </c>
      <c r="U33" s="2" t="str" cm="1">
        <f t="array" ref="U33">IF('NILAI CPL'!$B33&lt;&gt;"",IFERROR(JumlahPI(ROW(),COLUMN()),0),"")</f>
        <v/>
      </c>
      <c r="V33" s="2" t="str" cm="1">
        <f t="array" ref="V33">IF('NILAI CPL'!$B33&lt;&gt;"",IFERROR(JumlahPI(ROW(),COLUMN()),0),"")</f>
        <v/>
      </c>
      <c r="W33" s="2" t="str" cm="1">
        <f t="array" ref="W33">IF('NILAI CPL'!$B33&lt;&gt;"",IFERROR(JumlahPI(ROW(),COLUMN()),0),"")</f>
        <v/>
      </c>
      <c r="X33" s="2" t="str" cm="1">
        <f t="array" ref="X33">IF('NILAI CPL'!$B33&lt;&gt;"",IFERROR(JumlahPI(ROW(),COLUMN()),0),"")</f>
        <v/>
      </c>
      <c r="Y33" s="2" t="str" cm="1">
        <f t="array" ref="Y33">IF('NILAI CPL'!$B33&lt;&gt;"",IFERROR(JumlahPI(ROW(),COLUMN()),0),"")</f>
        <v/>
      </c>
      <c r="Z33" s="2" t="str" cm="1">
        <f t="array" ref="Z33">IF('NILAI CPL'!$B33&lt;&gt;"",IFERROR(JumlahPI(ROW(),COLUMN()),0),"")</f>
        <v/>
      </c>
      <c r="AB33" s="2" t="str" cm="1">
        <f t="array" ref="AB33">IF('NILAI CPL'!$B33&lt;&gt;"",IFERROR(_xlfn.IFS(E33&gt;=$B$3,4,E33&gt;=$B$4,3,E33&gt;=$B$5,2,E33&gt;$B$6,1),0),"")</f>
        <v/>
      </c>
      <c r="AC33" s="2" t="str" cm="1">
        <f t="array" ref="AC33">IF('NILAI CPL'!$B33&lt;&gt;"",IFERROR(_xlfn.IFS(F33&gt;=$B$3,4,F33&gt;=$B$4,3,F33&gt;=$B$5,2,F33&gt;$B$6,1),0),"")</f>
        <v/>
      </c>
      <c r="AD33" s="2" t="str" cm="1">
        <f t="array" ref="AD33">IF('NILAI CPL'!$B33&lt;&gt;"",IFERROR(_xlfn.IFS(G33&gt;=$B$3,4,G33&gt;=$B$4,3,G33&gt;=$B$5,2,G33&gt;$B$6,1),0),"")</f>
        <v/>
      </c>
      <c r="AE33" s="2" t="str" cm="1">
        <f t="array" ref="AE33">IF('NILAI CPL'!$B33&lt;&gt;"",IFERROR(_xlfn.IFS(H33&gt;=$B$3,4,H33&gt;=$B$4,3,H33&gt;=$B$5,2,H33&gt;$B$6,1),0),"")</f>
        <v/>
      </c>
      <c r="AF33" s="2" t="str" cm="1">
        <f t="array" ref="AF33">IF('NILAI CPL'!$B33&lt;&gt;"",IFERROR(_xlfn.IFS(I33&gt;=$B$3,4,I33&gt;=$B$4,3,I33&gt;=$B$5,2,I33&gt;$B$6,1),0),"")</f>
        <v/>
      </c>
      <c r="AG33" s="2" t="str" cm="1">
        <f t="array" ref="AG33">IF('NILAI CPL'!$B33&lt;&gt;"",IFERROR(_xlfn.IFS(J33&gt;=$B$3,4,J33&gt;=$B$4,3,J33&gt;=$B$5,2,J33&gt;$B$6,1),0),"")</f>
        <v/>
      </c>
      <c r="AH33" s="2" t="str" cm="1">
        <f t="array" ref="AH33">IF('NILAI CPL'!$B33&lt;&gt;"",IFERROR(_xlfn.IFS(K33&gt;=$B$3,4,K33&gt;=$B$4,3,K33&gt;=$B$5,2,K33&gt;$B$6,1),0),"")</f>
        <v/>
      </c>
      <c r="AI33" s="2" t="str" cm="1">
        <f t="array" ref="AI33">IF('NILAI CPL'!$B33&lt;&gt;"",IFERROR(_xlfn.IFS(L33&gt;=$B$3,4,L33&gt;=$B$4,3,L33&gt;=$B$5,2,L33&gt;$B$6,1),0),"")</f>
        <v/>
      </c>
      <c r="AJ33" s="2" t="str" cm="1">
        <f t="array" ref="AJ33">IF('NILAI CPL'!$B33&lt;&gt;"",IFERROR(_xlfn.IFS(M33&gt;=$B$3,4,M33&gt;=$B$4,3,M33&gt;=$B$5,2,M33&gt;$B$6,1),0),"")</f>
        <v/>
      </c>
      <c r="AK33" s="2" t="str" cm="1">
        <f t="array" ref="AK33">IF('NILAI CPL'!$B33&lt;&gt;"",IFERROR(_xlfn.IFS(N33&gt;=$B$3,4,N33&gt;=$B$4,3,N33&gt;=$B$5,2,N33&gt;$B$6,1),0),"")</f>
        <v/>
      </c>
      <c r="AL33" s="2" t="str" cm="1">
        <f t="array" ref="AL33">IF('NILAI CPL'!$B33&lt;&gt;"",IFERROR(_xlfn.IFS(O33&gt;=$B$3,4,O33&gt;=$B$4,3,O33&gt;=$B$5,2,O33&gt;$B$6,1),0),"")</f>
        <v/>
      </c>
      <c r="AM33" s="2" t="str" cm="1">
        <f t="array" ref="AM33">IF('NILAI CPL'!$B33&lt;&gt;"",IFERROR(_xlfn.IFS(P33&gt;=$B$3,4,P33&gt;=$B$4,3,P33&gt;=$B$5,2,P33&gt;$B$6,1),0),"")</f>
        <v/>
      </c>
      <c r="AN33" s="2" t="str" cm="1">
        <f t="array" ref="AN33">IF('NILAI CPL'!$B33&lt;&gt;"",IFERROR(_xlfn.IFS(Q33&gt;=$B$3,4,Q33&gt;=$B$4,3,Q33&gt;=$B$5,2,Q33&gt;$B$6,1),0),"")</f>
        <v/>
      </c>
      <c r="AO33" s="2" t="str" cm="1">
        <f t="array" ref="AO33">IF('NILAI CPL'!$B33&lt;&gt;"",IFERROR(_xlfn.IFS(R33&gt;=$B$3,4,R33&gt;=$B$4,3,R33&gt;=$B$5,2,R33&gt;$B$6,1),0),"")</f>
        <v/>
      </c>
      <c r="AP33" s="2" t="str" cm="1">
        <f t="array" ref="AP33">IF('NILAI CPL'!$B33&lt;&gt;"",IFERROR(_xlfn.IFS(S33&gt;=$B$3,4,S33&gt;=$B$4,3,S33&gt;=$B$5,2,S33&gt;$B$6,1),0),"")</f>
        <v/>
      </c>
      <c r="AQ33" s="2" t="str" cm="1">
        <f t="array" ref="AQ33">IF('NILAI CPL'!$B33&lt;&gt;"",IFERROR(_xlfn.IFS(T33&gt;=$B$3,4,T33&gt;=$B$4,3,T33&gt;=$B$5,2,T33&gt;$B$6,1),0),"")</f>
        <v/>
      </c>
      <c r="AR33" s="2" t="str" cm="1">
        <f t="array" ref="AR33">IF('NILAI CPL'!$B33&lt;&gt;"",IFERROR(_xlfn.IFS(U33&gt;=$B$3,4,U33&gt;=$B$4,3,U33&gt;=$B$5,2,U33&gt;$B$6,1),0),"")</f>
        <v/>
      </c>
      <c r="AS33" s="2" t="str" cm="1">
        <f t="array" ref="AS33">IF('NILAI CPL'!$B33&lt;&gt;"",IFERROR(_xlfn.IFS(V33&gt;=$B$3,4,V33&gt;=$B$4,3,V33&gt;=$B$5,2,V33&gt;$B$6,1),0),"")</f>
        <v/>
      </c>
      <c r="AT33" s="2" t="str" cm="1">
        <f t="array" ref="AT33">IF('NILAI CPL'!$B33&lt;&gt;"",IFERROR(_xlfn.IFS(W33&gt;=$B$3,4,W33&gt;=$B$4,3,W33&gt;=$B$5,2,W33&gt;$B$6,1),0),"")</f>
        <v/>
      </c>
      <c r="AU33" s="2" t="str" cm="1">
        <f t="array" ref="AU33">IF('NILAI CPL'!$B33&lt;&gt;"",IFERROR(_xlfn.IFS(X33&gt;=$B$3,4,X33&gt;=$B$4,3,X33&gt;=$B$5,2,X33&gt;$B$6,1),0),"")</f>
        <v/>
      </c>
      <c r="AV33" s="2" t="str" cm="1">
        <f t="array" ref="AV33">IF('NILAI CPL'!$B33&lt;&gt;"",IFERROR(_xlfn.IFS(Y33&gt;=$B$3,4,Y33&gt;=$B$4,3,Y33&gt;=$B$5,2,Y33&gt;$B$6,1),0),"")</f>
        <v/>
      </c>
      <c r="AW33" s="2" t="str" cm="1">
        <f t="array" ref="AW33">IF('NILAI CPL'!$B33&lt;&gt;"",IFERROR(_xlfn.IFS(Z33&gt;=$B$3,4,Z33&gt;=$B$4,3,Z33&gt;=$B$5,2,Z33&gt;$B$6,1),0),"")</f>
        <v/>
      </c>
      <c r="AY33" s="2" t="str">
        <f t="shared" si="0"/>
        <v/>
      </c>
      <c r="AZ33" s="2" t="str">
        <f t="shared" si="1"/>
        <v/>
      </c>
      <c r="BA33" s="2" t="str">
        <f t="shared" si="2"/>
        <v/>
      </c>
      <c r="BB33" s="2" t="str">
        <f t="shared" si="3"/>
        <v/>
      </c>
      <c r="BC33" s="2" t="str">
        <f t="shared" si="4"/>
        <v/>
      </c>
      <c r="BD33" s="2" t="str">
        <f t="shared" si="5"/>
        <v/>
      </c>
      <c r="BE33" s="2" t="str">
        <f t="shared" si="6"/>
        <v/>
      </c>
      <c r="BF33" s="2" t="str">
        <f t="shared" si="7"/>
        <v/>
      </c>
      <c r="BG33" s="2" t="str">
        <f t="shared" si="8"/>
        <v/>
      </c>
      <c r="BH33" s="2" t="str">
        <f t="shared" si="9"/>
        <v/>
      </c>
      <c r="BJ33" s="2" t="str" cm="1">
        <f t="array" ref="BJ33">IF('NILAI CPL'!$B33&lt;&gt;"",IFERROR(_xlfn.IFS(AY33&gt;=$B$3,4,AY33&gt;=$B$4,3,AY33&gt;=$B$5,2,AY33&gt;$B$6,1),0),"")</f>
        <v/>
      </c>
      <c r="BK33" s="2" t="str" cm="1">
        <f t="array" ref="BK33">IF('NILAI CPL'!$B33&lt;&gt;"",IFERROR(_xlfn.IFS(AZ33&gt;=$B$3,4,AZ33&gt;=$B$4,3,AZ33&gt;=$B$5,2,AZ33&gt;$B$6,1),0),"")</f>
        <v/>
      </c>
      <c r="BL33" s="2" t="str" cm="1">
        <f t="array" ref="BL33">IF('NILAI CPL'!$B33&lt;&gt;"",IFERROR(_xlfn.IFS(BA33&gt;=$B$3,4,BA33&gt;=$B$4,3,BA33&gt;=$B$5,2,BA33&gt;$B$6,1),0),"")</f>
        <v/>
      </c>
      <c r="BM33" s="2" t="str" cm="1">
        <f t="array" ref="BM33">IF('NILAI CPL'!$B33&lt;&gt;"",IFERROR(_xlfn.IFS(BB33&gt;=$B$3,4,BB33&gt;=$B$4,3,BB33&gt;=$B$5,2,BB33&gt;$B$6,1),0),"")</f>
        <v/>
      </c>
      <c r="BN33" s="2" t="str" cm="1">
        <f t="array" ref="BN33">IF('NILAI CPL'!$B33&lt;&gt;"",IFERROR(_xlfn.IFS(BC33&gt;=$B$3,4,BC33&gt;=$B$4,3,BC33&gt;=$B$5,2,BC33&gt;$B$6,1),0),"")</f>
        <v/>
      </c>
      <c r="BO33" s="2" t="str" cm="1">
        <f t="array" ref="BO33">IF('NILAI CPL'!$B33&lt;&gt;"",IFERROR(_xlfn.IFS(BD33&gt;=$B$3,4,BD33&gt;=$B$4,3,BD33&gt;=$B$5,2,BD33&gt;$B$6,1),0),"")</f>
        <v/>
      </c>
      <c r="BP33" s="2" t="str" cm="1">
        <f t="array" ref="BP33">IF('NILAI CPL'!$B33&lt;&gt;"",IFERROR(_xlfn.IFS(BE33&gt;=$B$3,4,BE33&gt;=$B$4,3,BE33&gt;=$B$5,2,BE33&gt;$B$6,1),0),"")</f>
        <v/>
      </c>
      <c r="BQ33" s="2" t="str" cm="1">
        <f t="array" ref="BQ33">IF('NILAI CPL'!$B33&lt;&gt;"",IFERROR(_xlfn.IFS(BF33&gt;=$B$3,4,BF33&gt;=$B$4,3,BF33&gt;=$B$5,2,BF33&gt;$B$6,1),0),"")</f>
        <v/>
      </c>
      <c r="BR33" s="2" t="str" cm="1">
        <f t="array" ref="BR33">IF('NILAI CPL'!$B33&lt;&gt;"",IFERROR(_xlfn.IFS(BG33&gt;=$B$3,4,BG33&gt;=$B$4,3,BG33&gt;=$B$5,2,BG33&gt;$B$6,1),0),"")</f>
        <v/>
      </c>
      <c r="BS33" s="2" t="str" cm="1">
        <f t="array" ref="BS33">IF('NILAI CPL'!$B33&lt;&gt;"",IFERROR(_xlfn.IFS(BH33&gt;=$B$3,4,BH33&gt;=$B$4,3,BH33&gt;=$B$5,2,BH33&gt;$B$6,1),0),"")</f>
        <v/>
      </c>
    </row>
    <row r="34" spans="1:71" x14ac:dyDescent="0.2">
      <c r="A34" s="2">
        <v>24</v>
      </c>
      <c r="B34" s="2" t="str">
        <f>IF(LEN(SUMMARY!B34)&gt;0, SUMMARY!B34, "")</f>
        <v/>
      </c>
      <c r="C34" s="2" t="str">
        <f>IF(LEN(SUMMARY!C34)&gt;0, SUMMARY!C34, "")</f>
        <v/>
      </c>
      <c r="E34" s="2" t="str" cm="1">
        <f t="array" ref="E34">IF('NILAI CPL'!$B34&lt;&gt;"",IFERROR(JumlahPI(ROW(),COLUMN()),0),"")</f>
        <v/>
      </c>
      <c r="F34" s="2" t="str" cm="1">
        <f t="array" ref="F34">IF('NILAI CPL'!$B34&lt;&gt;"",IFERROR(JumlahPI(ROW(),COLUMN()),0),"")</f>
        <v/>
      </c>
      <c r="G34" s="2" t="str" cm="1">
        <f t="array" ref="G34">IF('NILAI CPL'!$B34&lt;&gt;"",IFERROR(JumlahPI(ROW(),COLUMN()),0),"")</f>
        <v/>
      </c>
      <c r="H34" s="2" t="str" cm="1">
        <f t="array" ref="H34">IF('NILAI CPL'!$B34&lt;&gt;"",IFERROR(JumlahPI(ROW(),COLUMN()),0),"")</f>
        <v/>
      </c>
      <c r="I34" s="2" t="str" cm="1">
        <f t="array" ref="I34">IF('NILAI CPL'!$B34&lt;&gt;"",IFERROR(JumlahPI(ROW(),COLUMN()),0),"")</f>
        <v/>
      </c>
      <c r="J34" s="2" t="str" cm="1">
        <f t="array" ref="J34">IF('NILAI CPL'!$B34&lt;&gt;"",IFERROR(JumlahPI(ROW(),COLUMN()),0),"")</f>
        <v/>
      </c>
      <c r="K34" s="2" t="str" cm="1">
        <f t="array" ref="K34">IF('NILAI CPL'!$B34&lt;&gt;"",IFERROR(JumlahPI(ROW(),COLUMN()),0),"")</f>
        <v/>
      </c>
      <c r="L34" s="2" t="str" cm="1">
        <f t="array" ref="L34">IF('NILAI CPL'!$B34&lt;&gt;"",IFERROR(JumlahPI(ROW(),COLUMN()),0),"")</f>
        <v/>
      </c>
      <c r="M34" s="2" t="str" cm="1">
        <f t="array" ref="M34">IF('NILAI CPL'!$B34&lt;&gt;"",IFERROR(JumlahPI(ROW(),COLUMN()),0),"")</f>
        <v/>
      </c>
      <c r="N34" s="2" t="str" cm="1">
        <f t="array" ref="N34">IF('NILAI CPL'!$B34&lt;&gt;"",IFERROR(JumlahPI(ROW(),COLUMN()),0),"")</f>
        <v/>
      </c>
      <c r="O34" s="2" t="str" cm="1">
        <f t="array" ref="O34">IF('NILAI CPL'!$B34&lt;&gt;"",IFERROR(JumlahPI(ROW(),COLUMN()),0),"")</f>
        <v/>
      </c>
      <c r="P34" s="2" t="str" cm="1">
        <f t="array" ref="P34">IF('NILAI CPL'!$B34&lt;&gt;"",IFERROR(JumlahPI(ROW(),COLUMN()),0),"")</f>
        <v/>
      </c>
      <c r="Q34" s="2" t="str" cm="1">
        <f t="array" ref="Q34">IF('NILAI CPL'!$B34&lt;&gt;"",IFERROR(JumlahPI(ROW(),COLUMN()),0),"")</f>
        <v/>
      </c>
      <c r="R34" s="2" t="str" cm="1">
        <f t="array" ref="R34">IF('NILAI CPL'!$B34&lt;&gt;"",IFERROR(JumlahPI(ROW(),COLUMN()),0),"")</f>
        <v/>
      </c>
      <c r="S34" s="2" t="str" cm="1">
        <f t="array" ref="S34">IF('NILAI CPL'!$B34&lt;&gt;"",IFERROR(JumlahPI(ROW(),COLUMN()),0),"")</f>
        <v/>
      </c>
      <c r="T34" s="2" t="str" cm="1">
        <f t="array" ref="T34">IF('NILAI CPL'!$B34&lt;&gt;"",IFERROR(JumlahPI(ROW(),COLUMN()),0),"")</f>
        <v/>
      </c>
      <c r="U34" s="2" t="str" cm="1">
        <f t="array" ref="U34">IF('NILAI CPL'!$B34&lt;&gt;"",IFERROR(JumlahPI(ROW(),COLUMN()),0),"")</f>
        <v/>
      </c>
      <c r="V34" s="2" t="str" cm="1">
        <f t="array" ref="V34">IF('NILAI CPL'!$B34&lt;&gt;"",IFERROR(JumlahPI(ROW(),COLUMN()),0),"")</f>
        <v/>
      </c>
      <c r="W34" s="2" t="str" cm="1">
        <f t="array" ref="W34">IF('NILAI CPL'!$B34&lt;&gt;"",IFERROR(JumlahPI(ROW(),COLUMN()),0),"")</f>
        <v/>
      </c>
      <c r="X34" s="2" t="str" cm="1">
        <f t="array" ref="X34">IF('NILAI CPL'!$B34&lt;&gt;"",IFERROR(JumlahPI(ROW(),COLUMN()),0),"")</f>
        <v/>
      </c>
      <c r="Y34" s="2" t="str" cm="1">
        <f t="array" ref="Y34">IF('NILAI CPL'!$B34&lt;&gt;"",IFERROR(JumlahPI(ROW(),COLUMN()),0),"")</f>
        <v/>
      </c>
      <c r="Z34" s="2" t="str" cm="1">
        <f t="array" ref="Z34">IF('NILAI CPL'!$B34&lt;&gt;"",IFERROR(JumlahPI(ROW(),COLUMN()),0),"")</f>
        <v/>
      </c>
      <c r="AB34" s="2" t="str" cm="1">
        <f t="array" ref="AB34">IF('NILAI CPL'!$B34&lt;&gt;"",IFERROR(_xlfn.IFS(E34&gt;=$B$3,4,E34&gt;=$B$4,3,E34&gt;=$B$5,2,E34&gt;$B$6,1),0),"")</f>
        <v/>
      </c>
      <c r="AC34" s="2" t="str" cm="1">
        <f t="array" ref="AC34">IF('NILAI CPL'!$B34&lt;&gt;"",IFERROR(_xlfn.IFS(F34&gt;=$B$3,4,F34&gt;=$B$4,3,F34&gt;=$B$5,2,F34&gt;$B$6,1),0),"")</f>
        <v/>
      </c>
      <c r="AD34" s="2" t="str" cm="1">
        <f t="array" ref="AD34">IF('NILAI CPL'!$B34&lt;&gt;"",IFERROR(_xlfn.IFS(G34&gt;=$B$3,4,G34&gt;=$B$4,3,G34&gt;=$B$5,2,G34&gt;$B$6,1),0),"")</f>
        <v/>
      </c>
      <c r="AE34" s="2" t="str" cm="1">
        <f t="array" ref="AE34">IF('NILAI CPL'!$B34&lt;&gt;"",IFERROR(_xlfn.IFS(H34&gt;=$B$3,4,H34&gt;=$B$4,3,H34&gt;=$B$5,2,H34&gt;$B$6,1),0),"")</f>
        <v/>
      </c>
      <c r="AF34" s="2" t="str" cm="1">
        <f t="array" ref="AF34">IF('NILAI CPL'!$B34&lt;&gt;"",IFERROR(_xlfn.IFS(I34&gt;=$B$3,4,I34&gt;=$B$4,3,I34&gt;=$B$5,2,I34&gt;$B$6,1),0),"")</f>
        <v/>
      </c>
      <c r="AG34" s="2" t="str" cm="1">
        <f t="array" ref="AG34">IF('NILAI CPL'!$B34&lt;&gt;"",IFERROR(_xlfn.IFS(J34&gt;=$B$3,4,J34&gt;=$B$4,3,J34&gt;=$B$5,2,J34&gt;$B$6,1),0),"")</f>
        <v/>
      </c>
      <c r="AH34" s="2" t="str" cm="1">
        <f t="array" ref="AH34">IF('NILAI CPL'!$B34&lt;&gt;"",IFERROR(_xlfn.IFS(K34&gt;=$B$3,4,K34&gt;=$B$4,3,K34&gt;=$B$5,2,K34&gt;$B$6,1),0),"")</f>
        <v/>
      </c>
      <c r="AI34" s="2" t="str" cm="1">
        <f t="array" ref="AI34">IF('NILAI CPL'!$B34&lt;&gt;"",IFERROR(_xlfn.IFS(L34&gt;=$B$3,4,L34&gt;=$B$4,3,L34&gt;=$B$5,2,L34&gt;$B$6,1),0),"")</f>
        <v/>
      </c>
      <c r="AJ34" s="2" t="str" cm="1">
        <f t="array" ref="AJ34">IF('NILAI CPL'!$B34&lt;&gt;"",IFERROR(_xlfn.IFS(M34&gt;=$B$3,4,M34&gt;=$B$4,3,M34&gt;=$B$5,2,M34&gt;$B$6,1),0),"")</f>
        <v/>
      </c>
      <c r="AK34" s="2" t="str" cm="1">
        <f t="array" ref="AK34">IF('NILAI CPL'!$B34&lt;&gt;"",IFERROR(_xlfn.IFS(N34&gt;=$B$3,4,N34&gt;=$B$4,3,N34&gt;=$B$5,2,N34&gt;$B$6,1),0),"")</f>
        <v/>
      </c>
      <c r="AL34" s="2" t="str" cm="1">
        <f t="array" ref="AL34">IF('NILAI CPL'!$B34&lt;&gt;"",IFERROR(_xlfn.IFS(O34&gt;=$B$3,4,O34&gt;=$B$4,3,O34&gt;=$B$5,2,O34&gt;$B$6,1),0),"")</f>
        <v/>
      </c>
      <c r="AM34" s="2" t="str" cm="1">
        <f t="array" ref="AM34">IF('NILAI CPL'!$B34&lt;&gt;"",IFERROR(_xlfn.IFS(P34&gt;=$B$3,4,P34&gt;=$B$4,3,P34&gt;=$B$5,2,P34&gt;$B$6,1),0),"")</f>
        <v/>
      </c>
      <c r="AN34" s="2" t="str" cm="1">
        <f t="array" ref="AN34">IF('NILAI CPL'!$B34&lt;&gt;"",IFERROR(_xlfn.IFS(Q34&gt;=$B$3,4,Q34&gt;=$B$4,3,Q34&gt;=$B$5,2,Q34&gt;$B$6,1),0),"")</f>
        <v/>
      </c>
      <c r="AO34" s="2" t="str" cm="1">
        <f t="array" ref="AO34">IF('NILAI CPL'!$B34&lt;&gt;"",IFERROR(_xlfn.IFS(R34&gt;=$B$3,4,R34&gt;=$B$4,3,R34&gt;=$B$5,2,R34&gt;$B$6,1),0),"")</f>
        <v/>
      </c>
      <c r="AP34" s="2" t="str" cm="1">
        <f t="array" ref="AP34">IF('NILAI CPL'!$B34&lt;&gt;"",IFERROR(_xlfn.IFS(S34&gt;=$B$3,4,S34&gt;=$B$4,3,S34&gt;=$B$5,2,S34&gt;$B$6,1),0),"")</f>
        <v/>
      </c>
      <c r="AQ34" s="2" t="str" cm="1">
        <f t="array" ref="AQ34">IF('NILAI CPL'!$B34&lt;&gt;"",IFERROR(_xlfn.IFS(T34&gt;=$B$3,4,T34&gt;=$B$4,3,T34&gt;=$B$5,2,T34&gt;$B$6,1),0),"")</f>
        <v/>
      </c>
      <c r="AR34" s="2" t="str" cm="1">
        <f t="array" ref="AR34">IF('NILAI CPL'!$B34&lt;&gt;"",IFERROR(_xlfn.IFS(U34&gt;=$B$3,4,U34&gt;=$B$4,3,U34&gt;=$B$5,2,U34&gt;$B$6,1),0),"")</f>
        <v/>
      </c>
      <c r="AS34" s="2" t="str" cm="1">
        <f t="array" ref="AS34">IF('NILAI CPL'!$B34&lt;&gt;"",IFERROR(_xlfn.IFS(V34&gt;=$B$3,4,V34&gt;=$B$4,3,V34&gt;=$B$5,2,V34&gt;$B$6,1),0),"")</f>
        <v/>
      </c>
      <c r="AT34" s="2" t="str" cm="1">
        <f t="array" ref="AT34">IF('NILAI CPL'!$B34&lt;&gt;"",IFERROR(_xlfn.IFS(W34&gt;=$B$3,4,W34&gt;=$B$4,3,W34&gt;=$B$5,2,W34&gt;$B$6,1),0),"")</f>
        <v/>
      </c>
      <c r="AU34" s="2" t="str" cm="1">
        <f t="array" ref="AU34">IF('NILAI CPL'!$B34&lt;&gt;"",IFERROR(_xlfn.IFS(X34&gt;=$B$3,4,X34&gt;=$B$4,3,X34&gt;=$B$5,2,X34&gt;$B$6,1),0),"")</f>
        <v/>
      </c>
      <c r="AV34" s="2" t="str" cm="1">
        <f t="array" ref="AV34">IF('NILAI CPL'!$B34&lt;&gt;"",IFERROR(_xlfn.IFS(Y34&gt;=$B$3,4,Y34&gt;=$B$4,3,Y34&gt;=$B$5,2,Y34&gt;$B$6,1),0),"")</f>
        <v/>
      </c>
      <c r="AW34" s="2" t="str" cm="1">
        <f t="array" ref="AW34">IF('NILAI CPL'!$B34&lt;&gt;"",IFERROR(_xlfn.IFS(Z34&gt;=$B$3,4,Z34&gt;=$B$4,3,Z34&gt;=$B$5,2,Z34&gt;$B$6,1),0),"")</f>
        <v/>
      </c>
      <c r="AY34" s="2" t="str">
        <f t="shared" si="0"/>
        <v/>
      </c>
      <c r="AZ34" s="2" t="str">
        <f t="shared" si="1"/>
        <v/>
      </c>
      <c r="BA34" s="2" t="str">
        <f t="shared" si="2"/>
        <v/>
      </c>
      <c r="BB34" s="2" t="str">
        <f t="shared" si="3"/>
        <v/>
      </c>
      <c r="BC34" s="2" t="str">
        <f t="shared" si="4"/>
        <v/>
      </c>
      <c r="BD34" s="2" t="str">
        <f t="shared" si="5"/>
        <v/>
      </c>
      <c r="BE34" s="2" t="str">
        <f t="shared" si="6"/>
        <v/>
      </c>
      <c r="BF34" s="2" t="str">
        <f t="shared" si="7"/>
        <v/>
      </c>
      <c r="BG34" s="2" t="str">
        <f t="shared" si="8"/>
        <v/>
      </c>
      <c r="BH34" s="2" t="str">
        <f t="shared" si="9"/>
        <v/>
      </c>
      <c r="BJ34" s="2" t="str" cm="1">
        <f t="array" ref="BJ34">IF('NILAI CPL'!$B34&lt;&gt;"",IFERROR(_xlfn.IFS(AY34&gt;=$B$3,4,AY34&gt;=$B$4,3,AY34&gt;=$B$5,2,AY34&gt;$B$6,1),0),"")</f>
        <v/>
      </c>
      <c r="BK34" s="2" t="str" cm="1">
        <f t="array" ref="BK34">IF('NILAI CPL'!$B34&lt;&gt;"",IFERROR(_xlfn.IFS(AZ34&gt;=$B$3,4,AZ34&gt;=$B$4,3,AZ34&gt;=$B$5,2,AZ34&gt;$B$6,1),0),"")</f>
        <v/>
      </c>
      <c r="BL34" s="2" t="str" cm="1">
        <f t="array" ref="BL34">IF('NILAI CPL'!$B34&lt;&gt;"",IFERROR(_xlfn.IFS(BA34&gt;=$B$3,4,BA34&gt;=$B$4,3,BA34&gt;=$B$5,2,BA34&gt;$B$6,1),0),"")</f>
        <v/>
      </c>
      <c r="BM34" s="2" t="str" cm="1">
        <f t="array" ref="BM34">IF('NILAI CPL'!$B34&lt;&gt;"",IFERROR(_xlfn.IFS(BB34&gt;=$B$3,4,BB34&gt;=$B$4,3,BB34&gt;=$B$5,2,BB34&gt;$B$6,1),0),"")</f>
        <v/>
      </c>
      <c r="BN34" s="2" t="str" cm="1">
        <f t="array" ref="BN34">IF('NILAI CPL'!$B34&lt;&gt;"",IFERROR(_xlfn.IFS(BC34&gt;=$B$3,4,BC34&gt;=$B$4,3,BC34&gt;=$B$5,2,BC34&gt;$B$6,1),0),"")</f>
        <v/>
      </c>
      <c r="BO34" s="2" t="str" cm="1">
        <f t="array" ref="BO34">IF('NILAI CPL'!$B34&lt;&gt;"",IFERROR(_xlfn.IFS(BD34&gt;=$B$3,4,BD34&gt;=$B$4,3,BD34&gt;=$B$5,2,BD34&gt;$B$6,1),0),"")</f>
        <v/>
      </c>
      <c r="BP34" s="2" t="str" cm="1">
        <f t="array" ref="BP34">IF('NILAI CPL'!$B34&lt;&gt;"",IFERROR(_xlfn.IFS(BE34&gt;=$B$3,4,BE34&gt;=$B$4,3,BE34&gt;=$B$5,2,BE34&gt;$B$6,1),0),"")</f>
        <v/>
      </c>
      <c r="BQ34" s="2" t="str" cm="1">
        <f t="array" ref="BQ34">IF('NILAI CPL'!$B34&lt;&gt;"",IFERROR(_xlfn.IFS(BF34&gt;=$B$3,4,BF34&gt;=$B$4,3,BF34&gt;=$B$5,2,BF34&gt;$B$6,1),0),"")</f>
        <v/>
      </c>
      <c r="BR34" s="2" t="str" cm="1">
        <f t="array" ref="BR34">IF('NILAI CPL'!$B34&lt;&gt;"",IFERROR(_xlfn.IFS(BG34&gt;=$B$3,4,BG34&gt;=$B$4,3,BG34&gt;=$B$5,2,BG34&gt;$B$6,1),0),"")</f>
        <v/>
      </c>
      <c r="BS34" s="2" t="str" cm="1">
        <f t="array" ref="BS34">IF('NILAI CPL'!$B34&lt;&gt;"",IFERROR(_xlfn.IFS(BH34&gt;=$B$3,4,BH34&gt;=$B$4,3,BH34&gt;=$B$5,2,BH34&gt;$B$6,1),0),"")</f>
        <v/>
      </c>
    </row>
    <row r="35" spans="1:71" x14ac:dyDescent="0.2">
      <c r="A35" s="2">
        <v>25</v>
      </c>
      <c r="B35" s="2" t="str">
        <f>IF(LEN(SUMMARY!B35)&gt;0, SUMMARY!B35, "")</f>
        <v/>
      </c>
      <c r="C35" s="2" t="str">
        <f>IF(LEN(SUMMARY!C35)&gt;0, SUMMARY!C35, "")</f>
        <v/>
      </c>
      <c r="E35" s="2" t="str" cm="1">
        <f t="array" ref="E35">IF('NILAI CPL'!$B35&lt;&gt;"",IFERROR(JumlahPI(ROW(),COLUMN()),0),"")</f>
        <v/>
      </c>
      <c r="F35" s="2" t="str" cm="1">
        <f t="array" ref="F35">IF('NILAI CPL'!$B35&lt;&gt;"",IFERROR(JumlahPI(ROW(),COLUMN()),0),"")</f>
        <v/>
      </c>
      <c r="G35" s="2" t="str" cm="1">
        <f t="array" ref="G35">IF('NILAI CPL'!$B35&lt;&gt;"",IFERROR(JumlahPI(ROW(),COLUMN()),0),"")</f>
        <v/>
      </c>
      <c r="H35" s="2" t="str" cm="1">
        <f t="array" ref="H35">IF('NILAI CPL'!$B35&lt;&gt;"",IFERROR(JumlahPI(ROW(),COLUMN()),0),"")</f>
        <v/>
      </c>
      <c r="I35" s="2" t="str" cm="1">
        <f t="array" ref="I35">IF('NILAI CPL'!$B35&lt;&gt;"",IFERROR(JumlahPI(ROW(),COLUMN()),0),"")</f>
        <v/>
      </c>
      <c r="J35" s="2" t="str" cm="1">
        <f t="array" ref="J35">IF('NILAI CPL'!$B35&lt;&gt;"",IFERROR(JumlahPI(ROW(),COLUMN()),0),"")</f>
        <v/>
      </c>
      <c r="K35" s="2" t="str" cm="1">
        <f t="array" ref="K35">IF('NILAI CPL'!$B35&lt;&gt;"",IFERROR(JumlahPI(ROW(),COLUMN()),0),"")</f>
        <v/>
      </c>
      <c r="L35" s="2" t="str" cm="1">
        <f t="array" ref="L35">IF('NILAI CPL'!$B35&lt;&gt;"",IFERROR(JumlahPI(ROW(),COLUMN()),0),"")</f>
        <v/>
      </c>
      <c r="M35" s="2" t="str" cm="1">
        <f t="array" ref="M35">IF('NILAI CPL'!$B35&lt;&gt;"",IFERROR(JumlahPI(ROW(),COLUMN()),0),"")</f>
        <v/>
      </c>
      <c r="N35" s="2" t="str" cm="1">
        <f t="array" ref="N35">IF('NILAI CPL'!$B35&lt;&gt;"",IFERROR(JumlahPI(ROW(),COLUMN()),0),"")</f>
        <v/>
      </c>
      <c r="O35" s="2" t="str" cm="1">
        <f t="array" ref="O35">IF('NILAI CPL'!$B35&lt;&gt;"",IFERROR(JumlahPI(ROW(),COLUMN()),0),"")</f>
        <v/>
      </c>
      <c r="P35" s="2" t="str" cm="1">
        <f t="array" ref="P35">IF('NILAI CPL'!$B35&lt;&gt;"",IFERROR(JumlahPI(ROW(),COLUMN()),0),"")</f>
        <v/>
      </c>
      <c r="Q35" s="2" t="str" cm="1">
        <f t="array" ref="Q35">IF('NILAI CPL'!$B35&lt;&gt;"",IFERROR(JumlahPI(ROW(),COLUMN()),0),"")</f>
        <v/>
      </c>
      <c r="R35" s="2" t="str" cm="1">
        <f t="array" ref="R35">IF('NILAI CPL'!$B35&lt;&gt;"",IFERROR(JumlahPI(ROW(),COLUMN()),0),"")</f>
        <v/>
      </c>
      <c r="S35" s="2" t="str" cm="1">
        <f t="array" ref="S35">IF('NILAI CPL'!$B35&lt;&gt;"",IFERROR(JumlahPI(ROW(),COLUMN()),0),"")</f>
        <v/>
      </c>
      <c r="T35" s="2" t="str" cm="1">
        <f t="array" ref="T35">IF('NILAI CPL'!$B35&lt;&gt;"",IFERROR(JumlahPI(ROW(),COLUMN()),0),"")</f>
        <v/>
      </c>
      <c r="U35" s="2" t="str" cm="1">
        <f t="array" ref="U35">IF('NILAI CPL'!$B35&lt;&gt;"",IFERROR(JumlahPI(ROW(),COLUMN()),0),"")</f>
        <v/>
      </c>
      <c r="V35" s="2" t="str" cm="1">
        <f t="array" ref="V35">IF('NILAI CPL'!$B35&lt;&gt;"",IFERROR(JumlahPI(ROW(),COLUMN()),0),"")</f>
        <v/>
      </c>
      <c r="W35" s="2" t="str" cm="1">
        <f t="array" ref="W35">IF('NILAI CPL'!$B35&lt;&gt;"",IFERROR(JumlahPI(ROW(),COLUMN()),0),"")</f>
        <v/>
      </c>
      <c r="X35" s="2" t="str" cm="1">
        <f t="array" ref="X35">IF('NILAI CPL'!$B35&lt;&gt;"",IFERROR(JumlahPI(ROW(),COLUMN()),0),"")</f>
        <v/>
      </c>
      <c r="Y35" s="2" t="str" cm="1">
        <f t="array" ref="Y35">IF('NILAI CPL'!$B35&lt;&gt;"",IFERROR(JumlahPI(ROW(),COLUMN()),0),"")</f>
        <v/>
      </c>
      <c r="Z35" s="2" t="str" cm="1">
        <f t="array" ref="Z35">IF('NILAI CPL'!$B35&lt;&gt;"",IFERROR(JumlahPI(ROW(),COLUMN()),0),"")</f>
        <v/>
      </c>
      <c r="AB35" s="2" t="str" cm="1">
        <f t="array" ref="AB35">IF('NILAI CPL'!$B35&lt;&gt;"",IFERROR(_xlfn.IFS(E35&gt;=$B$3,4,E35&gt;=$B$4,3,E35&gt;=$B$5,2,E35&gt;$B$6,1),0),"")</f>
        <v/>
      </c>
      <c r="AC35" s="2" t="str" cm="1">
        <f t="array" ref="AC35">IF('NILAI CPL'!$B35&lt;&gt;"",IFERROR(_xlfn.IFS(F35&gt;=$B$3,4,F35&gt;=$B$4,3,F35&gt;=$B$5,2,F35&gt;$B$6,1),0),"")</f>
        <v/>
      </c>
      <c r="AD35" s="2" t="str" cm="1">
        <f t="array" ref="AD35">IF('NILAI CPL'!$B35&lt;&gt;"",IFERROR(_xlfn.IFS(G35&gt;=$B$3,4,G35&gt;=$B$4,3,G35&gt;=$B$5,2,G35&gt;$B$6,1),0),"")</f>
        <v/>
      </c>
      <c r="AE35" s="2" t="str" cm="1">
        <f t="array" ref="AE35">IF('NILAI CPL'!$B35&lt;&gt;"",IFERROR(_xlfn.IFS(H35&gt;=$B$3,4,H35&gt;=$B$4,3,H35&gt;=$B$5,2,H35&gt;$B$6,1),0),"")</f>
        <v/>
      </c>
      <c r="AF35" s="2" t="str" cm="1">
        <f t="array" ref="AF35">IF('NILAI CPL'!$B35&lt;&gt;"",IFERROR(_xlfn.IFS(I35&gt;=$B$3,4,I35&gt;=$B$4,3,I35&gt;=$B$5,2,I35&gt;$B$6,1),0),"")</f>
        <v/>
      </c>
      <c r="AG35" s="2" t="str" cm="1">
        <f t="array" ref="AG35">IF('NILAI CPL'!$B35&lt;&gt;"",IFERROR(_xlfn.IFS(J35&gt;=$B$3,4,J35&gt;=$B$4,3,J35&gt;=$B$5,2,J35&gt;$B$6,1),0),"")</f>
        <v/>
      </c>
      <c r="AH35" s="2" t="str" cm="1">
        <f t="array" ref="AH35">IF('NILAI CPL'!$B35&lt;&gt;"",IFERROR(_xlfn.IFS(K35&gt;=$B$3,4,K35&gt;=$B$4,3,K35&gt;=$B$5,2,K35&gt;$B$6,1),0),"")</f>
        <v/>
      </c>
      <c r="AI35" s="2" t="str" cm="1">
        <f t="array" ref="AI35">IF('NILAI CPL'!$B35&lt;&gt;"",IFERROR(_xlfn.IFS(L35&gt;=$B$3,4,L35&gt;=$B$4,3,L35&gt;=$B$5,2,L35&gt;$B$6,1),0),"")</f>
        <v/>
      </c>
      <c r="AJ35" s="2" t="str" cm="1">
        <f t="array" ref="AJ35">IF('NILAI CPL'!$B35&lt;&gt;"",IFERROR(_xlfn.IFS(M35&gt;=$B$3,4,M35&gt;=$B$4,3,M35&gt;=$B$5,2,M35&gt;$B$6,1),0),"")</f>
        <v/>
      </c>
      <c r="AK35" s="2" t="str" cm="1">
        <f t="array" ref="AK35">IF('NILAI CPL'!$B35&lt;&gt;"",IFERROR(_xlfn.IFS(N35&gt;=$B$3,4,N35&gt;=$B$4,3,N35&gt;=$B$5,2,N35&gt;$B$6,1),0),"")</f>
        <v/>
      </c>
      <c r="AL35" s="2" t="str" cm="1">
        <f t="array" ref="AL35">IF('NILAI CPL'!$B35&lt;&gt;"",IFERROR(_xlfn.IFS(O35&gt;=$B$3,4,O35&gt;=$B$4,3,O35&gt;=$B$5,2,O35&gt;$B$6,1),0),"")</f>
        <v/>
      </c>
      <c r="AM35" s="2" t="str" cm="1">
        <f t="array" ref="AM35">IF('NILAI CPL'!$B35&lt;&gt;"",IFERROR(_xlfn.IFS(P35&gt;=$B$3,4,P35&gt;=$B$4,3,P35&gt;=$B$5,2,P35&gt;$B$6,1),0),"")</f>
        <v/>
      </c>
      <c r="AN35" s="2" t="str" cm="1">
        <f t="array" ref="AN35">IF('NILAI CPL'!$B35&lt;&gt;"",IFERROR(_xlfn.IFS(Q35&gt;=$B$3,4,Q35&gt;=$B$4,3,Q35&gt;=$B$5,2,Q35&gt;$B$6,1),0),"")</f>
        <v/>
      </c>
      <c r="AO35" s="2" t="str" cm="1">
        <f t="array" ref="AO35">IF('NILAI CPL'!$B35&lt;&gt;"",IFERROR(_xlfn.IFS(R35&gt;=$B$3,4,R35&gt;=$B$4,3,R35&gt;=$B$5,2,R35&gt;$B$6,1),0),"")</f>
        <v/>
      </c>
      <c r="AP35" s="2" t="str" cm="1">
        <f t="array" ref="AP35">IF('NILAI CPL'!$B35&lt;&gt;"",IFERROR(_xlfn.IFS(S35&gt;=$B$3,4,S35&gt;=$B$4,3,S35&gt;=$B$5,2,S35&gt;$B$6,1),0),"")</f>
        <v/>
      </c>
      <c r="AQ35" s="2" t="str" cm="1">
        <f t="array" ref="AQ35">IF('NILAI CPL'!$B35&lt;&gt;"",IFERROR(_xlfn.IFS(T35&gt;=$B$3,4,T35&gt;=$B$4,3,T35&gt;=$B$5,2,T35&gt;$B$6,1),0),"")</f>
        <v/>
      </c>
      <c r="AR35" s="2" t="str" cm="1">
        <f t="array" ref="AR35">IF('NILAI CPL'!$B35&lt;&gt;"",IFERROR(_xlfn.IFS(U35&gt;=$B$3,4,U35&gt;=$B$4,3,U35&gt;=$B$5,2,U35&gt;$B$6,1),0),"")</f>
        <v/>
      </c>
      <c r="AS35" s="2" t="str" cm="1">
        <f t="array" ref="AS35">IF('NILAI CPL'!$B35&lt;&gt;"",IFERROR(_xlfn.IFS(V35&gt;=$B$3,4,V35&gt;=$B$4,3,V35&gt;=$B$5,2,V35&gt;$B$6,1),0),"")</f>
        <v/>
      </c>
      <c r="AT35" s="2" t="str" cm="1">
        <f t="array" ref="AT35">IF('NILAI CPL'!$B35&lt;&gt;"",IFERROR(_xlfn.IFS(W35&gt;=$B$3,4,W35&gt;=$B$4,3,W35&gt;=$B$5,2,W35&gt;$B$6,1),0),"")</f>
        <v/>
      </c>
      <c r="AU35" s="2" t="str" cm="1">
        <f t="array" ref="AU35">IF('NILAI CPL'!$B35&lt;&gt;"",IFERROR(_xlfn.IFS(X35&gt;=$B$3,4,X35&gt;=$B$4,3,X35&gt;=$B$5,2,X35&gt;$B$6,1),0),"")</f>
        <v/>
      </c>
      <c r="AV35" s="2" t="str" cm="1">
        <f t="array" ref="AV35">IF('NILAI CPL'!$B35&lt;&gt;"",IFERROR(_xlfn.IFS(Y35&gt;=$B$3,4,Y35&gt;=$B$4,3,Y35&gt;=$B$5,2,Y35&gt;$B$6,1),0),"")</f>
        <v/>
      </c>
      <c r="AW35" s="2" t="str" cm="1">
        <f t="array" ref="AW35">IF('NILAI CPL'!$B35&lt;&gt;"",IFERROR(_xlfn.IFS(Z35&gt;=$B$3,4,Z35&gt;=$B$4,3,Z35&gt;=$B$5,2,Z35&gt;$B$6,1),0),"")</f>
        <v/>
      </c>
      <c r="AY35" s="2" t="str">
        <f t="shared" si="0"/>
        <v/>
      </c>
      <c r="AZ35" s="2" t="str">
        <f t="shared" si="1"/>
        <v/>
      </c>
      <c r="BA35" s="2" t="str">
        <f t="shared" si="2"/>
        <v/>
      </c>
      <c r="BB35" s="2" t="str">
        <f t="shared" si="3"/>
        <v/>
      </c>
      <c r="BC35" s="2" t="str">
        <f t="shared" si="4"/>
        <v/>
      </c>
      <c r="BD35" s="2" t="str">
        <f t="shared" si="5"/>
        <v/>
      </c>
      <c r="BE35" s="2" t="str">
        <f t="shared" si="6"/>
        <v/>
      </c>
      <c r="BF35" s="2" t="str">
        <f t="shared" si="7"/>
        <v/>
      </c>
      <c r="BG35" s="2" t="str">
        <f t="shared" si="8"/>
        <v/>
      </c>
      <c r="BH35" s="2" t="str">
        <f t="shared" si="9"/>
        <v/>
      </c>
      <c r="BJ35" s="2" t="str" cm="1">
        <f t="array" ref="BJ35">IF('NILAI CPL'!$B35&lt;&gt;"",IFERROR(_xlfn.IFS(AY35&gt;=$B$3,4,AY35&gt;=$B$4,3,AY35&gt;=$B$5,2,AY35&gt;$B$6,1),0),"")</f>
        <v/>
      </c>
      <c r="BK35" s="2" t="str" cm="1">
        <f t="array" ref="BK35">IF('NILAI CPL'!$B35&lt;&gt;"",IFERROR(_xlfn.IFS(AZ35&gt;=$B$3,4,AZ35&gt;=$B$4,3,AZ35&gt;=$B$5,2,AZ35&gt;$B$6,1),0),"")</f>
        <v/>
      </c>
      <c r="BL35" s="2" t="str" cm="1">
        <f t="array" ref="BL35">IF('NILAI CPL'!$B35&lt;&gt;"",IFERROR(_xlfn.IFS(BA35&gt;=$B$3,4,BA35&gt;=$B$4,3,BA35&gt;=$B$5,2,BA35&gt;$B$6,1),0),"")</f>
        <v/>
      </c>
      <c r="BM35" s="2" t="str" cm="1">
        <f t="array" ref="BM35">IF('NILAI CPL'!$B35&lt;&gt;"",IFERROR(_xlfn.IFS(BB35&gt;=$B$3,4,BB35&gt;=$B$4,3,BB35&gt;=$B$5,2,BB35&gt;$B$6,1),0),"")</f>
        <v/>
      </c>
      <c r="BN35" s="2" t="str" cm="1">
        <f t="array" ref="BN35">IF('NILAI CPL'!$B35&lt;&gt;"",IFERROR(_xlfn.IFS(BC35&gt;=$B$3,4,BC35&gt;=$B$4,3,BC35&gt;=$B$5,2,BC35&gt;$B$6,1),0),"")</f>
        <v/>
      </c>
      <c r="BO35" s="2" t="str" cm="1">
        <f t="array" ref="BO35">IF('NILAI CPL'!$B35&lt;&gt;"",IFERROR(_xlfn.IFS(BD35&gt;=$B$3,4,BD35&gt;=$B$4,3,BD35&gt;=$B$5,2,BD35&gt;$B$6,1),0),"")</f>
        <v/>
      </c>
      <c r="BP35" s="2" t="str" cm="1">
        <f t="array" ref="BP35">IF('NILAI CPL'!$B35&lt;&gt;"",IFERROR(_xlfn.IFS(BE35&gt;=$B$3,4,BE35&gt;=$B$4,3,BE35&gt;=$B$5,2,BE35&gt;$B$6,1),0),"")</f>
        <v/>
      </c>
      <c r="BQ35" s="2" t="str" cm="1">
        <f t="array" ref="BQ35">IF('NILAI CPL'!$B35&lt;&gt;"",IFERROR(_xlfn.IFS(BF35&gt;=$B$3,4,BF35&gt;=$B$4,3,BF35&gt;=$B$5,2,BF35&gt;$B$6,1),0),"")</f>
        <v/>
      </c>
      <c r="BR35" s="2" t="str" cm="1">
        <f t="array" ref="BR35">IF('NILAI CPL'!$B35&lt;&gt;"",IFERROR(_xlfn.IFS(BG35&gt;=$B$3,4,BG35&gt;=$B$4,3,BG35&gt;=$B$5,2,BG35&gt;$B$6,1),0),"")</f>
        <v/>
      </c>
      <c r="BS35" s="2" t="str" cm="1">
        <f t="array" ref="BS35">IF('NILAI CPL'!$B35&lt;&gt;"",IFERROR(_xlfn.IFS(BH35&gt;=$B$3,4,BH35&gt;=$B$4,3,BH35&gt;=$B$5,2,BH35&gt;$B$6,1),0),"")</f>
        <v/>
      </c>
    </row>
    <row r="36" spans="1:71" x14ac:dyDescent="0.2">
      <c r="A36" s="2">
        <v>26</v>
      </c>
      <c r="B36" s="2" t="str">
        <f>IF(LEN(SUMMARY!B36)&gt;0, SUMMARY!B36, "")</f>
        <v/>
      </c>
      <c r="C36" s="2" t="str">
        <f>IF(LEN(SUMMARY!C36)&gt;0, SUMMARY!C36, "")</f>
        <v/>
      </c>
      <c r="E36" s="2" t="str" cm="1">
        <f t="array" ref="E36">IF('NILAI CPL'!$B36&lt;&gt;"",IFERROR(JumlahPI(ROW(),COLUMN()),0),"")</f>
        <v/>
      </c>
      <c r="F36" s="2" t="str" cm="1">
        <f t="array" ref="F36">IF('NILAI CPL'!$B36&lt;&gt;"",IFERROR(JumlahPI(ROW(),COLUMN()),0),"")</f>
        <v/>
      </c>
      <c r="G36" s="2" t="str" cm="1">
        <f t="array" ref="G36">IF('NILAI CPL'!$B36&lt;&gt;"",IFERROR(JumlahPI(ROW(),COLUMN()),0),"")</f>
        <v/>
      </c>
      <c r="H36" s="2" t="str" cm="1">
        <f t="array" ref="H36">IF('NILAI CPL'!$B36&lt;&gt;"",IFERROR(JumlahPI(ROW(),COLUMN()),0),"")</f>
        <v/>
      </c>
      <c r="I36" s="2" t="str" cm="1">
        <f t="array" ref="I36">IF('NILAI CPL'!$B36&lt;&gt;"",IFERROR(JumlahPI(ROW(),COLUMN()),0),"")</f>
        <v/>
      </c>
      <c r="J36" s="2" t="str" cm="1">
        <f t="array" ref="J36">IF('NILAI CPL'!$B36&lt;&gt;"",IFERROR(JumlahPI(ROW(),COLUMN()),0),"")</f>
        <v/>
      </c>
      <c r="K36" s="2" t="str" cm="1">
        <f t="array" ref="K36">IF('NILAI CPL'!$B36&lt;&gt;"",IFERROR(JumlahPI(ROW(),COLUMN()),0),"")</f>
        <v/>
      </c>
      <c r="L36" s="2" t="str" cm="1">
        <f t="array" ref="L36">IF('NILAI CPL'!$B36&lt;&gt;"",IFERROR(JumlahPI(ROW(),COLUMN()),0),"")</f>
        <v/>
      </c>
      <c r="M36" s="2" t="str" cm="1">
        <f t="array" ref="M36">IF('NILAI CPL'!$B36&lt;&gt;"",IFERROR(JumlahPI(ROW(),COLUMN()),0),"")</f>
        <v/>
      </c>
      <c r="N36" s="2" t="str" cm="1">
        <f t="array" ref="N36">IF('NILAI CPL'!$B36&lt;&gt;"",IFERROR(JumlahPI(ROW(),COLUMN()),0),"")</f>
        <v/>
      </c>
      <c r="O36" s="2" t="str" cm="1">
        <f t="array" ref="O36">IF('NILAI CPL'!$B36&lt;&gt;"",IFERROR(JumlahPI(ROW(),COLUMN()),0),"")</f>
        <v/>
      </c>
      <c r="P36" s="2" t="str" cm="1">
        <f t="array" ref="P36">IF('NILAI CPL'!$B36&lt;&gt;"",IFERROR(JumlahPI(ROW(),COLUMN()),0),"")</f>
        <v/>
      </c>
      <c r="Q36" s="2" t="str" cm="1">
        <f t="array" ref="Q36">IF('NILAI CPL'!$B36&lt;&gt;"",IFERROR(JumlahPI(ROW(),COLUMN()),0),"")</f>
        <v/>
      </c>
      <c r="R36" s="2" t="str" cm="1">
        <f t="array" ref="R36">IF('NILAI CPL'!$B36&lt;&gt;"",IFERROR(JumlahPI(ROW(),COLUMN()),0),"")</f>
        <v/>
      </c>
      <c r="S36" s="2" t="str" cm="1">
        <f t="array" ref="S36">IF('NILAI CPL'!$B36&lt;&gt;"",IFERROR(JumlahPI(ROW(),COLUMN()),0),"")</f>
        <v/>
      </c>
      <c r="T36" s="2" t="str" cm="1">
        <f t="array" ref="T36">IF('NILAI CPL'!$B36&lt;&gt;"",IFERROR(JumlahPI(ROW(),COLUMN()),0),"")</f>
        <v/>
      </c>
      <c r="U36" s="2" t="str" cm="1">
        <f t="array" ref="U36">IF('NILAI CPL'!$B36&lt;&gt;"",IFERROR(JumlahPI(ROW(),COLUMN()),0),"")</f>
        <v/>
      </c>
      <c r="V36" s="2" t="str" cm="1">
        <f t="array" ref="V36">IF('NILAI CPL'!$B36&lt;&gt;"",IFERROR(JumlahPI(ROW(),COLUMN()),0),"")</f>
        <v/>
      </c>
      <c r="W36" s="2" t="str" cm="1">
        <f t="array" ref="W36">IF('NILAI CPL'!$B36&lt;&gt;"",IFERROR(JumlahPI(ROW(),COLUMN()),0),"")</f>
        <v/>
      </c>
      <c r="X36" s="2" t="str" cm="1">
        <f t="array" ref="X36">IF('NILAI CPL'!$B36&lt;&gt;"",IFERROR(JumlahPI(ROW(),COLUMN()),0),"")</f>
        <v/>
      </c>
      <c r="Y36" s="2" t="str" cm="1">
        <f t="array" ref="Y36">IF('NILAI CPL'!$B36&lt;&gt;"",IFERROR(JumlahPI(ROW(),COLUMN()),0),"")</f>
        <v/>
      </c>
      <c r="Z36" s="2" t="str" cm="1">
        <f t="array" ref="Z36">IF('NILAI CPL'!$B36&lt;&gt;"",IFERROR(JumlahPI(ROW(),COLUMN()),0),"")</f>
        <v/>
      </c>
      <c r="AB36" s="2" t="str" cm="1">
        <f t="array" ref="AB36">IF('NILAI CPL'!$B36&lt;&gt;"",IFERROR(_xlfn.IFS(E36&gt;=$B$3,4,E36&gt;=$B$4,3,E36&gt;=$B$5,2,E36&gt;$B$6,1),0),"")</f>
        <v/>
      </c>
      <c r="AC36" s="2" t="str" cm="1">
        <f t="array" ref="AC36">IF('NILAI CPL'!$B36&lt;&gt;"",IFERROR(_xlfn.IFS(F36&gt;=$B$3,4,F36&gt;=$B$4,3,F36&gt;=$B$5,2,F36&gt;$B$6,1),0),"")</f>
        <v/>
      </c>
      <c r="AD36" s="2" t="str" cm="1">
        <f t="array" ref="AD36">IF('NILAI CPL'!$B36&lt;&gt;"",IFERROR(_xlfn.IFS(G36&gt;=$B$3,4,G36&gt;=$B$4,3,G36&gt;=$B$5,2,G36&gt;$B$6,1),0),"")</f>
        <v/>
      </c>
      <c r="AE36" s="2" t="str" cm="1">
        <f t="array" ref="AE36">IF('NILAI CPL'!$B36&lt;&gt;"",IFERROR(_xlfn.IFS(H36&gt;=$B$3,4,H36&gt;=$B$4,3,H36&gt;=$B$5,2,H36&gt;$B$6,1),0),"")</f>
        <v/>
      </c>
      <c r="AF36" s="2" t="str" cm="1">
        <f t="array" ref="AF36">IF('NILAI CPL'!$B36&lt;&gt;"",IFERROR(_xlfn.IFS(I36&gt;=$B$3,4,I36&gt;=$B$4,3,I36&gt;=$B$5,2,I36&gt;$B$6,1),0),"")</f>
        <v/>
      </c>
      <c r="AG36" s="2" t="str" cm="1">
        <f t="array" ref="AG36">IF('NILAI CPL'!$B36&lt;&gt;"",IFERROR(_xlfn.IFS(J36&gt;=$B$3,4,J36&gt;=$B$4,3,J36&gt;=$B$5,2,J36&gt;$B$6,1),0),"")</f>
        <v/>
      </c>
      <c r="AH36" s="2" t="str" cm="1">
        <f t="array" ref="AH36">IF('NILAI CPL'!$B36&lt;&gt;"",IFERROR(_xlfn.IFS(K36&gt;=$B$3,4,K36&gt;=$B$4,3,K36&gt;=$B$5,2,K36&gt;$B$6,1),0),"")</f>
        <v/>
      </c>
      <c r="AI36" s="2" t="str" cm="1">
        <f t="array" ref="AI36">IF('NILAI CPL'!$B36&lt;&gt;"",IFERROR(_xlfn.IFS(L36&gt;=$B$3,4,L36&gt;=$B$4,3,L36&gt;=$B$5,2,L36&gt;$B$6,1),0),"")</f>
        <v/>
      </c>
      <c r="AJ36" s="2" t="str" cm="1">
        <f t="array" ref="AJ36">IF('NILAI CPL'!$B36&lt;&gt;"",IFERROR(_xlfn.IFS(M36&gt;=$B$3,4,M36&gt;=$B$4,3,M36&gt;=$B$5,2,M36&gt;$B$6,1),0),"")</f>
        <v/>
      </c>
      <c r="AK36" s="2" t="str" cm="1">
        <f t="array" ref="AK36">IF('NILAI CPL'!$B36&lt;&gt;"",IFERROR(_xlfn.IFS(N36&gt;=$B$3,4,N36&gt;=$B$4,3,N36&gt;=$B$5,2,N36&gt;$B$6,1),0),"")</f>
        <v/>
      </c>
      <c r="AL36" s="2" t="str" cm="1">
        <f t="array" ref="AL36">IF('NILAI CPL'!$B36&lt;&gt;"",IFERROR(_xlfn.IFS(O36&gt;=$B$3,4,O36&gt;=$B$4,3,O36&gt;=$B$5,2,O36&gt;$B$6,1),0),"")</f>
        <v/>
      </c>
      <c r="AM36" s="2" t="str" cm="1">
        <f t="array" ref="AM36">IF('NILAI CPL'!$B36&lt;&gt;"",IFERROR(_xlfn.IFS(P36&gt;=$B$3,4,P36&gt;=$B$4,3,P36&gt;=$B$5,2,P36&gt;$B$6,1),0),"")</f>
        <v/>
      </c>
      <c r="AN36" s="2" t="str" cm="1">
        <f t="array" ref="AN36">IF('NILAI CPL'!$B36&lt;&gt;"",IFERROR(_xlfn.IFS(Q36&gt;=$B$3,4,Q36&gt;=$B$4,3,Q36&gt;=$B$5,2,Q36&gt;$B$6,1),0),"")</f>
        <v/>
      </c>
      <c r="AO36" s="2" t="str" cm="1">
        <f t="array" ref="AO36">IF('NILAI CPL'!$B36&lt;&gt;"",IFERROR(_xlfn.IFS(R36&gt;=$B$3,4,R36&gt;=$B$4,3,R36&gt;=$B$5,2,R36&gt;$B$6,1),0),"")</f>
        <v/>
      </c>
      <c r="AP36" s="2" t="str" cm="1">
        <f t="array" ref="AP36">IF('NILAI CPL'!$B36&lt;&gt;"",IFERROR(_xlfn.IFS(S36&gt;=$B$3,4,S36&gt;=$B$4,3,S36&gt;=$B$5,2,S36&gt;$B$6,1),0),"")</f>
        <v/>
      </c>
      <c r="AQ36" s="2" t="str" cm="1">
        <f t="array" ref="AQ36">IF('NILAI CPL'!$B36&lt;&gt;"",IFERROR(_xlfn.IFS(T36&gt;=$B$3,4,T36&gt;=$B$4,3,T36&gt;=$B$5,2,T36&gt;$B$6,1),0),"")</f>
        <v/>
      </c>
      <c r="AR36" s="2" t="str" cm="1">
        <f t="array" ref="AR36">IF('NILAI CPL'!$B36&lt;&gt;"",IFERROR(_xlfn.IFS(U36&gt;=$B$3,4,U36&gt;=$B$4,3,U36&gt;=$B$5,2,U36&gt;$B$6,1),0),"")</f>
        <v/>
      </c>
      <c r="AS36" s="2" t="str" cm="1">
        <f t="array" ref="AS36">IF('NILAI CPL'!$B36&lt;&gt;"",IFERROR(_xlfn.IFS(V36&gt;=$B$3,4,V36&gt;=$B$4,3,V36&gt;=$B$5,2,V36&gt;$B$6,1),0),"")</f>
        <v/>
      </c>
      <c r="AT36" s="2" t="str" cm="1">
        <f t="array" ref="AT36">IF('NILAI CPL'!$B36&lt;&gt;"",IFERROR(_xlfn.IFS(W36&gt;=$B$3,4,W36&gt;=$B$4,3,W36&gt;=$B$5,2,W36&gt;$B$6,1),0),"")</f>
        <v/>
      </c>
      <c r="AU36" s="2" t="str" cm="1">
        <f t="array" ref="AU36">IF('NILAI CPL'!$B36&lt;&gt;"",IFERROR(_xlfn.IFS(X36&gt;=$B$3,4,X36&gt;=$B$4,3,X36&gt;=$B$5,2,X36&gt;$B$6,1),0),"")</f>
        <v/>
      </c>
      <c r="AV36" s="2" t="str" cm="1">
        <f t="array" ref="AV36">IF('NILAI CPL'!$B36&lt;&gt;"",IFERROR(_xlfn.IFS(Y36&gt;=$B$3,4,Y36&gt;=$B$4,3,Y36&gt;=$B$5,2,Y36&gt;$B$6,1),0),"")</f>
        <v/>
      </c>
      <c r="AW36" s="2" t="str" cm="1">
        <f t="array" ref="AW36">IF('NILAI CPL'!$B36&lt;&gt;"",IFERROR(_xlfn.IFS(Z36&gt;=$B$3,4,Z36&gt;=$B$4,3,Z36&gt;=$B$5,2,Z36&gt;$B$6,1),0),"")</f>
        <v/>
      </c>
      <c r="AY36" s="2" t="str">
        <f t="shared" si="0"/>
        <v/>
      </c>
      <c r="AZ36" s="2" t="str">
        <f t="shared" si="1"/>
        <v/>
      </c>
      <c r="BA36" s="2" t="str">
        <f t="shared" si="2"/>
        <v/>
      </c>
      <c r="BB36" s="2" t="str">
        <f t="shared" si="3"/>
        <v/>
      </c>
      <c r="BC36" s="2" t="str">
        <f t="shared" si="4"/>
        <v/>
      </c>
      <c r="BD36" s="2" t="str">
        <f t="shared" si="5"/>
        <v/>
      </c>
      <c r="BE36" s="2" t="str">
        <f t="shared" si="6"/>
        <v/>
      </c>
      <c r="BF36" s="2" t="str">
        <f t="shared" si="7"/>
        <v/>
      </c>
      <c r="BG36" s="2" t="str">
        <f t="shared" si="8"/>
        <v/>
      </c>
      <c r="BH36" s="2" t="str">
        <f t="shared" si="9"/>
        <v/>
      </c>
      <c r="BJ36" s="2" t="str" cm="1">
        <f t="array" ref="BJ36">IF('NILAI CPL'!$B36&lt;&gt;"",IFERROR(_xlfn.IFS(AY36&gt;=$B$3,4,AY36&gt;=$B$4,3,AY36&gt;=$B$5,2,AY36&gt;$B$6,1),0),"")</f>
        <v/>
      </c>
      <c r="BK36" s="2" t="str" cm="1">
        <f t="array" ref="BK36">IF('NILAI CPL'!$B36&lt;&gt;"",IFERROR(_xlfn.IFS(AZ36&gt;=$B$3,4,AZ36&gt;=$B$4,3,AZ36&gt;=$B$5,2,AZ36&gt;$B$6,1),0),"")</f>
        <v/>
      </c>
      <c r="BL36" s="2" t="str" cm="1">
        <f t="array" ref="BL36">IF('NILAI CPL'!$B36&lt;&gt;"",IFERROR(_xlfn.IFS(BA36&gt;=$B$3,4,BA36&gt;=$B$4,3,BA36&gt;=$B$5,2,BA36&gt;$B$6,1),0),"")</f>
        <v/>
      </c>
      <c r="BM36" s="2" t="str" cm="1">
        <f t="array" ref="BM36">IF('NILAI CPL'!$B36&lt;&gt;"",IFERROR(_xlfn.IFS(BB36&gt;=$B$3,4,BB36&gt;=$B$4,3,BB36&gt;=$B$5,2,BB36&gt;$B$6,1),0),"")</f>
        <v/>
      </c>
      <c r="BN36" s="2" t="str" cm="1">
        <f t="array" ref="BN36">IF('NILAI CPL'!$B36&lt;&gt;"",IFERROR(_xlfn.IFS(BC36&gt;=$B$3,4,BC36&gt;=$B$4,3,BC36&gt;=$B$5,2,BC36&gt;$B$6,1),0),"")</f>
        <v/>
      </c>
      <c r="BO36" s="2" t="str" cm="1">
        <f t="array" ref="BO36">IF('NILAI CPL'!$B36&lt;&gt;"",IFERROR(_xlfn.IFS(BD36&gt;=$B$3,4,BD36&gt;=$B$4,3,BD36&gt;=$B$5,2,BD36&gt;$B$6,1),0),"")</f>
        <v/>
      </c>
      <c r="BP36" s="2" t="str" cm="1">
        <f t="array" ref="BP36">IF('NILAI CPL'!$B36&lt;&gt;"",IFERROR(_xlfn.IFS(BE36&gt;=$B$3,4,BE36&gt;=$B$4,3,BE36&gt;=$B$5,2,BE36&gt;$B$6,1),0),"")</f>
        <v/>
      </c>
      <c r="BQ36" s="2" t="str" cm="1">
        <f t="array" ref="BQ36">IF('NILAI CPL'!$B36&lt;&gt;"",IFERROR(_xlfn.IFS(BF36&gt;=$B$3,4,BF36&gt;=$B$4,3,BF36&gt;=$B$5,2,BF36&gt;$B$6,1),0),"")</f>
        <v/>
      </c>
      <c r="BR36" s="2" t="str" cm="1">
        <f t="array" ref="BR36">IF('NILAI CPL'!$B36&lt;&gt;"",IFERROR(_xlfn.IFS(BG36&gt;=$B$3,4,BG36&gt;=$B$4,3,BG36&gt;=$B$5,2,BG36&gt;$B$6,1),0),"")</f>
        <v/>
      </c>
      <c r="BS36" s="2" t="str" cm="1">
        <f t="array" ref="BS36">IF('NILAI CPL'!$B36&lt;&gt;"",IFERROR(_xlfn.IFS(BH36&gt;=$B$3,4,BH36&gt;=$B$4,3,BH36&gt;=$B$5,2,BH36&gt;$B$6,1),0),"")</f>
        <v/>
      </c>
    </row>
    <row r="37" spans="1:71" x14ac:dyDescent="0.2">
      <c r="A37" s="2">
        <v>27</v>
      </c>
      <c r="B37" s="2" t="str">
        <f>IF(LEN(SUMMARY!B37)&gt;0, SUMMARY!B37, "")</f>
        <v/>
      </c>
      <c r="C37" s="2" t="str">
        <f>IF(LEN(SUMMARY!C37)&gt;0, SUMMARY!C37, "")</f>
        <v/>
      </c>
      <c r="E37" s="2" t="str" cm="1">
        <f t="array" ref="E37">IF('NILAI CPL'!$B37&lt;&gt;"",IFERROR(JumlahPI(ROW(),COLUMN()),0),"")</f>
        <v/>
      </c>
      <c r="F37" s="2" t="str" cm="1">
        <f t="array" ref="F37">IF('NILAI CPL'!$B37&lt;&gt;"",IFERROR(JumlahPI(ROW(),COLUMN()),0),"")</f>
        <v/>
      </c>
      <c r="G37" s="2" t="str" cm="1">
        <f t="array" ref="G37">IF('NILAI CPL'!$B37&lt;&gt;"",IFERROR(JumlahPI(ROW(),COLUMN()),0),"")</f>
        <v/>
      </c>
      <c r="H37" s="2" t="str" cm="1">
        <f t="array" ref="H37">IF('NILAI CPL'!$B37&lt;&gt;"",IFERROR(JumlahPI(ROW(),COLUMN()),0),"")</f>
        <v/>
      </c>
      <c r="I37" s="2" t="str" cm="1">
        <f t="array" ref="I37">IF('NILAI CPL'!$B37&lt;&gt;"",IFERROR(JumlahPI(ROW(),COLUMN()),0),"")</f>
        <v/>
      </c>
      <c r="J37" s="2" t="str" cm="1">
        <f t="array" ref="J37">IF('NILAI CPL'!$B37&lt;&gt;"",IFERROR(JumlahPI(ROW(),COLUMN()),0),"")</f>
        <v/>
      </c>
      <c r="K37" s="2" t="str" cm="1">
        <f t="array" ref="K37">IF('NILAI CPL'!$B37&lt;&gt;"",IFERROR(JumlahPI(ROW(),COLUMN()),0),"")</f>
        <v/>
      </c>
      <c r="L37" s="2" t="str" cm="1">
        <f t="array" ref="L37">IF('NILAI CPL'!$B37&lt;&gt;"",IFERROR(JumlahPI(ROW(),COLUMN()),0),"")</f>
        <v/>
      </c>
      <c r="M37" s="2" t="str" cm="1">
        <f t="array" ref="M37">IF('NILAI CPL'!$B37&lt;&gt;"",IFERROR(JumlahPI(ROW(),COLUMN()),0),"")</f>
        <v/>
      </c>
      <c r="N37" s="2" t="str" cm="1">
        <f t="array" ref="N37">IF('NILAI CPL'!$B37&lt;&gt;"",IFERROR(JumlahPI(ROW(),COLUMN()),0),"")</f>
        <v/>
      </c>
      <c r="O37" s="2" t="str" cm="1">
        <f t="array" ref="O37">IF('NILAI CPL'!$B37&lt;&gt;"",IFERROR(JumlahPI(ROW(),COLUMN()),0),"")</f>
        <v/>
      </c>
      <c r="P37" s="2" t="str" cm="1">
        <f t="array" ref="P37">IF('NILAI CPL'!$B37&lt;&gt;"",IFERROR(JumlahPI(ROW(),COLUMN()),0),"")</f>
        <v/>
      </c>
      <c r="Q37" s="2" t="str" cm="1">
        <f t="array" ref="Q37">IF('NILAI CPL'!$B37&lt;&gt;"",IFERROR(JumlahPI(ROW(),COLUMN()),0),"")</f>
        <v/>
      </c>
      <c r="R37" s="2" t="str" cm="1">
        <f t="array" ref="R37">IF('NILAI CPL'!$B37&lt;&gt;"",IFERROR(JumlahPI(ROW(),COLUMN()),0),"")</f>
        <v/>
      </c>
      <c r="S37" s="2" t="str" cm="1">
        <f t="array" ref="S37">IF('NILAI CPL'!$B37&lt;&gt;"",IFERROR(JumlahPI(ROW(),COLUMN()),0),"")</f>
        <v/>
      </c>
      <c r="T37" s="2" t="str" cm="1">
        <f t="array" ref="T37">IF('NILAI CPL'!$B37&lt;&gt;"",IFERROR(JumlahPI(ROW(),COLUMN()),0),"")</f>
        <v/>
      </c>
      <c r="U37" s="2" t="str" cm="1">
        <f t="array" ref="U37">IF('NILAI CPL'!$B37&lt;&gt;"",IFERROR(JumlahPI(ROW(),COLUMN()),0),"")</f>
        <v/>
      </c>
      <c r="V37" s="2" t="str" cm="1">
        <f t="array" ref="V37">IF('NILAI CPL'!$B37&lt;&gt;"",IFERROR(JumlahPI(ROW(),COLUMN()),0),"")</f>
        <v/>
      </c>
      <c r="W37" s="2" t="str" cm="1">
        <f t="array" ref="W37">IF('NILAI CPL'!$B37&lt;&gt;"",IFERROR(JumlahPI(ROW(),COLUMN()),0),"")</f>
        <v/>
      </c>
      <c r="X37" s="2" t="str" cm="1">
        <f t="array" ref="X37">IF('NILAI CPL'!$B37&lt;&gt;"",IFERROR(JumlahPI(ROW(),COLUMN()),0),"")</f>
        <v/>
      </c>
      <c r="Y37" s="2" t="str" cm="1">
        <f t="array" ref="Y37">IF('NILAI CPL'!$B37&lt;&gt;"",IFERROR(JumlahPI(ROW(),COLUMN()),0),"")</f>
        <v/>
      </c>
      <c r="Z37" s="2" t="str" cm="1">
        <f t="array" ref="Z37">IF('NILAI CPL'!$B37&lt;&gt;"",IFERROR(JumlahPI(ROW(),COLUMN()),0),"")</f>
        <v/>
      </c>
      <c r="AB37" s="2" t="str" cm="1">
        <f t="array" ref="AB37">IF('NILAI CPL'!$B37&lt;&gt;"",IFERROR(_xlfn.IFS(E37&gt;=$B$3,4,E37&gt;=$B$4,3,E37&gt;=$B$5,2,E37&gt;$B$6,1),0),"")</f>
        <v/>
      </c>
      <c r="AC37" s="2" t="str" cm="1">
        <f t="array" ref="AC37">IF('NILAI CPL'!$B37&lt;&gt;"",IFERROR(_xlfn.IFS(F37&gt;=$B$3,4,F37&gt;=$B$4,3,F37&gt;=$B$5,2,F37&gt;$B$6,1),0),"")</f>
        <v/>
      </c>
      <c r="AD37" s="2" t="str" cm="1">
        <f t="array" ref="AD37">IF('NILAI CPL'!$B37&lt;&gt;"",IFERROR(_xlfn.IFS(G37&gt;=$B$3,4,G37&gt;=$B$4,3,G37&gt;=$B$5,2,G37&gt;$B$6,1),0),"")</f>
        <v/>
      </c>
      <c r="AE37" s="2" t="str" cm="1">
        <f t="array" ref="AE37">IF('NILAI CPL'!$B37&lt;&gt;"",IFERROR(_xlfn.IFS(H37&gt;=$B$3,4,H37&gt;=$B$4,3,H37&gt;=$B$5,2,H37&gt;$B$6,1),0),"")</f>
        <v/>
      </c>
      <c r="AF37" s="2" t="str" cm="1">
        <f t="array" ref="AF37">IF('NILAI CPL'!$B37&lt;&gt;"",IFERROR(_xlfn.IFS(I37&gt;=$B$3,4,I37&gt;=$B$4,3,I37&gt;=$B$5,2,I37&gt;$B$6,1),0),"")</f>
        <v/>
      </c>
      <c r="AG37" s="2" t="str" cm="1">
        <f t="array" ref="AG37">IF('NILAI CPL'!$B37&lt;&gt;"",IFERROR(_xlfn.IFS(J37&gt;=$B$3,4,J37&gt;=$B$4,3,J37&gt;=$B$5,2,J37&gt;$B$6,1),0),"")</f>
        <v/>
      </c>
      <c r="AH37" s="2" t="str" cm="1">
        <f t="array" ref="AH37">IF('NILAI CPL'!$B37&lt;&gt;"",IFERROR(_xlfn.IFS(K37&gt;=$B$3,4,K37&gt;=$B$4,3,K37&gt;=$B$5,2,K37&gt;$B$6,1),0),"")</f>
        <v/>
      </c>
      <c r="AI37" s="2" t="str" cm="1">
        <f t="array" ref="AI37">IF('NILAI CPL'!$B37&lt;&gt;"",IFERROR(_xlfn.IFS(L37&gt;=$B$3,4,L37&gt;=$B$4,3,L37&gt;=$B$5,2,L37&gt;$B$6,1),0),"")</f>
        <v/>
      </c>
      <c r="AJ37" s="2" t="str" cm="1">
        <f t="array" ref="AJ37">IF('NILAI CPL'!$B37&lt;&gt;"",IFERROR(_xlfn.IFS(M37&gt;=$B$3,4,M37&gt;=$B$4,3,M37&gt;=$B$5,2,M37&gt;$B$6,1),0),"")</f>
        <v/>
      </c>
      <c r="AK37" s="2" t="str" cm="1">
        <f t="array" ref="AK37">IF('NILAI CPL'!$B37&lt;&gt;"",IFERROR(_xlfn.IFS(N37&gt;=$B$3,4,N37&gt;=$B$4,3,N37&gt;=$B$5,2,N37&gt;$B$6,1),0),"")</f>
        <v/>
      </c>
      <c r="AL37" s="2" t="str" cm="1">
        <f t="array" ref="AL37">IF('NILAI CPL'!$B37&lt;&gt;"",IFERROR(_xlfn.IFS(O37&gt;=$B$3,4,O37&gt;=$B$4,3,O37&gt;=$B$5,2,O37&gt;$B$6,1),0),"")</f>
        <v/>
      </c>
      <c r="AM37" s="2" t="str" cm="1">
        <f t="array" ref="AM37">IF('NILAI CPL'!$B37&lt;&gt;"",IFERROR(_xlfn.IFS(P37&gt;=$B$3,4,P37&gt;=$B$4,3,P37&gt;=$B$5,2,P37&gt;$B$6,1),0),"")</f>
        <v/>
      </c>
      <c r="AN37" s="2" t="str" cm="1">
        <f t="array" ref="AN37">IF('NILAI CPL'!$B37&lt;&gt;"",IFERROR(_xlfn.IFS(Q37&gt;=$B$3,4,Q37&gt;=$B$4,3,Q37&gt;=$B$5,2,Q37&gt;$B$6,1),0),"")</f>
        <v/>
      </c>
      <c r="AO37" s="2" t="str" cm="1">
        <f t="array" ref="AO37">IF('NILAI CPL'!$B37&lt;&gt;"",IFERROR(_xlfn.IFS(R37&gt;=$B$3,4,R37&gt;=$B$4,3,R37&gt;=$B$5,2,R37&gt;$B$6,1),0),"")</f>
        <v/>
      </c>
      <c r="AP37" s="2" t="str" cm="1">
        <f t="array" ref="AP37">IF('NILAI CPL'!$B37&lt;&gt;"",IFERROR(_xlfn.IFS(S37&gt;=$B$3,4,S37&gt;=$B$4,3,S37&gt;=$B$5,2,S37&gt;$B$6,1),0),"")</f>
        <v/>
      </c>
      <c r="AQ37" s="2" t="str" cm="1">
        <f t="array" ref="AQ37">IF('NILAI CPL'!$B37&lt;&gt;"",IFERROR(_xlfn.IFS(T37&gt;=$B$3,4,T37&gt;=$B$4,3,T37&gt;=$B$5,2,T37&gt;$B$6,1),0),"")</f>
        <v/>
      </c>
      <c r="AR37" s="2" t="str" cm="1">
        <f t="array" ref="AR37">IF('NILAI CPL'!$B37&lt;&gt;"",IFERROR(_xlfn.IFS(U37&gt;=$B$3,4,U37&gt;=$B$4,3,U37&gt;=$B$5,2,U37&gt;$B$6,1),0),"")</f>
        <v/>
      </c>
      <c r="AS37" s="2" t="str" cm="1">
        <f t="array" ref="AS37">IF('NILAI CPL'!$B37&lt;&gt;"",IFERROR(_xlfn.IFS(V37&gt;=$B$3,4,V37&gt;=$B$4,3,V37&gt;=$B$5,2,V37&gt;$B$6,1),0),"")</f>
        <v/>
      </c>
      <c r="AT37" s="2" t="str" cm="1">
        <f t="array" ref="AT37">IF('NILAI CPL'!$B37&lt;&gt;"",IFERROR(_xlfn.IFS(W37&gt;=$B$3,4,W37&gt;=$B$4,3,W37&gt;=$B$5,2,W37&gt;$B$6,1),0),"")</f>
        <v/>
      </c>
      <c r="AU37" s="2" t="str" cm="1">
        <f t="array" ref="AU37">IF('NILAI CPL'!$B37&lt;&gt;"",IFERROR(_xlfn.IFS(X37&gt;=$B$3,4,X37&gt;=$B$4,3,X37&gt;=$B$5,2,X37&gt;$B$6,1),0),"")</f>
        <v/>
      </c>
      <c r="AV37" s="2" t="str" cm="1">
        <f t="array" ref="AV37">IF('NILAI CPL'!$B37&lt;&gt;"",IFERROR(_xlfn.IFS(Y37&gt;=$B$3,4,Y37&gt;=$B$4,3,Y37&gt;=$B$5,2,Y37&gt;$B$6,1),0),"")</f>
        <v/>
      </c>
      <c r="AW37" s="2" t="str" cm="1">
        <f t="array" ref="AW37">IF('NILAI CPL'!$B37&lt;&gt;"",IFERROR(_xlfn.IFS(Z37&gt;=$B$3,4,Z37&gt;=$B$4,3,Z37&gt;=$B$5,2,Z37&gt;$B$6,1),0),"")</f>
        <v/>
      </c>
      <c r="AY37" s="2" t="str">
        <f t="shared" si="0"/>
        <v/>
      </c>
      <c r="AZ37" s="2" t="str">
        <f t="shared" si="1"/>
        <v/>
      </c>
      <c r="BA37" s="2" t="str">
        <f t="shared" si="2"/>
        <v/>
      </c>
      <c r="BB37" s="2" t="str">
        <f t="shared" si="3"/>
        <v/>
      </c>
      <c r="BC37" s="2" t="str">
        <f t="shared" si="4"/>
        <v/>
      </c>
      <c r="BD37" s="2" t="str">
        <f t="shared" si="5"/>
        <v/>
      </c>
      <c r="BE37" s="2" t="str">
        <f t="shared" si="6"/>
        <v/>
      </c>
      <c r="BF37" s="2" t="str">
        <f t="shared" si="7"/>
        <v/>
      </c>
      <c r="BG37" s="2" t="str">
        <f t="shared" si="8"/>
        <v/>
      </c>
      <c r="BH37" s="2" t="str">
        <f t="shared" si="9"/>
        <v/>
      </c>
      <c r="BJ37" s="2" t="str" cm="1">
        <f t="array" ref="BJ37">IF('NILAI CPL'!$B37&lt;&gt;"",IFERROR(_xlfn.IFS(AY37&gt;=$B$3,4,AY37&gt;=$B$4,3,AY37&gt;=$B$5,2,AY37&gt;$B$6,1),0),"")</f>
        <v/>
      </c>
      <c r="BK37" s="2" t="str" cm="1">
        <f t="array" ref="BK37">IF('NILAI CPL'!$B37&lt;&gt;"",IFERROR(_xlfn.IFS(AZ37&gt;=$B$3,4,AZ37&gt;=$B$4,3,AZ37&gt;=$B$5,2,AZ37&gt;$B$6,1),0),"")</f>
        <v/>
      </c>
      <c r="BL37" s="2" t="str" cm="1">
        <f t="array" ref="BL37">IF('NILAI CPL'!$B37&lt;&gt;"",IFERROR(_xlfn.IFS(BA37&gt;=$B$3,4,BA37&gt;=$B$4,3,BA37&gt;=$B$5,2,BA37&gt;$B$6,1),0),"")</f>
        <v/>
      </c>
      <c r="BM37" s="2" t="str" cm="1">
        <f t="array" ref="BM37">IF('NILAI CPL'!$B37&lt;&gt;"",IFERROR(_xlfn.IFS(BB37&gt;=$B$3,4,BB37&gt;=$B$4,3,BB37&gt;=$B$5,2,BB37&gt;$B$6,1),0),"")</f>
        <v/>
      </c>
      <c r="BN37" s="2" t="str" cm="1">
        <f t="array" ref="BN37">IF('NILAI CPL'!$B37&lt;&gt;"",IFERROR(_xlfn.IFS(BC37&gt;=$B$3,4,BC37&gt;=$B$4,3,BC37&gt;=$B$5,2,BC37&gt;$B$6,1),0),"")</f>
        <v/>
      </c>
      <c r="BO37" s="2" t="str" cm="1">
        <f t="array" ref="BO37">IF('NILAI CPL'!$B37&lt;&gt;"",IFERROR(_xlfn.IFS(BD37&gt;=$B$3,4,BD37&gt;=$B$4,3,BD37&gt;=$B$5,2,BD37&gt;$B$6,1),0),"")</f>
        <v/>
      </c>
      <c r="BP37" s="2" t="str" cm="1">
        <f t="array" ref="BP37">IF('NILAI CPL'!$B37&lt;&gt;"",IFERROR(_xlfn.IFS(BE37&gt;=$B$3,4,BE37&gt;=$B$4,3,BE37&gt;=$B$5,2,BE37&gt;$B$6,1),0),"")</f>
        <v/>
      </c>
      <c r="BQ37" s="2" t="str" cm="1">
        <f t="array" ref="BQ37">IF('NILAI CPL'!$B37&lt;&gt;"",IFERROR(_xlfn.IFS(BF37&gt;=$B$3,4,BF37&gt;=$B$4,3,BF37&gt;=$B$5,2,BF37&gt;$B$6,1),0),"")</f>
        <v/>
      </c>
      <c r="BR37" s="2" t="str" cm="1">
        <f t="array" ref="BR37">IF('NILAI CPL'!$B37&lt;&gt;"",IFERROR(_xlfn.IFS(BG37&gt;=$B$3,4,BG37&gt;=$B$4,3,BG37&gt;=$B$5,2,BG37&gt;$B$6,1),0),"")</f>
        <v/>
      </c>
      <c r="BS37" s="2" t="str" cm="1">
        <f t="array" ref="BS37">IF('NILAI CPL'!$B37&lt;&gt;"",IFERROR(_xlfn.IFS(BH37&gt;=$B$3,4,BH37&gt;=$B$4,3,BH37&gt;=$B$5,2,BH37&gt;$B$6,1),0),"")</f>
        <v/>
      </c>
    </row>
    <row r="38" spans="1:71" x14ac:dyDescent="0.2">
      <c r="A38" s="2">
        <v>28</v>
      </c>
      <c r="B38" s="2" t="str">
        <f>IF(LEN(SUMMARY!B38)&gt;0, SUMMARY!B38, "")</f>
        <v/>
      </c>
      <c r="C38" s="2" t="str">
        <f>IF(LEN(SUMMARY!C38)&gt;0, SUMMARY!C38, "")</f>
        <v/>
      </c>
      <c r="E38" s="2" t="str" cm="1">
        <f t="array" ref="E38">IF('NILAI CPL'!$B38&lt;&gt;"",IFERROR(JumlahPI(ROW(),COLUMN()),0),"")</f>
        <v/>
      </c>
      <c r="F38" s="2" t="str" cm="1">
        <f t="array" ref="F38">IF('NILAI CPL'!$B38&lt;&gt;"",IFERROR(JumlahPI(ROW(),COLUMN()),0),"")</f>
        <v/>
      </c>
      <c r="G38" s="2" t="str" cm="1">
        <f t="array" ref="G38">IF('NILAI CPL'!$B38&lt;&gt;"",IFERROR(JumlahPI(ROW(),COLUMN()),0),"")</f>
        <v/>
      </c>
      <c r="H38" s="2" t="str" cm="1">
        <f t="array" ref="H38">IF('NILAI CPL'!$B38&lt;&gt;"",IFERROR(JumlahPI(ROW(),COLUMN()),0),"")</f>
        <v/>
      </c>
      <c r="I38" s="2" t="str" cm="1">
        <f t="array" ref="I38">IF('NILAI CPL'!$B38&lt;&gt;"",IFERROR(JumlahPI(ROW(),COLUMN()),0),"")</f>
        <v/>
      </c>
      <c r="J38" s="2" t="str" cm="1">
        <f t="array" ref="J38">IF('NILAI CPL'!$B38&lt;&gt;"",IFERROR(JumlahPI(ROW(),COLUMN()),0),"")</f>
        <v/>
      </c>
      <c r="K38" s="2" t="str" cm="1">
        <f t="array" ref="K38">IF('NILAI CPL'!$B38&lt;&gt;"",IFERROR(JumlahPI(ROW(),COLUMN()),0),"")</f>
        <v/>
      </c>
      <c r="L38" s="2" t="str" cm="1">
        <f t="array" ref="L38">IF('NILAI CPL'!$B38&lt;&gt;"",IFERROR(JumlahPI(ROW(),COLUMN()),0),"")</f>
        <v/>
      </c>
      <c r="M38" s="2" t="str" cm="1">
        <f t="array" ref="M38">IF('NILAI CPL'!$B38&lt;&gt;"",IFERROR(JumlahPI(ROW(),COLUMN()),0),"")</f>
        <v/>
      </c>
      <c r="N38" s="2" t="str" cm="1">
        <f t="array" ref="N38">IF('NILAI CPL'!$B38&lt;&gt;"",IFERROR(JumlahPI(ROW(),COLUMN()),0),"")</f>
        <v/>
      </c>
      <c r="O38" s="2" t="str" cm="1">
        <f t="array" ref="O38">IF('NILAI CPL'!$B38&lt;&gt;"",IFERROR(JumlahPI(ROW(),COLUMN()),0),"")</f>
        <v/>
      </c>
      <c r="P38" s="2" t="str" cm="1">
        <f t="array" ref="P38">IF('NILAI CPL'!$B38&lt;&gt;"",IFERROR(JumlahPI(ROW(),COLUMN()),0),"")</f>
        <v/>
      </c>
      <c r="Q38" s="2" t="str" cm="1">
        <f t="array" ref="Q38">IF('NILAI CPL'!$B38&lt;&gt;"",IFERROR(JumlahPI(ROW(),COLUMN()),0),"")</f>
        <v/>
      </c>
      <c r="R38" s="2" t="str" cm="1">
        <f t="array" ref="R38">IF('NILAI CPL'!$B38&lt;&gt;"",IFERROR(JumlahPI(ROW(),COLUMN()),0),"")</f>
        <v/>
      </c>
      <c r="S38" s="2" t="str" cm="1">
        <f t="array" ref="S38">IF('NILAI CPL'!$B38&lt;&gt;"",IFERROR(JumlahPI(ROW(),COLUMN()),0),"")</f>
        <v/>
      </c>
      <c r="T38" s="2" t="str" cm="1">
        <f t="array" ref="T38">IF('NILAI CPL'!$B38&lt;&gt;"",IFERROR(JumlahPI(ROW(),COLUMN()),0),"")</f>
        <v/>
      </c>
      <c r="U38" s="2" t="str" cm="1">
        <f t="array" ref="U38">IF('NILAI CPL'!$B38&lt;&gt;"",IFERROR(JumlahPI(ROW(),COLUMN()),0),"")</f>
        <v/>
      </c>
      <c r="V38" s="2" t="str" cm="1">
        <f t="array" ref="V38">IF('NILAI CPL'!$B38&lt;&gt;"",IFERROR(JumlahPI(ROW(),COLUMN()),0),"")</f>
        <v/>
      </c>
      <c r="W38" s="2" t="str" cm="1">
        <f t="array" ref="W38">IF('NILAI CPL'!$B38&lt;&gt;"",IFERROR(JumlahPI(ROW(),COLUMN()),0),"")</f>
        <v/>
      </c>
      <c r="X38" s="2" t="str" cm="1">
        <f t="array" ref="X38">IF('NILAI CPL'!$B38&lt;&gt;"",IFERROR(JumlahPI(ROW(),COLUMN()),0),"")</f>
        <v/>
      </c>
      <c r="Y38" s="2" t="str" cm="1">
        <f t="array" ref="Y38">IF('NILAI CPL'!$B38&lt;&gt;"",IFERROR(JumlahPI(ROW(),COLUMN()),0),"")</f>
        <v/>
      </c>
      <c r="Z38" s="2" t="str" cm="1">
        <f t="array" ref="Z38">IF('NILAI CPL'!$B38&lt;&gt;"",IFERROR(JumlahPI(ROW(),COLUMN()),0),"")</f>
        <v/>
      </c>
      <c r="AB38" s="2" t="str" cm="1">
        <f t="array" ref="AB38">IF('NILAI CPL'!$B38&lt;&gt;"",IFERROR(_xlfn.IFS(E38&gt;=$B$3,4,E38&gt;=$B$4,3,E38&gt;=$B$5,2,E38&gt;$B$6,1),0),"")</f>
        <v/>
      </c>
      <c r="AC38" s="2" t="str" cm="1">
        <f t="array" ref="AC38">IF('NILAI CPL'!$B38&lt;&gt;"",IFERROR(_xlfn.IFS(F38&gt;=$B$3,4,F38&gt;=$B$4,3,F38&gt;=$B$5,2,F38&gt;$B$6,1),0),"")</f>
        <v/>
      </c>
      <c r="AD38" s="2" t="str" cm="1">
        <f t="array" ref="AD38">IF('NILAI CPL'!$B38&lt;&gt;"",IFERROR(_xlfn.IFS(G38&gt;=$B$3,4,G38&gt;=$B$4,3,G38&gt;=$B$5,2,G38&gt;$B$6,1),0),"")</f>
        <v/>
      </c>
      <c r="AE38" s="2" t="str" cm="1">
        <f t="array" ref="AE38">IF('NILAI CPL'!$B38&lt;&gt;"",IFERROR(_xlfn.IFS(H38&gt;=$B$3,4,H38&gt;=$B$4,3,H38&gt;=$B$5,2,H38&gt;$B$6,1),0),"")</f>
        <v/>
      </c>
      <c r="AF38" s="2" t="str" cm="1">
        <f t="array" ref="AF38">IF('NILAI CPL'!$B38&lt;&gt;"",IFERROR(_xlfn.IFS(I38&gt;=$B$3,4,I38&gt;=$B$4,3,I38&gt;=$B$5,2,I38&gt;$B$6,1),0),"")</f>
        <v/>
      </c>
      <c r="AG38" s="2" t="str" cm="1">
        <f t="array" ref="AG38">IF('NILAI CPL'!$B38&lt;&gt;"",IFERROR(_xlfn.IFS(J38&gt;=$B$3,4,J38&gt;=$B$4,3,J38&gt;=$B$5,2,J38&gt;$B$6,1),0),"")</f>
        <v/>
      </c>
      <c r="AH38" s="2" t="str" cm="1">
        <f t="array" ref="AH38">IF('NILAI CPL'!$B38&lt;&gt;"",IFERROR(_xlfn.IFS(K38&gt;=$B$3,4,K38&gt;=$B$4,3,K38&gt;=$B$5,2,K38&gt;$B$6,1),0),"")</f>
        <v/>
      </c>
      <c r="AI38" s="2" t="str" cm="1">
        <f t="array" ref="AI38">IF('NILAI CPL'!$B38&lt;&gt;"",IFERROR(_xlfn.IFS(L38&gt;=$B$3,4,L38&gt;=$B$4,3,L38&gt;=$B$5,2,L38&gt;$B$6,1),0),"")</f>
        <v/>
      </c>
      <c r="AJ38" s="2" t="str" cm="1">
        <f t="array" ref="AJ38">IF('NILAI CPL'!$B38&lt;&gt;"",IFERROR(_xlfn.IFS(M38&gt;=$B$3,4,M38&gt;=$B$4,3,M38&gt;=$B$5,2,M38&gt;$B$6,1),0),"")</f>
        <v/>
      </c>
      <c r="AK38" s="2" t="str" cm="1">
        <f t="array" ref="AK38">IF('NILAI CPL'!$B38&lt;&gt;"",IFERROR(_xlfn.IFS(N38&gt;=$B$3,4,N38&gt;=$B$4,3,N38&gt;=$B$5,2,N38&gt;$B$6,1),0),"")</f>
        <v/>
      </c>
      <c r="AL38" s="2" t="str" cm="1">
        <f t="array" ref="AL38">IF('NILAI CPL'!$B38&lt;&gt;"",IFERROR(_xlfn.IFS(O38&gt;=$B$3,4,O38&gt;=$B$4,3,O38&gt;=$B$5,2,O38&gt;$B$6,1),0),"")</f>
        <v/>
      </c>
      <c r="AM38" s="2" t="str" cm="1">
        <f t="array" ref="AM38">IF('NILAI CPL'!$B38&lt;&gt;"",IFERROR(_xlfn.IFS(P38&gt;=$B$3,4,P38&gt;=$B$4,3,P38&gt;=$B$5,2,P38&gt;$B$6,1),0),"")</f>
        <v/>
      </c>
      <c r="AN38" s="2" t="str" cm="1">
        <f t="array" ref="AN38">IF('NILAI CPL'!$B38&lt;&gt;"",IFERROR(_xlfn.IFS(Q38&gt;=$B$3,4,Q38&gt;=$B$4,3,Q38&gt;=$B$5,2,Q38&gt;$B$6,1),0),"")</f>
        <v/>
      </c>
      <c r="AO38" s="2" t="str" cm="1">
        <f t="array" ref="AO38">IF('NILAI CPL'!$B38&lt;&gt;"",IFERROR(_xlfn.IFS(R38&gt;=$B$3,4,R38&gt;=$B$4,3,R38&gt;=$B$5,2,R38&gt;$B$6,1),0),"")</f>
        <v/>
      </c>
      <c r="AP38" s="2" t="str" cm="1">
        <f t="array" ref="AP38">IF('NILAI CPL'!$B38&lt;&gt;"",IFERROR(_xlfn.IFS(S38&gt;=$B$3,4,S38&gt;=$B$4,3,S38&gt;=$B$5,2,S38&gt;$B$6,1),0),"")</f>
        <v/>
      </c>
      <c r="AQ38" s="2" t="str" cm="1">
        <f t="array" ref="AQ38">IF('NILAI CPL'!$B38&lt;&gt;"",IFERROR(_xlfn.IFS(T38&gt;=$B$3,4,T38&gt;=$B$4,3,T38&gt;=$B$5,2,T38&gt;$B$6,1),0),"")</f>
        <v/>
      </c>
      <c r="AR38" s="2" t="str" cm="1">
        <f t="array" ref="AR38">IF('NILAI CPL'!$B38&lt;&gt;"",IFERROR(_xlfn.IFS(U38&gt;=$B$3,4,U38&gt;=$B$4,3,U38&gt;=$B$5,2,U38&gt;$B$6,1),0),"")</f>
        <v/>
      </c>
      <c r="AS38" s="2" t="str" cm="1">
        <f t="array" ref="AS38">IF('NILAI CPL'!$B38&lt;&gt;"",IFERROR(_xlfn.IFS(V38&gt;=$B$3,4,V38&gt;=$B$4,3,V38&gt;=$B$5,2,V38&gt;$B$6,1),0),"")</f>
        <v/>
      </c>
      <c r="AT38" s="2" t="str" cm="1">
        <f t="array" ref="AT38">IF('NILAI CPL'!$B38&lt;&gt;"",IFERROR(_xlfn.IFS(W38&gt;=$B$3,4,W38&gt;=$B$4,3,W38&gt;=$B$5,2,W38&gt;$B$6,1),0),"")</f>
        <v/>
      </c>
      <c r="AU38" s="2" t="str" cm="1">
        <f t="array" ref="AU38">IF('NILAI CPL'!$B38&lt;&gt;"",IFERROR(_xlfn.IFS(X38&gt;=$B$3,4,X38&gt;=$B$4,3,X38&gt;=$B$5,2,X38&gt;$B$6,1),0),"")</f>
        <v/>
      </c>
      <c r="AV38" s="2" t="str" cm="1">
        <f t="array" ref="AV38">IF('NILAI CPL'!$B38&lt;&gt;"",IFERROR(_xlfn.IFS(Y38&gt;=$B$3,4,Y38&gt;=$B$4,3,Y38&gt;=$B$5,2,Y38&gt;$B$6,1),0),"")</f>
        <v/>
      </c>
      <c r="AW38" s="2" t="str" cm="1">
        <f t="array" ref="AW38">IF('NILAI CPL'!$B38&lt;&gt;"",IFERROR(_xlfn.IFS(Z38&gt;=$B$3,4,Z38&gt;=$B$4,3,Z38&gt;=$B$5,2,Z38&gt;$B$6,1),0),"")</f>
        <v/>
      </c>
      <c r="AY38" s="2" t="str">
        <f t="shared" si="0"/>
        <v/>
      </c>
      <c r="AZ38" s="2" t="str">
        <f t="shared" si="1"/>
        <v/>
      </c>
      <c r="BA38" s="2" t="str">
        <f t="shared" si="2"/>
        <v/>
      </c>
      <c r="BB38" s="2" t="str">
        <f t="shared" si="3"/>
        <v/>
      </c>
      <c r="BC38" s="2" t="str">
        <f t="shared" si="4"/>
        <v/>
      </c>
      <c r="BD38" s="2" t="str">
        <f t="shared" si="5"/>
        <v/>
      </c>
      <c r="BE38" s="2" t="str">
        <f t="shared" si="6"/>
        <v/>
      </c>
      <c r="BF38" s="2" t="str">
        <f t="shared" si="7"/>
        <v/>
      </c>
      <c r="BG38" s="2" t="str">
        <f t="shared" si="8"/>
        <v/>
      </c>
      <c r="BH38" s="2" t="str">
        <f t="shared" si="9"/>
        <v/>
      </c>
      <c r="BJ38" s="2" t="str" cm="1">
        <f t="array" ref="BJ38">IF('NILAI CPL'!$B38&lt;&gt;"",IFERROR(_xlfn.IFS(AY38&gt;=$B$3,4,AY38&gt;=$B$4,3,AY38&gt;=$B$5,2,AY38&gt;$B$6,1),0),"")</f>
        <v/>
      </c>
      <c r="BK38" s="2" t="str" cm="1">
        <f t="array" ref="BK38">IF('NILAI CPL'!$B38&lt;&gt;"",IFERROR(_xlfn.IFS(AZ38&gt;=$B$3,4,AZ38&gt;=$B$4,3,AZ38&gt;=$B$5,2,AZ38&gt;$B$6,1),0),"")</f>
        <v/>
      </c>
      <c r="BL38" s="2" t="str" cm="1">
        <f t="array" ref="BL38">IF('NILAI CPL'!$B38&lt;&gt;"",IFERROR(_xlfn.IFS(BA38&gt;=$B$3,4,BA38&gt;=$B$4,3,BA38&gt;=$B$5,2,BA38&gt;$B$6,1),0),"")</f>
        <v/>
      </c>
      <c r="BM38" s="2" t="str" cm="1">
        <f t="array" ref="BM38">IF('NILAI CPL'!$B38&lt;&gt;"",IFERROR(_xlfn.IFS(BB38&gt;=$B$3,4,BB38&gt;=$B$4,3,BB38&gt;=$B$5,2,BB38&gt;$B$6,1),0),"")</f>
        <v/>
      </c>
      <c r="BN38" s="2" t="str" cm="1">
        <f t="array" ref="BN38">IF('NILAI CPL'!$B38&lt;&gt;"",IFERROR(_xlfn.IFS(BC38&gt;=$B$3,4,BC38&gt;=$B$4,3,BC38&gt;=$B$5,2,BC38&gt;$B$6,1),0),"")</f>
        <v/>
      </c>
      <c r="BO38" s="2" t="str" cm="1">
        <f t="array" ref="BO38">IF('NILAI CPL'!$B38&lt;&gt;"",IFERROR(_xlfn.IFS(BD38&gt;=$B$3,4,BD38&gt;=$B$4,3,BD38&gt;=$B$5,2,BD38&gt;$B$6,1),0),"")</f>
        <v/>
      </c>
      <c r="BP38" s="2" t="str" cm="1">
        <f t="array" ref="BP38">IF('NILAI CPL'!$B38&lt;&gt;"",IFERROR(_xlfn.IFS(BE38&gt;=$B$3,4,BE38&gt;=$B$4,3,BE38&gt;=$B$5,2,BE38&gt;$B$6,1),0),"")</f>
        <v/>
      </c>
      <c r="BQ38" s="2" t="str" cm="1">
        <f t="array" ref="BQ38">IF('NILAI CPL'!$B38&lt;&gt;"",IFERROR(_xlfn.IFS(BF38&gt;=$B$3,4,BF38&gt;=$B$4,3,BF38&gt;=$B$5,2,BF38&gt;$B$6,1),0),"")</f>
        <v/>
      </c>
      <c r="BR38" s="2" t="str" cm="1">
        <f t="array" ref="BR38">IF('NILAI CPL'!$B38&lt;&gt;"",IFERROR(_xlfn.IFS(BG38&gt;=$B$3,4,BG38&gt;=$B$4,3,BG38&gt;=$B$5,2,BG38&gt;$B$6,1),0),"")</f>
        <v/>
      </c>
      <c r="BS38" s="2" t="str" cm="1">
        <f t="array" ref="BS38">IF('NILAI CPL'!$B38&lt;&gt;"",IFERROR(_xlfn.IFS(BH38&gt;=$B$3,4,BH38&gt;=$B$4,3,BH38&gt;=$B$5,2,BH38&gt;$B$6,1),0),"")</f>
        <v/>
      </c>
    </row>
    <row r="39" spans="1:71" x14ac:dyDescent="0.2">
      <c r="A39" s="2">
        <v>29</v>
      </c>
      <c r="B39" s="2" t="str">
        <f>IF(LEN(SUMMARY!B39)&gt;0, SUMMARY!B39, "")</f>
        <v/>
      </c>
      <c r="C39" s="2" t="str">
        <f>IF(LEN(SUMMARY!C39)&gt;0, SUMMARY!C39, "")</f>
        <v/>
      </c>
      <c r="E39" s="2" t="str" cm="1">
        <f t="array" ref="E39">IF('NILAI CPL'!$B39&lt;&gt;"",IFERROR(JumlahPI(ROW(),COLUMN()),0),"")</f>
        <v/>
      </c>
      <c r="F39" s="2" t="str" cm="1">
        <f t="array" ref="F39">IF('NILAI CPL'!$B39&lt;&gt;"",IFERROR(JumlahPI(ROW(),COLUMN()),0),"")</f>
        <v/>
      </c>
      <c r="G39" s="2" t="str" cm="1">
        <f t="array" ref="G39">IF('NILAI CPL'!$B39&lt;&gt;"",IFERROR(JumlahPI(ROW(),COLUMN()),0),"")</f>
        <v/>
      </c>
      <c r="H39" s="2" t="str" cm="1">
        <f t="array" ref="H39">IF('NILAI CPL'!$B39&lt;&gt;"",IFERROR(JumlahPI(ROW(),COLUMN()),0),"")</f>
        <v/>
      </c>
      <c r="I39" s="2" t="str" cm="1">
        <f t="array" ref="I39">IF('NILAI CPL'!$B39&lt;&gt;"",IFERROR(JumlahPI(ROW(),COLUMN()),0),"")</f>
        <v/>
      </c>
      <c r="J39" s="2" t="str" cm="1">
        <f t="array" ref="J39">IF('NILAI CPL'!$B39&lt;&gt;"",IFERROR(JumlahPI(ROW(),COLUMN()),0),"")</f>
        <v/>
      </c>
      <c r="K39" s="2" t="str" cm="1">
        <f t="array" ref="K39">IF('NILAI CPL'!$B39&lt;&gt;"",IFERROR(JumlahPI(ROW(),COLUMN()),0),"")</f>
        <v/>
      </c>
      <c r="L39" s="2" t="str" cm="1">
        <f t="array" ref="L39">IF('NILAI CPL'!$B39&lt;&gt;"",IFERROR(JumlahPI(ROW(),COLUMN()),0),"")</f>
        <v/>
      </c>
      <c r="M39" s="2" t="str" cm="1">
        <f t="array" ref="M39">IF('NILAI CPL'!$B39&lt;&gt;"",IFERROR(JumlahPI(ROW(),COLUMN()),0),"")</f>
        <v/>
      </c>
      <c r="N39" s="2" t="str" cm="1">
        <f t="array" ref="N39">IF('NILAI CPL'!$B39&lt;&gt;"",IFERROR(JumlahPI(ROW(),COLUMN()),0),"")</f>
        <v/>
      </c>
      <c r="O39" s="2" t="str" cm="1">
        <f t="array" ref="O39">IF('NILAI CPL'!$B39&lt;&gt;"",IFERROR(JumlahPI(ROW(),COLUMN()),0),"")</f>
        <v/>
      </c>
      <c r="P39" s="2" t="str" cm="1">
        <f t="array" ref="P39">IF('NILAI CPL'!$B39&lt;&gt;"",IFERROR(JumlahPI(ROW(),COLUMN()),0),"")</f>
        <v/>
      </c>
      <c r="Q39" s="2" t="str" cm="1">
        <f t="array" ref="Q39">IF('NILAI CPL'!$B39&lt;&gt;"",IFERROR(JumlahPI(ROW(),COLUMN()),0),"")</f>
        <v/>
      </c>
      <c r="R39" s="2" t="str" cm="1">
        <f t="array" ref="R39">IF('NILAI CPL'!$B39&lt;&gt;"",IFERROR(JumlahPI(ROW(),COLUMN()),0),"")</f>
        <v/>
      </c>
      <c r="S39" s="2" t="str" cm="1">
        <f t="array" ref="S39">IF('NILAI CPL'!$B39&lt;&gt;"",IFERROR(JumlahPI(ROW(),COLUMN()),0),"")</f>
        <v/>
      </c>
      <c r="T39" s="2" t="str" cm="1">
        <f t="array" ref="T39">IF('NILAI CPL'!$B39&lt;&gt;"",IFERROR(JumlahPI(ROW(),COLUMN()),0),"")</f>
        <v/>
      </c>
      <c r="U39" s="2" t="str" cm="1">
        <f t="array" ref="U39">IF('NILAI CPL'!$B39&lt;&gt;"",IFERROR(JumlahPI(ROW(),COLUMN()),0),"")</f>
        <v/>
      </c>
      <c r="V39" s="2" t="str" cm="1">
        <f t="array" ref="V39">IF('NILAI CPL'!$B39&lt;&gt;"",IFERROR(JumlahPI(ROW(),COLUMN()),0),"")</f>
        <v/>
      </c>
      <c r="W39" s="2" t="str" cm="1">
        <f t="array" ref="W39">IF('NILAI CPL'!$B39&lt;&gt;"",IFERROR(JumlahPI(ROW(),COLUMN()),0),"")</f>
        <v/>
      </c>
      <c r="X39" s="2" t="str" cm="1">
        <f t="array" ref="X39">IF('NILAI CPL'!$B39&lt;&gt;"",IFERROR(JumlahPI(ROW(),COLUMN()),0),"")</f>
        <v/>
      </c>
      <c r="Y39" s="2" t="str" cm="1">
        <f t="array" ref="Y39">IF('NILAI CPL'!$B39&lt;&gt;"",IFERROR(JumlahPI(ROW(),COLUMN()),0),"")</f>
        <v/>
      </c>
      <c r="Z39" s="2" t="str" cm="1">
        <f t="array" ref="Z39">IF('NILAI CPL'!$B39&lt;&gt;"",IFERROR(JumlahPI(ROW(),COLUMN()),0),"")</f>
        <v/>
      </c>
      <c r="AB39" s="2" t="str" cm="1">
        <f t="array" ref="AB39">IF('NILAI CPL'!$B39&lt;&gt;"",IFERROR(_xlfn.IFS(E39&gt;=$B$3,4,E39&gt;=$B$4,3,E39&gt;=$B$5,2,E39&gt;$B$6,1),0),"")</f>
        <v/>
      </c>
      <c r="AC39" s="2" t="str" cm="1">
        <f t="array" ref="AC39">IF('NILAI CPL'!$B39&lt;&gt;"",IFERROR(_xlfn.IFS(F39&gt;=$B$3,4,F39&gt;=$B$4,3,F39&gt;=$B$5,2,F39&gt;$B$6,1),0),"")</f>
        <v/>
      </c>
      <c r="AD39" s="2" t="str" cm="1">
        <f t="array" ref="AD39">IF('NILAI CPL'!$B39&lt;&gt;"",IFERROR(_xlfn.IFS(G39&gt;=$B$3,4,G39&gt;=$B$4,3,G39&gt;=$B$5,2,G39&gt;$B$6,1),0),"")</f>
        <v/>
      </c>
      <c r="AE39" s="2" t="str" cm="1">
        <f t="array" ref="AE39">IF('NILAI CPL'!$B39&lt;&gt;"",IFERROR(_xlfn.IFS(H39&gt;=$B$3,4,H39&gt;=$B$4,3,H39&gt;=$B$5,2,H39&gt;$B$6,1),0),"")</f>
        <v/>
      </c>
      <c r="AF39" s="2" t="str" cm="1">
        <f t="array" ref="AF39">IF('NILAI CPL'!$B39&lt;&gt;"",IFERROR(_xlfn.IFS(I39&gt;=$B$3,4,I39&gt;=$B$4,3,I39&gt;=$B$5,2,I39&gt;$B$6,1),0),"")</f>
        <v/>
      </c>
      <c r="AG39" s="2" t="str" cm="1">
        <f t="array" ref="AG39">IF('NILAI CPL'!$B39&lt;&gt;"",IFERROR(_xlfn.IFS(J39&gt;=$B$3,4,J39&gt;=$B$4,3,J39&gt;=$B$5,2,J39&gt;$B$6,1),0),"")</f>
        <v/>
      </c>
      <c r="AH39" s="2" t="str" cm="1">
        <f t="array" ref="AH39">IF('NILAI CPL'!$B39&lt;&gt;"",IFERROR(_xlfn.IFS(K39&gt;=$B$3,4,K39&gt;=$B$4,3,K39&gt;=$B$5,2,K39&gt;$B$6,1),0),"")</f>
        <v/>
      </c>
      <c r="AI39" s="2" t="str" cm="1">
        <f t="array" ref="AI39">IF('NILAI CPL'!$B39&lt;&gt;"",IFERROR(_xlfn.IFS(L39&gt;=$B$3,4,L39&gt;=$B$4,3,L39&gt;=$B$5,2,L39&gt;$B$6,1),0),"")</f>
        <v/>
      </c>
      <c r="AJ39" s="2" t="str" cm="1">
        <f t="array" ref="AJ39">IF('NILAI CPL'!$B39&lt;&gt;"",IFERROR(_xlfn.IFS(M39&gt;=$B$3,4,M39&gt;=$B$4,3,M39&gt;=$B$5,2,M39&gt;$B$6,1),0),"")</f>
        <v/>
      </c>
      <c r="AK39" s="2" t="str" cm="1">
        <f t="array" ref="AK39">IF('NILAI CPL'!$B39&lt;&gt;"",IFERROR(_xlfn.IFS(N39&gt;=$B$3,4,N39&gt;=$B$4,3,N39&gt;=$B$5,2,N39&gt;$B$6,1),0),"")</f>
        <v/>
      </c>
      <c r="AL39" s="2" t="str" cm="1">
        <f t="array" ref="AL39">IF('NILAI CPL'!$B39&lt;&gt;"",IFERROR(_xlfn.IFS(O39&gt;=$B$3,4,O39&gt;=$B$4,3,O39&gt;=$B$5,2,O39&gt;$B$6,1),0),"")</f>
        <v/>
      </c>
      <c r="AM39" s="2" t="str" cm="1">
        <f t="array" ref="AM39">IF('NILAI CPL'!$B39&lt;&gt;"",IFERROR(_xlfn.IFS(P39&gt;=$B$3,4,P39&gt;=$B$4,3,P39&gt;=$B$5,2,P39&gt;$B$6,1),0),"")</f>
        <v/>
      </c>
      <c r="AN39" s="2" t="str" cm="1">
        <f t="array" ref="AN39">IF('NILAI CPL'!$B39&lt;&gt;"",IFERROR(_xlfn.IFS(Q39&gt;=$B$3,4,Q39&gt;=$B$4,3,Q39&gt;=$B$5,2,Q39&gt;$B$6,1),0),"")</f>
        <v/>
      </c>
      <c r="AO39" s="2" t="str" cm="1">
        <f t="array" ref="AO39">IF('NILAI CPL'!$B39&lt;&gt;"",IFERROR(_xlfn.IFS(R39&gt;=$B$3,4,R39&gt;=$B$4,3,R39&gt;=$B$5,2,R39&gt;$B$6,1),0),"")</f>
        <v/>
      </c>
      <c r="AP39" s="2" t="str" cm="1">
        <f t="array" ref="AP39">IF('NILAI CPL'!$B39&lt;&gt;"",IFERROR(_xlfn.IFS(S39&gt;=$B$3,4,S39&gt;=$B$4,3,S39&gt;=$B$5,2,S39&gt;$B$6,1),0),"")</f>
        <v/>
      </c>
      <c r="AQ39" s="2" t="str" cm="1">
        <f t="array" ref="AQ39">IF('NILAI CPL'!$B39&lt;&gt;"",IFERROR(_xlfn.IFS(T39&gt;=$B$3,4,T39&gt;=$B$4,3,T39&gt;=$B$5,2,T39&gt;$B$6,1),0),"")</f>
        <v/>
      </c>
      <c r="AR39" s="2" t="str" cm="1">
        <f t="array" ref="AR39">IF('NILAI CPL'!$B39&lt;&gt;"",IFERROR(_xlfn.IFS(U39&gt;=$B$3,4,U39&gt;=$B$4,3,U39&gt;=$B$5,2,U39&gt;$B$6,1),0),"")</f>
        <v/>
      </c>
      <c r="AS39" s="2" t="str" cm="1">
        <f t="array" ref="AS39">IF('NILAI CPL'!$B39&lt;&gt;"",IFERROR(_xlfn.IFS(V39&gt;=$B$3,4,V39&gt;=$B$4,3,V39&gt;=$B$5,2,V39&gt;$B$6,1),0),"")</f>
        <v/>
      </c>
      <c r="AT39" s="2" t="str" cm="1">
        <f t="array" ref="AT39">IF('NILAI CPL'!$B39&lt;&gt;"",IFERROR(_xlfn.IFS(W39&gt;=$B$3,4,W39&gt;=$B$4,3,W39&gt;=$B$5,2,W39&gt;$B$6,1),0),"")</f>
        <v/>
      </c>
      <c r="AU39" s="2" t="str" cm="1">
        <f t="array" ref="AU39">IF('NILAI CPL'!$B39&lt;&gt;"",IFERROR(_xlfn.IFS(X39&gt;=$B$3,4,X39&gt;=$B$4,3,X39&gt;=$B$5,2,X39&gt;$B$6,1),0),"")</f>
        <v/>
      </c>
      <c r="AV39" s="2" t="str" cm="1">
        <f t="array" ref="AV39">IF('NILAI CPL'!$B39&lt;&gt;"",IFERROR(_xlfn.IFS(Y39&gt;=$B$3,4,Y39&gt;=$B$4,3,Y39&gt;=$B$5,2,Y39&gt;$B$6,1),0),"")</f>
        <v/>
      </c>
      <c r="AW39" s="2" t="str" cm="1">
        <f t="array" ref="AW39">IF('NILAI CPL'!$B39&lt;&gt;"",IFERROR(_xlfn.IFS(Z39&gt;=$B$3,4,Z39&gt;=$B$4,3,Z39&gt;=$B$5,2,Z39&gt;$B$6,1),0),"")</f>
        <v/>
      </c>
      <c r="AY39" s="2" t="str">
        <f t="shared" si="0"/>
        <v/>
      </c>
      <c r="AZ39" s="2" t="str">
        <f t="shared" si="1"/>
        <v/>
      </c>
      <c r="BA39" s="2" t="str">
        <f t="shared" si="2"/>
        <v/>
      </c>
      <c r="BB39" s="2" t="str">
        <f t="shared" si="3"/>
        <v/>
      </c>
      <c r="BC39" s="2" t="str">
        <f t="shared" si="4"/>
        <v/>
      </c>
      <c r="BD39" s="2" t="str">
        <f t="shared" si="5"/>
        <v/>
      </c>
      <c r="BE39" s="2" t="str">
        <f t="shared" si="6"/>
        <v/>
      </c>
      <c r="BF39" s="2" t="str">
        <f t="shared" si="7"/>
        <v/>
      </c>
      <c r="BG39" s="2" t="str">
        <f t="shared" si="8"/>
        <v/>
      </c>
      <c r="BH39" s="2" t="str">
        <f t="shared" si="9"/>
        <v/>
      </c>
      <c r="BJ39" s="2" t="str" cm="1">
        <f t="array" ref="BJ39">IF('NILAI CPL'!$B39&lt;&gt;"",IFERROR(_xlfn.IFS(AY39&gt;=$B$3,4,AY39&gt;=$B$4,3,AY39&gt;=$B$5,2,AY39&gt;$B$6,1),0),"")</f>
        <v/>
      </c>
      <c r="BK39" s="2" t="str" cm="1">
        <f t="array" ref="BK39">IF('NILAI CPL'!$B39&lt;&gt;"",IFERROR(_xlfn.IFS(AZ39&gt;=$B$3,4,AZ39&gt;=$B$4,3,AZ39&gt;=$B$5,2,AZ39&gt;$B$6,1),0),"")</f>
        <v/>
      </c>
      <c r="BL39" s="2" t="str" cm="1">
        <f t="array" ref="BL39">IF('NILAI CPL'!$B39&lt;&gt;"",IFERROR(_xlfn.IFS(BA39&gt;=$B$3,4,BA39&gt;=$B$4,3,BA39&gt;=$B$5,2,BA39&gt;$B$6,1),0),"")</f>
        <v/>
      </c>
      <c r="BM39" s="2" t="str" cm="1">
        <f t="array" ref="BM39">IF('NILAI CPL'!$B39&lt;&gt;"",IFERROR(_xlfn.IFS(BB39&gt;=$B$3,4,BB39&gt;=$B$4,3,BB39&gt;=$B$5,2,BB39&gt;$B$6,1),0),"")</f>
        <v/>
      </c>
      <c r="BN39" s="2" t="str" cm="1">
        <f t="array" ref="BN39">IF('NILAI CPL'!$B39&lt;&gt;"",IFERROR(_xlfn.IFS(BC39&gt;=$B$3,4,BC39&gt;=$B$4,3,BC39&gt;=$B$5,2,BC39&gt;$B$6,1),0),"")</f>
        <v/>
      </c>
      <c r="BO39" s="2" t="str" cm="1">
        <f t="array" ref="BO39">IF('NILAI CPL'!$B39&lt;&gt;"",IFERROR(_xlfn.IFS(BD39&gt;=$B$3,4,BD39&gt;=$B$4,3,BD39&gt;=$B$5,2,BD39&gt;$B$6,1),0),"")</f>
        <v/>
      </c>
      <c r="BP39" s="2" t="str" cm="1">
        <f t="array" ref="BP39">IF('NILAI CPL'!$B39&lt;&gt;"",IFERROR(_xlfn.IFS(BE39&gt;=$B$3,4,BE39&gt;=$B$4,3,BE39&gt;=$B$5,2,BE39&gt;$B$6,1),0),"")</f>
        <v/>
      </c>
      <c r="BQ39" s="2" t="str" cm="1">
        <f t="array" ref="BQ39">IF('NILAI CPL'!$B39&lt;&gt;"",IFERROR(_xlfn.IFS(BF39&gt;=$B$3,4,BF39&gt;=$B$4,3,BF39&gt;=$B$5,2,BF39&gt;$B$6,1),0),"")</f>
        <v/>
      </c>
      <c r="BR39" s="2" t="str" cm="1">
        <f t="array" ref="BR39">IF('NILAI CPL'!$B39&lt;&gt;"",IFERROR(_xlfn.IFS(BG39&gt;=$B$3,4,BG39&gt;=$B$4,3,BG39&gt;=$B$5,2,BG39&gt;$B$6,1),0),"")</f>
        <v/>
      </c>
      <c r="BS39" s="2" t="str" cm="1">
        <f t="array" ref="BS39">IF('NILAI CPL'!$B39&lt;&gt;"",IFERROR(_xlfn.IFS(BH39&gt;=$B$3,4,BH39&gt;=$B$4,3,BH39&gt;=$B$5,2,BH39&gt;$B$6,1),0),"")</f>
        <v/>
      </c>
    </row>
    <row r="40" spans="1:71" x14ac:dyDescent="0.2">
      <c r="A40" s="2">
        <v>30</v>
      </c>
      <c r="B40" s="2" t="str">
        <f>IF(LEN(SUMMARY!B40)&gt;0, SUMMARY!B40, "")</f>
        <v/>
      </c>
      <c r="C40" s="2" t="str">
        <f>IF(LEN(SUMMARY!C40)&gt;0, SUMMARY!C40, "")</f>
        <v/>
      </c>
      <c r="E40" s="2" t="str" cm="1">
        <f t="array" ref="E40">IF('NILAI CPL'!$B40&lt;&gt;"",IFERROR(JumlahPI(ROW(),COLUMN()),0),"")</f>
        <v/>
      </c>
      <c r="F40" s="2" t="str" cm="1">
        <f t="array" ref="F40">IF('NILAI CPL'!$B40&lt;&gt;"",IFERROR(JumlahPI(ROW(),COLUMN()),0),"")</f>
        <v/>
      </c>
      <c r="G40" s="2" t="str" cm="1">
        <f t="array" ref="G40">IF('NILAI CPL'!$B40&lt;&gt;"",IFERROR(JumlahPI(ROW(),COLUMN()),0),"")</f>
        <v/>
      </c>
      <c r="H40" s="2" t="str" cm="1">
        <f t="array" ref="H40">IF('NILAI CPL'!$B40&lt;&gt;"",IFERROR(JumlahPI(ROW(),COLUMN()),0),"")</f>
        <v/>
      </c>
      <c r="I40" s="2" t="str" cm="1">
        <f t="array" ref="I40">IF('NILAI CPL'!$B40&lt;&gt;"",IFERROR(JumlahPI(ROW(),COLUMN()),0),"")</f>
        <v/>
      </c>
      <c r="J40" s="2" t="str" cm="1">
        <f t="array" ref="J40">IF('NILAI CPL'!$B40&lt;&gt;"",IFERROR(JumlahPI(ROW(),COLUMN()),0),"")</f>
        <v/>
      </c>
      <c r="K40" s="2" t="str" cm="1">
        <f t="array" ref="K40">IF('NILAI CPL'!$B40&lt;&gt;"",IFERROR(JumlahPI(ROW(),COLUMN()),0),"")</f>
        <v/>
      </c>
      <c r="L40" s="2" t="str" cm="1">
        <f t="array" ref="L40">IF('NILAI CPL'!$B40&lt;&gt;"",IFERROR(JumlahPI(ROW(),COLUMN()),0),"")</f>
        <v/>
      </c>
      <c r="M40" s="2" t="str" cm="1">
        <f t="array" ref="M40">IF('NILAI CPL'!$B40&lt;&gt;"",IFERROR(JumlahPI(ROW(),COLUMN()),0),"")</f>
        <v/>
      </c>
      <c r="N40" s="2" t="str" cm="1">
        <f t="array" ref="N40">IF('NILAI CPL'!$B40&lt;&gt;"",IFERROR(JumlahPI(ROW(),COLUMN()),0),"")</f>
        <v/>
      </c>
      <c r="O40" s="2" t="str" cm="1">
        <f t="array" ref="O40">IF('NILAI CPL'!$B40&lt;&gt;"",IFERROR(JumlahPI(ROW(),COLUMN()),0),"")</f>
        <v/>
      </c>
      <c r="P40" s="2" t="str" cm="1">
        <f t="array" ref="P40">IF('NILAI CPL'!$B40&lt;&gt;"",IFERROR(JumlahPI(ROW(),COLUMN()),0),"")</f>
        <v/>
      </c>
      <c r="Q40" s="2" t="str" cm="1">
        <f t="array" ref="Q40">IF('NILAI CPL'!$B40&lt;&gt;"",IFERROR(JumlahPI(ROW(),COLUMN()),0),"")</f>
        <v/>
      </c>
      <c r="R40" s="2" t="str" cm="1">
        <f t="array" ref="R40">IF('NILAI CPL'!$B40&lt;&gt;"",IFERROR(JumlahPI(ROW(),COLUMN()),0),"")</f>
        <v/>
      </c>
      <c r="S40" s="2" t="str" cm="1">
        <f t="array" ref="S40">IF('NILAI CPL'!$B40&lt;&gt;"",IFERROR(JumlahPI(ROW(),COLUMN()),0),"")</f>
        <v/>
      </c>
      <c r="T40" s="2" t="str" cm="1">
        <f t="array" ref="T40">IF('NILAI CPL'!$B40&lt;&gt;"",IFERROR(JumlahPI(ROW(),COLUMN()),0),"")</f>
        <v/>
      </c>
      <c r="U40" s="2" t="str" cm="1">
        <f t="array" ref="U40">IF('NILAI CPL'!$B40&lt;&gt;"",IFERROR(JumlahPI(ROW(),COLUMN()),0),"")</f>
        <v/>
      </c>
      <c r="V40" s="2" t="str" cm="1">
        <f t="array" ref="V40">IF('NILAI CPL'!$B40&lt;&gt;"",IFERROR(JumlahPI(ROW(),COLUMN()),0),"")</f>
        <v/>
      </c>
      <c r="W40" s="2" t="str" cm="1">
        <f t="array" ref="W40">IF('NILAI CPL'!$B40&lt;&gt;"",IFERROR(JumlahPI(ROW(),COLUMN()),0),"")</f>
        <v/>
      </c>
      <c r="X40" s="2" t="str" cm="1">
        <f t="array" ref="X40">IF('NILAI CPL'!$B40&lt;&gt;"",IFERROR(JumlahPI(ROW(),COLUMN()),0),"")</f>
        <v/>
      </c>
      <c r="Y40" s="2" t="str" cm="1">
        <f t="array" ref="Y40">IF('NILAI CPL'!$B40&lt;&gt;"",IFERROR(JumlahPI(ROW(),COLUMN()),0),"")</f>
        <v/>
      </c>
      <c r="Z40" s="2" t="str" cm="1">
        <f t="array" ref="Z40">IF('NILAI CPL'!$B40&lt;&gt;"",IFERROR(JumlahPI(ROW(),COLUMN()),0),"")</f>
        <v/>
      </c>
      <c r="AB40" s="2" t="str" cm="1">
        <f t="array" ref="AB40">IF('NILAI CPL'!$B40&lt;&gt;"",IFERROR(_xlfn.IFS(E40&gt;=$B$3,4,E40&gt;=$B$4,3,E40&gt;=$B$5,2,E40&gt;$B$6,1),0),"")</f>
        <v/>
      </c>
      <c r="AC40" s="2" t="str" cm="1">
        <f t="array" ref="AC40">IF('NILAI CPL'!$B40&lt;&gt;"",IFERROR(_xlfn.IFS(F40&gt;=$B$3,4,F40&gt;=$B$4,3,F40&gt;=$B$5,2,F40&gt;$B$6,1),0),"")</f>
        <v/>
      </c>
      <c r="AD40" s="2" t="str" cm="1">
        <f t="array" ref="AD40">IF('NILAI CPL'!$B40&lt;&gt;"",IFERROR(_xlfn.IFS(G40&gt;=$B$3,4,G40&gt;=$B$4,3,G40&gt;=$B$5,2,G40&gt;$B$6,1),0),"")</f>
        <v/>
      </c>
      <c r="AE40" s="2" t="str" cm="1">
        <f t="array" ref="AE40">IF('NILAI CPL'!$B40&lt;&gt;"",IFERROR(_xlfn.IFS(H40&gt;=$B$3,4,H40&gt;=$B$4,3,H40&gt;=$B$5,2,H40&gt;$B$6,1),0),"")</f>
        <v/>
      </c>
      <c r="AF40" s="2" t="str" cm="1">
        <f t="array" ref="AF40">IF('NILAI CPL'!$B40&lt;&gt;"",IFERROR(_xlfn.IFS(I40&gt;=$B$3,4,I40&gt;=$B$4,3,I40&gt;=$B$5,2,I40&gt;$B$6,1),0),"")</f>
        <v/>
      </c>
      <c r="AG40" s="2" t="str" cm="1">
        <f t="array" ref="AG40">IF('NILAI CPL'!$B40&lt;&gt;"",IFERROR(_xlfn.IFS(J40&gt;=$B$3,4,J40&gt;=$B$4,3,J40&gt;=$B$5,2,J40&gt;$B$6,1),0),"")</f>
        <v/>
      </c>
      <c r="AH40" s="2" t="str" cm="1">
        <f t="array" ref="AH40">IF('NILAI CPL'!$B40&lt;&gt;"",IFERROR(_xlfn.IFS(K40&gt;=$B$3,4,K40&gt;=$B$4,3,K40&gt;=$B$5,2,K40&gt;$B$6,1),0),"")</f>
        <v/>
      </c>
      <c r="AI40" s="2" t="str" cm="1">
        <f t="array" ref="AI40">IF('NILAI CPL'!$B40&lt;&gt;"",IFERROR(_xlfn.IFS(L40&gt;=$B$3,4,L40&gt;=$B$4,3,L40&gt;=$B$5,2,L40&gt;$B$6,1),0),"")</f>
        <v/>
      </c>
      <c r="AJ40" s="2" t="str" cm="1">
        <f t="array" ref="AJ40">IF('NILAI CPL'!$B40&lt;&gt;"",IFERROR(_xlfn.IFS(M40&gt;=$B$3,4,M40&gt;=$B$4,3,M40&gt;=$B$5,2,M40&gt;$B$6,1),0),"")</f>
        <v/>
      </c>
      <c r="AK40" s="2" t="str" cm="1">
        <f t="array" ref="AK40">IF('NILAI CPL'!$B40&lt;&gt;"",IFERROR(_xlfn.IFS(N40&gt;=$B$3,4,N40&gt;=$B$4,3,N40&gt;=$B$5,2,N40&gt;$B$6,1),0),"")</f>
        <v/>
      </c>
      <c r="AL40" s="2" t="str" cm="1">
        <f t="array" ref="AL40">IF('NILAI CPL'!$B40&lt;&gt;"",IFERROR(_xlfn.IFS(O40&gt;=$B$3,4,O40&gt;=$B$4,3,O40&gt;=$B$5,2,O40&gt;$B$6,1),0),"")</f>
        <v/>
      </c>
      <c r="AM40" s="2" t="str" cm="1">
        <f t="array" ref="AM40">IF('NILAI CPL'!$B40&lt;&gt;"",IFERROR(_xlfn.IFS(P40&gt;=$B$3,4,P40&gt;=$B$4,3,P40&gt;=$B$5,2,P40&gt;$B$6,1),0),"")</f>
        <v/>
      </c>
      <c r="AN40" s="2" t="str" cm="1">
        <f t="array" ref="AN40">IF('NILAI CPL'!$B40&lt;&gt;"",IFERROR(_xlfn.IFS(Q40&gt;=$B$3,4,Q40&gt;=$B$4,3,Q40&gt;=$B$5,2,Q40&gt;$B$6,1),0),"")</f>
        <v/>
      </c>
      <c r="AO40" s="2" t="str" cm="1">
        <f t="array" ref="AO40">IF('NILAI CPL'!$B40&lt;&gt;"",IFERROR(_xlfn.IFS(R40&gt;=$B$3,4,R40&gt;=$B$4,3,R40&gt;=$B$5,2,R40&gt;$B$6,1),0),"")</f>
        <v/>
      </c>
      <c r="AP40" s="2" t="str" cm="1">
        <f t="array" ref="AP40">IF('NILAI CPL'!$B40&lt;&gt;"",IFERROR(_xlfn.IFS(S40&gt;=$B$3,4,S40&gt;=$B$4,3,S40&gt;=$B$5,2,S40&gt;$B$6,1),0),"")</f>
        <v/>
      </c>
      <c r="AQ40" s="2" t="str" cm="1">
        <f t="array" ref="AQ40">IF('NILAI CPL'!$B40&lt;&gt;"",IFERROR(_xlfn.IFS(T40&gt;=$B$3,4,T40&gt;=$B$4,3,T40&gt;=$B$5,2,T40&gt;$B$6,1),0),"")</f>
        <v/>
      </c>
      <c r="AR40" s="2" t="str" cm="1">
        <f t="array" ref="AR40">IF('NILAI CPL'!$B40&lt;&gt;"",IFERROR(_xlfn.IFS(U40&gt;=$B$3,4,U40&gt;=$B$4,3,U40&gt;=$B$5,2,U40&gt;$B$6,1),0),"")</f>
        <v/>
      </c>
      <c r="AS40" s="2" t="str" cm="1">
        <f t="array" ref="AS40">IF('NILAI CPL'!$B40&lt;&gt;"",IFERROR(_xlfn.IFS(V40&gt;=$B$3,4,V40&gt;=$B$4,3,V40&gt;=$B$5,2,V40&gt;$B$6,1),0),"")</f>
        <v/>
      </c>
      <c r="AT40" s="2" t="str" cm="1">
        <f t="array" ref="AT40">IF('NILAI CPL'!$B40&lt;&gt;"",IFERROR(_xlfn.IFS(W40&gt;=$B$3,4,W40&gt;=$B$4,3,W40&gt;=$B$5,2,W40&gt;$B$6,1),0),"")</f>
        <v/>
      </c>
      <c r="AU40" s="2" t="str" cm="1">
        <f t="array" ref="AU40">IF('NILAI CPL'!$B40&lt;&gt;"",IFERROR(_xlfn.IFS(X40&gt;=$B$3,4,X40&gt;=$B$4,3,X40&gt;=$B$5,2,X40&gt;$B$6,1),0),"")</f>
        <v/>
      </c>
      <c r="AV40" s="2" t="str" cm="1">
        <f t="array" ref="AV40">IF('NILAI CPL'!$B40&lt;&gt;"",IFERROR(_xlfn.IFS(Y40&gt;=$B$3,4,Y40&gt;=$B$4,3,Y40&gt;=$B$5,2,Y40&gt;$B$6,1),0),"")</f>
        <v/>
      </c>
      <c r="AW40" s="2" t="str" cm="1">
        <f t="array" ref="AW40">IF('NILAI CPL'!$B40&lt;&gt;"",IFERROR(_xlfn.IFS(Z40&gt;=$B$3,4,Z40&gt;=$B$4,3,Z40&gt;=$B$5,2,Z40&gt;$B$6,1),0),"")</f>
        <v/>
      </c>
      <c r="AY40" s="2" t="str">
        <f t="shared" si="0"/>
        <v/>
      </c>
      <c r="AZ40" s="2" t="str">
        <f t="shared" si="1"/>
        <v/>
      </c>
      <c r="BA40" s="2" t="str">
        <f t="shared" si="2"/>
        <v/>
      </c>
      <c r="BB40" s="2" t="str">
        <f t="shared" si="3"/>
        <v/>
      </c>
      <c r="BC40" s="2" t="str">
        <f t="shared" si="4"/>
        <v/>
      </c>
      <c r="BD40" s="2" t="str">
        <f t="shared" si="5"/>
        <v/>
      </c>
      <c r="BE40" s="2" t="str">
        <f t="shared" si="6"/>
        <v/>
      </c>
      <c r="BF40" s="2" t="str">
        <f t="shared" si="7"/>
        <v/>
      </c>
      <c r="BG40" s="2" t="str">
        <f t="shared" si="8"/>
        <v/>
      </c>
      <c r="BH40" s="2" t="str">
        <f t="shared" si="9"/>
        <v/>
      </c>
      <c r="BJ40" s="2" t="str" cm="1">
        <f t="array" ref="BJ40">IF('NILAI CPL'!$B40&lt;&gt;"",IFERROR(_xlfn.IFS(AY40&gt;=$B$3,4,AY40&gt;=$B$4,3,AY40&gt;=$B$5,2,AY40&gt;$B$6,1),0),"")</f>
        <v/>
      </c>
      <c r="BK40" s="2" t="str" cm="1">
        <f t="array" ref="BK40">IF('NILAI CPL'!$B40&lt;&gt;"",IFERROR(_xlfn.IFS(AZ40&gt;=$B$3,4,AZ40&gt;=$B$4,3,AZ40&gt;=$B$5,2,AZ40&gt;$B$6,1),0),"")</f>
        <v/>
      </c>
      <c r="BL40" s="2" t="str" cm="1">
        <f t="array" ref="BL40">IF('NILAI CPL'!$B40&lt;&gt;"",IFERROR(_xlfn.IFS(BA40&gt;=$B$3,4,BA40&gt;=$B$4,3,BA40&gt;=$B$5,2,BA40&gt;$B$6,1),0),"")</f>
        <v/>
      </c>
      <c r="BM40" s="2" t="str" cm="1">
        <f t="array" ref="BM40">IF('NILAI CPL'!$B40&lt;&gt;"",IFERROR(_xlfn.IFS(BB40&gt;=$B$3,4,BB40&gt;=$B$4,3,BB40&gt;=$B$5,2,BB40&gt;$B$6,1),0),"")</f>
        <v/>
      </c>
      <c r="BN40" s="2" t="str" cm="1">
        <f t="array" ref="BN40">IF('NILAI CPL'!$B40&lt;&gt;"",IFERROR(_xlfn.IFS(BC40&gt;=$B$3,4,BC40&gt;=$B$4,3,BC40&gt;=$B$5,2,BC40&gt;$B$6,1),0),"")</f>
        <v/>
      </c>
      <c r="BO40" s="2" t="str" cm="1">
        <f t="array" ref="BO40">IF('NILAI CPL'!$B40&lt;&gt;"",IFERROR(_xlfn.IFS(BD40&gt;=$B$3,4,BD40&gt;=$B$4,3,BD40&gt;=$B$5,2,BD40&gt;$B$6,1),0),"")</f>
        <v/>
      </c>
      <c r="BP40" s="2" t="str" cm="1">
        <f t="array" ref="BP40">IF('NILAI CPL'!$B40&lt;&gt;"",IFERROR(_xlfn.IFS(BE40&gt;=$B$3,4,BE40&gt;=$B$4,3,BE40&gt;=$B$5,2,BE40&gt;$B$6,1),0),"")</f>
        <v/>
      </c>
      <c r="BQ40" s="2" t="str" cm="1">
        <f t="array" ref="BQ40">IF('NILAI CPL'!$B40&lt;&gt;"",IFERROR(_xlfn.IFS(BF40&gt;=$B$3,4,BF40&gt;=$B$4,3,BF40&gt;=$B$5,2,BF40&gt;$B$6,1),0),"")</f>
        <v/>
      </c>
      <c r="BR40" s="2" t="str" cm="1">
        <f t="array" ref="BR40">IF('NILAI CPL'!$B40&lt;&gt;"",IFERROR(_xlfn.IFS(BG40&gt;=$B$3,4,BG40&gt;=$B$4,3,BG40&gt;=$B$5,2,BG40&gt;$B$6,1),0),"")</f>
        <v/>
      </c>
      <c r="BS40" s="2" t="str" cm="1">
        <f t="array" ref="BS40">IF('NILAI CPL'!$B40&lt;&gt;"",IFERROR(_xlfn.IFS(BH40&gt;=$B$3,4,BH40&gt;=$B$4,3,BH40&gt;=$B$5,2,BH40&gt;$B$6,1),0),"")</f>
        <v/>
      </c>
    </row>
    <row r="41" spans="1:71" x14ac:dyDescent="0.2">
      <c r="A41" s="2">
        <v>31</v>
      </c>
      <c r="B41" s="2" t="str">
        <f>IF(LEN(SUMMARY!B41)&gt;0, SUMMARY!B41, "")</f>
        <v/>
      </c>
      <c r="C41" s="2" t="str">
        <f>IF(LEN(SUMMARY!C41)&gt;0, SUMMARY!C41, "")</f>
        <v/>
      </c>
      <c r="E41" s="2" t="str" cm="1">
        <f t="array" ref="E41">IF('NILAI CPL'!$B41&lt;&gt;"",IFERROR(JumlahPI(ROW(),COLUMN()),0),"")</f>
        <v/>
      </c>
      <c r="F41" s="2" t="str" cm="1">
        <f t="array" ref="F41">IF('NILAI CPL'!$B41&lt;&gt;"",IFERROR(JumlahPI(ROW(),COLUMN()),0),"")</f>
        <v/>
      </c>
      <c r="G41" s="2" t="str" cm="1">
        <f t="array" ref="G41">IF('NILAI CPL'!$B41&lt;&gt;"",IFERROR(JumlahPI(ROW(),COLUMN()),0),"")</f>
        <v/>
      </c>
      <c r="H41" s="2" t="str" cm="1">
        <f t="array" ref="H41">IF('NILAI CPL'!$B41&lt;&gt;"",IFERROR(JumlahPI(ROW(),COLUMN()),0),"")</f>
        <v/>
      </c>
      <c r="I41" s="2" t="str" cm="1">
        <f t="array" ref="I41">IF('NILAI CPL'!$B41&lt;&gt;"",IFERROR(JumlahPI(ROW(),COLUMN()),0),"")</f>
        <v/>
      </c>
      <c r="J41" s="2" t="str" cm="1">
        <f t="array" ref="J41">IF('NILAI CPL'!$B41&lt;&gt;"",IFERROR(JumlahPI(ROW(),COLUMN()),0),"")</f>
        <v/>
      </c>
      <c r="K41" s="2" t="str" cm="1">
        <f t="array" ref="K41">IF('NILAI CPL'!$B41&lt;&gt;"",IFERROR(JumlahPI(ROW(),COLUMN()),0),"")</f>
        <v/>
      </c>
      <c r="L41" s="2" t="str" cm="1">
        <f t="array" ref="L41">IF('NILAI CPL'!$B41&lt;&gt;"",IFERROR(JumlahPI(ROW(),COLUMN()),0),"")</f>
        <v/>
      </c>
      <c r="M41" s="2" t="str" cm="1">
        <f t="array" ref="M41">IF('NILAI CPL'!$B41&lt;&gt;"",IFERROR(JumlahPI(ROW(),COLUMN()),0),"")</f>
        <v/>
      </c>
      <c r="N41" s="2" t="str" cm="1">
        <f t="array" ref="N41">IF('NILAI CPL'!$B41&lt;&gt;"",IFERROR(JumlahPI(ROW(),COLUMN()),0),"")</f>
        <v/>
      </c>
      <c r="O41" s="2" t="str" cm="1">
        <f t="array" ref="O41">IF('NILAI CPL'!$B41&lt;&gt;"",IFERROR(JumlahPI(ROW(),COLUMN()),0),"")</f>
        <v/>
      </c>
      <c r="P41" s="2" t="str" cm="1">
        <f t="array" ref="P41">IF('NILAI CPL'!$B41&lt;&gt;"",IFERROR(JumlahPI(ROW(),COLUMN()),0),"")</f>
        <v/>
      </c>
      <c r="Q41" s="2" t="str" cm="1">
        <f t="array" ref="Q41">IF('NILAI CPL'!$B41&lt;&gt;"",IFERROR(JumlahPI(ROW(),COLUMN()),0),"")</f>
        <v/>
      </c>
      <c r="R41" s="2" t="str" cm="1">
        <f t="array" ref="R41">IF('NILAI CPL'!$B41&lt;&gt;"",IFERROR(JumlahPI(ROW(),COLUMN()),0),"")</f>
        <v/>
      </c>
      <c r="S41" s="2" t="str" cm="1">
        <f t="array" ref="S41">IF('NILAI CPL'!$B41&lt;&gt;"",IFERROR(JumlahPI(ROW(),COLUMN()),0),"")</f>
        <v/>
      </c>
      <c r="T41" s="2" t="str" cm="1">
        <f t="array" ref="T41">IF('NILAI CPL'!$B41&lt;&gt;"",IFERROR(JumlahPI(ROW(),COLUMN()),0),"")</f>
        <v/>
      </c>
      <c r="U41" s="2" t="str" cm="1">
        <f t="array" ref="U41">IF('NILAI CPL'!$B41&lt;&gt;"",IFERROR(JumlahPI(ROW(),COLUMN()),0),"")</f>
        <v/>
      </c>
      <c r="V41" s="2" t="str" cm="1">
        <f t="array" ref="V41">IF('NILAI CPL'!$B41&lt;&gt;"",IFERROR(JumlahPI(ROW(),COLUMN()),0),"")</f>
        <v/>
      </c>
      <c r="W41" s="2" t="str" cm="1">
        <f t="array" ref="W41">IF('NILAI CPL'!$B41&lt;&gt;"",IFERROR(JumlahPI(ROW(),COLUMN()),0),"")</f>
        <v/>
      </c>
      <c r="X41" s="2" t="str" cm="1">
        <f t="array" ref="X41">IF('NILAI CPL'!$B41&lt;&gt;"",IFERROR(JumlahPI(ROW(),COLUMN()),0),"")</f>
        <v/>
      </c>
      <c r="Y41" s="2" t="str" cm="1">
        <f t="array" ref="Y41">IF('NILAI CPL'!$B41&lt;&gt;"",IFERROR(JumlahPI(ROW(),COLUMN()),0),"")</f>
        <v/>
      </c>
      <c r="Z41" s="2" t="str" cm="1">
        <f t="array" ref="Z41">IF('NILAI CPL'!$B41&lt;&gt;"",IFERROR(JumlahPI(ROW(),COLUMN()),0),"")</f>
        <v/>
      </c>
      <c r="AB41" s="2" t="str" cm="1">
        <f t="array" ref="AB41">IF('NILAI CPL'!$B41&lt;&gt;"",IFERROR(_xlfn.IFS(E41&gt;=$B$3,4,E41&gt;=$B$4,3,E41&gt;=$B$5,2,E41&gt;$B$6,1),0),"")</f>
        <v/>
      </c>
      <c r="AC41" s="2" t="str" cm="1">
        <f t="array" ref="AC41">IF('NILAI CPL'!$B41&lt;&gt;"",IFERROR(_xlfn.IFS(F41&gt;=$B$3,4,F41&gt;=$B$4,3,F41&gt;=$B$5,2,F41&gt;$B$6,1),0),"")</f>
        <v/>
      </c>
      <c r="AD41" s="2" t="str" cm="1">
        <f t="array" ref="AD41">IF('NILAI CPL'!$B41&lt;&gt;"",IFERROR(_xlfn.IFS(G41&gt;=$B$3,4,G41&gt;=$B$4,3,G41&gt;=$B$5,2,G41&gt;$B$6,1),0),"")</f>
        <v/>
      </c>
      <c r="AE41" s="2" t="str" cm="1">
        <f t="array" ref="AE41">IF('NILAI CPL'!$B41&lt;&gt;"",IFERROR(_xlfn.IFS(H41&gt;=$B$3,4,H41&gt;=$B$4,3,H41&gt;=$B$5,2,H41&gt;$B$6,1),0),"")</f>
        <v/>
      </c>
      <c r="AF41" s="2" t="str" cm="1">
        <f t="array" ref="AF41">IF('NILAI CPL'!$B41&lt;&gt;"",IFERROR(_xlfn.IFS(I41&gt;=$B$3,4,I41&gt;=$B$4,3,I41&gt;=$B$5,2,I41&gt;$B$6,1),0),"")</f>
        <v/>
      </c>
      <c r="AG41" s="2" t="str" cm="1">
        <f t="array" ref="AG41">IF('NILAI CPL'!$B41&lt;&gt;"",IFERROR(_xlfn.IFS(J41&gt;=$B$3,4,J41&gt;=$B$4,3,J41&gt;=$B$5,2,J41&gt;$B$6,1),0),"")</f>
        <v/>
      </c>
      <c r="AH41" s="2" t="str" cm="1">
        <f t="array" ref="AH41">IF('NILAI CPL'!$B41&lt;&gt;"",IFERROR(_xlfn.IFS(K41&gt;=$B$3,4,K41&gt;=$B$4,3,K41&gt;=$B$5,2,K41&gt;$B$6,1),0),"")</f>
        <v/>
      </c>
      <c r="AI41" s="2" t="str" cm="1">
        <f t="array" ref="AI41">IF('NILAI CPL'!$B41&lt;&gt;"",IFERROR(_xlfn.IFS(L41&gt;=$B$3,4,L41&gt;=$B$4,3,L41&gt;=$B$5,2,L41&gt;$B$6,1),0),"")</f>
        <v/>
      </c>
      <c r="AJ41" s="2" t="str" cm="1">
        <f t="array" ref="AJ41">IF('NILAI CPL'!$B41&lt;&gt;"",IFERROR(_xlfn.IFS(M41&gt;=$B$3,4,M41&gt;=$B$4,3,M41&gt;=$B$5,2,M41&gt;$B$6,1),0),"")</f>
        <v/>
      </c>
      <c r="AK41" s="2" t="str" cm="1">
        <f t="array" ref="AK41">IF('NILAI CPL'!$B41&lt;&gt;"",IFERROR(_xlfn.IFS(N41&gt;=$B$3,4,N41&gt;=$B$4,3,N41&gt;=$B$5,2,N41&gt;$B$6,1),0),"")</f>
        <v/>
      </c>
      <c r="AL41" s="2" t="str" cm="1">
        <f t="array" ref="AL41">IF('NILAI CPL'!$B41&lt;&gt;"",IFERROR(_xlfn.IFS(O41&gt;=$B$3,4,O41&gt;=$B$4,3,O41&gt;=$B$5,2,O41&gt;$B$6,1),0),"")</f>
        <v/>
      </c>
      <c r="AM41" s="2" t="str" cm="1">
        <f t="array" ref="AM41">IF('NILAI CPL'!$B41&lt;&gt;"",IFERROR(_xlfn.IFS(P41&gt;=$B$3,4,P41&gt;=$B$4,3,P41&gt;=$B$5,2,P41&gt;$B$6,1),0),"")</f>
        <v/>
      </c>
      <c r="AN41" s="2" t="str" cm="1">
        <f t="array" ref="AN41">IF('NILAI CPL'!$B41&lt;&gt;"",IFERROR(_xlfn.IFS(Q41&gt;=$B$3,4,Q41&gt;=$B$4,3,Q41&gt;=$B$5,2,Q41&gt;$B$6,1),0),"")</f>
        <v/>
      </c>
      <c r="AO41" s="2" t="str" cm="1">
        <f t="array" ref="AO41">IF('NILAI CPL'!$B41&lt;&gt;"",IFERROR(_xlfn.IFS(R41&gt;=$B$3,4,R41&gt;=$B$4,3,R41&gt;=$B$5,2,R41&gt;$B$6,1),0),"")</f>
        <v/>
      </c>
      <c r="AP41" s="2" t="str" cm="1">
        <f t="array" ref="AP41">IF('NILAI CPL'!$B41&lt;&gt;"",IFERROR(_xlfn.IFS(S41&gt;=$B$3,4,S41&gt;=$B$4,3,S41&gt;=$B$5,2,S41&gt;$B$6,1),0),"")</f>
        <v/>
      </c>
      <c r="AQ41" s="2" t="str" cm="1">
        <f t="array" ref="AQ41">IF('NILAI CPL'!$B41&lt;&gt;"",IFERROR(_xlfn.IFS(T41&gt;=$B$3,4,T41&gt;=$B$4,3,T41&gt;=$B$5,2,T41&gt;$B$6,1),0),"")</f>
        <v/>
      </c>
      <c r="AR41" s="2" t="str" cm="1">
        <f t="array" ref="AR41">IF('NILAI CPL'!$B41&lt;&gt;"",IFERROR(_xlfn.IFS(U41&gt;=$B$3,4,U41&gt;=$B$4,3,U41&gt;=$B$5,2,U41&gt;$B$6,1),0),"")</f>
        <v/>
      </c>
      <c r="AS41" s="2" t="str" cm="1">
        <f t="array" ref="AS41">IF('NILAI CPL'!$B41&lt;&gt;"",IFERROR(_xlfn.IFS(V41&gt;=$B$3,4,V41&gt;=$B$4,3,V41&gt;=$B$5,2,V41&gt;$B$6,1),0),"")</f>
        <v/>
      </c>
      <c r="AT41" s="2" t="str" cm="1">
        <f t="array" ref="AT41">IF('NILAI CPL'!$B41&lt;&gt;"",IFERROR(_xlfn.IFS(W41&gt;=$B$3,4,W41&gt;=$B$4,3,W41&gt;=$B$5,2,W41&gt;$B$6,1),0),"")</f>
        <v/>
      </c>
      <c r="AU41" s="2" t="str" cm="1">
        <f t="array" ref="AU41">IF('NILAI CPL'!$B41&lt;&gt;"",IFERROR(_xlfn.IFS(X41&gt;=$B$3,4,X41&gt;=$B$4,3,X41&gt;=$B$5,2,X41&gt;$B$6,1),0),"")</f>
        <v/>
      </c>
      <c r="AV41" s="2" t="str" cm="1">
        <f t="array" ref="AV41">IF('NILAI CPL'!$B41&lt;&gt;"",IFERROR(_xlfn.IFS(Y41&gt;=$B$3,4,Y41&gt;=$B$4,3,Y41&gt;=$B$5,2,Y41&gt;$B$6,1),0),"")</f>
        <v/>
      </c>
      <c r="AW41" s="2" t="str" cm="1">
        <f t="array" ref="AW41">IF('NILAI CPL'!$B41&lt;&gt;"",IFERROR(_xlfn.IFS(Z41&gt;=$B$3,4,Z41&gt;=$B$4,3,Z41&gt;=$B$5,2,Z41&gt;$B$6,1),0),"")</f>
        <v/>
      </c>
      <c r="AY41" s="2" t="str">
        <f t="shared" si="0"/>
        <v/>
      </c>
      <c r="AZ41" s="2" t="str">
        <f t="shared" si="1"/>
        <v/>
      </c>
      <c r="BA41" s="2" t="str">
        <f t="shared" si="2"/>
        <v/>
      </c>
      <c r="BB41" s="2" t="str">
        <f t="shared" si="3"/>
        <v/>
      </c>
      <c r="BC41" s="2" t="str">
        <f t="shared" si="4"/>
        <v/>
      </c>
      <c r="BD41" s="2" t="str">
        <f t="shared" si="5"/>
        <v/>
      </c>
      <c r="BE41" s="2" t="str">
        <f t="shared" si="6"/>
        <v/>
      </c>
      <c r="BF41" s="2" t="str">
        <f t="shared" si="7"/>
        <v/>
      </c>
      <c r="BG41" s="2" t="str">
        <f t="shared" si="8"/>
        <v/>
      </c>
      <c r="BH41" s="2" t="str">
        <f t="shared" si="9"/>
        <v/>
      </c>
      <c r="BJ41" s="2" t="str" cm="1">
        <f t="array" ref="BJ41">IF('NILAI CPL'!$B41&lt;&gt;"",IFERROR(_xlfn.IFS(AY41&gt;=$B$3,4,AY41&gt;=$B$4,3,AY41&gt;=$B$5,2,AY41&gt;$B$6,1),0),"")</f>
        <v/>
      </c>
      <c r="BK41" s="2" t="str" cm="1">
        <f t="array" ref="BK41">IF('NILAI CPL'!$B41&lt;&gt;"",IFERROR(_xlfn.IFS(AZ41&gt;=$B$3,4,AZ41&gt;=$B$4,3,AZ41&gt;=$B$5,2,AZ41&gt;$B$6,1),0),"")</f>
        <v/>
      </c>
      <c r="BL41" s="2" t="str" cm="1">
        <f t="array" ref="BL41">IF('NILAI CPL'!$B41&lt;&gt;"",IFERROR(_xlfn.IFS(BA41&gt;=$B$3,4,BA41&gt;=$B$4,3,BA41&gt;=$B$5,2,BA41&gt;$B$6,1),0),"")</f>
        <v/>
      </c>
      <c r="BM41" s="2" t="str" cm="1">
        <f t="array" ref="BM41">IF('NILAI CPL'!$B41&lt;&gt;"",IFERROR(_xlfn.IFS(BB41&gt;=$B$3,4,BB41&gt;=$B$4,3,BB41&gt;=$B$5,2,BB41&gt;$B$6,1),0),"")</f>
        <v/>
      </c>
      <c r="BN41" s="2" t="str" cm="1">
        <f t="array" ref="BN41">IF('NILAI CPL'!$B41&lt;&gt;"",IFERROR(_xlfn.IFS(BC41&gt;=$B$3,4,BC41&gt;=$B$4,3,BC41&gt;=$B$5,2,BC41&gt;$B$6,1),0),"")</f>
        <v/>
      </c>
      <c r="BO41" s="2" t="str" cm="1">
        <f t="array" ref="BO41">IF('NILAI CPL'!$B41&lt;&gt;"",IFERROR(_xlfn.IFS(BD41&gt;=$B$3,4,BD41&gt;=$B$4,3,BD41&gt;=$B$5,2,BD41&gt;$B$6,1),0),"")</f>
        <v/>
      </c>
      <c r="BP41" s="2" t="str" cm="1">
        <f t="array" ref="BP41">IF('NILAI CPL'!$B41&lt;&gt;"",IFERROR(_xlfn.IFS(BE41&gt;=$B$3,4,BE41&gt;=$B$4,3,BE41&gt;=$B$5,2,BE41&gt;$B$6,1),0),"")</f>
        <v/>
      </c>
      <c r="BQ41" s="2" t="str" cm="1">
        <f t="array" ref="BQ41">IF('NILAI CPL'!$B41&lt;&gt;"",IFERROR(_xlfn.IFS(BF41&gt;=$B$3,4,BF41&gt;=$B$4,3,BF41&gt;=$B$5,2,BF41&gt;$B$6,1),0),"")</f>
        <v/>
      </c>
      <c r="BR41" s="2" t="str" cm="1">
        <f t="array" ref="BR41">IF('NILAI CPL'!$B41&lt;&gt;"",IFERROR(_xlfn.IFS(BG41&gt;=$B$3,4,BG41&gt;=$B$4,3,BG41&gt;=$B$5,2,BG41&gt;$B$6,1),0),"")</f>
        <v/>
      </c>
      <c r="BS41" s="2" t="str" cm="1">
        <f t="array" ref="BS41">IF('NILAI CPL'!$B41&lt;&gt;"",IFERROR(_xlfn.IFS(BH41&gt;=$B$3,4,BH41&gt;=$B$4,3,BH41&gt;=$B$5,2,BH41&gt;$B$6,1),0),"")</f>
        <v/>
      </c>
    </row>
    <row r="42" spans="1:71" x14ac:dyDescent="0.2">
      <c r="A42" s="2">
        <v>32</v>
      </c>
      <c r="B42" s="2" t="str">
        <f>IF(LEN(SUMMARY!B42)&gt;0, SUMMARY!B42, "")</f>
        <v/>
      </c>
      <c r="C42" s="2" t="str">
        <f>IF(LEN(SUMMARY!C42)&gt;0, SUMMARY!C42, "")</f>
        <v/>
      </c>
      <c r="E42" s="2" t="str" cm="1">
        <f t="array" ref="E42">IF('NILAI CPL'!$B42&lt;&gt;"",IFERROR(JumlahPI(ROW(),COLUMN()),0),"")</f>
        <v/>
      </c>
      <c r="F42" s="2" t="str" cm="1">
        <f t="array" ref="F42">IF('NILAI CPL'!$B42&lt;&gt;"",IFERROR(JumlahPI(ROW(),COLUMN()),0),"")</f>
        <v/>
      </c>
      <c r="G42" s="2" t="str" cm="1">
        <f t="array" ref="G42">IF('NILAI CPL'!$B42&lt;&gt;"",IFERROR(JumlahPI(ROW(),COLUMN()),0),"")</f>
        <v/>
      </c>
      <c r="H42" s="2" t="str" cm="1">
        <f t="array" ref="H42">IF('NILAI CPL'!$B42&lt;&gt;"",IFERROR(JumlahPI(ROW(),COLUMN()),0),"")</f>
        <v/>
      </c>
      <c r="I42" s="2" t="str" cm="1">
        <f t="array" ref="I42">IF('NILAI CPL'!$B42&lt;&gt;"",IFERROR(JumlahPI(ROW(),COLUMN()),0),"")</f>
        <v/>
      </c>
      <c r="J42" s="2" t="str" cm="1">
        <f t="array" ref="J42">IF('NILAI CPL'!$B42&lt;&gt;"",IFERROR(JumlahPI(ROW(),COLUMN()),0),"")</f>
        <v/>
      </c>
      <c r="K42" s="2" t="str" cm="1">
        <f t="array" ref="K42">IF('NILAI CPL'!$B42&lt;&gt;"",IFERROR(JumlahPI(ROW(),COLUMN()),0),"")</f>
        <v/>
      </c>
      <c r="L42" s="2" t="str" cm="1">
        <f t="array" ref="L42">IF('NILAI CPL'!$B42&lt;&gt;"",IFERROR(JumlahPI(ROW(),COLUMN()),0),"")</f>
        <v/>
      </c>
      <c r="M42" s="2" t="str" cm="1">
        <f t="array" ref="M42">IF('NILAI CPL'!$B42&lt;&gt;"",IFERROR(JumlahPI(ROW(),COLUMN()),0),"")</f>
        <v/>
      </c>
      <c r="N42" s="2" t="str" cm="1">
        <f t="array" ref="N42">IF('NILAI CPL'!$B42&lt;&gt;"",IFERROR(JumlahPI(ROW(),COLUMN()),0),"")</f>
        <v/>
      </c>
      <c r="O42" s="2" t="str" cm="1">
        <f t="array" ref="O42">IF('NILAI CPL'!$B42&lt;&gt;"",IFERROR(JumlahPI(ROW(),COLUMN()),0),"")</f>
        <v/>
      </c>
      <c r="P42" s="2" t="str" cm="1">
        <f t="array" ref="P42">IF('NILAI CPL'!$B42&lt;&gt;"",IFERROR(JumlahPI(ROW(),COLUMN()),0),"")</f>
        <v/>
      </c>
      <c r="Q42" s="2" t="str" cm="1">
        <f t="array" ref="Q42">IF('NILAI CPL'!$B42&lt;&gt;"",IFERROR(JumlahPI(ROW(),COLUMN()),0),"")</f>
        <v/>
      </c>
      <c r="R42" s="2" t="str" cm="1">
        <f t="array" ref="R42">IF('NILAI CPL'!$B42&lt;&gt;"",IFERROR(JumlahPI(ROW(),COLUMN()),0),"")</f>
        <v/>
      </c>
      <c r="S42" s="2" t="str" cm="1">
        <f t="array" ref="S42">IF('NILAI CPL'!$B42&lt;&gt;"",IFERROR(JumlahPI(ROW(),COLUMN()),0),"")</f>
        <v/>
      </c>
      <c r="T42" s="2" t="str" cm="1">
        <f t="array" ref="T42">IF('NILAI CPL'!$B42&lt;&gt;"",IFERROR(JumlahPI(ROW(),COLUMN()),0),"")</f>
        <v/>
      </c>
      <c r="U42" s="2" t="str" cm="1">
        <f t="array" ref="U42">IF('NILAI CPL'!$B42&lt;&gt;"",IFERROR(JumlahPI(ROW(),COLUMN()),0),"")</f>
        <v/>
      </c>
      <c r="V42" s="2" t="str" cm="1">
        <f t="array" ref="V42">IF('NILAI CPL'!$B42&lt;&gt;"",IFERROR(JumlahPI(ROW(),COLUMN()),0),"")</f>
        <v/>
      </c>
      <c r="W42" s="2" t="str" cm="1">
        <f t="array" ref="W42">IF('NILAI CPL'!$B42&lt;&gt;"",IFERROR(JumlahPI(ROW(),COLUMN()),0),"")</f>
        <v/>
      </c>
      <c r="X42" s="2" t="str" cm="1">
        <f t="array" ref="X42">IF('NILAI CPL'!$B42&lt;&gt;"",IFERROR(JumlahPI(ROW(),COLUMN()),0),"")</f>
        <v/>
      </c>
      <c r="Y42" s="2" t="str" cm="1">
        <f t="array" ref="Y42">IF('NILAI CPL'!$B42&lt;&gt;"",IFERROR(JumlahPI(ROW(),COLUMN()),0),"")</f>
        <v/>
      </c>
      <c r="Z42" s="2" t="str" cm="1">
        <f t="array" ref="Z42">IF('NILAI CPL'!$B42&lt;&gt;"",IFERROR(JumlahPI(ROW(),COLUMN()),0),"")</f>
        <v/>
      </c>
      <c r="AB42" s="2" t="str" cm="1">
        <f t="array" ref="AB42">IF('NILAI CPL'!$B42&lt;&gt;"",IFERROR(_xlfn.IFS(E42&gt;=$B$3,4,E42&gt;=$B$4,3,E42&gt;=$B$5,2,E42&gt;$B$6,1),0),"")</f>
        <v/>
      </c>
      <c r="AC42" s="2" t="str" cm="1">
        <f t="array" ref="AC42">IF('NILAI CPL'!$B42&lt;&gt;"",IFERROR(_xlfn.IFS(F42&gt;=$B$3,4,F42&gt;=$B$4,3,F42&gt;=$B$5,2,F42&gt;$B$6,1),0),"")</f>
        <v/>
      </c>
      <c r="AD42" s="2" t="str" cm="1">
        <f t="array" ref="AD42">IF('NILAI CPL'!$B42&lt;&gt;"",IFERROR(_xlfn.IFS(G42&gt;=$B$3,4,G42&gt;=$B$4,3,G42&gt;=$B$5,2,G42&gt;$B$6,1),0),"")</f>
        <v/>
      </c>
      <c r="AE42" s="2" t="str" cm="1">
        <f t="array" ref="AE42">IF('NILAI CPL'!$B42&lt;&gt;"",IFERROR(_xlfn.IFS(H42&gt;=$B$3,4,H42&gt;=$B$4,3,H42&gt;=$B$5,2,H42&gt;$B$6,1),0),"")</f>
        <v/>
      </c>
      <c r="AF42" s="2" t="str" cm="1">
        <f t="array" ref="AF42">IF('NILAI CPL'!$B42&lt;&gt;"",IFERROR(_xlfn.IFS(I42&gt;=$B$3,4,I42&gt;=$B$4,3,I42&gt;=$B$5,2,I42&gt;$B$6,1),0),"")</f>
        <v/>
      </c>
      <c r="AG42" s="2" t="str" cm="1">
        <f t="array" ref="AG42">IF('NILAI CPL'!$B42&lt;&gt;"",IFERROR(_xlfn.IFS(J42&gt;=$B$3,4,J42&gt;=$B$4,3,J42&gt;=$B$5,2,J42&gt;$B$6,1),0),"")</f>
        <v/>
      </c>
      <c r="AH42" s="2" t="str" cm="1">
        <f t="array" ref="AH42">IF('NILAI CPL'!$B42&lt;&gt;"",IFERROR(_xlfn.IFS(K42&gt;=$B$3,4,K42&gt;=$B$4,3,K42&gt;=$B$5,2,K42&gt;$B$6,1),0),"")</f>
        <v/>
      </c>
      <c r="AI42" s="2" t="str" cm="1">
        <f t="array" ref="AI42">IF('NILAI CPL'!$B42&lt;&gt;"",IFERROR(_xlfn.IFS(L42&gt;=$B$3,4,L42&gt;=$B$4,3,L42&gt;=$B$5,2,L42&gt;$B$6,1),0),"")</f>
        <v/>
      </c>
      <c r="AJ42" s="2" t="str" cm="1">
        <f t="array" ref="AJ42">IF('NILAI CPL'!$B42&lt;&gt;"",IFERROR(_xlfn.IFS(M42&gt;=$B$3,4,M42&gt;=$B$4,3,M42&gt;=$B$5,2,M42&gt;$B$6,1),0),"")</f>
        <v/>
      </c>
      <c r="AK42" s="2" t="str" cm="1">
        <f t="array" ref="AK42">IF('NILAI CPL'!$B42&lt;&gt;"",IFERROR(_xlfn.IFS(N42&gt;=$B$3,4,N42&gt;=$B$4,3,N42&gt;=$B$5,2,N42&gt;$B$6,1),0),"")</f>
        <v/>
      </c>
      <c r="AL42" s="2" t="str" cm="1">
        <f t="array" ref="AL42">IF('NILAI CPL'!$B42&lt;&gt;"",IFERROR(_xlfn.IFS(O42&gt;=$B$3,4,O42&gt;=$B$4,3,O42&gt;=$B$5,2,O42&gt;$B$6,1),0),"")</f>
        <v/>
      </c>
      <c r="AM42" s="2" t="str" cm="1">
        <f t="array" ref="AM42">IF('NILAI CPL'!$B42&lt;&gt;"",IFERROR(_xlfn.IFS(P42&gt;=$B$3,4,P42&gt;=$B$4,3,P42&gt;=$B$5,2,P42&gt;$B$6,1),0),"")</f>
        <v/>
      </c>
      <c r="AN42" s="2" t="str" cm="1">
        <f t="array" ref="AN42">IF('NILAI CPL'!$B42&lt;&gt;"",IFERROR(_xlfn.IFS(Q42&gt;=$B$3,4,Q42&gt;=$B$4,3,Q42&gt;=$B$5,2,Q42&gt;$B$6,1),0),"")</f>
        <v/>
      </c>
      <c r="AO42" s="2" t="str" cm="1">
        <f t="array" ref="AO42">IF('NILAI CPL'!$B42&lt;&gt;"",IFERROR(_xlfn.IFS(R42&gt;=$B$3,4,R42&gt;=$B$4,3,R42&gt;=$B$5,2,R42&gt;$B$6,1),0),"")</f>
        <v/>
      </c>
      <c r="AP42" s="2" t="str" cm="1">
        <f t="array" ref="AP42">IF('NILAI CPL'!$B42&lt;&gt;"",IFERROR(_xlfn.IFS(S42&gt;=$B$3,4,S42&gt;=$B$4,3,S42&gt;=$B$5,2,S42&gt;$B$6,1),0),"")</f>
        <v/>
      </c>
      <c r="AQ42" s="2" t="str" cm="1">
        <f t="array" ref="AQ42">IF('NILAI CPL'!$B42&lt;&gt;"",IFERROR(_xlfn.IFS(T42&gt;=$B$3,4,T42&gt;=$B$4,3,T42&gt;=$B$5,2,T42&gt;$B$6,1),0),"")</f>
        <v/>
      </c>
      <c r="AR42" s="2" t="str" cm="1">
        <f t="array" ref="AR42">IF('NILAI CPL'!$B42&lt;&gt;"",IFERROR(_xlfn.IFS(U42&gt;=$B$3,4,U42&gt;=$B$4,3,U42&gt;=$B$5,2,U42&gt;$B$6,1),0),"")</f>
        <v/>
      </c>
      <c r="AS42" s="2" t="str" cm="1">
        <f t="array" ref="AS42">IF('NILAI CPL'!$B42&lt;&gt;"",IFERROR(_xlfn.IFS(V42&gt;=$B$3,4,V42&gt;=$B$4,3,V42&gt;=$B$5,2,V42&gt;$B$6,1),0),"")</f>
        <v/>
      </c>
      <c r="AT42" s="2" t="str" cm="1">
        <f t="array" ref="AT42">IF('NILAI CPL'!$B42&lt;&gt;"",IFERROR(_xlfn.IFS(W42&gt;=$B$3,4,W42&gt;=$B$4,3,W42&gt;=$B$5,2,W42&gt;$B$6,1),0),"")</f>
        <v/>
      </c>
      <c r="AU42" s="2" t="str" cm="1">
        <f t="array" ref="AU42">IF('NILAI CPL'!$B42&lt;&gt;"",IFERROR(_xlfn.IFS(X42&gt;=$B$3,4,X42&gt;=$B$4,3,X42&gt;=$B$5,2,X42&gt;$B$6,1),0),"")</f>
        <v/>
      </c>
      <c r="AV42" s="2" t="str" cm="1">
        <f t="array" ref="AV42">IF('NILAI CPL'!$B42&lt;&gt;"",IFERROR(_xlfn.IFS(Y42&gt;=$B$3,4,Y42&gt;=$B$4,3,Y42&gt;=$B$5,2,Y42&gt;$B$6,1),0),"")</f>
        <v/>
      </c>
      <c r="AW42" s="2" t="str" cm="1">
        <f t="array" ref="AW42">IF('NILAI CPL'!$B42&lt;&gt;"",IFERROR(_xlfn.IFS(Z42&gt;=$B$3,4,Z42&gt;=$B$4,3,Z42&gt;=$B$5,2,Z42&gt;$B$6,1),0),"")</f>
        <v/>
      </c>
      <c r="AY42" s="2" t="str">
        <f t="shared" si="0"/>
        <v/>
      </c>
      <c r="AZ42" s="2" t="str">
        <f t="shared" si="1"/>
        <v/>
      </c>
      <c r="BA42" s="2" t="str">
        <f t="shared" si="2"/>
        <v/>
      </c>
      <c r="BB42" s="2" t="str">
        <f t="shared" si="3"/>
        <v/>
      </c>
      <c r="BC42" s="2" t="str">
        <f t="shared" si="4"/>
        <v/>
      </c>
      <c r="BD42" s="2" t="str">
        <f t="shared" si="5"/>
        <v/>
      </c>
      <c r="BE42" s="2" t="str">
        <f t="shared" si="6"/>
        <v/>
      </c>
      <c r="BF42" s="2" t="str">
        <f t="shared" si="7"/>
        <v/>
      </c>
      <c r="BG42" s="2" t="str">
        <f t="shared" si="8"/>
        <v/>
      </c>
      <c r="BH42" s="2" t="str">
        <f t="shared" si="9"/>
        <v/>
      </c>
      <c r="BJ42" s="2" t="str" cm="1">
        <f t="array" ref="BJ42">IF('NILAI CPL'!$B42&lt;&gt;"",IFERROR(_xlfn.IFS(AY42&gt;=$B$3,4,AY42&gt;=$B$4,3,AY42&gt;=$B$5,2,AY42&gt;$B$6,1),0),"")</f>
        <v/>
      </c>
      <c r="BK42" s="2" t="str" cm="1">
        <f t="array" ref="BK42">IF('NILAI CPL'!$B42&lt;&gt;"",IFERROR(_xlfn.IFS(AZ42&gt;=$B$3,4,AZ42&gt;=$B$4,3,AZ42&gt;=$B$5,2,AZ42&gt;$B$6,1),0),"")</f>
        <v/>
      </c>
      <c r="BL42" s="2" t="str" cm="1">
        <f t="array" ref="BL42">IF('NILAI CPL'!$B42&lt;&gt;"",IFERROR(_xlfn.IFS(BA42&gt;=$B$3,4,BA42&gt;=$B$4,3,BA42&gt;=$B$5,2,BA42&gt;$B$6,1),0),"")</f>
        <v/>
      </c>
      <c r="BM42" s="2" t="str" cm="1">
        <f t="array" ref="BM42">IF('NILAI CPL'!$B42&lt;&gt;"",IFERROR(_xlfn.IFS(BB42&gt;=$B$3,4,BB42&gt;=$B$4,3,BB42&gt;=$B$5,2,BB42&gt;$B$6,1),0),"")</f>
        <v/>
      </c>
      <c r="BN42" s="2" t="str" cm="1">
        <f t="array" ref="BN42">IF('NILAI CPL'!$B42&lt;&gt;"",IFERROR(_xlfn.IFS(BC42&gt;=$B$3,4,BC42&gt;=$B$4,3,BC42&gt;=$B$5,2,BC42&gt;$B$6,1),0),"")</f>
        <v/>
      </c>
      <c r="BO42" s="2" t="str" cm="1">
        <f t="array" ref="BO42">IF('NILAI CPL'!$B42&lt;&gt;"",IFERROR(_xlfn.IFS(BD42&gt;=$B$3,4,BD42&gt;=$B$4,3,BD42&gt;=$B$5,2,BD42&gt;$B$6,1),0),"")</f>
        <v/>
      </c>
      <c r="BP42" s="2" t="str" cm="1">
        <f t="array" ref="BP42">IF('NILAI CPL'!$B42&lt;&gt;"",IFERROR(_xlfn.IFS(BE42&gt;=$B$3,4,BE42&gt;=$B$4,3,BE42&gt;=$B$5,2,BE42&gt;$B$6,1),0),"")</f>
        <v/>
      </c>
      <c r="BQ42" s="2" t="str" cm="1">
        <f t="array" ref="BQ42">IF('NILAI CPL'!$B42&lt;&gt;"",IFERROR(_xlfn.IFS(BF42&gt;=$B$3,4,BF42&gt;=$B$4,3,BF42&gt;=$B$5,2,BF42&gt;$B$6,1),0),"")</f>
        <v/>
      </c>
      <c r="BR42" s="2" t="str" cm="1">
        <f t="array" ref="BR42">IF('NILAI CPL'!$B42&lt;&gt;"",IFERROR(_xlfn.IFS(BG42&gt;=$B$3,4,BG42&gt;=$B$4,3,BG42&gt;=$B$5,2,BG42&gt;$B$6,1),0),"")</f>
        <v/>
      </c>
      <c r="BS42" s="2" t="str" cm="1">
        <f t="array" ref="BS42">IF('NILAI CPL'!$B42&lt;&gt;"",IFERROR(_xlfn.IFS(BH42&gt;=$B$3,4,BH42&gt;=$B$4,3,BH42&gt;=$B$5,2,BH42&gt;$B$6,1),0),"")</f>
        <v/>
      </c>
    </row>
    <row r="43" spans="1:71" x14ac:dyDescent="0.2">
      <c r="A43" s="2">
        <v>33</v>
      </c>
      <c r="B43" s="2" t="str">
        <f>IF(LEN(SUMMARY!B43)&gt;0, SUMMARY!B43, "")</f>
        <v/>
      </c>
      <c r="C43" s="2" t="str">
        <f>IF(LEN(SUMMARY!C43)&gt;0, SUMMARY!C43, "")</f>
        <v/>
      </c>
      <c r="E43" s="2" t="str" cm="1">
        <f t="array" ref="E43">IF('NILAI CPL'!$B43&lt;&gt;"",IFERROR(JumlahPI(ROW(),COLUMN()),0),"")</f>
        <v/>
      </c>
      <c r="F43" s="2" t="str" cm="1">
        <f t="array" ref="F43">IF('NILAI CPL'!$B43&lt;&gt;"",IFERROR(JumlahPI(ROW(),COLUMN()),0),"")</f>
        <v/>
      </c>
      <c r="G43" s="2" t="str" cm="1">
        <f t="array" ref="G43">IF('NILAI CPL'!$B43&lt;&gt;"",IFERROR(JumlahPI(ROW(),COLUMN()),0),"")</f>
        <v/>
      </c>
      <c r="H43" s="2" t="str" cm="1">
        <f t="array" ref="H43">IF('NILAI CPL'!$B43&lt;&gt;"",IFERROR(JumlahPI(ROW(),COLUMN()),0),"")</f>
        <v/>
      </c>
      <c r="I43" s="2" t="str" cm="1">
        <f t="array" ref="I43">IF('NILAI CPL'!$B43&lt;&gt;"",IFERROR(JumlahPI(ROW(),COLUMN()),0),"")</f>
        <v/>
      </c>
      <c r="J43" s="2" t="str" cm="1">
        <f t="array" ref="J43">IF('NILAI CPL'!$B43&lt;&gt;"",IFERROR(JumlahPI(ROW(),COLUMN()),0),"")</f>
        <v/>
      </c>
      <c r="K43" s="2" t="str" cm="1">
        <f t="array" ref="K43">IF('NILAI CPL'!$B43&lt;&gt;"",IFERROR(JumlahPI(ROW(),COLUMN()),0),"")</f>
        <v/>
      </c>
      <c r="L43" s="2" t="str" cm="1">
        <f t="array" ref="L43">IF('NILAI CPL'!$B43&lt;&gt;"",IFERROR(JumlahPI(ROW(),COLUMN()),0),"")</f>
        <v/>
      </c>
      <c r="M43" s="2" t="str" cm="1">
        <f t="array" ref="M43">IF('NILAI CPL'!$B43&lt;&gt;"",IFERROR(JumlahPI(ROW(),COLUMN()),0),"")</f>
        <v/>
      </c>
      <c r="N43" s="2" t="str" cm="1">
        <f t="array" ref="N43">IF('NILAI CPL'!$B43&lt;&gt;"",IFERROR(JumlahPI(ROW(),COLUMN()),0),"")</f>
        <v/>
      </c>
      <c r="O43" s="2" t="str" cm="1">
        <f t="array" ref="O43">IF('NILAI CPL'!$B43&lt;&gt;"",IFERROR(JumlahPI(ROW(),COLUMN()),0),"")</f>
        <v/>
      </c>
      <c r="P43" s="2" t="str" cm="1">
        <f t="array" ref="P43">IF('NILAI CPL'!$B43&lt;&gt;"",IFERROR(JumlahPI(ROW(),COLUMN()),0),"")</f>
        <v/>
      </c>
      <c r="Q43" s="2" t="str" cm="1">
        <f t="array" ref="Q43">IF('NILAI CPL'!$B43&lt;&gt;"",IFERROR(JumlahPI(ROW(),COLUMN()),0),"")</f>
        <v/>
      </c>
      <c r="R43" s="2" t="str" cm="1">
        <f t="array" ref="R43">IF('NILAI CPL'!$B43&lt;&gt;"",IFERROR(JumlahPI(ROW(),COLUMN()),0),"")</f>
        <v/>
      </c>
      <c r="S43" s="2" t="str" cm="1">
        <f t="array" ref="S43">IF('NILAI CPL'!$B43&lt;&gt;"",IFERROR(JumlahPI(ROW(),COLUMN()),0),"")</f>
        <v/>
      </c>
      <c r="T43" s="2" t="str" cm="1">
        <f t="array" ref="T43">IF('NILAI CPL'!$B43&lt;&gt;"",IFERROR(JumlahPI(ROW(),COLUMN()),0),"")</f>
        <v/>
      </c>
      <c r="U43" s="2" t="str" cm="1">
        <f t="array" ref="U43">IF('NILAI CPL'!$B43&lt;&gt;"",IFERROR(JumlahPI(ROW(),COLUMN()),0),"")</f>
        <v/>
      </c>
      <c r="V43" s="2" t="str" cm="1">
        <f t="array" ref="V43">IF('NILAI CPL'!$B43&lt;&gt;"",IFERROR(JumlahPI(ROW(),COLUMN()),0),"")</f>
        <v/>
      </c>
      <c r="W43" s="2" t="str" cm="1">
        <f t="array" ref="W43">IF('NILAI CPL'!$B43&lt;&gt;"",IFERROR(JumlahPI(ROW(),COLUMN()),0),"")</f>
        <v/>
      </c>
      <c r="X43" s="2" t="str" cm="1">
        <f t="array" ref="X43">IF('NILAI CPL'!$B43&lt;&gt;"",IFERROR(JumlahPI(ROW(),COLUMN()),0),"")</f>
        <v/>
      </c>
      <c r="Y43" s="2" t="str" cm="1">
        <f t="array" ref="Y43">IF('NILAI CPL'!$B43&lt;&gt;"",IFERROR(JumlahPI(ROW(),COLUMN()),0),"")</f>
        <v/>
      </c>
      <c r="Z43" s="2" t="str" cm="1">
        <f t="array" ref="Z43">IF('NILAI CPL'!$B43&lt;&gt;"",IFERROR(JumlahPI(ROW(),COLUMN()),0),"")</f>
        <v/>
      </c>
      <c r="AB43" s="2" t="str" cm="1">
        <f t="array" ref="AB43">IF('NILAI CPL'!$B43&lt;&gt;"",IFERROR(_xlfn.IFS(E43&gt;=$B$3,4,E43&gt;=$B$4,3,E43&gt;=$B$5,2,E43&gt;$B$6,1),0),"")</f>
        <v/>
      </c>
      <c r="AC43" s="2" t="str" cm="1">
        <f t="array" ref="AC43">IF('NILAI CPL'!$B43&lt;&gt;"",IFERROR(_xlfn.IFS(F43&gt;=$B$3,4,F43&gt;=$B$4,3,F43&gt;=$B$5,2,F43&gt;$B$6,1),0),"")</f>
        <v/>
      </c>
      <c r="AD43" s="2" t="str" cm="1">
        <f t="array" ref="AD43">IF('NILAI CPL'!$B43&lt;&gt;"",IFERROR(_xlfn.IFS(G43&gt;=$B$3,4,G43&gt;=$B$4,3,G43&gt;=$B$5,2,G43&gt;$B$6,1),0),"")</f>
        <v/>
      </c>
      <c r="AE43" s="2" t="str" cm="1">
        <f t="array" ref="AE43">IF('NILAI CPL'!$B43&lt;&gt;"",IFERROR(_xlfn.IFS(H43&gt;=$B$3,4,H43&gt;=$B$4,3,H43&gt;=$B$5,2,H43&gt;$B$6,1),0),"")</f>
        <v/>
      </c>
      <c r="AF43" s="2" t="str" cm="1">
        <f t="array" ref="AF43">IF('NILAI CPL'!$B43&lt;&gt;"",IFERROR(_xlfn.IFS(I43&gt;=$B$3,4,I43&gt;=$B$4,3,I43&gt;=$B$5,2,I43&gt;$B$6,1),0),"")</f>
        <v/>
      </c>
      <c r="AG43" s="2" t="str" cm="1">
        <f t="array" ref="AG43">IF('NILAI CPL'!$B43&lt;&gt;"",IFERROR(_xlfn.IFS(J43&gt;=$B$3,4,J43&gt;=$B$4,3,J43&gt;=$B$5,2,J43&gt;$B$6,1),0),"")</f>
        <v/>
      </c>
      <c r="AH43" s="2" t="str" cm="1">
        <f t="array" ref="AH43">IF('NILAI CPL'!$B43&lt;&gt;"",IFERROR(_xlfn.IFS(K43&gt;=$B$3,4,K43&gt;=$B$4,3,K43&gt;=$B$5,2,K43&gt;$B$6,1),0),"")</f>
        <v/>
      </c>
      <c r="AI43" s="2" t="str" cm="1">
        <f t="array" ref="AI43">IF('NILAI CPL'!$B43&lt;&gt;"",IFERROR(_xlfn.IFS(L43&gt;=$B$3,4,L43&gt;=$B$4,3,L43&gt;=$B$5,2,L43&gt;$B$6,1),0),"")</f>
        <v/>
      </c>
      <c r="AJ43" s="2" t="str" cm="1">
        <f t="array" ref="AJ43">IF('NILAI CPL'!$B43&lt;&gt;"",IFERROR(_xlfn.IFS(M43&gt;=$B$3,4,M43&gt;=$B$4,3,M43&gt;=$B$5,2,M43&gt;$B$6,1),0),"")</f>
        <v/>
      </c>
      <c r="AK43" s="2" t="str" cm="1">
        <f t="array" ref="AK43">IF('NILAI CPL'!$B43&lt;&gt;"",IFERROR(_xlfn.IFS(N43&gt;=$B$3,4,N43&gt;=$B$4,3,N43&gt;=$B$5,2,N43&gt;$B$6,1),0),"")</f>
        <v/>
      </c>
      <c r="AL43" s="2" t="str" cm="1">
        <f t="array" ref="AL43">IF('NILAI CPL'!$B43&lt;&gt;"",IFERROR(_xlfn.IFS(O43&gt;=$B$3,4,O43&gt;=$B$4,3,O43&gt;=$B$5,2,O43&gt;$B$6,1),0),"")</f>
        <v/>
      </c>
      <c r="AM43" s="2" t="str" cm="1">
        <f t="array" ref="AM43">IF('NILAI CPL'!$B43&lt;&gt;"",IFERROR(_xlfn.IFS(P43&gt;=$B$3,4,P43&gt;=$B$4,3,P43&gt;=$B$5,2,P43&gt;$B$6,1),0),"")</f>
        <v/>
      </c>
      <c r="AN43" s="2" t="str" cm="1">
        <f t="array" ref="AN43">IF('NILAI CPL'!$B43&lt;&gt;"",IFERROR(_xlfn.IFS(Q43&gt;=$B$3,4,Q43&gt;=$B$4,3,Q43&gt;=$B$5,2,Q43&gt;$B$6,1),0),"")</f>
        <v/>
      </c>
      <c r="AO43" s="2" t="str" cm="1">
        <f t="array" ref="AO43">IF('NILAI CPL'!$B43&lt;&gt;"",IFERROR(_xlfn.IFS(R43&gt;=$B$3,4,R43&gt;=$B$4,3,R43&gt;=$B$5,2,R43&gt;$B$6,1),0),"")</f>
        <v/>
      </c>
      <c r="AP43" s="2" t="str" cm="1">
        <f t="array" ref="AP43">IF('NILAI CPL'!$B43&lt;&gt;"",IFERROR(_xlfn.IFS(S43&gt;=$B$3,4,S43&gt;=$B$4,3,S43&gt;=$B$5,2,S43&gt;$B$6,1),0),"")</f>
        <v/>
      </c>
      <c r="AQ43" s="2" t="str" cm="1">
        <f t="array" ref="AQ43">IF('NILAI CPL'!$B43&lt;&gt;"",IFERROR(_xlfn.IFS(T43&gt;=$B$3,4,T43&gt;=$B$4,3,T43&gt;=$B$5,2,T43&gt;$B$6,1),0),"")</f>
        <v/>
      </c>
      <c r="AR43" s="2" t="str" cm="1">
        <f t="array" ref="AR43">IF('NILAI CPL'!$B43&lt;&gt;"",IFERROR(_xlfn.IFS(U43&gt;=$B$3,4,U43&gt;=$B$4,3,U43&gt;=$B$5,2,U43&gt;$B$6,1),0),"")</f>
        <v/>
      </c>
      <c r="AS43" s="2" t="str" cm="1">
        <f t="array" ref="AS43">IF('NILAI CPL'!$B43&lt;&gt;"",IFERROR(_xlfn.IFS(V43&gt;=$B$3,4,V43&gt;=$B$4,3,V43&gt;=$B$5,2,V43&gt;$B$6,1),0),"")</f>
        <v/>
      </c>
      <c r="AT43" s="2" t="str" cm="1">
        <f t="array" ref="AT43">IF('NILAI CPL'!$B43&lt;&gt;"",IFERROR(_xlfn.IFS(W43&gt;=$B$3,4,W43&gt;=$B$4,3,W43&gt;=$B$5,2,W43&gt;$B$6,1),0),"")</f>
        <v/>
      </c>
      <c r="AU43" s="2" t="str" cm="1">
        <f t="array" ref="AU43">IF('NILAI CPL'!$B43&lt;&gt;"",IFERROR(_xlfn.IFS(X43&gt;=$B$3,4,X43&gt;=$B$4,3,X43&gt;=$B$5,2,X43&gt;$B$6,1),0),"")</f>
        <v/>
      </c>
      <c r="AV43" s="2" t="str" cm="1">
        <f t="array" ref="AV43">IF('NILAI CPL'!$B43&lt;&gt;"",IFERROR(_xlfn.IFS(Y43&gt;=$B$3,4,Y43&gt;=$B$4,3,Y43&gt;=$B$5,2,Y43&gt;$B$6,1),0),"")</f>
        <v/>
      </c>
      <c r="AW43" s="2" t="str" cm="1">
        <f t="array" ref="AW43">IF('NILAI CPL'!$B43&lt;&gt;"",IFERROR(_xlfn.IFS(Z43&gt;=$B$3,4,Z43&gt;=$B$4,3,Z43&gt;=$B$5,2,Z43&gt;$B$6,1),0),"")</f>
        <v/>
      </c>
      <c r="AY43" s="2" t="str">
        <f t="shared" si="0"/>
        <v/>
      </c>
      <c r="AZ43" s="2" t="str">
        <f t="shared" si="1"/>
        <v/>
      </c>
      <c r="BA43" s="2" t="str">
        <f t="shared" si="2"/>
        <v/>
      </c>
      <c r="BB43" s="2" t="str">
        <f t="shared" si="3"/>
        <v/>
      </c>
      <c r="BC43" s="2" t="str">
        <f t="shared" si="4"/>
        <v/>
      </c>
      <c r="BD43" s="2" t="str">
        <f t="shared" si="5"/>
        <v/>
      </c>
      <c r="BE43" s="2" t="str">
        <f t="shared" si="6"/>
        <v/>
      </c>
      <c r="BF43" s="2" t="str">
        <f t="shared" si="7"/>
        <v/>
      </c>
      <c r="BG43" s="2" t="str">
        <f t="shared" si="8"/>
        <v/>
      </c>
      <c r="BH43" s="2" t="str">
        <f t="shared" si="9"/>
        <v/>
      </c>
      <c r="BJ43" s="2" t="str" cm="1">
        <f t="array" ref="BJ43">IF('NILAI CPL'!$B43&lt;&gt;"",IFERROR(_xlfn.IFS(AY43&gt;=$B$3,4,AY43&gt;=$B$4,3,AY43&gt;=$B$5,2,AY43&gt;$B$6,1),0),"")</f>
        <v/>
      </c>
      <c r="BK43" s="2" t="str" cm="1">
        <f t="array" ref="BK43">IF('NILAI CPL'!$B43&lt;&gt;"",IFERROR(_xlfn.IFS(AZ43&gt;=$B$3,4,AZ43&gt;=$B$4,3,AZ43&gt;=$B$5,2,AZ43&gt;$B$6,1),0),"")</f>
        <v/>
      </c>
      <c r="BL43" s="2" t="str" cm="1">
        <f t="array" ref="BL43">IF('NILAI CPL'!$B43&lt;&gt;"",IFERROR(_xlfn.IFS(BA43&gt;=$B$3,4,BA43&gt;=$B$4,3,BA43&gt;=$B$5,2,BA43&gt;$B$6,1),0),"")</f>
        <v/>
      </c>
      <c r="BM43" s="2" t="str" cm="1">
        <f t="array" ref="BM43">IF('NILAI CPL'!$B43&lt;&gt;"",IFERROR(_xlfn.IFS(BB43&gt;=$B$3,4,BB43&gt;=$B$4,3,BB43&gt;=$B$5,2,BB43&gt;$B$6,1),0),"")</f>
        <v/>
      </c>
      <c r="BN43" s="2" t="str" cm="1">
        <f t="array" ref="BN43">IF('NILAI CPL'!$B43&lt;&gt;"",IFERROR(_xlfn.IFS(BC43&gt;=$B$3,4,BC43&gt;=$B$4,3,BC43&gt;=$B$5,2,BC43&gt;$B$6,1),0),"")</f>
        <v/>
      </c>
      <c r="BO43" s="2" t="str" cm="1">
        <f t="array" ref="BO43">IF('NILAI CPL'!$B43&lt;&gt;"",IFERROR(_xlfn.IFS(BD43&gt;=$B$3,4,BD43&gt;=$B$4,3,BD43&gt;=$B$5,2,BD43&gt;$B$6,1),0),"")</f>
        <v/>
      </c>
      <c r="BP43" s="2" t="str" cm="1">
        <f t="array" ref="BP43">IF('NILAI CPL'!$B43&lt;&gt;"",IFERROR(_xlfn.IFS(BE43&gt;=$B$3,4,BE43&gt;=$B$4,3,BE43&gt;=$B$5,2,BE43&gt;$B$6,1),0),"")</f>
        <v/>
      </c>
      <c r="BQ43" s="2" t="str" cm="1">
        <f t="array" ref="BQ43">IF('NILAI CPL'!$B43&lt;&gt;"",IFERROR(_xlfn.IFS(BF43&gt;=$B$3,4,BF43&gt;=$B$4,3,BF43&gt;=$B$5,2,BF43&gt;$B$6,1),0),"")</f>
        <v/>
      </c>
      <c r="BR43" s="2" t="str" cm="1">
        <f t="array" ref="BR43">IF('NILAI CPL'!$B43&lt;&gt;"",IFERROR(_xlfn.IFS(BG43&gt;=$B$3,4,BG43&gt;=$B$4,3,BG43&gt;=$B$5,2,BG43&gt;$B$6,1),0),"")</f>
        <v/>
      </c>
      <c r="BS43" s="2" t="str" cm="1">
        <f t="array" ref="BS43">IF('NILAI CPL'!$B43&lt;&gt;"",IFERROR(_xlfn.IFS(BH43&gt;=$B$3,4,BH43&gt;=$B$4,3,BH43&gt;=$B$5,2,BH43&gt;$B$6,1),0),"")</f>
        <v/>
      </c>
    </row>
    <row r="44" spans="1:71" x14ac:dyDescent="0.2">
      <c r="A44" s="2">
        <v>34</v>
      </c>
      <c r="B44" s="2" t="str">
        <f>IF(LEN(SUMMARY!B44)&gt;0, SUMMARY!B44, "")</f>
        <v/>
      </c>
      <c r="C44" s="2" t="str">
        <f>IF(LEN(SUMMARY!C44)&gt;0, SUMMARY!C44, "")</f>
        <v/>
      </c>
      <c r="E44" s="2" t="str" cm="1">
        <f t="array" ref="E44">IF('NILAI CPL'!$B44&lt;&gt;"",IFERROR(JumlahPI(ROW(),COLUMN()),0),"")</f>
        <v/>
      </c>
      <c r="F44" s="2" t="str" cm="1">
        <f t="array" ref="F44">IF('NILAI CPL'!$B44&lt;&gt;"",IFERROR(JumlahPI(ROW(),COLUMN()),0),"")</f>
        <v/>
      </c>
      <c r="G44" s="2" t="str" cm="1">
        <f t="array" ref="G44">IF('NILAI CPL'!$B44&lt;&gt;"",IFERROR(JumlahPI(ROW(),COLUMN()),0),"")</f>
        <v/>
      </c>
      <c r="H44" s="2" t="str" cm="1">
        <f t="array" ref="H44">IF('NILAI CPL'!$B44&lt;&gt;"",IFERROR(JumlahPI(ROW(),COLUMN()),0),"")</f>
        <v/>
      </c>
      <c r="I44" s="2" t="str" cm="1">
        <f t="array" ref="I44">IF('NILAI CPL'!$B44&lt;&gt;"",IFERROR(JumlahPI(ROW(),COLUMN()),0),"")</f>
        <v/>
      </c>
      <c r="J44" s="2" t="str" cm="1">
        <f t="array" ref="J44">IF('NILAI CPL'!$B44&lt;&gt;"",IFERROR(JumlahPI(ROW(),COLUMN()),0),"")</f>
        <v/>
      </c>
      <c r="K44" s="2" t="str" cm="1">
        <f t="array" ref="K44">IF('NILAI CPL'!$B44&lt;&gt;"",IFERROR(JumlahPI(ROW(),COLUMN()),0),"")</f>
        <v/>
      </c>
      <c r="L44" s="2" t="str" cm="1">
        <f t="array" ref="L44">IF('NILAI CPL'!$B44&lt;&gt;"",IFERROR(JumlahPI(ROW(),COLUMN()),0),"")</f>
        <v/>
      </c>
      <c r="M44" s="2" t="str" cm="1">
        <f t="array" ref="M44">IF('NILAI CPL'!$B44&lt;&gt;"",IFERROR(JumlahPI(ROW(),COLUMN()),0),"")</f>
        <v/>
      </c>
      <c r="N44" s="2" t="str" cm="1">
        <f t="array" ref="N44">IF('NILAI CPL'!$B44&lt;&gt;"",IFERROR(JumlahPI(ROW(),COLUMN()),0),"")</f>
        <v/>
      </c>
      <c r="O44" s="2" t="str" cm="1">
        <f t="array" ref="O44">IF('NILAI CPL'!$B44&lt;&gt;"",IFERROR(JumlahPI(ROW(),COLUMN()),0),"")</f>
        <v/>
      </c>
      <c r="P44" s="2" t="str" cm="1">
        <f t="array" ref="P44">IF('NILAI CPL'!$B44&lt;&gt;"",IFERROR(JumlahPI(ROW(),COLUMN()),0),"")</f>
        <v/>
      </c>
      <c r="Q44" s="2" t="str" cm="1">
        <f t="array" ref="Q44">IF('NILAI CPL'!$B44&lt;&gt;"",IFERROR(JumlahPI(ROW(),COLUMN()),0),"")</f>
        <v/>
      </c>
      <c r="R44" s="2" t="str" cm="1">
        <f t="array" ref="R44">IF('NILAI CPL'!$B44&lt;&gt;"",IFERROR(JumlahPI(ROW(),COLUMN()),0),"")</f>
        <v/>
      </c>
      <c r="S44" s="2" t="str" cm="1">
        <f t="array" ref="S44">IF('NILAI CPL'!$B44&lt;&gt;"",IFERROR(JumlahPI(ROW(),COLUMN()),0),"")</f>
        <v/>
      </c>
      <c r="T44" s="2" t="str" cm="1">
        <f t="array" ref="T44">IF('NILAI CPL'!$B44&lt;&gt;"",IFERROR(JumlahPI(ROW(),COLUMN()),0),"")</f>
        <v/>
      </c>
      <c r="U44" s="2" t="str" cm="1">
        <f t="array" ref="U44">IF('NILAI CPL'!$B44&lt;&gt;"",IFERROR(JumlahPI(ROW(),COLUMN()),0),"")</f>
        <v/>
      </c>
      <c r="V44" s="2" t="str" cm="1">
        <f t="array" ref="V44">IF('NILAI CPL'!$B44&lt;&gt;"",IFERROR(JumlahPI(ROW(),COLUMN()),0),"")</f>
        <v/>
      </c>
      <c r="W44" s="2" t="str" cm="1">
        <f t="array" ref="W44">IF('NILAI CPL'!$B44&lt;&gt;"",IFERROR(JumlahPI(ROW(),COLUMN()),0),"")</f>
        <v/>
      </c>
      <c r="X44" s="2" t="str" cm="1">
        <f t="array" ref="X44">IF('NILAI CPL'!$B44&lt;&gt;"",IFERROR(JumlahPI(ROW(),COLUMN()),0),"")</f>
        <v/>
      </c>
      <c r="Y44" s="2" t="str" cm="1">
        <f t="array" ref="Y44">IF('NILAI CPL'!$B44&lt;&gt;"",IFERROR(JumlahPI(ROW(),COLUMN()),0),"")</f>
        <v/>
      </c>
      <c r="Z44" s="2" t="str" cm="1">
        <f t="array" ref="Z44">IF('NILAI CPL'!$B44&lt;&gt;"",IFERROR(JumlahPI(ROW(),COLUMN()),0),"")</f>
        <v/>
      </c>
      <c r="AB44" s="2" t="str" cm="1">
        <f t="array" ref="AB44">IF('NILAI CPL'!$B44&lt;&gt;"",IFERROR(_xlfn.IFS(E44&gt;=$B$3,4,E44&gt;=$B$4,3,E44&gt;=$B$5,2,E44&gt;$B$6,1),0),"")</f>
        <v/>
      </c>
      <c r="AC44" s="2" t="str" cm="1">
        <f t="array" ref="AC44">IF('NILAI CPL'!$B44&lt;&gt;"",IFERROR(_xlfn.IFS(F44&gt;=$B$3,4,F44&gt;=$B$4,3,F44&gt;=$B$5,2,F44&gt;$B$6,1),0),"")</f>
        <v/>
      </c>
      <c r="AD44" s="2" t="str" cm="1">
        <f t="array" ref="AD44">IF('NILAI CPL'!$B44&lt;&gt;"",IFERROR(_xlfn.IFS(G44&gt;=$B$3,4,G44&gt;=$B$4,3,G44&gt;=$B$5,2,G44&gt;$B$6,1),0),"")</f>
        <v/>
      </c>
      <c r="AE44" s="2" t="str" cm="1">
        <f t="array" ref="AE44">IF('NILAI CPL'!$B44&lt;&gt;"",IFERROR(_xlfn.IFS(H44&gt;=$B$3,4,H44&gt;=$B$4,3,H44&gt;=$B$5,2,H44&gt;$B$6,1),0),"")</f>
        <v/>
      </c>
      <c r="AF44" s="2" t="str" cm="1">
        <f t="array" ref="AF44">IF('NILAI CPL'!$B44&lt;&gt;"",IFERROR(_xlfn.IFS(I44&gt;=$B$3,4,I44&gt;=$B$4,3,I44&gt;=$B$5,2,I44&gt;$B$6,1),0),"")</f>
        <v/>
      </c>
      <c r="AG44" s="2" t="str" cm="1">
        <f t="array" ref="AG44">IF('NILAI CPL'!$B44&lt;&gt;"",IFERROR(_xlfn.IFS(J44&gt;=$B$3,4,J44&gt;=$B$4,3,J44&gt;=$B$5,2,J44&gt;$B$6,1),0),"")</f>
        <v/>
      </c>
      <c r="AH44" s="2" t="str" cm="1">
        <f t="array" ref="AH44">IF('NILAI CPL'!$B44&lt;&gt;"",IFERROR(_xlfn.IFS(K44&gt;=$B$3,4,K44&gt;=$B$4,3,K44&gt;=$B$5,2,K44&gt;$B$6,1),0),"")</f>
        <v/>
      </c>
      <c r="AI44" s="2" t="str" cm="1">
        <f t="array" ref="AI44">IF('NILAI CPL'!$B44&lt;&gt;"",IFERROR(_xlfn.IFS(L44&gt;=$B$3,4,L44&gt;=$B$4,3,L44&gt;=$B$5,2,L44&gt;$B$6,1),0),"")</f>
        <v/>
      </c>
      <c r="AJ44" s="2" t="str" cm="1">
        <f t="array" ref="AJ44">IF('NILAI CPL'!$B44&lt;&gt;"",IFERROR(_xlfn.IFS(M44&gt;=$B$3,4,M44&gt;=$B$4,3,M44&gt;=$B$5,2,M44&gt;$B$6,1),0),"")</f>
        <v/>
      </c>
      <c r="AK44" s="2" t="str" cm="1">
        <f t="array" ref="AK44">IF('NILAI CPL'!$B44&lt;&gt;"",IFERROR(_xlfn.IFS(N44&gt;=$B$3,4,N44&gt;=$B$4,3,N44&gt;=$B$5,2,N44&gt;$B$6,1),0),"")</f>
        <v/>
      </c>
      <c r="AL44" s="2" t="str" cm="1">
        <f t="array" ref="AL44">IF('NILAI CPL'!$B44&lt;&gt;"",IFERROR(_xlfn.IFS(O44&gt;=$B$3,4,O44&gt;=$B$4,3,O44&gt;=$B$5,2,O44&gt;$B$6,1),0),"")</f>
        <v/>
      </c>
      <c r="AM44" s="2" t="str" cm="1">
        <f t="array" ref="AM44">IF('NILAI CPL'!$B44&lt;&gt;"",IFERROR(_xlfn.IFS(P44&gt;=$B$3,4,P44&gt;=$B$4,3,P44&gt;=$B$5,2,P44&gt;$B$6,1),0),"")</f>
        <v/>
      </c>
      <c r="AN44" s="2" t="str" cm="1">
        <f t="array" ref="AN44">IF('NILAI CPL'!$B44&lt;&gt;"",IFERROR(_xlfn.IFS(Q44&gt;=$B$3,4,Q44&gt;=$B$4,3,Q44&gt;=$B$5,2,Q44&gt;$B$6,1),0),"")</f>
        <v/>
      </c>
      <c r="AO44" s="2" t="str" cm="1">
        <f t="array" ref="AO44">IF('NILAI CPL'!$B44&lt;&gt;"",IFERROR(_xlfn.IFS(R44&gt;=$B$3,4,R44&gt;=$B$4,3,R44&gt;=$B$5,2,R44&gt;$B$6,1),0),"")</f>
        <v/>
      </c>
      <c r="AP44" s="2" t="str" cm="1">
        <f t="array" ref="AP44">IF('NILAI CPL'!$B44&lt;&gt;"",IFERROR(_xlfn.IFS(S44&gt;=$B$3,4,S44&gt;=$B$4,3,S44&gt;=$B$5,2,S44&gt;$B$6,1),0),"")</f>
        <v/>
      </c>
      <c r="AQ44" s="2" t="str" cm="1">
        <f t="array" ref="AQ44">IF('NILAI CPL'!$B44&lt;&gt;"",IFERROR(_xlfn.IFS(T44&gt;=$B$3,4,T44&gt;=$B$4,3,T44&gt;=$B$5,2,T44&gt;$B$6,1),0),"")</f>
        <v/>
      </c>
      <c r="AR44" s="2" t="str" cm="1">
        <f t="array" ref="AR44">IF('NILAI CPL'!$B44&lt;&gt;"",IFERROR(_xlfn.IFS(U44&gt;=$B$3,4,U44&gt;=$B$4,3,U44&gt;=$B$5,2,U44&gt;$B$6,1),0),"")</f>
        <v/>
      </c>
      <c r="AS44" s="2" t="str" cm="1">
        <f t="array" ref="AS44">IF('NILAI CPL'!$B44&lt;&gt;"",IFERROR(_xlfn.IFS(V44&gt;=$B$3,4,V44&gt;=$B$4,3,V44&gt;=$B$5,2,V44&gt;$B$6,1),0),"")</f>
        <v/>
      </c>
      <c r="AT44" s="2" t="str" cm="1">
        <f t="array" ref="AT44">IF('NILAI CPL'!$B44&lt;&gt;"",IFERROR(_xlfn.IFS(W44&gt;=$B$3,4,W44&gt;=$B$4,3,W44&gt;=$B$5,2,W44&gt;$B$6,1),0),"")</f>
        <v/>
      </c>
      <c r="AU44" s="2" t="str" cm="1">
        <f t="array" ref="AU44">IF('NILAI CPL'!$B44&lt;&gt;"",IFERROR(_xlfn.IFS(X44&gt;=$B$3,4,X44&gt;=$B$4,3,X44&gt;=$B$5,2,X44&gt;$B$6,1),0),"")</f>
        <v/>
      </c>
      <c r="AV44" s="2" t="str" cm="1">
        <f t="array" ref="AV44">IF('NILAI CPL'!$B44&lt;&gt;"",IFERROR(_xlfn.IFS(Y44&gt;=$B$3,4,Y44&gt;=$B$4,3,Y44&gt;=$B$5,2,Y44&gt;$B$6,1),0),"")</f>
        <v/>
      </c>
      <c r="AW44" s="2" t="str" cm="1">
        <f t="array" ref="AW44">IF('NILAI CPL'!$B44&lt;&gt;"",IFERROR(_xlfn.IFS(Z44&gt;=$B$3,4,Z44&gt;=$B$4,3,Z44&gt;=$B$5,2,Z44&gt;$B$6,1),0),"")</f>
        <v/>
      </c>
      <c r="AY44" s="2" t="str">
        <f t="shared" si="0"/>
        <v/>
      </c>
      <c r="AZ44" s="2" t="str">
        <f t="shared" si="1"/>
        <v/>
      </c>
      <c r="BA44" s="2" t="str">
        <f t="shared" si="2"/>
        <v/>
      </c>
      <c r="BB44" s="2" t="str">
        <f t="shared" si="3"/>
        <v/>
      </c>
      <c r="BC44" s="2" t="str">
        <f t="shared" si="4"/>
        <v/>
      </c>
      <c r="BD44" s="2" t="str">
        <f t="shared" si="5"/>
        <v/>
      </c>
      <c r="BE44" s="2" t="str">
        <f t="shared" si="6"/>
        <v/>
      </c>
      <c r="BF44" s="2" t="str">
        <f t="shared" si="7"/>
        <v/>
      </c>
      <c r="BG44" s="2" t="str">
        <f t="shared" si="8"/>
        <v/>
      </c>
      <c r="BH44" s="2" t="str">
        <f t="shared" si="9"/>
        <v/>
      </c>
      <c r="BJ44" s="2" t="str" cm="1">
        <f t="array" ref="BJ44">IF('NILAI CPL'!$B44&lt;&gt;"",IFERROR(_xlfn.IFS(AY44&gt;=$B$3,4,AY44&gt;=$B$4,3,AY44&gt;=$B$5,2,AY44&gt;$B$6,1),0),"")</f>
        <v/>
      </c>
      <c r="BK44" s="2" t="str" cm="1">
        <f t="array" ref="BK44">IF('NILAI CPL'!$B44&lt;&gt;"",IFERROR(_xlfn.IFS(AZ44&gt;=$B$3,4,AZ44&gt;=$B$4,3,AZ44&gt;=$B$5,2,AZ44&gt;$B$6,1),0),"")</f>
        <v/>
      </c>
      <c r="BL44" s="2" t="str" cm="1">
        <f t="array" ref="BL44">IF('NILAI CPL'!$B44&lt;&gt;"",IFERROR(_xlfn.IFS(BA44&gt;=$B$3,4,BA44&gt;=$B$4,3,BA44&gt;=$B$5,2,BA44&gt;$B$6,1),0),"")</f>
        <v/>
      </c>
      <c r="BM44" s="2" t="str" cm="1">
        <f t="array" ref="BM44">IF('NILAI CPL'!$B44&lt;&gt;"",IFERROR(_xlfn.IFS(BB44&gt;=$B$3,4,BB44&gt;=$B$4,3,BB44&gt;=$B$5,2,BB44&gt;$B$6,1),0),"")</f>
        <v/>
      </c>
      <c r="BN44" s="2" t="str" cm="1">
        <f t="array" ref="BN44">IF('NILAI CPL'!$B44&lt;&gt;"",IFERROR(_xlfn.IFS(BC44&gt;=$B$3,4,BC44&gt;=$B$4,3,BC44&gt;=$B$5,2,BC44&gt;$B$6,1),0),"")</f>
        <v/>
      </c>
      <c r="BO44" s="2" t="str" cm="1">
        <f t="array" ref="BO44">IF('NILAI CPL'!$B44&lt;&gt;"",IFERROR(_xlfn.IFS(BD44&gt;=$B$3,4,BD44&gt;=$B$4,3,BD44&gt;=$B$5,2,BD44&gt;$B$6,1),0),"")</f>
        <v/>
      </c>
      <c r="BP44" s="2" t="str" cm="1">
        <f t="array" ref="BP44">IF('NILAI CPL'!$B44&lt;&gt;"",IFERROR(_xlfn.IFS(BE44&gt;=$B$3,4,BE44&gt;=$B$4,3,BE44&gt;=$B$5,2,BE44&gt;$B$6,1),0),"")</f>
        <v/>
      </c>
      <c r="BQ44" s="2" t="str" cm="1">
        <f t="array" ref="BQ44">IF('NILAI CPL'!$B44&lt;&gt;"",IFERROR(_xlfn.IFS(BF44&gt;=$B$3,4,BF44&gt;=$B$4,3,BF44&gt;=$B$5,2,BF44&gt;$B$6,1),0),"")</f>
        <v/>
      </c>
      <c r="BR44" s="2" t="str" cm="1">
        <f t="array" ref="BR44">IF('NILAI CPL'!$B44&lt;&gt;"",IFERROR(_xlfn.IFS(BG44&gt;=$B$3,4,BG44&gt;=$B$4,3,BG44&gt;=$B$5,2,BG44&gt;$B$6,1),0),"")</f>
        <v/>
      </c>
      <c r="BS44" s="2" t="str" cm="1">
        <f t="array" ref="BS44">IF('NILAI CPL'!$B44&lt;&gt;"",IFERROR(_xlfn.IFS(BH44&gt;=$B$3,4,BH44&gt;=$B$4,3,BH44&gt;=$B$5,2,BH44&gt;$B$6,1),0),"")</f>
        <v/>
      </c>
    </row>
    <row r="45" spans="1:71" x14ac:dyDescent="0.2">
      <c r="A45" s="2">
        <v>35</v>
      </c>
      <c r="B45" s="2" t="str">
        <f>IF(LEN(SUMMARY!B45)&gt;0, SUMMARY!B45, "")</f>
        <v/>
      </c>
      <c r="C45" s="2" t="str">
        <f>IF(LEN(SUMMARY!C45)&gt;0, SUMMARY!C45, "")</f>
        <v/>
      </c>
      <c r="E45" s="2" t="str" cm="1">
        <f t="array" ref="E45">IF('NILAI CPL'!$B45&lt;&gt;"",IFERROR(JumlahPI(ROW(),COLUMN()),0),"")</f>
        <v/>
      </c>
      <c r="F45" s="2" t="str" cm="1">
        <f t="array" ref="F45">IF('NILAI CPL'!$B45&lt;&gt;"",IFERROR(JumlahPI(ROW(),COLUMN()),0),"")</f>
        <v/>
      </c>
      <c r="G45" s="2" t="str" cm="1">
        <f t="array" ref="G45">IF('NILAI CPL'!$B45&lt;&gt;"",IFERROR(JumlahPI(ROW(),COLUMN()),0),"")</f>
        <v/>
      </c>
      <c r="H45" s="2" t="str" cm="1">
        <f t="array" ref="H45">IF('NILAI CPL'!$B45&lt;&gt;"",IFERROR(JumlahPI(ROW(),COLUMN()),0),"")</f>
        <v/>
      </c>
      <c r="I45" s="2" t="str" cm="1">
        <f t="array" ref="I45">IF('NILAI CPL'!$B45&lt;&gt;"",IFERROR(JumlahPI(ROW(),COLUMN()),0),"")</f>
        <v/>
      </c>
      <c r="J45" s="2" t="str" cm="1">
        <f t="array" ref="J45">IF('NILAI CPL'!$B45&lt;&gt;"",IFERROR(JumlahPI(ROW(),COLUMN()),0),"")</f>
        <v/>
      </c>
      <c r="K45" s="2" t="str" cm="1">
        <f t="array" ref="K45">IF('NILAI CPL'!$B45&lt;&gt;"",IFERROR(JumlahPI(ROW(),COLUMN()),0),"")</f>
        <v/>
      </c>
      <c r="L45" s="2" t="str" cm="1">
        <f t="array" ref="L45">IF('NILAI CPL'!$B45&lt;&gt;"",IFERROR(JumlahPI(ROW(),COLUMN()),0),"")</f>
        <v/>
      </c>
      <c r="M45" s="2" t="str" cm="1">
        <f t="array" ref="M45">IF('NILAI CPL'!$B45&lt;&gt;"",IFERROR(JumlahPI(ROW(),COLUMN()),0),"")</f>
        <v/>
      </c>
      <c r="N45" s="2" t="str" cm="1">
        <f t="array" ref="N45">IF('NILAI CPL'!$B45&lt;&gt;"",IFERROR(JumlahPI(ROW(),COLUMN()),0),"")</f>
        <v/>
      </c>
      <c r="O45" s="2" t="str" cm="1">
        <f t="array" ref="O45">IF('NILAI CPL'!$B45&lt;&gt;"",IFERROR(JumlahPI(ROW(),COLUMN()),0),"")</f>
        <v/>
      </c>
      <c r="P45" s="2" t="str" cm="1">
        <f t="array" ref="P45">IF('NILAI CPL'!$B45&lt;&gt;"",IFERROR(JumlahPI(ROW(),COLUMN()),0),"")</f>
        <v/>
      </c>
      <c r="Q45" s="2" t="str" cm="1">
        <f t="array" ref="Q45">IF('NILAI CPL'!$B45&lt;&gt;"",IFERROR(JumlahPI(ROW(),COLUMN()),0),"")</f>
        <v/>
      </c>
      <c r="R45" s="2" t="str" cm="1">
        <f t="array" ref="R45">IF('NILAI CPL'!$B45&lt;&gt;"",IFERROR(JumlahPI(ROW(),COLUMN()),0),"")</f>
        <v/>
      </c>
      <c r="S45" s="2" t="str" cm="1">
        <f t="array" ref="S45">IF('NILAI CPL'!$B45&lt;&gt;"",IFERROR(JumlahPI(ROW(),COLUMN()),0),"")</f>
        <v/>
      </c>
      <c r="T45" s="2" t="str" cm="1">
        <f t="array" ref="T45">IF('NILAI CPL'!$B45&lt;&gt;"",IFERROR(JumlahPI(ROW(),COLUMN()),0),"")</f>
        <v/>
      </c>
      <c r="U45" s="2" t="str" cm="1">
        <f t="array" ref="U45">IF('NILAI CPL'!$B45&lt;&gt;"",IFERROR(JumlahPI(ROW(),COLUMN()),0),"")</f>
        <v/>
      </c>
      <c r="V45" s="2" t="str" cm="1">
        <f t="array" ref="V45">IF('NILAI CPL'!$B45&lt;&gt;"",IFERROR(JumlahPI(ROW(),COLUMN()),0),"")</f>
        <v/>
      </c>
      <c r="W45" s="2" t="str" cm="1">
        <f t="array" ref="W45">IF('NILAI CPL'!$B45&lt;&gt;"",IFERROR(JumlahPI(ROW(),COLUMN()),0),"")</f>
        <v/>
      </c>
      <c r="X45" s="2" t="str" cm="1">
        <f t="array" ref="X45">IF('NILAI CPL'!$B45&lt;&gt;"",IFERROR(JumlahPI(ROW(),COLUMN()),0),"")</f>
        <v/>
      </c>
      <c r="Y45" s="2" t="str" cm="1">
        <f t="array" ref="Y45">IF('NILAI CPL'!$B45&lt;&gt;"",IFERROR(JumlahPI(ROW(),COLUMN()),0),"")</f>
        <v/>
      </c>
      <c r="Z45" s="2" t="str" cm="1">
        <f t="array" ref="Z45">IF('NILAI CPL'!$B45&lt;&gt;"",IFERROR(JumlahPI(ROW(),COLUMN()),0),"")</f>
        <v/>
      </c>
      <c r="AB45" s="2" t="str" cm="1">
        <f t="array" ref="AB45">IF('NILAI CPL'!$B45&lt;&gt;"",IFERROR(_xlfn.IFS(E45&gt;=$B$3,4,E45&gt;=$B$4,3,E45&gt;=$B$5,2,E45&gt;$B$6,1),0),"")</f>
        <v/>
      </c>
      <c r="AC45" s="2" t="str" cm="1">
        <f t="array" ref="AC45">IF('NILAI CPL'!$B45&lt;&gt;"",IFERROR(_xlfn.IFS(F45&gt;=$B$3,4,F45&gt;=$B$4,3,F45&gt;=$B$5,2,F45&gt;$B$6,1),0),"")</f>
        <v/>
      </c>
      <c r="AD45" s="2" t="str" cm="1">
        <f t="array" ref="AD45">IF('NILAI CPL'!$B45&lt;&gt;"",IFERROR(_xlfn.IFS(G45&gt;=$B$3,4,G45&gt;=$B$4,3,G45&gt;=$B$5,2,G45&gt;$B$6,1),0),"")</f>
        <v/>
      </c>
      <c r="AE45" s="2" t="str" cm="1">
        <f t="array" ref="AE45">IF('NILAI CPL'!$B45&lt;&gt;"",IFERROR(_xlfn.IFS(H45&gt;=$B$3,4,H45&gt;=$B$4,3,H45&gt;=$B$5,2,H45&gt;$B$6,1),0),"")</f>
        <v/>
      </c>
      <c r="AF45" s="2" t="str" cm="1">
        <f t="array" ref="AF45">IF('NILAI CPL'!$B45&lt;&gt;"",IFERROR(_xlfn.IFS(I45&gt;=$B$3,4,I45&gt;=$B$4,3,I45&gt;=$B$5,2,I45&gt;$B$6,1),0),"")</f>
        <v/>
      </c>
      <c r="AG45" s="2" t="str" cm="1">
        <f t="array" ref="AG45">IF('NILAI CPL'!$B45&lt;&gt;"",IFERROR(_xlfn.IFS(J45&gt;=$B$3,4,J45&gt;=$B$4,3,J45&gt;=$B$5,2,J45&gt;$B$6,1),0),"")</f>
        <v/>
      </c>
      <c r="AH45" s="2" t="str" cm="1">
        <f t="array" ref="AH45">IF('NILAI CPL'!$B45&lt;&gt;"",IFERROR(_xlfn.IFS(K45&gt;=$B$3,4,K45&gt;=$B$4,3,K45&gt;=$B$5,2,K45&gt;$B$6,1),0),"")</f>
        <v/>
      </c>
      <c r="AI45" s="2" t="str" cm="1">
        <f t="array" ref="AI45">IF('NILAI CPL'!$B45&lt;&gt;"",IFERROR(_xlfn.IFS(L45&gt;=$B$3,4,L45&gt;=$B$4,3,L45&gt;=$B$5,2,L45&gt;$B$6,1),0),"")</f>
        <v/>
      </c>
      <c r="AJ45" s="2" t="str" cm="1">
        <f t="array" ref="AJ45">IF('NILAI CPL'!$B45&lt;&gt;"",IFERROR(_xlfn.IFS(M45&gt;=$B$3,4,M45&gt;=$B$4,3,M45&gt;=$B$5,2,M45&gt;$B$6,1),0),"")</f>
        <v/>
      </c>
      <c r="AK45" s="2" t="str" cm="1">
        <f t="array" ref="AK45">IF('NILAI CPL'!$B45&lt;&gt;"",IFERROR(_xlfn.IFS(N45&gt;=$B$3,4,N45&gt;=$B$4,3,N45&gt;=$B$5,2,N45&gt;$B$6,1),0),"")</f>
        <v/>
      </c>
      <c r="AL45" s="2" t="str" cm="1">
        <f t="array" ref="AL45">IF('NILAI CPL'!$B45&lt;&gt;"",IFERROR(_xlfn.IFS(O45&gt;=$B$3,4,O45&gt;=$B$4,3,O45&gt;=$B$5,2,O45&gt;$B$6,1),0),"")</f>
        <v/>
      </c>
      <c r="AM45" s="2" t="str" cm="1">
        <f t="array" ref="AM45">IF('NILAI CPL'!$B45&lt;&gt;"",IFERROR(_xlfn.IFS(P45&gt;=$B$3,4,P45&gt;=$B$4,3,P45&gt;=$B$5,2,P45&gt;$B$6,1),0),"")</f>
        <v/>
      </c>
      <c r="AN45" s="2" t="str" cm="1">
        <f t="array" ref="AN45">IF('NILAI CPL'!$B45&lt;&gt;"",IFERROR(_xlfn.IFS(Q45&gt;=$B$3,4,Q45&gt;=$B$4,3,Q45&gt;=$B$5,2,Q45&gt;$B$6,1),0),"")</f>
        <v/>
      </c>
      <c r="AO45" s="2" t="str" cm="1">
        <f t="array" ref="AO45">IF('NILAI CPL'!$B45&lt;&gt;"",IFERROR(_xlfn.IFS(R45&gt;=$B$3,4,R45&gt;=$B$4,3,R45&gt;=$B$5,2,R45&gt;$B$6,1),0),"")</f>
        <v/>
      </c>
      <c r="AP45" s="2" t="str" cm="1">
        <f t="array" ref="AP45">IF('NILAI CPL'!$B45&lt;&gt;"",IFERROR(_xlfn.IFS(S45&gt;=$B$3,4,S45&gt;=$B$4,3,S45&gt;=$B$5,2,S45&gt;$B$6,1),0),"")</f>
        <v/>
      </c>
      <c r="AQ45" s="2" t="str" cm="1">
        <f t="array" ref="AQ45">IF('NILAI CPL'!$B45&lt;&gt;"",IFERROR(_xlfn.IFS(T45&gt;=$B$3,4,T45&gt;=$B$4,3,T45&gt;=$B$5,2,T45&gt;$B$6,1),0),"")</f>
        <v/>
      </c>
      <c r="AR45" s="2" t="str" cm="1">
        <f t="array" ref="AR45">IF('NILAI CPL'!$B45&lt;&gt;"",IFERROR(_xlfn.IFS(U45&gt;=$B$3,4,U45&gt;=$B$4,3,U45&gt;=$B$5,2,U45&gt;$B$6,1),0),"")</f>
        <v/>
      </c>
      <c r="AS45" s="2" t="str" cm="1">
        <f t="array" ref="AS45">IF('NILAI CPL'!$B45&lt;&gt;"",IFERROR(_xlfn.IFS(V45&gt;=$B$3,4,V45&gt;=$B$4,3,V45&gt;=$B$5,2,V45&gt;$B$6,1),0),"")</f>
        <v/>
      </c>
      <c r="AT45" s="2" t="str" cm="1">
        <f t="array" ref="AT45">IF('NILAI CPL'!$B45&lt;&gt;"",IFERROR(_xlfn.IFS(W45&gt;=$B$3,4,W45&gt;=$B$4,3,W45&gt;=$B$5,2,W45&gt;$B$6,1),0),"")</f>
        <v/>
      </c>
      <c r="AU45" s="2" t="str" cm="1">
        <f t="array" ref="AU45">IF('NILAI CPL'!$B45&lt;&gt;"",IFERROR(_xlfn.IFS(X45&gt;=$B$3,4,X45&gt;=$B$4,3,X45&gt;=$B$5,2,X45&gt;$B$6,1),0),"")</f>
        <v/>
      </c>
      <c r="AV45" s="2" t="str" cm="1">
        <f t="array" ref="AV45">IF('NILAI CPL'!$B45&lt;&gt;"",IFERROR(_xlfn.IFS(Y45&gt;=$B$3,4,Y45&gt;=$B$4,3,Y45&gt;=$B$5,2,Y45&gt;$B$6,1),0),"")</f>
        <v/>
      </c>
      <c r="AW45" s="2" t="str" cm="1">
        <f t="array" ref="AW45">IF('NILAI CPL'!$B45&lt;&gt;"",IFERROR(_xlfn.IFS(Z45&gt;=$B$3,4,Z45&gt;=$B$4,3,Z45&gt;=$B$5,2,Z45&gt;$B$6,1),0),"")</f>
        <v/>
      </c>
      <c r="AY45" s="2" t="str">
        <f t="shared" si="0"/>
        <v/>
      </c>
      <c r="AZ45" s="2" t="str">
        <f t="shared" si="1"/>
        <v/>
      </c>
      <c r="BA45" s="2" t="str">
        <f t="shared" si="2"/>
        <v/>
      </c>
      <c r="BB45" s="2" t="str">
        <f t="shared" si="3"/>
        <v/>
      </c>
      <c r="BC45" s="2" t="str">
        <f t="shared" si="4"/>
        <v/>
      </c>
      <c r="BD45" s="2" t="str">
        <f t="shared" si="5"/>
        <v/>
      </c>
      <c r="BE45" s="2" t="str">
        <f t="shared" si="6"/>
        <v/>
      </c>
      <c r="BF45" s="2" t="str">
        <f t="shared" si="7"/>
        <v/>
      </c>
      <c r="BG45" s="2" t="str">
        <f t="shared" si="8"/>
        <v/>
      </c>
      <c r="BH45" s="2" t="str">
        <f t="shared" si="9"/>
        <v/>
      </c>
      <c r="BJ45" s="2" t="str" cm="1">
        <f t="array" ref="BJ45">IF('NILAI CPL'!$B45&lt;&gt;"",IFERROR(_xlfn.IFS(AY45&gt;=$B$3,4,AY45&gt;=$B$4,3,AY45&gt;=$B$5,2,AY45&gt;$B$6,1),0),"")</f>
        <v/>
      </c>
      <c r="BK45" s="2" t="str" cm="1">
        <f t="array" ref="BK45">IF('NILAI CPL'!$B45&lt;&gt;"",IFERROR(_xlfn.IFS(AZ45&gt;=$B$3,4,AZ45&gt;=$B$4,3,AZ45&gt;=$B$5,2,AZ45&gt;$B$6,1),0),"")</f>
        <v/>
      </c>
      <c r="BL45" s="2" t="str" cm="1">
        <f t="array" ref="BL45">IF('NILAI CPL'!$B45&lt;&gt;"",IFERROR(_xlfn.IFS(BA45&gt;=$B$3,4,BA45&gt;=$B$4,3,BA45&gt;=$B$5,2,BA45&gt;$B$6,1),0),"")</f>
        <v/>
      </c>
      <c r="BM45" s="2" t="str" cm="1">
        <f t="array" ref="BM45">IF('NILAI CPL'!$B45&lt;&gt;"",IFERROR(_xlfn.IFS(BB45&gt;=$B$3,4,BB45&gt;=$B$4,3,BB45&gt;=$B$5,2,BB45&gt;$B$6,1),0),"")</f>
        <v/>
      </c>
      <c r="BN45" s="2" t="str" cm="1">
        <f t="array" ref="BN45">IF('NILAI CPL'!$B45&lt;&gt;"",IFERROR(_xlfn.IFS(BC45&gt;=$B$3,4,BC45&gt;=$B$4,3,BC45&gt;=$B$5,2,BC45&gt;$B$6,1),0),"")</f>
        <v/>
      </c>
      <c r="BO45" s="2" t="str" cm="1">
        <f t="array" ref="BO45">IF('NILAI CPL'!$B45&lt;&gt;"",IFERROR(_xlfn.IFS(BD45&gt;=$B$3,4,BD45&gt;=$B$4,3,BD45&gt;=$B$5,2,BD45&gt;$B$6,1),0),"")</f>
        <v/>
      </c>
      <c r="BP45" s="2" t="str" cm="1">
        <f t="array" ref="BP45">IF('NILAI CPL'!$B45&lt;&gt;"",IFERROR(_xlfn.IFS(BE45&gt;=$B$3,4,BE45&gt;=$B$4,3,BE45&gt;=$B$5,2,BE45&gt;$B$6,1),0),"")</f>
        <v/>
      </c>
      <c r="BQ45" s="2" t="str" cm="1">
        <f t="array" ref="BQ45">IF('NILAI CPL'!$B45&lt;&gt;"",IFERROR(_xlfn.IFS(BF45&gt;=$B$3,4,BF45&gt;=$B$4,3,BF45&gt;=$B$5,2,BF45&gt;$B$6,1),0),"")</f>
        <v/>
      </c>
      <c r="BR45" s="2" t="str" cm="1">
        <f t="array" ref="BR45">IF('NILAI CPL'!$B45&lt;&gt;"",IFERROR(_xlfn.IFS(BG45&gt;=$B$3,4,BG45&gt;=$B$4,3,BG45&gt;=$B$5,2,BG45&gt;$B$6,1),0),"")</f>
        <v/>
      </c>
      <c r="BS45" s="2" t="str" cm="1">
        <f t="array" ref="BS45">IF('NILAI CPL'!$B45&lt;&gt;"",IFERROR(_xlfn.IFS(BH45&gt;=$B$3,4,BH45&gt;=$B$4,3,BH45&gt;=$B$5,2,BH45&gt;$B$6,1),0),"")</f>
        <v/>
      </c>
    </row>
    <row r="46" spans="1:71" x14ac:dyDescent="0.2">
      <c r="A46" s="2">
        <v>36</v>
      </c>
      <c r="B46" s="2" t="str">
        <f>IF(LEN(SUMMARY!B46)&gt;0, SUMMARY!B46, "")</f>
        <v/>
      </c>
      <c r="C46" s="2" t="str">
        <f>IF(LEN(SUMMARY!C46)&gt;0, SUMMARY!C46, "")</f>
        <v/>
      </c>
      <c r="E46" s="2" t="str" cm="1">
        <f t="array" ref="E46">IF('NILAI CPL'!$B46&lt;&gt;"",IFERROR(JumlahPI(ROW(),COLUMN()),0),"")</f>
        <v/>
      </c>
      <c r="F46" s="2" t="str" cm="1">
        <f t="array" ref="F46">IF('NILAI CPL'!$B46&lt;&gt;"",IFERROR(JumlahPI(ROW(),COLUMN()),0),"")</f>
        <v/>
      </c>
      <c r="G46" s="2" t="str" cm="1">
        <f t="array" ref="G46">IF('NILAI CPL'!$B46&lt;&gt;"",IFERROR(JumlahPI(ROW(),COLUMN()),0),"")</f>
        <v/>
      </c>
      <c r="H46" s="2" t="str" cm="1">
        <f t="array" ref="H46">IF('NILAI CPL'!$B46&lt;&gt;"",IFERROR(JumlahPI(ROW(),COLUMN()),0),"")</f>
        <v/>
      </c>
      <c r="I46" s="2" t="str" cm="1">
        <f t="array" ref="I46">IF('NILAI CPL'!$B46&lt;&gt;"",IFERROR(JumlahPI(ROW(),COLUMN()),0),"")</f>
        <v/>
      </c>
      <c r="J46" s="2" t="str" cm="1">
        <f t="array" ref="J46">IF('NILAI CPL'!$B46&lt;&gt;"",IFERROR(JumlahPI(ROW(),COLUMN()),0),"")</f>
        <v/>
      </c>
      <c r="K46" s="2" t="str" cm="1">
        <f t="array" ref="K46">IF('NILAI CPL'!$B46&lt;&gt;"",IFERROR(JumlahPI(ROW(),COLUMN()),0),"")</f>
        <v/>
      </c>
      <c r="L46" s="2" t="str" cm="1">
        <f t="array" ref="L46">IF('NILAI CPL'!$B46&lt;&gt;"",IFERROR(JumlahPI(ROW(),COLUMN()),0),"")</f>
        <v/>
      </c>
      <c r="M46" s="2" t="str" cm="1">
        <f t="array" ref="M46">IF('NILAI CPL'!$B46&lt;&gt;"",IFERROR(JumlahPI(ROW(),COLUMN()),0),"")</f>
        <v/>
      </c>
      <c r="N46" s="2" t="str" cm="1">
        <f t="array" ref="N46">IF('NILAI CPL'!$B46&lt;&gt;"",IFERROR(JumlahPI(ROW(),COLUMN()),0),"")</f>
        <v/>
      </c>
      <c r="O46" s="2" t="str" cm="1">
        <f t="array" ref="O46">IF('NILAI CPL'!$B46&lt;&gt;"",IFERROR(JumlahPI(ROW(),COLUMN()),0),"")</f>
        <v/>
      </c>
      <c r="P46" s="2" t="str" cm="1">
        <f t="array" ref="P46">IF('NILAI CPL'!$B46&lt;&gt;"",IFERROR(JumlahPI(ROW(),COLUMN()),0),"")</f>
        <v/>
      </c>
      <c r="Q46" s="2" t="str" cm="1">
        <f t="array" ref="Q46">IF('NILAI CPL'!$B46&lt;&gt;"",IFERROR(JumlahPI(ROW(),COLUMN()),0),"")</f>
        <v/>
      </c>
      <c r="R46" s="2" t="str" cm="1">
        <f t="array" ref="R46">IF('NILAI CPL'!$B46&lt;&gt;"",IFERROR(JumlahPI(ROW(),COLUMN()),0),"")</f>
        <v/>
      </c>
      <c r="S46" s="2" t="str" cm="1">
        <f t="array" ref="S46">IF('NILAI CPL'!$B46&lt;&gt;"",IFERROR(JumlahPI(ROW(),COLUMN()),0),"")</f>
        <v/>
      </c>
      <c r="T46" s="2" t="str" cm="1">
        <f t="array" ref="T46">IF('NILAI CPL'!$B46&lt;&gt;"",IFERROR(JumlahPI(ROW(),COLUMN()),0),"")</f>
        <v/>
      </c>
      <c r="U46" s="2" t="str" cm="1">
        <f t="array" ref="U46">IF('NILAI CPL'!$B46&lt;&gt;"",IFERROR(JumlahPI(ROW(),COLUMN()),0),"")</f>
        <v/>
      </c>
      <c r="V46" s="2" t="str" cm="1">
        <f t="array" ref="V46">IF('NILAI CPL'!$B46&lt;&gt;"",IFERROR(JumlahPI(ROW(),COLUMN()),0),"")</f>
        <v/>
      </c>
      <c r="W46" s="2" t="str" cm="1">
        <f t="array" ref="W46">IF('NILAI CPL'!$B46&lt;&gt;"",IFERROR(JumlahPI(ROW(),COLUMN()),0),"")</f>
        <v/>
      </c>
      <c r="X46" s="2" t="str" cm="1">
        <f t="array" ref="X46">IF('NILAI CPL'!$B46&lt;&gt;"",IFERROR(JumlahPI(ROW(),COLUMN()),0),"")</f>
        <v/>
      </c>
      <c r="Y46" s="2" t="str" cm="1">
        <f t="array" ref="Y46">IF('NILAI CPL'!$B46&lt;&gt;"",IFERROR(JumlahPI(ROW(),COLUMN()),0),"")</f>
        <v/>
      </c>
      <c r="Z46" s="2" t="str" cm="1">
        <f t="array" ref="Z46">IF('NILAI CPL'!$B46&lt;&gt;"",IFERROR(JumlahPI(ROW(),COLUMN()),0),"")</f>
        <v/>
      </c>
      <c r="AB46" s="2" t="str" cm="1">
        <f t="array" ref="AB46">IF('NILAI CPL'!$B46&lt;&gt;"",IFERROR(_xlfn.IFS(E46&gt;=$B$3,4,E46&gt;=$B$4,3,E46&gt;=$B$5,2,E46&gt;$B$6,1),0),"")</f>
        <v/>
      </c>
      <c r="AC46" s="2" t="str" cm="1">
        <f t="array" ref="AC46">IF('NILAI CPL'!$B46&lt;&gt;"",IFERROR(_xlfn.IFS(F46&gt;=$B$3,4,F46&gt;=$B$4,3,F46&gt;=$B$5,2,F46&gt;$B$6,1),0),"")</f>
        <v/>
      </c>
      <c r="AD46" s="2" t="str" cm="1">
        <f t="array" ref="AD46">IF('NILAI CPL'!$B46&lt;&gt;"",IFERROR(_xlfn.IFS(G46&gt;=$B$3,4,G46&gt;=$B$4,3,G46&gt;=$B$5,2,G46&gt;$B$6,1),0),"")</f>
        <v/>
      </c>
      <c r="AE46" s="2" t="str" cm="1">
        <f t="array" ref="AE46">IF('NILAI CPL'!$B46&lt;&gt;"",IFERROR(_xlfn.IFS(H46&gt;=$B$3,4,H46&gt;=$B$4,3,H46&gt;=$B$5,2,H46&gt;$B$6,1),0),"")</f>
        <v/>
      </c>
      <c r="AF46" s="2" t="str" cm="1">
        <f t="array" ref="AF46">IF('NILAI CPL'!$B46&lt;&gt;"",IFERROR(_xlfn.IFS(I46&gt;=$B$3,4,I46&gt;=$B$4,3,I46&gt;=$B$5,2,I46&gt;$B$6,1),0),"")</f>
        <v/>
      </c>
      <c r="AG46" s="2" t="str" cm="1">
        <f t="array" ref="AG46">IF('NILAI CPL'!$B46&lt;&gt;"",IFERROR(_xlfn.IFS(J46&gt;=$B$3,4,J46&gt;=$B$4,3,J46&gt;=$B$5,2,J46&gt;$B$6,1),0),"")</f>
        <v/>
      </c>
      <c r="AH46" s="2" t="str" cm="1">
        <f t="array" ref="AH46">IF('NILAI CPL'!$B46&lt;&gt;"",IFERROR(_xlfn.IFS(K46&gt;=$B$3,4,K46&gt;=$B$4,3,K46&gt;=$B$5,2,K46&gt;$B$6,1),0),"")</f>
        <v/>
      </c>
      <c r="AI46" s="2" t="str" cm="1">
        <f t="array" ref="AI46">IF('NILAI CPL'!$B46&lt;&gt;"",IFERROR(_xlfn.IFS(L46&gt;=$B$3,4,L46&gt;=$B$4,3,L46&gt;=$B$5,2,L46&gt;$B$6,1),0),"")</f>
        <v/>
      </c>
      <c r="AJ46" s="2" t="str" cm="1">
        <f t="array" ref="AJ46">IF('NILAI CPL'!$B46&lt;&gt;"",IFERROR(_xlfn.IFS(M46&gt;=$B$3,4,M46&gt;=$B$4,3,M46&gt;=$B$5,2,M46&gt;$B$6,1),0),"")</f>
        <v/>
      </c>
      <c r="AK46" s="2" t="str" cm="1">
        <f t="array" ref="AK46">IF('NILAI CPL'!$B46&lt;&gt;"",IFERROR(_xlfn.IFS(N46&gt;=$B$3,4,N46&gt;=$B$4,3,N46&gt;=$B$5,2,N46&gt;$B$6,1),0),"")</f>
        <v/>
      </c>
      <c r="AL46" s="2" t="str" cm="1">
        <f t="array" ref="AL46">IF('NILAI CPL'!$B46&lt;&gt;"",IFERROR(_xlfn.IFS(O46&gt;=$B$3,4,O46&gt;=$B$4,3,O46&gt;=$B$5,2,O46&gt;$B$6,1),0),"")</f>
        <v/>
      </c>
      <c r="AM46" s="2" t="str" cm="1">
        <f t="array" ref="AM46">IF('NILAI CPL'!$B46&lt;&gt;"",IFERROR(_xlfn.IFS(P46&gt;=$B$3,4,P46&gt;=$B$4,3,P46&gt;=$B$5,2,P46&gt;$B$6,1),0),"")</f>
        <v/>
      </c>
      <c r="AN46" s="2" t="str" cm="1">
        <f t="array" ref="AN46">IF('NILAI CPL'!$B46&lt;&gt;"",IFERROR(_xlfn.IFS(Q46&gt;=$B$3,4,Q46&gt;=$B$4,3,Q46&gt;=$B$5,2,Q46&gt;$B$6,1),0),"")</f>
        <v/>
      </c>
      <c r="AO46" s="2" t="str" cm="1">
        <f t="array" ref="AO46">IF('NILAI CPL'!$B46&lt;&gt;"",IFERROR(_xlfn.IFS(R46&gt;=$B$3,4,R46&gt;=$B$4,3,R46&gt;=$B$5,2,R46&gt;$B$6,1),0),"")</f>
        <v/>
      </c>
      <c r="AP46" s="2" t="str" cm="1">
        <f t="array" ref="AP46">IF('NILAI CPL'!$B46&lt;&gt;"",IFERROR(_xlfn.IFS(S46&gt;=$B$3,4,S46&gt;=$B$4,3,S46&gt;=$B$5,2,S46&gt;$B$6,1),0),"")</f>
        <v/>
      </c>
      <c r="AQ46" s="2" t="str" cm="1">
        <f t="array" ref="AQ46">IF('NILAI CPL'!$B46&lt;&gt;"",IFERROR(_xlfn.IFS(T46&gt;=$B$3,4,T46&gt;=$B$4,3,T46&gt;=$B$5,2,T46&gt;$B$6,1),0),"")</f>
        <v/>
      </c>
      <c r="AR46" s="2" t="str" cm="1">
        <f t="array" ref="AR46">IF('NILAI CPL'!$B46&lt;&gt;"",IFERROR(_xlfn.IFS(U46&gt;=$B$3,4,U46&gt;=$B$4,3,U46&gt;=$B$5,2,U46&gt;$B$6,1),0),"")</f>
        <v/>
      </c>
      <c r="AS46" s="2" t="str" cm="1">
        <f t="array" ref="AS46">IF('NILAI CPL'!$B46&lt;&gt;"",IFERROR(_xlfn.IFS(V46&gt;=$B$3,4,V46&gt;=$B$4,3,V46&gt;=$B$5,2,V46&gt;$B$6,1),0),"")</f>
        <v/>
      </c>
      <c r="AT46" s="2" t="str" cm="1">
        <f t="array" ref="AT46">IF('NILAI CPL'!$B46&lt;&gt;"",IFERROR(_xlfn.IFS(W46&gt;=$B$3,4,W46&gt;=$B$4,3,W46&gt;=$B$5,2,W46&gt;$B$6,1),0),"")</f>
        <v/>
      </c>
      <c r="AU46" s="2" t="str" cm="1">
        <f t="array" ref="AU46">IF('NILAI CPL'!$B46&lt;&gt;"",IFERROR(_xlfn.IFS(X46&gt;=$B$3,4,X46&gt;=$B$4,3,X46&gt;=$B$5,2,X46&gt;$B$6,1),0),"")</f>
        <v/>
      </c>
      <c r="AV46" s="2" t="str" cm="1">
        <f t="array" ref="AV46">IF('NILAI CPL'!$B46&lt;&gt;"",IFERROR(_xlfn.IFS(Y46&gt;=$B$3,4,Y46&gt;=$B$4,3,Y46&gt;=$B$5,2,Y46&gt;$B$6,1),0),"")</f>
        <v/>
      </c>
      <c r="AW46" s="2" t="str" cm="1">
        <f t="array" ref="AW46">IF('NILAI CPL'!$B46&lt;&gt;"",IFERROR(_xlfn.IFS(Z46&gt;=$B$3,4,Z46&gt;=$B$4,3,Z46&gt;=$B$5,2,Z46&gt;$B$6,1),0),"")</f>
        <v/>
      </c>
      <c r="AY46" s="2" t="str">
        <f t="shared" si="0"/>
        <v/>
      </c>
      <c r="AZ46" s="2" t="str">
        <f t="shared" si="1"/>
        <v/>
      </c>
      <c r="BA46" s="2" t="str">
        <f t="shared" si="2"/>
        <v/>
      </c>
      <c r="BB46" s="2" t="str">
        <f t="shared" si="3"/>
        <v/>
      </c>
      <c r="BC46" s="2" t="str">
        <f t="shared" si="4"/>
        <v/>
      </c>
      <c r="BD46" s="2" t="str">
        <f t="shared" si="5"/>
        <v/>
      </c>
      <c r="BE46" s="2" t="str">
        <f t="shared" si="6"/>
        <v/>
      </c>
      <c r="BF46" s="2" t="str">
        <f t="shared" si="7"/>
        <v/>
      </c>
      <c r="BG46" s="2" t="str">
        <f t="shared" si="8"/>
        <v/>
      </c>
      <c r="BH46" s="2" t="str">
        <f t="shared" si="9"/>
        <v/>
      </c>
      <c r="BJ46" s="2" t="str" cm="1">
        <f t="array" ref="BJ46">IF('NILAI CPL'!$B46&lt;&gt;"",IFERROR(_xlfn.IFS(AY46&gt;=$B$3,4,AY46&gt;=$B$4,3,AY46&gt;=$B$5,2,AY46&gt;$B$6,1),0),"")</f>
        <v/>
      </c>
      <c r="BK46" s="2" t="str" cm="1">
        <f t="array" ref="BK46">IF('NILAI CPL'!$B46&lt;&gt;"",IFERROR(_xlfn.IFS(AZ46&gt;=$B$3,4,AZ46&gt;=$B$4,3,AZ46&gt;=$B$5,2,AZ46&gt;$B$6,1),0),"")</f>
        <v/>
      </c>
      <c r="BL46" s="2" t="str" cm="1">
        <f t="array" ref="BL46">IF('NILAI CPL'!$B46&lt;&gt;"",IFERROR(_xlfn.IFS(BA46&gt;=$B$3,4,BA46&gt;=$B$4,3,BA46&gt;=$B$5,2,BA46&gt;$B$6,1),0),"")</f>
        <v/>
      </c>
      <c r="BM46" s="2" t="str" cm="1">
        <f t="array" ref="BM46">IF('NILAI CPL'!$B46&lt;&gt;"",IFERROR(_xlfn.IFS(BB46&gt;=$B$3,4,BB46&gt;=$B$4,3,BB46&gt;=$B$5,2,BB46&gt;$B$6,1),0),"")</f>
        <v/>
      </c>
      <c r="BN46" s="2" t="str" cm="1">
        <f t="array" ref="BN46">IF('NILAI CPL'!$B46&lt;&gt;"",IFERROR(_xlfn.IFS(BC46&gt;=$B$3,4,BC46&gt;=$B$4,3,BC46&gt;=$B$5,2,BC46&gt;$B$6,1),0),"")</f>
        <v/>
      </c>
      <c r="BO46" s="2" t="str" cm="1">
        <f t="array" ref="BO46">IF('NILAI CPL'!$B46&lt;&gt;"",IFERROR(_xlfn.IFS(BD46&gt;=$B$3,4,BD46&gt;=$B$4,3,BD46&gt;=$B$5,2,BD46&gt;$B$6,1),0),"")</f>
        <v/>
      </c>
      <c r="BP46" s="2" t="str" cm="1">
        <f t="array" ref="BP46">IF('NILAI CPL'!$B46&lt;&gt;"",IFERROR(_xlfn.IFS(BE46&gt;=$B$3,4,BE46&gt;=$B$4,3,BE46&gt;=$B$5,2,BE46&gt;$B$6,1),0),"")</f>
        <v/>
      </c>
      <c r="BQ46" s="2" t="str" cm="1">
        <f t="array" ref="BQ46">IF('NILAI CPL'!$B46&lt;&gt;"",IFERROR(_xlfn.IFS(BF46&gt;=$B$3,4,BF46&gt;=$B$4,3,BF46&gt;=$B$5,2,BF46&gt;$B$6,1),0),"")</f>
        <v/>
      </c>
      <c r="BR46" s="2" t="str" cm="1">
        <f t="array" ref="BR46">IF('NILAI CPL'!$B46&lt;&gt;"",IFERROR(_xlfn.IFS(BG46&gt;=$B$3,4,BG46&gt;=$B$4,3,BG46&gt;=$B$5,2,BG46&gt;$B$6,1),0),"")</f>
        <v/>
      </c>
      <c r="BS46" s="2" t="str" cm="1">
        <f t="array" ref="BS46">IF('NILAI CPL'!$B46&lt;&gt;"",IFERROR(_xlfn.IFS(BH46&gt;=$B$3,4,BH46&gt;=$B$4,3,BH46&gt;=$B$5,2,BH46&gt;$B$6,1),0),"")</f>
        <v/>
      </c>
    </row>
    <row r="47" spans="1:71" x14ac:dyDescent="0.2">
      <c r="A47" s="2">
        <v>37</v>
      </c>
      <c r="B47" s="2" t="str">
        <f>IF(LEN(SUMMARY!B47)&gt;0, SUMMARY!B47, "")</f>
        <v/>
      </c>
      <c r="C47" s="2" t="str">
        <f>IF(LEN(SUMMARY!C47)&gt;0, SUMMARY!C47, "")</f>
        <v/>
      </c>
      <c r="E47" s="2" t="str" cm="1">
        <f t="array" ref="E47">IF('NILAI CPL'!$B47&lt;&gt;"",IFERROR(JumlahPI(ROW(),COLUMN()),0),"")</f>
        <v/>
      </c>
      <c r="F47" s="2" t="str" cm="1">
        <f t="array" ref="F47">IF('NILAI CPL'!$B47&lt;&gt;"",IFERROR(JumlahPI(ROW(),COLUMN()),0),"")</f>
        <v/>
      </c>
      <c r="G47" s="2" t="str" cm="1">
        <f t="array" ref="G47">IF('NILAI CPL'!$B47&lt;&gt;"",IFERROR(JumlahPI(ROW(),COLUMN()),0),"")</f>
        <v/>
      </c>
      <c r="H47" s="2" t="str" cm="1">
        <f t="array" ref="H47">IF('NILAI CPL'!$B47&lt;&gt;"",IFERROR(JumlahPI(ROW(),COLUMN()),0),"")</f>
        <v/>
      </c>
      <c r="I47" s="2" t="str" cm="1">
        <f t="array" ref="I47">IF('NILAI CPL'!$B47&lt;&gt;"",IFERROR(JumlahPI(ROW(),COLUMN()),0),"")</f>
        <v/>
      </c>
      <c r="J47" s="2" t="str" cm="1">
        <f t="array" ref="J47">IF('NILAI CPL'!$B47&lt;&gt;"",IFERROR(JumlahPI(ROW(),COLUMN()),0),"")</f>
        <v/>
      </c>
      <c r="K47" s="2" t="str" cm="1">
        <f t="array" ref="K47">IF('NILAI CPL'!$B47&lt;&gt;"",IFERROR(JumlahPI(ROW(),COLUMN()),0),"")</f>
        <v/>
      </c>
      <c r="L47" s="2" t="str" cm="1">
        <f t="array" ref="L47">IF('NILAI CPL'!$B47&lt;&gt;"",IFERROR(JumlahPI(ROW(),COLUMN()),0),"")</f>
        <v/>
      </c>
      <c r="M47" s="2" t="str" cm="1">
        <f t="array" ref="M47">IF('NILAI CPL'!$B47&lt;&gt;"",IFERROR(JumlahPI(ROW(),COLUMN()),0),"")</f>
        <v/>
      </c>
      <c r="N47" s="2" t="str" cm="1">
        <f t="array" ref="N47">IF('NILAI CPL'!$B47&lt;&gt;"",IFERROR(JumlahPI(ROW(),COLUMN()),0),"")</f>
        <v/>
      </c>
      <c r="O47" s="2" t="str" cm="1">
        <f t="array" ref="O47">IF('NILAI CPL'!$B47&lt;&gt;"",IFERROR(JumlahPI(ROW(),COLUMN()),0),"")</f>
        <v/>
      </c>
      <c r="P47" s="2" t="str" cm="1">
        <f t="array" ref="P47">IF('NILAI CPL'!$B47&lt;&gt;"",IFERROR(JumlahPI(ROW(),COLUMN()),0),"")</f>
        <v/>
      </c>
      <c r="Q47" s="2" t="str" cm="1">
        <f t="array" ref="Q47">IF('NILAI CPL'!$B47&lt;&gt;"",IFERROR(JumlahPI(ROW(),COLUMN()),0),"")</f>
        <v/>
      </c>
      <c r="R47" s="2" t="str" cm="1">
        <f t="array" ref="R47">IF('NILAI CPL'!$B47&lt;&gt;"",IFERROR(JumlahPI(ROW(),COLUMN()),0),"")</f>
        <v/>
      </c>
      <c r="S47" s="2" t="str" cm="1">
        <f t="array" ref="S47">IF('NILAI CPL'!$B47&lt;&gt;"",IFERROR(JumlahPI(ROW(),COLUMN()),0),"")</f>
        <v/>
      </c>
      <c r="T47" s="2" t="str" cm="1">
        <f t="array" ref="T47">IF('NILAI CPL'!$B47&lt;&gt;"",IFERROR(JumlahPI(ROW(),COLUMN()),0),"")</f>
        <v/>
      </c>
      <c r="U47" s="2" t="str" cm="1">
        <f t="array" ref="U47">IF('NILAI CPL'!$B47&lt;&gt;"",IFERROR(JumlahPI(ROW(),COLUMN()),0),"")</f>
        <v/>
      </c>
      <c r="V47" s="2" t="str" cm="1">
        <f t="array" ref="V47">IF('NILAI CPL'!$B47&lt;&gt;"",IFERROR(JumlahPI(ROW(),COLUMN()),0),"")</f>
        <v/>
      </c>
      <c r="W47" s="2" t="str" cm="1">
        <f t="array" ref="W47">IF('NILAI CPL'!$B47&lt;&gt;"",IFERROR(JumlahPI(ROW(),COLUMN()),0),"")</f>
        <v/>
      </c>
      <c r="X47" s="2" t="str" cm="1">
        <f t="array" ref="X47">IF('NILAI CPL'!$B47&lt;&gt;"",IFERROR(JumlahPI(ROW(),COLUMN()),0),"")</f>
        <v/>
      </c>
      <c r="Y47" s="2" t="str" cm="1">
        <f t="array" ref="Y47">IF('NILAI CPL'!$B47&lt;&gt;"",IFERROR(JumlahPI(ROW(),COLUMN()),0),"")</f>
        <v/>
      </c>
      <c r="Z47" s="2" t="str" cm="1">
        <f t="array" ref="Z47">IF('NILAI CPL'!$B47&lt;&gt;"",IFERROR(JumlahPI(ROW(),COLUMN()),0),"")</f>
        <v/>
      </c>
      <c r="AB47" s="2" t="str" cm="1">
        <f t="array" ref="AB47">IF('NILAI CPL'!$B47&lt;&gt;"",IFERROR(_xlfn.IFS(E47&gt;=$B$3,4,E47&gt;=$B$4,3,E47&gt;=$B$5,2,E47&gt;$B$6,1),0),"")</f>
        <v/>
      </c>
      <c r="AC47" s="2" t="str" cm="1">
        <f t="array" ref="AC47">IF('NILAI CPL'!$B47&lt;&gt;"",IFERROR(_xlfn.IFS(F47&gt;=$B$3,4,F47&gt;=$B$4,3,F47&gt;=$B$5,2,F47&gt;$B$6,1),0),"")</f>
        <v/>
      </c>
      <c r="AD47" s="2" t="str" cm="1">
        <f t="array" ref="AD47">IF('NILAI CPL'!$B47&lt;&gt;"",IFERROR(_xlfn.IFS(G47&gt;=$B$3,4,G47&gt;=$B$4,3,G47&gt;=$B$5,2,G47&gt;$B$6,1),0),"")</f>
        <v/>
      </c>
      <c r="AE47" s="2" t="str" cm="1">
        <f t="array" ref="AE47">IF('NILAI CPL'!$B47&lt;&gt;"",IFERROR(_xlfn.IFS(H47&gt;=$B$3,4,H47&gt;=$B$4,3,H47&gt;=$B$5,2,H47&gt;$B$6,1),0),"")</f>
        <v/>
      </c>
      <c r="AF47" s="2" t="str" cm="1">
        <f t="array" ref="AF47">IF('NILAI CPL'!$B47&lt;&gt;"",IFERROR(_xlfn.IFS(I47&gt;=$B$3,4,I47&gt;=$B$4,3,I47&gt;=$B$5,2,I47&gt;$B$6,1),0),"")</f>
        <v/>
      </c>
      <c r="AG47" s="2" t="str" cm="1">
        <f t="array" ref="AG47">IF('NILAI CPL'!$B47&lt;&gt;"",IFERROR(_xlfn.IFS(J47&gt;=$B$3,4,J47&gt;=$B$4,3,J47&gt;=$B$5,2,J47&gt;$B$6,1),0),"")</f>
        <v/>
      </c>
      <c r="AH47" s="2" t="str" cm="1">
        <f t="array" ref="AH47">IF('NILAI CPL'!$B47&lt;&gt;"",IFERROR(_xlfn.IFS(K47&gt;=$B$3,4,K47&gt;=$B$4,3,K47&gt;=$B$5,2,K47&gt;$B$6,1),0),"")</f>
        <v/>
      </c>
      <c r="AI47" s="2" t="str" cm="1">
        <f t="array" ref="AI47">IF('NILAI CPL'!$B47&lt;&gt;"",IFERROR(_xlfn.IFS(L47&gt;=$B$3,4,L47&gt;=$B$4,3,L47&gt;=$B$5,2,L47&gt;$B$6,1),0),"")</f>
        <v/>
      </c>
      <c r="AJ47" s="2" t="str" cm="1">
        <f t="array" ref="AJ47">IF('NILAI CPL'!$B47&lt;&gt;"",IFERROR(_xlfn.IFS(M47&gt;=$B$3,4,M47&gt;=$B$4,3,M47&gt;=$B$5,2,M47&gt;$B$6,1),0),"")</f>
        <v/>
      </c>
      <c r="AK47" s="2" t="str" cm="1">
        <f t="array" ref="AK47">IF('NILAI CPL'!$B47&lt;&gt;"",IFERROR(_xlfn.IFS(N47&gt;=$B$3,4,N47&gt;=$B$4,3,N47&gt;=$B$5,2,N47&gt;$B$6,1),0),"")</f>
        <v/>
      </c>
      <c r="AL47" s="2" t="str" cm="1">
        <f t="array" ref="AL47">IF('NILAI CPL'!$B47&lt;&gt;"",IFERROR(_xlfn.IFS(O47&gt;=$B$3,4,O47&gt;=$B$4,3,O47&gt;=$B$5,2,O47&gt;$B$6,1),0),"")</f>
        <v/>
      </c>
      <c r="AM47" s="2" t="str" cm="1">
        <f t="array" ref="AM47">IF('NILAI CPL'!$B47&lt;&gt;"",IFERROR(_xlfn.IFS(P47&gt;=$B$3,4,P47&gt;=$B$4,3,P47&gt;=$B$5,2,P47&gt;$B$6,1),0),"")</f>
        <v/>
      </c>
      <c r="AN47" s="2" t="str" cm="1">
        <f t="array" ref="AN47">IF('NILAI CPL'!$B47&lt;&gt;"",IFERROR(_xlfn.IFS(Q47&gt;=$B$3,4,Q47&gt;=$B$4,3,Q47&gt;=$B$5,2,Q47&gt;$B$6,1),0),"")</f>
        <v/>
      </c>
      <c r="AO47" s="2" t="str" cm="1">
        <f t="array" ref="AO47">IF('NILAI CPL'!$B47&lt;&gt;"",IFERROR(_xlfn.IFS(R47&gt;=$B$3,4,R47&gt;=$B$4,3,R47&gt;=$B$5,2,R47&gt;$B$6,1),0),"")</f>
        <v/>
      </c>
      <c r="AP47" s="2" t="str" cm="1">
        <f t="array" ref="AP47">IF('NILAI CPL'!$B47&lt;&gt;"",IFERROR(_xlfn.IFS(S47&gt;=$B$3,4,S47&gt;=$B$4,3,S47&gt;=$B$5,2,S47&gt;$B$6,1),0),"")</f>
        <v/>
      </c>
      <c r="AQ47" s="2" t="str" cm="1">
        <f t="array" ref="AQ47">IF('NILAI CPL'!$B47&lt;&gt;"",IFERROR(_xlfn.IFS(T47&gt;=$B$3,4,T47&gt;=$B$4,3,T47&gt;=$B$5,2,T47&gt;$B$6,1),0),"")</f>
        <v/>
      </c>
      <c r="AR47" s="2" t="str" cm="1">
        <f t="array" ref="AR47">IF('NILAI CPL'!$B47&lt;&gt;"",IFERROR(_xlfn.IFS(U47&gt;=$B$3,4,U47&gt;=$B$4,3,U47&gt;=$B$5,2,U47&gt;$B$6,1),0),"")</f>
        <v/>
      </c>
      <c r="AS47" s="2" t="str" cm="1">
        <f t="array" ref="AS47">IF('NILAI CPL'!$B47&lt;&gt;"",IFERROR(_xlfn.IFS(V47&gt;=$B$3,4,V47&gt;=$B$4,3,V47&gt;=$B$5,2,V47&gt;$B$6,1),0),"")</f>
        <v/>
      </c>
      <c r="AT47" s="2" t="str" cm="1">
        <f t="array" ref="AT47">IF('NILAI CPL'!$B47&lt;&gt;"",IFERROR(_xlfn.IFS(W47&gt;=$B$3,4,W47&gt;=$B$4,3,W47&gt;=$B$5,2,W47&gt;$B$6,1),0),"")</f>
        <v/>
      </c>
      <c r="AU47" s="2" t="str" cm="1">
        <f t="array" ref="AU47">IF('NILAI CPL'!$B47&lt;&gt;"",IFERROR(_xlfn.IFS(X47&gt;=$B$3,4,X47&gt;=$B$4,3,X47&gt;=$B$5,2,X47&gt;$B$6,1),0),"")</f>
        <v/>
      </c>
      <c r="AV47" s="2" t="str" cm="1">
        <f t="array" ref="AV47">IF('NILAI CPL'!$B47&lt;&gt;"",IFERROR(_xlfn.IFS(Y47&gt;=$B$3,4,Y47&gt;=$B$4,3,Y47&gt;=$B$5,2,Y47&gt;$B$6,1),0),"")</f>
        <v/>
      </c>
      <c r="AW47" s="2" t="str" cm="1">
        <f t="array" ref="AW47">IF('NILAI CPL'!$B47&lt;&gt;"",IFERROR(_xlfn.IFS(Z47&gt;=$B$3,4,Z47&gt;=$B$4,3,Z47&gt;=$B$5,2,Z47&gt;$B$6,1),0),"")</f>
        <v/>
      </c>
      <c r="AY47" s="2" t="str">
        <f t="shared" si="0"/>
        <v/>
      </c>
      <c r="AZ47" s="2" t="str">
        <f t="shared" si="1"/>
        <v/>
      </c>
      <c r="BA47" s="2" t="str">
        <f t="shared" si="2"/>
        <v/>
      </c>
      <c r="BB47" s="2" t="str">
        <f t="shared" si="3"/>
        <v/>
      </c>
      <c r="BC47" s="2" t="str">
        <f t="shared" si="4"/>
        <v/>
      </c>
      <c r="BD47" s="2" t="str">
        <f t="shared" si="5"/>
        <v/>
      </c>
      <c r="BE47" s="2" t="str">
        <f t="shared" si="6"/>
        <v/>
      </c>
      <c r="BF47" s="2" t="str">
        <f t="shared" si="7"/>
        <v/>
      </c>
      <c r="BG47" s="2" t="str">
        <f t="shared" si="8"/>
        <v/>
      </c>
      <c r="BH47" s="2" t="str">
        <f t="shared" si="9"/>
        <v/>
      </c>
      <c r="BJ47" s="2" t="str" cm="1">
        <f t="array" ref="BJ47">IF('NILAI CPL'!$B47&lt;&gt;"",IFERROR(_xlfn.IFS(AY47&gt;=$B$3,4,AY47&gt;=$B$4,3,AY47&gt;=$B$5,2,AY47&gt;$B$6,1),0),"")</f>
        <v/>
      </c>
      <c r="BK47" s="2" t="str" cm="1">
        <f t="array" ref="BK47">IF('NILAI CPL'!$B47&lt;&gt;"",IFERROR(_xlfn.IFS(AZ47&gt;=$B$3,4,AZ47&gt;=$B$4,3,AZ47&gt;=$B$5,2,AZ47&gt;$B$6,1),0),"")</f>
        <v/>
      </c>
      <c r="BL47" s="2" t="str" cm="1">
        <f t="array" ref="BL47">IF('NILAI CPL'!$B47&lt;&gt;"",IFERROR(_xlfn.IFS(BA47&gt;=$B$3,4,BA47&gt;=$B$4,3,BA47&gt;=$B$5,2,BA47&gt;$B$6,1),0),"")</f>
        <v/>
      </c>
      <c r="BM47" s="2" t="str" cm="1">
        <f t="array" ref="BM47">IF('NILAI CPL'!$B47&lt;&gt;"",IFERROR(_xlfn.IFS(BB47&gt;=$B$3,4,BB47&gt;=$B$4,3,BB47&gt;=$B$5,2,BB47&gt;$B$6,1),0),"")</f>
        <v/>
      </c>
      <c r="BN47" s="2" t="str" cm="1">
        <f t="array" ref="BN47">IF('NILAI CPL'!$B47&lt;&gt;"",IFERROR(_xlfn.IFS(BC47&gt;=$B$3,4,BC47&gt;=$B$4,3,BC47&gt;=$B$5,2,BC47&gt;$B$6,1),0),"")</f>
        <v/>
      </c>
      <c r="BO47" s="2" t="str" cm="1">
        <f t="array" ref="BO47">IF('NILAI CPL'!$B47&lt;&gt;"",IFERROR(_xlfn.IFS(BD47&gt;=$B$3,4,BD47&gt;=$B$4,3,BD47&gt;=$B$5,2,BD47&gt;$B$6,1),0),"")</f>
        <v/>
      </c>
      <c r="BP47" s="2" t="str" cm="1">
        <f t="array" ref="BP47">IF('NILAI CPL'!$B47&lt;&gt;"",IFERROR(_xlfn.IFS(BE47&gt;=$B$3,4,BE47&gt;=$B$4,3,BE47&gt;=$B$5,2,BE47&gt;$B$6,1),0),"")</f>
        <v/>
      </c>
      <c r="BQ47" s="2" t="str" cm="1">
        <f t="array" ref="BQ47">IF('NILAI CPL'!$B47&lt;&gt;"",IFERROR(_xlfn.IFS(BF47&gt;=$B$3,4,BF47&gt;=$B$4,3,BF47&gt;=$B$5,2,BF47&gt;$B$6,1),0),"")</f>
        <v/>
      </c>
      <c r="BR47" s="2" t="str" cm="1">
        <f t="array" ref="BR47">IF('NILAI CPL'!$B47&lt;&gt;"",IFERROR(_xlfn.IFS(BG47&gt;=$B$3,4,BG47&gt;=$B$4,3,BG47&gt;=$B$5,2,BG47&gt;$B$6,1),0),"")</f>
        <v/>
      </c>
      <c r="BS47" s="2" t="str" cm="1">
        <f t="array" ref="BS47">IF('NILAI CPL'!$B47&lt;&gt;"",IFERROR(_xlfn.IFS(BH47&gt;=$B$3,4,BH47&gt;=$B$4,3,BH47&gt;=$B$5,2,BH47&gt;$B$6,1),0),"")</f>
        <v/>
      </c>
    </row>
    <row r="48" spans="1:71" x14ac:dyDescent="0.2">
      <c r="A48" s="2">
        <v>38</v>
      </c>
      <c r="B48" s="2" t="str">
        <f>IF(LEN(SUMMARY!B48)&gt;0, SUMMARY!B48, "")</f>
        <v/>
      </c>
      <c r="C48" s="2" t="str">
        <f>IF(LEN(SUMMARY!C48)&gt;0, SUMMARY!C48, "")</f>
        <v/>
      </c>
      <c r="E48" s="2" t="str" cm="1">
        <f t="array" ref="E48">IF('NILAI CPL'!$B48&lt;&gt;"",IFERROR(JumlahPI(ROW(),COLUMN()),0),"")</f>
        <v/>
      </c>
      <c r="F48" s="2" t="str" cm="1">
        <f t="array" ref="F48">IF('NILAI CPL'!$B48&lt;&gt;"",IFERROR(JumlahPI(ROW(),COLUMN()),0),"")</f>
        <v/>
      </c>
      <c r="G48" s="2" t="str" cm="1">
        <f t="array" ref="G48">IF('NILAI CPL'!$B48&lt;&gt;"",IFERROR(JumlahPI(ROW(),COLUMN()),0),"")</f>
        <v/>
      </c>
      <c r="H48" s="2" t="str" cm="1">
        <f t="array" ref="H48">IF('NILAI CPL'!$B48&lt;&gt;"",IFERROR(JumlahPI(ROW(),COLUMN()),0),"")</f>
        <v/>
      </c>
      <c r="I48" s="2" t="str" cm="1">
        <f t="array" ref="I48">IF('NILAI CPL'!$B48&lt;&gt;"",IFERROR(JumlahPI(ROW(),COLUMN()),0),"")</f>
        <v/>
      </c>
      <c r="J48" s="2" t="str" cm="1">
        <f t="array" ref="J48">IF('NILAI CPL'!$B48&lt;&gt;"",IFERROR(JumlahPI(ROW(),COLUMN()),0),"")</f>
        <v/>
      </c>
      <c r="K48" s="2" t="str" cm="1">
        <f t="array" ref="K48">IF('NILAI CPL'!$B48&lt;&gt;"",IFERROR(JumlahPI(ROW(),COLUMN()),0),"")</f>
        <v/>
      </c>
      <c r="L48" s="2" t="str" cm="1">
        <f t="array" ref="L48">IF('NILAI CPL'!$B48&lt;&gt;"",IFERROR(JumlahPI(ROW(),COLUMN()),0),"")</f>
        <v/>
      </c>
      <c r="M48" s="2" t="str" cm="1">
        <f t="array" ref="M48">IF('NILAI CPL'!$B48&lt;&gt;"",IFERROR(JumlahPI(ROW(),COLUMN()),0),"")</f>
        <v/>
      </c>
      <c r="N48" s="2" t="str" cm="1">
        <f t="array" ref="N48">IF('NILAI CPL'!$B48&lt;&gt;"",IFERROR(JumlahPI(ROW(),COLUMN()),0),"")</f>
        <v/>
      </c>
      <c r="O48" s="2" t="str" cm="1">
        <f t="array" ref="O48">IF('NILAI CPL'!$B48&lt;&gt;"",IFERROR(JumlahPI(ROW(),COLUMN()),0),"")</f>
        <v/>
      </c>
      <c r="P48" s="2" t="str" cm="1">
        <f t="array" ref="P48">IF('NILAI CPL'!$B48&lt;&gt;"",IFERROR(JumlahPI(ROW(),COLUMN()),0),"")</f>
        <v/>
      </c>
      <c r="Q48" s="2" t="str" cm="1">
        <f t="array" ref="Q48">IF('NILAI CPL'!$B48&lt;&gt;"",IFERROR(JumlahPI(ROW(),COLUMN()),0),"")</f>
        <v/>
      </c>
      <c r="R48" s="2" t="str" cm="1">
        <f t="array" ref="R48">IF('NILAI CPL'!$B48&lt;&gt;"",IFERROR(JumlahPI(ROW(),COLUMN()),0),"")</f>
        <v/>
      </c>
      <c r="S48" s="2" t="str" cm="1">
        <f t="array" ref="S48">IF('NILAI CPL'!$B48&lt;&gt;"",IFERROR(JumlahPI(ROW(),COLUMN()),0),"")</f>
        <v/>
      </c>
      <c r="T48" s="2" t="str" cm="1">
        <f t="array" ref="T48">IF('NILAI CPL'!$B48&lt;&gt;"",IFERROR(JumlahPI(ROW(),COLUMN()),0),"")</f>
        <v/>
      </c>
      <c r="U48" s="2" t="str" cm="1">
        <f t="array" ref="U48">IF('NILAI CPL'!$B48&lt;&gt;"",IFERROR(JumlahPI(ROW(),COLUMN()),0),"")</f>
        <v/>
      </c>
      <c r="V48" s="2" t="str" cm="1">
        <f t="array" ref="V48">IF('NILAI CPL'!$B48&lt;&gt;"",IFERROR(JumlahPI(ROW(),COLUMN()),0),"")</f>
        <v/>
      </c>
      <c r="W48" s="2" t="str" cm="1">
        <f t="array" ref="W48">IF('NILAI CPL'!$B48&lt;&gt;"",IFERROR(JumlahPI(ROW(),COLUMN()),0),"")</f>
        <v/>
      </c>
      <c r="X48" s="2" t="str" cm="1">
        <f t="array" ref="X48">IF('NILAI CPL'!$B48&lt;&gt;"",IFERROR(JumlahPI(ROW(),COLUMN()),0),"")</f>
        <v/>
      </c>
      <c r="Y48" s="2" t="str" cm="1">
        <f t="array" ref="Y48">IF('NILAI CPL'!$B48&lt;&gt;"",IFERROR(JumlahPI(ROW(),COLUMN()),0),"")</f>
        <v/>
      </c>
      <c r="Z48" s="2" t="str" cm="1">
        <f t="array" ref="Z48">IF('NILAI CPL'!$B48&lt;&gt;"",IFERROR(JumlahPI(ROW(),COLUMN()),0),"")</f>
        <v/>
      </c>
      <c r="AB48" s="2" t="str" cm="1">
        <f t="array" ref="AB48">IF('NILAI CPL'!$B48&lt;&gt;"",IFERROR(_xlfn.IFS(E48&gt;=$B$3,4,E48&gt;=$B$4,3,E48&gt;=$B$5,2,E48&gt;$B$6,1),0),"")</f>
        <v/>
      </c>
      <c r="AC48" s="2" t="str" cm="1">
        <f t="array" ref="AC48">IF('NILAI CPL'!$B48&lt;&gt;"",IFERROR(_xlfn.IFS(F48&gt;=$B$3,4,F48&gt;=$B$4,3,F48&gt;=$B$5,2,F48&gt;$B$6,1),0),"")</f>
        <v/>
      </c>
      <c r="AD48" s="2" t="str" cm="1">
        <f t="array" ref="AD48">IF('NILAI CPL'!$B48&lt;&gt;"",IFERROR(_xlfn.IFS(G48&gt;=$B$3,4,G48&gt;=$B$4,3,G48&gt;=$B$5,2,G48&gt;$B$6,1),0),"")</f>
        <v/>
      </c>
      <c r="AE48" s="2" t="str" cm="1">
        <f t="array" ref="AE48">IF('NILAI CPL'!$B48&lt;&gt;"",IFERROR(_xlfn.IFS(H48&gt;=$B$3,4,H48&gt;=$B$4,3,H48&gt;=$B$5,2,H48&gt;$B$6,1),0),"")</f>
        <v/>
      </c>
      <c r="AF48" s="2" t="str" cm="1">
        <f t="array" ref="AF48">IF('NILAI CPL'!$B48&lt;&gt;"",IFERROR(_xlfn.IFS(I48&gt;=$B$3,4,I48&gt;=$B$4,3,I48&gt;=$B$5,2,I48&gt;$B$6,1),0),"")</f>
        <v/>
      </c>
      <c r="AG48" s="2" t="str" cm="1">
        <f t="array" ref="AG48">IF('NILAI CPL'!$B48&lt;&gt;"",IFERROR(_xlfn.IFS(J48&gt;=$B$3,4,J48&gt;=$B$4,3,J48&gt;=$B$5,2,J48&gt;$B$6,1),0),"")</f>
        <v/>
      </c>
      <c r="AH48" s="2" t="str" cm="1">
        <f t="array" ref="AH48">IF('NILAI CPL'!$B48&lt;&gt;"",IFERROR(_xlfn.IFS(K48&gt;=$B$3,4,K48&gt;=$B$4,3,K48&gt;=$B$5,2,K48&gt;$B$6,1),0),"")</f>
        <v/>
      </c>
      <c r="AI48" s="2" t="str" cm="1">
        <f t="array" ref="AI48">IF('NILAI CPL'!$B48&lt;&gt;"",IFERROR(_xlfn.IFS(L48&gt;=$B$3,4,L48&gt;=$B$4,3,L48&gt;=$B$5,2,L48&gt;$B$6,1),0),"")</f>
        <v/>
      </c>
      <c r="AJ48" s="2" t="str" cm="1">
        <f t="array" ref="AJ48">IF('NILAI CPL'!$B48&lt;&gt;"",IFERROR(_xlfn.IFS(M48&gt;=$B$3,4,M48&gt;=$B$4,3,M48&gt;=$B$5,2,M48&gt;$B$6,1),0),"")</f>
        <v/>
      </c>
      <c r="AK48" s="2" t="str" cm="1">
        <f t="array" ref="AK48">IF('NILAI CPL'!$B48&lt;&gt;"",IFERROR(_xlfn.IFS(N48&gt;=$B$3,4,N48&gt;=$B$4,3,N48&gt;=$B$5,2,N48&gt;$B$6,1),0),"")</f>
        <v/>
      </c>
      <c r="AL48" s="2" t="str" cm="1">
        <f t="array" ref="AL48">IF('NILAI CPL'!$B48&lt;&gt;"",IFERROR(_xlfn.IFS(O48&gt;=$B$3,4,O48&gt;=$B$4,3,O48&gt;=$B$5,2,O48&gt;$B$6,1),0),"")</f>
        <v/>
      </c>
      <c r="AM48" s="2" t="str" cm="1">
        <f t="array" ref="AM48">IF('NILAI CPL'!$B48&lt;&gt;"",IFERROR(_xlfn.IFS(P48&gt;=$B$3,4,P48&gt;=$B$4,3,P48&gt;=$B$5,2,P48&gt;$B$6,1),0),"")</f>
        <v/>
      </c>
      <c r="AN48" s="2" t="str" cm="1">
        <f t="array" ref="AN48">IF('NILAI CPL'!$B48&lt;&gt;"",IFERROR(_xlfn.IFS(Q48&gt;=$B$3,4,Q48&gt;=$B$4,3,Q48&gt;=$B$5,2,Q48&gt;$B$6,1),0),"")</f>
        <v/>
      </c>
      <c r="AO48" s="2" t="str" cm="1">
        <f t="array" ref="AO48">IF('NILAI CPL'!$B48&lt;&gt;"",IFERROR(_xlfn.IFS(R48&gt;=$B$3,4,R48&gt;=$B$4,3,R48&gt;=$B$5,2,R48&gt;$B$6,1),0),"")</f>
        <v/>
      </c>
      <c r="AP48" s="2" t="str" cm="1">
        <f t="array" ref="AP48">IF('NILAI CPL'!$B48&lt;&gt;"",IFERROR(_xlfn.IFS(S48&gt;=$B$3,4,S48&gt;=$B$4,3,S48&gt;=$B$5,2,S48&gt;$B$6,1),0),"")</f>
        <v/>
      </c>
      <c r="AQ48" s="2" t="str" cm="1">
        <f t="array" ref="AQ48">IF('NILAI CPL'!$B48&lt;&gt;"",IFERROR(_xlfn.IFS(T48&gt;=$B$3,4,T48&gt;=$B$4,3,T48&gt;=$B$5,2,T48&gt;$B$6,1),0),"")</f>
        <v/>
      </c>
      <c r="AR48" s="2" t="str" cm="1">
        <f t="array" ref="AR48">IF('NILAI CPL'!$B48&lt;&gt;"",IFERROR(_xlfn.IFS(U48&gt;=$B$3,4,U48&gt;=$B$4,3,U48&gt;=$B$5,2,U48&gt;$B$6,1),0),"")</f>
        <v/>
      </c>
      <c r="AS48" s="2" t="str" cm="1">
        <f t="array" ref="AS48">IF('NILAI CPL'!$B48&lt;&gt;"",IFERROR(_xlfn.IFS(V48&gt;=$B$3,4,V48&gt;=$B$4,3,V48&gt;=$B$5,2,V48&gt;$B$6,1),0),"")</f>
        <v/>
      </c>
      <c r="AT48" s="2" t="str" cm="1">
        <f t="array" ref="AT48">IF('NILAI CPL'!$B48&lt;&gt;"",IFERROR(_xlfn.IFS(W48&gt;=$B$3,4,W48&gt;=$B$4,3,W48&gt;=$B$5,2,W48&gt;$B$6,1),0),"")</f>
        <v/>
      </c>
      <c r="AU48" s="2" t="str" cm="1">
        <f t="array" ref="AU48">IF('NILAI CPL'!$B48&lt;&gt;"",IFERROR(_xlfn.IFS(X48&gt;=$B$3,4,X48&gt;=$B$4,3,X48&gt;=$B$5,2,X48&gt;$B$6,1),0),"")</f>
        <v/>
      </c>
      <c r="AV48" s="2" t="str" cm="1">
        <f t="array" ref="AV48">IF('NILAI CPL'!$B48&lt;&gt;"",IFERROR(_xlfn.IFS(Y48&gt;=$B$3,4,Y48&gt;=$B$4,3,Y48&gt;=$B$5,2,Y48&gt;$B$6,1),0),"")</f>
        <v/>
      </c>
      <c r="AW48" s="2" t="str" cm="1">
        <f t="array" ref="AW48">IF('NILAI CPL'!$B48&lt;&gt;"",IFERROR(_xlfn.IFS(Z48&gt;=$B$3,4,Z48&gt;=$B$4,3,Z48&gt;=$B$5,2,Z48&gt;$B$6,1),0),"")</f>
        <v/>
      </c>
      <c r="AY48" s="2" t="str">
        <f t="shared" si="0"/>
        <v/>
      </c>
      <c r="AZ48" s="2" t="str">
        <f t="shared" si="1"/>
        <v/>
      </c>
      <c r="BA48" s="2" t="str">
        <f t="shared" si="2"/>
        <v/>
      </c>
      <c r="BB48" s="2" t="str">
        <f t="shared" si="3"/>
        <v/>
      </c>
      <c r="BC48" s="2" t="str">
        <f t="shared" si="4"/>
        <v/>
      </c>
      <c r="BD48" s="2" t="str">
        <f t="shared" si="5"/>
        <v/>
      </c>
      <c r="BE48" s="2" t="str">
        <f t="shared" si="6"/>
        <v/>
      </c>
      <c r="BF48" s="2" t="str">
        <f t="shared" si="7"/>
        <v/>
      </c>
      <c r="BG48" s="2" t="str">
        <f t="shared" si="8"/>
        <v/>
      </c>
      <c r="BH48" s="2" t="str">
        <f t="shared" si="9"/>
        <v/>
      </c>
      <c r="BJ48" s="2" t="str" cm="1">
        <f t="array" ref="BJ48">IF('NILAI CPL'!$B48&lt;&gt;"",IFERROR(_xlfn.IFS(AY48&gt;=$B$3,4,AY48&gt;=$B$4,3,AY48&gt;=$B$5,2,AY48&gt;$B$6,1),0),"")</f>
        <v/>
      </c>
      <c r="BK48" s="2" t="str" cm="1">
        <f t="array" ref="BK48">IF('NILAI CPL'!$B48&lt;&gt;"",IFERROR(_xlfn.IFS(AZ48&gt;=$B$3,4,AZ48&gt;=$B$4,3,AZ48&gt;=$B$5,2,AZ48&gt;$B$6,1),0),"")</f>
        <v/>
      </c>
      <c r="BL48" s="2" t="str" cm="1">
        <f t="array" ref="BL48">IF('NILAI CPL'!$B48&lt;&gt;"",IFERROR(_xlfn.IFS(BA48&gt;=$B$3,4,BA48&gt;=$B$4,3,BA48&gt;=$B$5,2,BA48&gt;$B$6,1),0),"")</f>
        <v/>
      </c>
      <c r="BM48" s="2" t="str" cm="1">
        <f t="array" ref="BM48">IF('NILAI CPL'!$B48&lt;&gt;"",IFERROR(_xlfn.IFS(BB48&gt;=$B$3,4,BB48&gt;=$B$4,3,BB48&gt;=$B$5,2,BB48&gt;$B$6,1),0),"")</f>
        <v/>
      </c>
      <c r="BN48" s="2" t="str" cm="1">
        <f t="array" ref="BN48">IF('NILAI CPL'!$B48&lt;&gt;"",IFERROR(_xlfn.IFS(BC48&gt;=$B$3,4,BC48&gt;=$B$4,3,BC48&gt;=$B$5,2,BC48&gt;$B$6,1),0),"")</f>
        <v/>
      </c>
      <c r="BO48" s="2" t="str" cm="1">
        <f t="array" ref="BO48">IF('NILAI CPL'!$B48&lt;&gt;"",IFERROR(_xlfn.IFS(BD48&gt;=$B$3,4,BD48&gt;=$B$4,3,BD48&gt;=$B$5,2,BD48&gt;$B$6,1),0),"")</f>
        <v/>
      </c>
      <c r="BP48" s="2" t="str" cm="1">
        <f t="array" ref="BP48">IF('NILAI CPL'!$B48&lt;&gt;"",IFERROR(_xlfn.IFS(BE48&gt;=$B$3,4,BE48&gt;=$B$4,3,BE48&gt;=$B$5,2,BE48&gt;$B$6,1),0),"")</f>
        <v/>
      </c>
      <c r="BQ48" s="2" t="str" cm="1">
        <f t="array" ref="BQ48">IF('NILAI CPL'!$B48&lt;&gt;"",IFERROR(_xlfn.IFS(BF48&gt;=$B$3,4,BF48&gt;=$B$4,3,BF48&gt;=$B$5,2,BF48&gt;$B$6,1),0),"")</f>
        <v/>
      </c>
      <c r="BR48" s="2" t="str" cm="1">
        <f t="array" ref="BR48">IF('NILAI CPL'!$B48&lt;&gt;"",IFERROR(_xlfn.IFS(BG48&gt;=$B$3,4,BG48&gt;=$B$4,3,BG48&gt;=$B$5,2,BG48&gt;$B$6,1),0),"")</f>
        <v/>
      </c>
      <c r="BS48" s="2" t="str" cm="1">
        <f t="array" ref="BS48">IF('NILAI CPL'!$B48&lt;&gt;"",IFERROR(_xlfn.IFS(BH48&gt;=$B$3,4,BH48&gt;=$B$4,3,BH48&gt;=$B$5,2,BH48&gt;$B$6,1),0),"")</f>
        <v/>
      </c>
    </row>
    <row r="49" spans="1:71" x14ac:dyDescent="0.2">
      <c r="A49" s="2">
        <v>39</v>
      </c>
      <c r="B49" s="2" t="str">
        <f>IF(LEN(SUMMARY!B49)&gt;0, SUMMARY!B49, "")</f>
        <v/>
      </c>
      <c r="C49" s="2" t="str">
        <f>IF(LEN(SUMMARY!C49)&gt;0, SUMMARY!C49, "")</f>
        <v/>
      </c>
      <c r="E49" s="2" t="str" cm="1">
        <f t="array" ref="E49">IF('NILAI CPL'!$B49&lt;&gt;"",IFERROR(JumlahPI(ROW(),COLUMN()),0),"")</f>
        <v/>
      </c>
      <c r="F49" s="2" t="str" cm="1">
        <f t="array" ref="F49">IF('NILAI CPL'!$B49&lt;&gt;"",IFERROR(JumlahPI(ROW(),COLUMN()),0),"")</f>
        <v/>
      </c>
      <c r="G49" s="2" t="str" cm="1">
        <f t="array" ref="G49">IF('NILAI CPL'!$B49&lt;&gt;"",IFERROR(JumlahPI(ROW(),COLUMN()),0),"")</f>
        <v/>
      </c>
      <c r="H49" s="2" t="str" cm="1">
        <f t="array" ref="H49">IF('NILAI CPL'!$B49&lt;&gt;"",IFERROR(JumlahPI(ROW(),COLUMN()),0),"")</f>
        <v/>
      </c>
      <c r="I49" s="2" t="str" cm="1">
        <f t="array" ref="I49">IF('NILAI CPL'!$B49&lt;&gt;"",IFERROR(JumlahPI(ROW(),COLUMN()),0),"")</f>
        <v/>
      </c>
      <c r="J49" s="2" t="str" cm="1">
        <f t="array" ref="J49">IF('NILAI CPL'!$B49&lt;&gt;"",IFERROR(JumlahPI(ROW(),COLUMN()),0),"")</f>
        <v/>
      </c>
      <c r="K49" s="2" t="str" cm="1">
        <f t="array" ref="K49">IF('NILAI CPL'!$B49&lt;&gt;"",IFERROR(JumlahPI(ROW(),COLUMN()),0),"")</f>
        <v/>
      </c>
      <c r="L49" s="2" t="str" cm="1">
        <f t="array" ref="L49">IF('NILAI CPL'!$B49&lt;&gt;"",IFERROR(JumlahPI(ROW(),COLUMN()),0),"")</f>
        <v/>
      </c>
      <c r="M49" s="2" t="str" cm="1">
        <f t="array" ref="M49">IF('NILAI CPL'!$B49&lt;&gt;"",IFERROR(JumlahPI(ROW(),COLUMN()),0),"")</f>
        <v/>
      </c>
      <c r="N49" s="2" t="str" cm="1">
        <f t="array" ref="N49">IF('NILAI CPL'!$B49&lt;&gt;"",IFERROR(JumlahPI(ROW(),COLUMN()),0),"")</f>
        <v/>
      </c>
      <c r="O49" s="2" t="str" cm="1">
        <f t="array" ref="O49">IF('NILAI CPL'!$B49&lt;&gt;"",IFERROR(JumlahPI(ROW(),COLUMN()),0),"")</f>
        <v/>
      </c>
      <c r="P49" s="2" t="str" cm="1">
        <f t="array" ref="P49">IF('NILAI CPL'!$B49&lt;&gt;"",IFERROR(JumlahPI(ROW(),COLUMN()),0),"")</f>
        <v/>
      </c>
      <c r="Q49" s="2" t="str" cm="1">
        <f t="array" ref="Q49">IF('NILAI CPL'!$B49&lt;&gt;"",IFERROR(JumlahPI(ROW(),COLUMN()),0),"")</f>
        <v/>
      </c>
      <c r="R49" s="2" t="str" cm="1">
        <f t="array" ref="R49">IF('NILAI CPL'!$B49&lt;&gt;"",IFERROR(JumlahPI(ROW(),COLUMN()),0),"")</f>
        <v/>
      </c>
      <c r="S49" s="2" t="str" cm="1">
        <f t="array" ref="S49">IF('NILAI CPL'!$B49&lt;&gt;"",IFERROR(JumlahPI(ROW(),COLUMN()),0),"")</f>
        <v/>
      </c>
      <c r="T49" s="2" t="str" cm="1">
        <f t="array" ref="T49">IF('NILAI CPL'!$B49&lt;&gt;"",IFERROR(JumlahPI(ROW(),COLUMN()),0),"")</f>
        <v/>
      </c>
      <c r="U49" s="2" t="str" cm="1">
        <f t="array" ref="U49">IF('NILAI CPL'!$B49&lt;&gt;"",IFERROR(JumlahPI(ROW(),COLUMN()),0),"")</f>
        <v/>
      </c>
      <c r="V49" s="2" t="str" cm="1">
        <f t="array" ref="V49">IF('NILAI CPL'!$B49&lt;&gt;"",IFERROR(JumlahPI(ROW(),COLUMN()),0),"")</f>
        <v/>
      </c>
      <c r="W49" s="2" t="str" cm="1">
        <f t="array" ref="W49">IF('NILAI CPL'!$B49&lt;&gt;"",IFERROR(JumlahPI(ROW(),COLUMN()),0),"")</f>
        <v/>
      </c>
      <c r="X49" s="2" t="str" cm="1">
        <f t="array" ref="X49">IF('NILAI CPL'!$B49&lt;&gt;"",IFERROR(JumlahPI(ROW(),COLUMN()),0),"")</f>
        <v/>
      </c>
      <c r="Y49" s="2" t="str" cm="1">
        <f t="array" ref="Y49">IF('NILAI CPL'!$B49&lt;&gt;"",IFERROR(JumlahPI(ROW(),COLUMN()),0),"")</f>
        <v/>
      </c>
      <c r="Z49" s="2" t="str" cm="1">
        <f t="array" ref="Z49">IF('NILAI CPL'!$B49&lt;&gt;"",IFERROR(JumlahPI(ROW(),COLUMN()),0),"")</f>
        <v/>
      </c>
      <c r="AB49" s="2" t="str" cm="1">
        <f t="array" ref="AB49">IF('NILAI CPL'!$B49&lt;&gt;"",IFERROR(_xlfn.IFS(E49&gt;=$B$3,4,E49&gt;=$B$4,3,E49&gt;=$B$5,2,E49&gt;$B$6,1),0),"")</f>
        <v/>
      </c>
      <c r="AC49" s="2" t="str" cm="1">
        <f t="array" ref="AC49">IF('NILAI CPL'!$B49&lt;&gt;"",IFERROR(_xlfn.IFS(F49&gt;=$B$3,4,F49&gt;=$B$4,3,F49&gt;=$B$5,2,F49&gt;$B$6,1),0),"")</f>
        <v/>
      </c>
      <c r="AD49" s="2" t="str" cm="1">
        <f t="array" ref="AD49">IF('NILAI CPL'!$B49&lt;&gt;"",IFERROR(_xlfn.IFS(G49&gt;=$B$3,4,G49&gt;=$B$4,3,G49&gt;=$B$5,2,G49&gt;$B$6,1),0),"")</f>
        <v/>
      </c>
      <c r="AE49" s="2" t="str" cm="1">
        <f t="array" ref="AE49">IF('NILAI CPL'!$B49&lt;&gt;"",IFERROR(_xlfn.IFS(H49&gt;=$B$3,4,H49&gt;=$B$4,3,H49&gt;=$B$5,2,H49&gt;$B$6,1),0),"")</f>
        <v/>
      </c>
      <c r="AF49" s="2" t="str" cm="1">
        <f t="array" ref="AF49">IF('NILAI CPL'!$B49&lt;&gt;"",IFERROR(_xlfn.IFS(I49&gt;=$B$3,4,I49&gt;=$B$4,3,I49&gt;=$B$5,2,I49&gt;$B$6,1),0),"")</f>
        <v/>
      </c>
      <c r="AG49" s="2" t="str" cm="1">
        <f t="array" ref="AG49">IF('NILAI CPL'!$B49&lt;&gt;"",IFERROR(_xlfn.IFS(J49&gt;=$B$3,4,J49&gt;=$B$4,3,J49&gt;=$B$5,2,J49&gt;$B$6,1),0),"")</f>
        <v/>
      </c>
      <c r="AH49" s="2" t="str" cm="1">
        <f t="array" ref="AH49">IF('NILAI CPL'!$B49&lt;&gt;"",IFERROR(_xlfn.IFS(K49&gt;=$B$3,4,K49&gt;=$B$4,3,K49&gt;=$B$5,2,K49&gt;$B$6,1),0),"")</f>
        <v/>
      </c>
      <c r="AI49" s="2" t="str" cm="1">
        <f t="array" ref="AI49">IF('NILAI CPL'!$B49&lt;&gt;"",IFERROR(_xlfn.IFS(L49&gt;=$B$3,4,L49&gt;=$B$4,3,L49&gt;=$B$5,2,L49&gt;$B$6,1),0),"")</f>
        <v/>
      </c>
      <c r="AJ49" s="2" t="str" cm="1">
        <f t="array" ref="AJ49">IF('NILAI CPL'!$B49&lt;&gt;"",IFERROR(_xlfn.IFS(M49&gt;=$B$3,4,M49&gt;=$B$4,3,M49&gt;=$B$5,2,M49&gt;$B$6,1),0),"")</f>
        <v/>
      </c>
      <c r="AK49" s="2" t="str" cm="1">
        <f t="array" ref="AK49">IF('NILAI CPL'!$B49&lt;&gt;"",IFERROR(_xlfn.IFS(N49&gt;=$B$3,4,N49&gt;=$B$4,3,N49&gt;=$B$5,2,N49&gt;$B$6,1),0),"")</f>
        <v/>
      </c>
      <c r="AL49" s="2" t="str" cm="1">
        <f t="array" ref="AL49">IF('NILAI CPL'!$B49&lt;&gt;"",IFERROR(_xlfn.IFS(O49&gt;=$B$3,4,O49&gt;=$B$4,3,O49&gt;=$B$5,2,O49&gt;$B$6,1),0),"")</f>
        <v/>
      </c>
      <c r="AM49" s="2" t="str" cm="1">
        <f t="array" ref="AM49">IF('NILAI CPL'!$B49&lt;&gt;"",IFERROR(_xlfn.IFS(P49&gt;=$B$3,4,P49&gt;=$B$4,3,P49&gt;=$B$5,2,P49&gt;$B$6,1),0),"")</f>
        <v/>
      </c>
      <c r="AN49" s="2" t="str" cm="1">
        <f t="array" ref="AN49">IF('NILAI CPL'!$B49&lt;&gt;"",IFERROR(_xlfn.IFS(Q49&gt;=$B$3,4,Q49&gt;=$B$4,3,Q49&gt;=$B$5,2,Q49&gt;$B$6,1),0),"")</f>
        <v/>
      </c>
      <c r="AO49" s="2" t="str" cm="1">
        <f t="array" ref="AO49">IF('NILAI CPL'!$B49&lt;&gt;"",IFERROR(_xlfn.IFS(R49&gt;=$B$3,4,R49&gt;=$B$4,3,R49&gt;=$B$5,2,R49&gt;$B$6,1),0),"")</f>
        <v/>
      </c>
      <c r="AP49" s="2" t="str" cm="1">
        <f t="array" ref="AP49">IF('NILAI CPL'!$B49&lt;&gt;"",IFERROR(_xlfn.IFS(S49&gt;=$B$3,4,S49&gt;=$B$4,3,S49&gt;=$B$5,2,S49&gt;$B$6,1),0),"")</f>
        <v/>
      </c>
      <c r="AQ49" s="2" t="str" cm="1">
        <f t="array" ref="AQ49">IF('NILAI CPL'!$B49&lt;&gt;"",IFERROR(_xlfn.IFS(T49&gt;=$B$3,4,T49&gt;=$B$4,3,T49&gt;=$B$5,2,T49&gt;$B$6,1),0),"")</f>
        <v/>
      </c>
      <c r="AR49" s="2" t="str" cm="1">
        <f t="array" ref="AR49">IF('NILAI CPL'!$B49&lt;&gt;"",IFERROR(_xlfn.IFS(U49&gt;=$B$3,4,U49&gt;=$B$4,3,U49&gt;=$B$5,2,U49&gt;$B$6,1),0),"")</f>
        <v/>
      </c>
      <c r="AS49" s="2" t="str" cm="1">
        <f t="array" ref="AS49">IF('NILAI CPL'!$B49&lt;&gt;"",IFERROR(_xlfn.IFS(V49&gt;=$B$3,4,V49&gt;=$B$4,3,V49&gt;=$B$5,2,V49&gt;$B$6,1),0),"")</f>
        <v/>
      </c>
      <c r="AT49" s="2" t="str" cm="1">
        <f t="array" ref="AT49">IF('NILAI CPL'!$B49&lt;&gt;"",IFERROR(_xlfn.IFS(W49&gt;=$B$3,4,W49&gt;=$B$4,3,W49&gt;=$B$5,2,W49&gt;$B$6,1),0),"")</f>
        <v/>
      </c>
      <c r="AU49" s="2" t="str" cm="1">
        <f t="array" ref="AU49">IF('NILAI CPL'!$B49&lt;&gt;"",IFERROR(_xlfn.IFS(X49&gt;=$B$3,4,X49&gt;=$B$4,3,X49&gt;=$B$5,2,X49&gt;$B$6,1),0),"")</f>
        <v/>
      </c>
      <c r="AV49" s="2" t="str" cm="1">
        <f t="array" ref="AV49">IF('NILAI CPL'!$B49&lt;&gt;"",IFERROR(_xlfn.IFS(Y49&gt;=$B$3,4,Y49&gt;=$B$4,3,Y49&gt;=$B$5,2,Y49&gt;$B$6,1),0),"")</f>
        <v/>
      </c>
      <c r="AW49" s="2" t="str" cm="1">
        <f t="array" ref="AW49">IF('NILAI CPL'!$B49&lt;&gt;"",IFERROR(_xlfn.IFS(Z49&gt;=$B$3,4,Z49&gt;=$B$4,3,Z49&gt;=$B$5,2,Z49&gt;$B$6,1),0),"")</f>
        <v/>
      </c>
      <c r="AY49" s="2" t="str">
        <f t="shared" si="0"/>
        <v/>
      </c>
      <c r="AZ49" s="2" t="str">
        <f t="shared" si="1"/>
        <v/>
      </c>
      <c r="BA49" s="2" t="str">
        <f t="shared" si="2"/>
        <v/>
      </c>
      <c r="BB49" s="2" t="str">
        <f t="shared" si="3"/>
        <v/>
      </c>
      <c r="BC49" s="2" t="str">
        <f t="shared" si="4"/>
        <v/>
      </c>
      <c r="BD49" s="2" t="str">
        <f t="shared" si="5"/>
        <v/>
      </c>
      <c r="BE49" s="2" t="str">
        <f t="shared" si="6"/>
        <v/>
      </c>
      <c r="BF49" s="2" t="str">
        <f t="shared" si="7"/>
        <v/>
      </c>
      <c r="BG49" s="2" t="str">
        <f t="shared" si="8"/>
        <v/>
      </c>
      <c r="BH49" s="2" t="str">
        <f t="shared" si="9"/>
        <v/>
      </c>
      <c r="BJ49" s="2" t="str" cm="1">
        <f t="array" ref="BJ49">IF('NILAI CPL'!$B49&lt;&gt;"",IFERROR(_xlfn.IFS(AY49&gt;=$B$3,4,AY49&gt;=$B$4,3,AY49&gt;=$B$5,2,AY49&gt;$B$6,1),0),"")</f>
        <v/>
      </c>
      <c r="BK49" s="2" t="str" cm="1">
        <f t="array" ref="BK49">IF('NILAI CPL'!$B49&lt;&gt;"",IFERROR(_xlfn.IFS(AZ49&gt;=$B$3,4,AZ49&gt;=$B$4,3,AZ49&gt;=$B$5,2,AZ49&gt;$B$6,1),0),"")</f>
        <v/>
      </c>
      <c r="BL49" s="2" t="str" cm="1">
        <f t="array" ref="BL49">IF('NILAI CPL'!$B49&lt;&gt;"",IFERROR(_xlfn.IFS(BA49&gt;=$B$3,4,BA49&gt;=$B$4,3,BA49&gt;=$B$5,2,BA49&gt;$B$6,1),0),"")</f>
        <v/>
      </c>
      <c r="BM49" s="2" t="str" cm="1">
        <f t="array" ref="BM49">IF('NILAI CPL'!$B49&lt;&gt;"",IFERROR(_xlfn.IFS(BB49&gt;=$B$3,4,BB49&gt;=$B$4,3,BB49&gt;=$B$5,2,BB49&gt;$B$6,1),0),"")</f>
        <v/>
      </c>
      <c r="BN49" s="2" t="str" cm="1">
        <f t="array" ref="BN49">IF('NILAI CPL'!$B49&lt;&gt;"",IFERROR(_xlfn.IFS(BC49&gt;=$B$3,4,BC49&gt;=$B$4,3,BC49&gt;=$B$5,2,BC49&gt;$B$6,1),0),"")</f>
        <v/>
      </c>
      <c r="BO49" s="2" t="str" cm="1">
        <f t="array" ref="BO49">IF('NILAI CPL'!$B49&lt;&gt;"",IFERROR(_xlfn.IFS(BD49&gt;=$B$3,4,BD49&gt;=$B$4,3,BD49&gt;=$B$5,2,BD49&gt;$B$6,1),0),"")</f>
        <v/>
      </c>
      <c r="BP49" s="2" t="str" cm="1">
        <f t="array" ref="BP49">IF('NILAI CPL'!$B49&lt;&gt;"",IFERROR(_xlfn.IFS(BE49&gt;=$B$3,4,BE49&gt;=$B$4,3,BE49&gt;=$B$5,2,BE49&gt;$B$6,1),0),"")</f>
        <v/>
      </c>
      <c r="BQ49" s="2" t="str" cm="1">
        <f t="array" ref="BQ49">IF('NILAI CPL'!$B49&lt;&gt;"",IFERROR(_xlfn.IFS(BF49&gt;=$B$3,4,BF49&gt;=$B$4,3,BF49&gt;=$B$5,2,BF49&gt;$B$6,1),0),"")</f>
        <v/>
      </c>
      <c r="BR49" s="2" t="str" cm="1">
        <f t="array" ref="BR49">IF('NILAI CPL'!$B49&lt;&gt;"",IFERROR(_xlfn.IFS(BG49&gt;=$B$3,4,BG49&gt;=$B$4,3,BG49&gt;=$B$5,2,BG49&gt;$B$6,1),0),"")</f>
        <v/>
      </c>
      <c r="BS49" s="2" t="str" cm="1">
        <f t="array" ref="BS49">IF('NILAI CPL'!$B49&lt;&gt;"",IFERROR(_xlfn.IFS(BH49&gt;=$B$3,4,BH49&gt;=$B$4,3,BH49&gt;=$B$5,2,BH49&gt;$B$6,1),0),"")</f>
        <v/>
      </c>
    </row>
    <row r="50" spans="1:71" x14ac:dyDescent="0.2">
      <c r="A50" s="2">
        <v>40</v>
      </c>
      <c r="B50" s="2" t="str">
        <f>IF(LEN(SUMMARY!B50)&gt;0, SUMMARY!B50, "")</f>
        <v/>
      </c>
      <c r="C50" s="2" t="str">
        <f>IF(LEN(SUMMARY!C50)&gt;0, SUMMARY!C50, "")</f>
        <v/>
      </c>
      <c r="E50" s="2" t="str" cm="1">
        <f t="array" ref="E50">IF('NILAI CPL'!$B50&lt;&gt;"",IFERROR(JumlahPI(ROW(),COLUMN()),0),"")</f>
        <v/>
      </c>
      <c r="F50" s="2" t="str" cm="1">
        <f t="array" ref="F50">IF('NILAI CPL'!$B50&lt;&gt;"",IFERROR(JumlahPI(ROW(),COLUMN()),0),"")</f>
        <v/>
      </c>
      <c r="G50" s="2" t="str" cm="1">
        <f t="array" ref="G50">IF('NILAI CPL'!$B50&lt;&gt;"",IFERROR(JumlahPI(ROW(),COLUMN()),0),"")</f>
        <v/>
      </c>
      <c r="H50" s="2" t="str" cm="1">
        <f t="array" ref="H50">IF('NILAI CPL'!$B50&lt;&gt;"",IFERROR(JumlahPI(ROW(),COLUMN()),0),"")</f>
        <v/>
      </c>
      <c r="I50" s="2" t="str" cm="1">
        <f t="array" ref="I50">IF('NILAI CPL'!$B50&lt;&gt;"",IFERROR(JumlahPI(ROW(),COLUMN()),0),"")</f>
        <v/>
      </c>
      <c r="J50" s="2" t="str" cm="1">
        <f t="array" ref="J50">IF('NILAI CPL'!$B50&lt;&gt;"",IFERROR(JumlahPI(ROW(),COLUMN()),0),"")</f>
        <v/>
      </c>
      <c r="K50" s="2" t="str" cm="1">
        <f t="array" ref="K50">IF('NILAI CPL'!$B50&lt;&gt;"",IFERROR(JumlahPI(ROW(),COLUMN()),0),"")</f>
        <v/>
      </c>
      <c r="L50" s="2" t="str" cm="1">
        <f t="array" ref="L50">IF('NILAI CPL'!$B50&lt;&gt;"",IFERROR(JumlahPI(ROW(),COLUMN()),0),"")</f>
        <v/>
      </c>
      <c r="M50" s="2" t="str" cm="1">
        <f t="array" ref="M50">IF('NILAI CPL'!$B50&lt;&gt;"",IFERROR(JumlahPI(ROW(),COLUMN()),0),"")</f>
        <v/>
      </c>
      <c r="N50" s="2" t="str" cm="1">
        <f t="array" ref="N50">IF('NILAI CPL'!$B50&lt;&gt;"",IFERROR(JumlahPI(ROW(),COLUMN()),0),"")</f>
        <v/>
      </c>
      <c r="O50" s="2" t="str" cm="1">
        <f t="array" ref="O50">IF('NILAI CPL'!$B50&lt;&gt;"",IFERROR(JumlahPI(ROW(),COLUMN()),0),"")</f>
        <v/>
      </c>
      <c r="P50" s="2" t="str" cm="1">
        <f t="array" ref="P50">IF('NILAI CPL'!$B50&lt;&gt;"",IFERROR(JumlahPI(ROW(),COLUMN()),0),"")</f>
        <v/>
      </c>
      <c r="Q50" s="2" t="str" cm="1">
        <f t="array" ref="Q50">IF('NILAI CPL'!$B50&lt;&gt;"",IFERROR(JumlahPI(ROW(),COLUMN()),0),"")</f>
        <v/>
      </c>
      <c r="R50" s="2" t="str" cm="1">
        <f t="array" ref="R50">IF('NILAI CPL'!$B50&lt;&gt;"",IFERROR(JumlahPI(ROW(),COLUMN()),0),"")</f>
        <v/>
      </c>
      <c r="S50" s="2" t="str" cm="1">
        <f t="array" ref="S50">IF('NILAI CPL'!$B50&lt;&gt;"",IFERROR(JumlahPI(ROW(),COLUMN()),0),"")</f>
        <v/>
      </c>
      <c r="T50" s="2" t="str" cm="1">
        <f t="array" ref="T50">IF('NILAI CPL'!$B50&lt;&gt;"",IFERROR(JumlahPI(ROW(),COLUMN()),0),"")</f>
        <v/>
      </c>
      <c r="U50" s="2" t="str" cm="1">
        <f t="array" ref="U50">IF('NILAI CPL'!$B50&lt;&gt;"",IFERROR(JumlahPI(ROW(),COLUMN()),0),"")</f>
        <v/>
      </c>
      <c r="V50" s="2" t="str" cm="1">
        <f t="array" ref="V50">IF('NILAI CPL'!$B50&lt;&gt;"",IFERROR(JumlahPI(ROW(),COLUMN()),0),"")</f>
        <v/>
      </c>
      <c r="W50" s="2" t="str" cm="1">
        <f t="array" ref="W50">IF('NILAI CPL'!$B50&lt;&gt;"",IFERROR(JumlahPI(ROW(),COLUMN()),0),"")</f>
        <v/>
      </c>
      <c r="X50" s="2" t="str" cm="1">
        <f t="array" ref="X50">IF('NILAI CPL'!$B50&lt;&gt;"",IFERROR(JumlahPI(ROW(),COLUMN()),0),"")</f>
        <v/>
      </c>
      <c r="Y50" s="2" t="str" cm="1">
        <f t="array" ref="Y50">IF('NILAI CPL'!$B50&lt;&gt;"",IFERROR(JumlahPI(ROW(),COLUMN()),0),"")</f>
        <v/>
      </c>
      <c r="Z50" s="2" t="str" cm="1">
        <f t="array" ref="Z50">IF('NILAI CPL'!$B50&lt;&gt;"",IFERROR(JumlahPI(ROW(),COLUMN()),0),"")</f>
        <v/>
      </c>
      <c r="AB50" s="2" t="str" cm="1">
        <f t="array" ref="AB50">IF('NILAI CPL'!$B50&lt;&gt;"",IFERROR(_xlfn.IFS(E50&gt;=$B$3,4,E50&gt;=$B$4,3,E50&gt;=$B$5,2,E50&gt;$B$6,1),0),"")</f>
        <v/>
      </c>
      <c r="AC50" s="2" t="str" cm="1">
        <f t="array" ref="AC50">IF('NILAI CPL'!$B50&lt;&gt;"",IFERROR(_xlfn.IFS(F50&gt;=$B$3,4,F50&gt;=$B$4,3,F50&gt;=$B$5,2,F50&gt;$B$6,1),0),"")</f>
        <v/>
      </c>
      <c r="AD50" s="2" t="str" cm="1">
        <f t="array" ref="AD50">IF('NILAI CPL'!$B50&lt;&gt;"",IFERROR(_xlfn.IFS(G50&gt;=$B$3,4,G50&gt;=$B$4,3,G50&gt;=$B$5,2,G50&gt;$B$6,1),0),"")</f>
        <v/>
      </c>
      <c r="AE50" s="2" t="str" cm="1">
        <f t="array" ref="AE50">IF('NILAI CPL'!$B50&lt;&gt;"",IFERROR(_xlfn.IFS(H50&gt;=$B$3,4,H50&gt;=$B$4,3,H50&gt;=$B$5,2,H50&gt;$B$6,1),0),"")</f>
        <v/>
      </c>
      <c r="AF50" s="2" t="str" cm="1">
        <f t="array" ref="AF50">IF('NILAI CPL'!$B50&lt;&gt;"",IFERROR(_xlfn.IFS(I50&gt;=$B$3,4,I50&gt;=$B$4,3,I50&gt;=$B$5,2,I50&gt;$B$6,1),0),"")</f>
        <v/>
      </c>
      <c r="AG50" s="2" t="str" cm="1">
        <f t="array" ref="AG50">IF('NILAI CPL'!$B50&lt;&gt;"",IFERROR(_xlfn.IFS(J50&gt;=$B$3,4,J50&gt;=$B$4,3,J50&gt;=$B$5,2,J50&gt;$B$6,1),0),"")</f>
        <v/>
      </c>
      <c r="AH50" s="2" t="str" cm="1">
        <f t="array" ref="AH50">IF('NILAI CPL'!$B50&lt;&gt;"",IFERROR(_xlfn.IFS(K50&gt;=$B$3,4,K50&gt;=$B$4,3,K50&gt;=$B$5,2,K50&gt;$B$6,1),0),"")</f>
        <v/>
      </c>
      <c r="AI50" s="2" t="str" cm="1">
        <f t="array" ref="AI50">IF('NILAI CPL'!$B50&lt;&gt;"",IFERROR(_xlfn.IFS(L50&gt;=$B$3,4,L50&gt;=$B$4,3,L50&gt;=$B$5,2,L50&gt;$B$6,1),0),"")</f>
        <v/>
      </c>
      <c r="AJ50" s="2" t="str" cm="1">
        <f t="array" ref="AJ50">IF('NILAI CPL'!$B50&lt;&gt;"",IFERROR(_xlfn.IFS(M50&gt;=$B$3,4,M50&gt;=$B$4,3,M50&gt;=$B$5,2,M50&gt;$B$6,1),0),"")</f>
        <v/>
      </c>
      <c r="AK50" s="2" t="str" cm="1">
        <f t="array" ref="AK50">IF('NILAI CPL'!$B50&lt;&gt;"",IFERROR(_xlfn.IFS(N50&gt;=$B$3,4,N50&gt;=$B$4,3,N50&gt;=$B$5,2,N50&gt;$B$6,1),0),"")</f>
        <v/>
      </c>
      <c r="AL50" s="2" t="str" cm="1">
        <f t="array" ref="AL50">IF('NILAI CPL'!$B50&lt;&gt;"",IFERROR(_xlfn.IFS(O50&gt;=$B$3,4,O50&gt;=$B$4,3,O50&gt;=$B$5,2,O50&gt;$B$6,1),0),"")</f>
        <v/>
      </c>
      <c r="AM50" s="2" t="str" cm="1">
        <f t="array" ref="AM50">IF('NILAI CPL'!$B50&lt;&gt;"",IFERROR(_xlfn.IFS(P50&gt;=$B$3,4,P50&gt;=$B$4,3,P50&gt;=$B$5,2,P50&gt;$B$6,1),0),"")</f>
        <v/>
      </c>
      <c r="AN50" s="2" t="str" cm="1">
        <f t="array" ref="AN50">IF('NILAI CPL'!$B50&lt;&gt;"",IFERROR(_xlfn.IFS(Q50&gt;=$B$3,4,Q50&gt;=$B$4,3,Q50&gt;=$B$5,2,Q50&gt;$B$6,1),0),"")</f>
        <v/>
      </c>
      <c r="AO50" s="2" t="str" cm="1">
        <f t="array" ref="AO50">IF('NILAI CPL'!$B50&lt;&gt;"",IFERROR(_xlfn.IFS(R50&gt;=$B$3,4,R50&gt;=$B$4,3,R50&gt;=$B$5,2,R50&gt;$B$6,1),0),"")</f>
        <v/>
      </c>
      <c r="AP50" s="2" t="str" cm="1">
        <f t="array" ref="AP50">IF('NILAI CPL'!$B50&lt;&gt;"",IFERROR(_xlfn.IFS(S50&gt;=$B$3,4,S50&gt;=$B$4,3,S50&gt;=$B$5,2,S50&gt;$B$6,1),0),"")</f>
        <v/>
      </c>
      <c r="AQ50" s="2" t="str" cm="1">
        <f t="array" ref="AQ50">IF('NILAI CPL'!$B50&lt;&gt;"",IFERROR(_xlfn.IFS(T50&gt;=$B$3,4,T50&gt;=$B$4,3,T50&gt;=$B$5,2,T50&gt;$B$6,1),0),"")</f>
        <v/>
      </c>
      <c r="AR50" s="2" t="str" cm="1">
        <f t="array" ref="AR50">IF('NILAI CPL'!$B50&lt;&gt;"",IFERROR(_xlfn.IFS(U50&gt;=$B$3,4,U50&gt;=$B$4,3,U50&gt;=$B$5,2,U50&gt;$B$6,1),0),"")</f>
        <v/>
      </c>
      <c r="AS50" s="2" t="str" cm="1">
        <f t="array" ref="AS50">IF('NILAI CPL'!$B50&lt;&gt;"",IFERROR(_xlfn.IFS(V50&gt;=$B$3,4,V50&gt;=$B$4,3,V50&gt;=$B$5,2,V50&gt;$B$6,1),0),"")</f>
        <v/>
      </c>
      <c r="AT50" s="2" t="str" cm="1">
        <f t="array" ref="AT50">IF('NILAI CPL'!$B50&lt;&gt;"",IFERROR(_xlfn.IFS(W50&gt;=$B$3,4,W50&gt;=$B$4,3,W50&gt;=$B$5,2,W50&gt;$B$6,1),0),"")</f>
        <v/>
      </c>
      <c r="AU50" s="2" t="str" cm="1">
        <f t="array" ref="AU50">IF('NILAI CPL'!$B50&lt;&gt;"",IFERROR(_xlfn.IFS(X50&gt;=$B$3,4,X50&gt;=$B$4,3,X50&gt;=$B$5,2,X50&gt;$B$6,1),0),"")</f>
        <v/>
      </c>
      <c r="AV50" s="2" t="str" cm="1">
        <f t="array" ref="AV50">IF('NILAI CPL'!$B50&lt;&gt;"",IFERROR(_xlfn.IFS(Y50&gt;=$B$3,4,Y50&gt;=$B$4,3,Y50&gt;=$B$5,2,Y50&gt;$B$6,1),0),"")</f>
        <v/>
      </c>
      <c r="AW50" s="2" t="str" cm="1">
        <f t="array" ref="AW50">IF('NILAI CPL'!$B50&lt;&gt;"",IFERROR(_xlfn.IFS(Z50&gt;=$B$3,4,Z50&gt;=$B$4,3,Z50&gt;=$B$5,2,Z50&gt;$B$6,1),0),"")</f>
        <v/>
      </c>
      <c r="AY50" s="2" t="str">
        <f t="shared" si="0"/>
        <v/>
      </c>
      <c r="AZ50" s="2" t="str">
        <f t="shared" si="1"/>
        <v/>
      </c>
      <c r="BA50" s="2" t="str">
        <f t="shared" si="2"/>
        <v/>
      </c>
      <c r="BB50" s="2" t="str">
        <f t="shared" si="3"/>
        <v/>
      </c>
      <c r="BC50" s="2" t="str">
        <f t="shared" si="4"/>
        <v/>
      </c>
      <c r="BD50" s="2" t="str">
        <f t="shared" si="5"/>
        <v/>
      </c>
      <c r="BE50" s="2" t="str">
        <f t="shared" si="6"/>
        <v/>
      </c>
      <c r="BF50" s="2" t="str">
        <f t="shared" si="7"/>
        <v/>
      </c>
      <c r="BG50" s="2" t="str">
        <f t="shared" si="8"/>
        <v/>
      </c>
      <c r="BH50" s="2" t="str">
        <f t="shared" si="9"/>
        <v/>
      </c>
      <c r="BJ50" s="2" t="str" cm="1">
        <f t="array" ref="BJ50">IF('NILAI CPL'!$B50&lt;&gt;"",IFERROR(_xlfn.IFS(AY50&gt;=$B$3,4,AY50&gt;=$B$4,3,AY50&gt;=$B$5,2,AY50&gt;$B$6,1),0),"")</f>
        <v/>
      </c>
      <c r="BK50" s="2" t="str" cm="1">
        <f t="array" ref="BK50">IF('NILAI CPL'!$B50&lt;&gt;"",IFERROR(_xlfn.IFS(AZ50&gt;=$B$3,4,AZ50&gt;=$B$4,3,AZ50&gt;=$B$5,2,AZ50&gt;$B$6,1),0),"")</f>
        <v/>
      </c>
      <c r="BL50" s="2" t="str" cm="1">
        <f t="array" ref="BL50">IF('NILAI CPL'!$B50&lt;&gt;"",IFERROR(_xlfn.IFS(BA50&gt;=$B$3,4,BA50&gt;=$B$4,3,BA50&gt;=$B$5,2,BA50&gt;$B$6,1),0),"")</f>
        <v/>
      </c>
      <c r="BM50" s="2" t="str" cm="1">
        <f t="array" ref="BM50">IF('NILAI CPL'!$B50&lt;&gt;"",IFERROR(_xlfn.IFS(BB50&gt;=$B$3,4,BB50&gt;=$B$4,3,BB50&gt;=$B$5,2,BB50&gt;$B$6,1),0),"")</f>
        <v/>
      </c>
      <c r="BN50" s="2" t="str" cm="1">
        <f t="array" ref="BN50">IF('NILAI CPL'!$B50&lt;&gt;"",IFERROR(_xlfn.IFS(BC50&gt;=$B$3,4,BC50&gt;=$B$4,3,BC50&gt;=$B$5,2,BC50&gt;$B$6,1),0),"")</f>
        <v/>
      </c>
      <c r="BO50" s="2" t="str" cm="1">
        <f t="array" ref="BO50">IF('NILAI CPL'!$B50&lt;&gt;"",IFERROR(_xlfn.IFS(BD50&gt;=$B$3,4,BD50&gt;=$B$4,3,BD50&gt;=$B$5,2,BD50&gt;$B$6,1),0),"")</f>
        <v/>
      </c>
      <c r="BP50" s="2" t="str" cm="1">
        <f t="array" ref="BP50">IF('NILAI CPL'!$B50&lt;&gt;"",IFERROR(_xlfn.IFS(BE50&gt;=$B$3,4,BE50&gt;=$B$4,3,BE50&gt;=$B$5,2,BE50&gt;$B$6,1),0),"")</f>
        <v/>
      </c>
      <c r="BQ50" s="2" t="str" cm="1">
        <f t="array" ref="BQ50">IF('NILAI CPL'!$B50&lt;&gt;"",IFERROR(_xlfn.IFS(BF50&gt;=$B$3,4,BF50&gt;=$B$4,3,BF50&gt;=$B$5,2,BF50&gt;$B$6,1),0),"")</f>
        <v/>
      </c>
      <c r="BR50" s="2" t="str" cm="1">
        <f t="array" ref="BR50">IF('NILAI CPL'!$B50&lt;&gt;"",IFERROR(_xlfn.IFS(BG50&gt;=$B$3,4,BG50&gt;=$B$4,3,BG50&gt;=$B$5,2,BG50&gt;$B$6,1),0),"")</f>
        <v/>
      </c>
      <c r="BS50" s="2" t="str" cm="1">
        <f t="array" ref="BS50">IF('NILAI CPL'!$B50&lt;&gt;"",IFERROR(_xlfn.IFS(BH50&gt;=$B$3,4,BH50&gt;=$B$4,3,BH50&gt;=$B$5,2,BH50&gt;$B$6,1),0),"")</f>
        <v/>
      </c>
    </row>
    <row r="51" spans="1:71" x14ac:dyDescent="0.2">
      <c r="A51" s="2">
        <v>41</v>
      </c>
      <c r="B51" s="2" t="str">
        <f>IF(LEN(SUMMARY!B51)&gt;0, SUMMARY!B51, "")</f>
        <v/>
      </c>
      <c r="C51" s="2" t="str">
        <f>IF(LEN(SUMMARY!C51)&gt;0, SUMMARY!C51, "")</f>
        <v/>
      </c>
      <c r="E51" s="2" t="str" cm="1">
        <f t="array" ref="E51">IF('NILAI CPL'!$B51&lt;&gt;"",IFERROR(JumlahPI(ROW(),COLUMN()),0),"")</f>
        <v/>
      </c>
      <c r="F51" s="2" t="str" cm="1">
        <f t="array" ref="F51">IF('NILAI CPL'!$B51&lt;&gt;"",IFERROR(JumlahPI(ROW(),COLUMN()),0),"")</f>
        <v/>
      </c>
      <c r="G51" s="2" t="str" cm="1">
        <f t="array" ref="G51">IF('NILAI CPL'!$B51&lt;&gt;"",IFERROR(JumlahPI(ROW(),COLUMN()),0),"")</f>
        <v/>
      </c>
      <c r="H51" s="2" t="str" cm="1">
        <f t="array" ref="H51">IF('NILAI CPL'!$B51&lt;&gt;"",IFERROR(JumlahPI(ROW(),COLUMN()),0),"")</f>
        <v/>
      </c>
      <c r="I51" s="2" t="str" cm="1">
        <f t="array" ref="I51">IF('NILAI CPL'!$B51&lt;&gt;"",IFERROR(JumlahPI(ROW(),COLUMN()),0),"")</f>
        <v/>
      </c>
      <c r="J51" s="2" t="str" cm="1">
        <f t="array" ref="J51">IF('NILAI CPL'!$B51&lt;&gt;"",IFERROR(JumlahPI(ROW(),COLUMN()),0),"")</f>
        <v/>
      </c>
      <c r="K51" s="2" t="str" cm="1">
        <f t="array" ref="K51">IF('NILAI CPL'!$B51&lt;&gt;"",IFERROR(JumlahPI(ROW(),COLUMN()),0),"")</f>
        <v/>
      </c>
      <c r="L51" s="2" t="str" cm="1">
        <f t="array" ref="L51">IF('NILAI CPL'!$B51&lt;&gt;"",IFERROR(JumlahPI(ROW(),COLUMN()),0),"")</f>
        <v/>
      </c>
      <c r="M51" s="2" t="str" cm="1">
        <f t="array" ref="M51">IF('NILAI CPL'!$B51&lt;&gt;"",IFERROR(JumlahPI(ROW(),COLUMN()),0),"")</f>
        <v/>
      </c>
      <c r="N51" s="2" t="str" cm="1">
        <f t="array" ref="N51">IF('NILAI CPL'!$B51&lt;&gt;"",IFERROR(JumlahPI(ROW(),COLUMN()),0),"")</f>
        <v/>
      </c>
      <c r="O51" s="2" t="str" cm="1">
        <f t="array" ref="O51">IF('NILAI CPL'!$B51&lt;&gt;"",IFERROR(JumlahPI(ROW(),COLUMN()),0),"")</f>
        <v/>
      </c>
      <c r="P51" s="2" t="str" cm="1">
        <f t="array" ref="P51">IF('NILAI CPL'!$B51&lt;&gt;"",IFERROR(JumlahPI(ROW(),COLUMN()),0),"")</f>
        <v/>
      </c>
      <c r="Q51" s="2" t="str" cm="1">
        <f t="array" ref="Q51">IF('NILAI CPL'!$B51&lt;&gt;"",IFERROR(JumlahPI(ROW(),COLUMN()),0),"")</f>
        <v/>
      </c>
      <c r="R51" s="2" t="str" cm="1">
        <f t="array" ref="R51">IF('NILAI CPL'!$B51&lt;&gt;"",IFERROR(JumlahPI(ROW(),COLUMN()),0),"")</f>
        <v/>
      </c>
      <c r="S51" s="2" t="str" cm="1">
        <f t="array" ref="S51">IF('NILAI CPL'!$B51&lt;&gt;"",IFERROR(JumlahPI(ROW(),COLUMN()),0),"")</f>
        <v/>
      </c>
      <c r="T51" s="2" t="str" cm="1">
        <f t="array" ref="T51">IF('NILAI CPL'!$B51&lt;&gt;"",IFERROR(JumlahPI(ROW(),COLUMN()),0),"")</f>
        <v/>
      </c>
      <c r="U51" s="2" t="str" cm="1">
        <f t="array" ref="U51">IF('NILAI CPL'!$B51&lt;&gt;"",IFERROR(JumlahPI(ROW(),COLUMN()),0),"")</f>
        <v/>
      </c>
      <c r="V51" s="2" t="str" cm="1">
        <f t="array" ref="V51">IF('NILAI CPL'!$B51&lt;&gt;"",IFERROR(JumlahPI(ROW(),COLUMN()),0),"")</f>
        <v/>
      </c>
      <c r="W51" s="2" t="str" cm="1">
        <f t="array" ref="W51">IF('NILAI CPL'!$B51&lt;&gt;"",IFERROR(JumlahPI(ROW(),COLUMN()),0),"")</f>
        <v/>
      </c>
      <c r="X51" s="2" t="str" cm="1">
        <f t="array" ref="X51">IF('NILAI CPL'!$B51&lt;&gt;"",IFERROR(JumlahPI(ROW(),COLUMN()),0),"")</f>
        <v/>
      </c>
      <c r="Y51" s="2" t="str" cm="1">
        <f t="array" ref="Y51">IF('NILAI CPL'!$B51&lt;&gt;"",IFERROR(JumlahPI(ROW(),COLUMN()),0),"")</f>
        <v/>
      </c>
      <c r="Z51" s="2" t="str" cm="1">
        <f t="array" ref="Z51">IF('NILAI CPL'!$B51&lt;&gt;"",IFERROR(JumlahPI(ROW(),COLUMN()),0),"")</f>
        <v/>
      </c>
      <c r="AB51" s="2" t="str" cm="1">
        <f t="array" ref="AB51">IF('NILAI CPL'!$B51&lt;&gt;"",IFERROR(_xlfn.IFS(E51&gt;=$B$3,4,E51&gt;=$B$4,3,E51&gt;=$B$5,2,E51&gt;$B$6,1),0),"")</f>
        <v/>
      </c>
      <c r="AC51" s="2" t="str" cm="1">
        <f t="array" ref="AC51">IF('NILAI CPL'!$B51&lt;&gt;"",IFERROR(_xlfn.IFS(F51&gt;=$B$3,4,F51&gt;=$B$4,3,F51&gt;=$B$5,2,F51&gt;$B$6,1),0),"")</f>
        <v/>
      </c>
      <c r="AD51" s="2" t="str" cm="1">
        <f t="array" ref="AD51">IF('NILAI CPL'!$B51&lt;&gt;"",IFERROR(_xlfn.IFS(G51&gt;=$B$3,4,G51&gt;=$B$4,3,G51&gt;=$B$5,2,G51&gt;$B$6,1),0),"")</f>
        <v/>
      </c>
      <c r="AE51" s="2" t="str" cm="1">
        <f t="array" ref="AE51">IF('NILAI CPL'!$B51&lt;&gt;"",IFERROR(_xlfn.IFS(H51&gt;=$B$3,4,H51&gt;=$B$4,3,H51&gt;=$B$5,2,H51&gt;$B$6,1),0),"")</f>
        <v/>
      </c>
      <c r="AF51" s="2" t="str" cm="1">
        <f t="array" ref="AF51">IF('NILAI CPL'!$B51&lt;&gt;"",IFERROR(_xlfn.IFS(I51&gt;=$B$3,4,I51&gt;=$B$4,3,I51&gt;=$B$5,2,I51&gt;$B$6,1),0),"")</f>
        <v/>
      </c>
      <c r="AG51" s="2" t="str" cm="1">
        <f t="array" ref="AG51">IF('NILAI CPL'!$B51&lt;&gt;"",IFERROR(_xlfn.IFS(J51&gt;=$B$3,4,J51&gt;=$B$4,3,J51&gt;=$B$5,2,J51&gt;$B$6,1),0),"")</f>
        <v/>
      </c>
      <c r="AH51" s="2" t="str" cm="1">
        <f t="array" ref="AH51">IF('NILAI CPL'!$B51&lt;&gt;"",IFERROR(_xlfn.IFS(K51&gt;=$B$3,4,K51&gt;=$B$4,3,K51&gt;=$B$5,2,K51&gt;$B$6,1),0),"")</f>
        <v/>
      </c>
      <c r="AI51" s="2" t="str" cm="1">
        <f t="array" ref="AI51">IF('NILAI CPL'!$B51&lt;&gt;"",IFERROR(_xlfn.IFS(L51&gt;=$B$3,4,L51&gt;=$B$4,3,L51&gt;=$B$5,2,L51&gt;$B$6,1),0),"")</f>
        <v/>
      </c>
      <c r="AJ51" s="2" t="str" cm="1">
        <f t="array" ref="AJ51">IF('NILAI CPL'!$B51&lt;&gt;"",IFERROR(_xlfn.IFS(M51&gt;=$B$3,4,M51&gt;=$B$4,3,M51&gt;=$B$5,2,M51&gt;$B$6,1),0),"")</f>
        <v/>
      </c>
      <c r="AK51" s="2" t="str" cm="1">
        <f t="array" ref="AK51">IF('NILAI CPL'!$B51&lt;&gt;"",IFERROR(_xlfn.IFS(N51&gt;=$B$3,4,N51&gt;=$B$4,3,N51&gt;=$B$5,2,N51&gt;$B$6,1),0),"")</f>
        <v/>
      </c>
      <c r="AL51" s="2" t="str" cm="1">
        <f t="array" ref="AL51">IF('NILAI CPL'!$B51&lt;&gt;"",IFERROR(_xlfn.IFS(O51&gt;=$B$3,4,O51&gt;=$B$4,3,O51&gt;=$B$5,2,O51&gt;$B$6,1),0),"")</f>
        <v/>
      </c>
      <c r="AM51" s="2" t="str" cm="1">
        <f t="array" ref="AM51">IF('NILAI CPL'!$B51&lt;&gt;"",IFERROR(_xlfn.IFS(P51&gt;=$B$3,4,P51&gt;=$B$4,3,P51&gt;=$B$5,2,P51&gt;$B$6,1),0),"")</f>
        <v/>
      </c>
      <c r="AN51" s="2" t="str" cm="1">
        <f t="array" ref="AN51">IF('NILAI CPL'!$B51&lt;&gt;"",IFERROR(_xlfn.IFS(Q51&gt;=$B$3,4,Q51&gt;=$B$4,3,Q51&gt;=$B$5,2,Q51&gt;$B$6,1),0),"")</f>
        <v/>
      </c>
      <c r="AO51" s="2" t="str" cm="1">
        <f t="array" ref="AO51">IF('NILAI CPL'!$B51&lt;&gt;"",IFERROR(_xlfn.IFS(R51&gt;=$B$3,4,R51&gt;=$B$4,3,R51&gt;=$B$5,2,R51&gt;$B$6,1),0),"")</f>
        <v/>
      </c>
      <c r="AP51" s="2" t="str" cm="1">
        <f t="array" ref="AP51">IF('NILAI CPL'!$B51&lt;&gt;"",IFERROR(_xlfn.IFS(S51&gt;=$B$3,4,S51&gt;=$B$4,3,S51&gt;=$B$5,2,S51&gt;$B$6,1),0),"")</f>
        <v/>
      </c>
      <c r="AQ51" s="2" t="str" cm="1">
        <f t="array" ref="AQ51">IF('NILAI CPL'!$B51&lt;&gt;"",IFERROR(_xlfn.IFS(T51&gt;=$B$3,4,T51&gt;=$B$4,3,T51&gt;=$B$5,2,T51&gt;$B$6,1),0),"")</f>
        <v/>
      </c>
      <c r="AR51" s="2" t="str" cm="1">
        <f t="array" ref="AR51">IF('NILAI CPL'!$B51&lt;&gt;"",IFERROR(_xlfn.IFS(U51&gt;=$B$3,4,U51&gt;=$B$4,3,U51&gt;=$B$5,2,U51&gt;$B$6,1),0),"")</f>
        <v/>
      </c>
      <c r="AS51" s="2" t="str" cm="1">
        <f t="array" ref="AS51">IF('NILAI CPL'!$B51&lt;&gt;"",IFERROR(_xlfn.IFS(V51&gt;=$B$3,4,V51&gt;=$B$4,3,V51&gt;=$B$5,2,V51&gt;$B$6,1),0),"")</f>
        <v/>
      </c>
      <c r="AT51" s="2" t="str" cm="1">
        <f t="array" ref="AT51">IF('NILAI CPL'!$B51&lt;&gt;"",IFERROR(_xlfn.IFS(W51&gt;=$B$3,4,W51&gt;=$B$4,3,W51&gt;=$B$5,2,W51&gt;$B$6,1),0),"")</f>
        <v/>
      </c>
      <c r="AU51" s="2" t="str" cm="1">
        <f t="array" ref="AU51">IF('NILAI CPL'!$B51&lt;&gt;"",IFERROR(_xlfn.IFS(X51&gt;=$B$3,4,X51&gt;=$B$4,3,X51&gt;=$B$5,2,X51&gt;$B$6,1),0),"")</f>
        <v/>
      </c>
      <c r="AV51" s="2" t="str" cm="1">
        <f t="array" ref="AV51">IF('NILAI CPL'!$B51&lt;&gt;"",IFERROR(_xlfn.IFS(Y51&gt;=$B$3,4,Y51&gt;=$B$4,3,Y51&gt;=$B$5,2,Y51&gt;$B$6,1),0),"")</f>
        <v/>
      </c>
      <c r="AW51" s="2" t="str" cm="1">
        <f t="array" ref="AW51">IF('NILAI CPL'!$B51&lt;&gt;"",IFERROR(_xlfn.IFS(Z51&gt;=$B$3,4,Z51&gt;=$B$4,3,Z51&gt;=$B$5,2,Z51&gt;$B$6,1),0),"")</f>
        <v/>
      </c>
      <c r="AY51" s="2" t="str">
        <f t="shared" si="0"/>
        <v/>
      </c>
      <c r="AZ51" s="2" t="str">
        <f t="shared" si="1"/>
        <v/>
      </c>
      <c r="BA51" s="2" t="str">
        <f t="shared" si="2"/>
        <v/>
      </c>
      <c r="BB51" s="2" t="str">
        <f t="shared" si="3"/>
        <v/>
      </c>
      <c r="BC51" s="2" t="str">
        <f t="shared" si="4"/>
        <v/>
      </c>
      <c r="BD51" s="2" t="str">
        <f t="shared" si="5"/>
        <v/>
      </c>
      <c r="BE51" s="2" t="str">
        <f t="shared" si="6"/>
        <v/>
      </c>
      <c r="BF51" s="2" t="str">
        <f t="shared" si="7"/>
        <v/>
      </c>
      <c r="BG51" s="2" t="str">
        <f t="shared" si="8"/>
        <v/>
      </c>
      <c r="BH51" s="2" t="str">
        <f t="shared" si="9"/>
        <v/>
      </c>
      <c r="BJ51" s="2" t="str" cm="1">
        <f t="array" ref="BJ51">IF('NILAI CPL'!$B51&lt;&gt;"",IFERROR(_xlfn.IFS(AY51&gt;=$B$3,4,AY51&gt;=$B$4,3,AY51&gt;=$B$5,2,AY51&gt;$B$6,1),0),"")</f>
        <v/>
      </c>
      <c r="BK51" s="2" t="str" cm="1">
        <f t="array" ref="BK51">IF('NILAI CPL'!$B51&lt;&gt;"",IFERROR(_xlfn.IFS(AZ51&gt;=$B$3,4,AZ51&gt;=$B$4,3,AZ51&gt;=$B$5,2,AZ51&gt;$B$6,1),0),"")</f>
        <v/>
      </c>
      <c r="BL51" s="2" t="str" cm="1">
        <f t="array" ref="BL51">IF('NILAI CPL'!$B51&lt;&gt;"",IFERROR(_xlfn.IFS(BA51&gt;=$B$3,4,BA51&gt;=$B$4,3,BA51&gt;=$B$5,2,BA51&gt;$B$6,1),0),"")</f>
        <v/>
      </c>
      <c r="BM51" s="2" t="str" cm="1">
        <f t="array" ref="BM51">IF('NILAI CPL'!$B51&lt;&gt;"",IFERROR(_xlfn.IFS(BB51&gt;=$B$3,4,BB51&gt;=$B$4,3,BB51&gt;=$B$5,2,BB51&gt;$B$6,1),0),"")</f>
        <v/>
      </c>
      <c r="BN51" s="2" t="str" cm="1">
        <f t="array" ref="BN51">IF('NILAI CPL'!$B51&lt;&gt;"",IFERROR(_xlfn.IFS(BC51&gt;=$B$3,4,BC51&gt;=$B$4,3,BC51&gt;=$B$5,2,BC51&gt;$B$6,1),0),"")</f>
        <v/>
      </c>
      <c r="BO51" s="2" t="str" cm="1">
        <f t="array" ref="BO51">IF('NILAI CPL'!$B51&lt;&gt;"",IFERROR(_xlfn.IFS(BD51&gt;=$B$3,4,BD51&gt;=$B$4,3,BD51&gt;=$B$5,2,BD51&gt;$B$6,1),0),"")</f>
        <v/>
      </c>
      <c r="BP51" s="2" t="str" cm="1">
        <f t="array" ref="BP51">IF('NILAI CPL'!$B51&lt;&gt;"",IFERROR(_xlfn.IFS(BE51&gt;=$B$3,4,BE51&gt;=$B$4,3,BE51&gt;=$B$5,2,BE51&gt;$B$6,1),0),"")</f>
        <v/>
      </c>
      <c r="BQ51" s="2" t="str" cm="1">
        <f t="array" ref="BQ51">IF('NILAI CPL'!$B51&lt;&gt;"",IFERROR(_xlfn.IFS(BF51&gt;=$B$3,4,BF51&gt;=$B$4,3,BF51&gt;=$B$5,2,BF51&gt;$B$6,1),0),"")</f>
        <v/>
      </c>
      <c r="BR51" s="2" t="str" cm="1">
        <f t="array" ref="BR51">IF('NILAI CPL'!$B51&lt;&gt;"",IFERROR(_xlfn.IFS(BG51&gt;=$B$3,4,BG51&gt;=$B$4,3,BG51&gt;=$B$5,2,BG51&gt;$B$6,1),0),"")</f>
        <v/>
      </c>
      <c r="BS51" s="2" t="str" cm="1">
        <f t="array" ref="BS51">IF('NILAI CPL'!$B51&lt;&gt;"",IFERROR(_xlfn.IFS(BH51&gt;=$B$3,4,BH51&gt;=$B$4,3,BH51&gt;=$B$5,2,BH51&gt;$B$6,1),0),"")</f>
        <v/>
      </c>
    </row>
    <row r="52" spans="1:71" x14ac:dyDescent="0.2">
      <c r="A52" s="2">
        <v>42</v>
      </c>
      <c r="B52" s="2" t="str">
        <f>IF(LEN(SUMMARY!B52)&gt;0, SUMMARY!B52, "")</f>
        <v/>
      </c>
      <c r="C52" s="2" t="str">
        <f>IF(LEN(SUMMARY!C52)&gt;0, SUMMARY!C52, "")</f>
        <v/>
      </c>
      <c r="E52" s="2" t="str" cm="1">
        <f t="array" ref="E52">IF('NILAI CPL'!$B52&lt;&gt;"",IFERROR(JumlahPI(ROW(),COLUMN()),0),"")</f>
        <v/>
      </c>
      <c r="F52" s="2" t="str" cm="1">
        <f t="array" ref="F52">IF('NILAI CPL'!$B52&lt;&gt;"",IFERROR(JumlahPI(ROW(),COLUMN()),0),"")</f>
        <v/>
      </c>
      <c r="G52" s="2" t="str" cm="1">
        <f t="array" ref="G52">IF('NILAI CPL'!$B52&lt;&gt;"",IFERROR(JumlahPI(ROW(),COLUMN()),0),"")</f>
        <v/>
      </c>
      <c r="H52" s="2" t="str" cm="1">
        <f t="array" ref="H52">IF('NILAI CPL'!$B52&lt;&gt;"",IFERROR(JumlahPI(ROW(),COLUMN()),0),"")</f>
        <v/>
      </c>
      <c r="I52" s="2" t="str" cm="1">
        <f t="array" ref="I52">IF('NILAI CPL'!$B52&lt;&gt;"",IFERROR(JumlahPI(ROW(),COLUMN()),0),"")</f>
        <v/>
      </c>
      <c r="J52" s="2" t="str" cm="1">
        <f t="array" ref="J52">IF('NILAI CPL'!$B52&lt;&gt;"",IFERROR(JumlahPI(ROW(),COLUMN()),0),"")</f>
        <v/>
      </c>
      <c r="K52" s="2" t="str" cm="1">
        <f t="array" ref="K52">IF('NILAI CPL'!$B52&lt;&gt;"",IFERROR(JumlahPI(ROW(),COLUMN()),0),"")</f>
        <v/>
      </c>
      <c r="L52" s="2" t="str" cm="1">
        <f t="array" ref="L52">IF('NILAI CPL'!$B52&lt;&gt;"",IFERROR(JumlahPI(ROW(),COLUMN()),0),"")</f>
        <v/>
      </c>
      <c r="M52" s="2" t="str" cm="1">
        <f t="array" ref="M52">IF('NILAI CPL'!$B52&lt;&gt;"",IFERROR(JumlahPI(ROW(),COLUMN()),0),"")</f>
        <v/>
      </c>
      <c r="N52" s="2" t="str" cm="1">
        <f t="array" ref="N52">IF('NILAI CPL'!$B52&lt;&gt;"",IFERROR(JumlahPI(ROW(),COLUMN()),0),"")</f>
        <v/>
      </c>
      <c r="O52" s="2" t="str" cm="1">
        <f t="array" ref="O52">IF('NILAI CPL'!$B52&lt;&gt;"",IFERROR(JumlahPI(ROW(),COLUMN()),0),"")</f>
        <v/>
      </c>
      <c r="P52" s="2" t="str" cm="1">
        <f t="array" ref="P52">IF('NILAI CPL'!$B52&lt;&gt;"",IFERROR(JumlahPI(ROW(),COLUMN()),0),"")</f>
        <v/>
      </c>
      <c r="Q52" s="2" t="str" cm="1">
        <f t="array" ref="Q52">IF('NILAI CPL'!$B52&lt;&gt;"",IFERROR(JumlahPI(ROW(),COLUMN()),0),"")</f>
        <v/>
      </c>
      <c r="R52" s="2" t="str" cm="1">
        <f t="array" ref="R52">IF('NILAI CPL'!$B52&lt;&gt;"",IFERROR(JumlahPI(ROW(),COLUMN()),0),"")</f>
        <v/>
      </c>
      <c r="S52" s="2" t="str" cm="1">
        <f t="array" ref="S52">IF('NILAI CPL'!$B52&lt;&gt;"",IFERROR(JumlahPI(ROW(),COLUMN()),0),"")</f>
        <v/>
      </c>
      <c r="T52" s="2" t="str" cm="1">
        <f t="array" ref="T52">IF('NILAI CPL'!$B52&lt;&gt;"",IFERROR(JumlahPI(ROW(),COLUMN()),0),"")</f>
        <v/>
      </c>
      <c r="U52" s="2" t="str" cm="1">
        <f t="array" ref="U52">IF('NILAI CPL'!$B52&lt;&gt;"",IFERROR(JumlahPI(ROW(),COLUMN()),0),"")</f>
        <v/>
      </c>
      <c r="V52" s="2" t="str" cm="1">
        <f t="array" ref="V52">IF('NILAI CPL'!$B52&lt;&gt;"",IFERROR(JumlahPI(ROW(),COLUMN()),0),"")</f>
        <v/>
      </c>
      <c r="W52" s="2" t="str" cm="1">
        <f t="array" ref="W52">IF('NILAI CPL'!$B52&lt;&gt;"",IFERROR(JumlahPI(ROW(),COLUMN()),0),"")</f>
        <v/>
      </c>
      <c r="X52" s="2" t="str" cm="1">
        <f t="array" ref="X52">IF('NILAI CPL'!$B52&lt;&gt;"",IFERROR(JumlahPI(ROW(),COLUMN()),0),"")</f>
        <v/>
      </c>
      <c r="Y52" s="2" t="str" cm="1">
        <f t="array" ref="Y52">IF('NILAI CPL'!$B52&lt;&gt;"",IFERROR(JumlahPI(ROW(),COLUMN()),0),"")</f>
        <v/>
      </c>
      <c r="Z52" s="2" t="str" cm="1">
        <f t="array" ref="Z52">IF('NILAI CPL'!$B52&lt;&gt;"",IFERROR(JumlahPI(ROW(),COLUMN()),0),"")</f>
        <v/>
      </c>
      <c r="AB52" s="2" t="str" cm="1">
        <f t="array" ref="AB52">IF('NILAI CPL'!$B52&lt;&gt;"",IFERROR(_xlfn.IFS(E52&gt;=$B$3,4,E52&gt;=$B$4,3,E52&gt;=$B$5,2,E52&gt;$B$6,1),0),"")</f>
        <v/>
      </c>
      <c r="AC52" s="2" t="str" cm="1">
        <f t="array" ref="AC52">IF('NILAI CPL'!$B52&lt;&gt;"",IFERROR(_xlfn.IFS(F52&gt;=$B$3,4,F52&gt;=$B$4,3,F52&gt;=$B$5,2,F52&gt;$B$6,1),0),"")</f>
        <v/>
      </c>
      <c r="AD52" s="2" t="str" cm="1">
        <f t="array" ref="AD52">IF('NILAI CPL'!$B52&lt;&gt;"",IFERROR(_xlfn.IFS(G52&gt;=$B$3,4,G52&gt;=$B$4,3,G52&gt;=$B$5,2,G52&gt;$B$6,1),0),"")</f>
        <v/>
      </c>
      <c r="AE52" s="2" t="str" cm="1">
        <f t="array" ref="AE52">IF('NILAI CPL'!$B52&lt;&gt;"",IFERROR(_xlfn.IFS(H52&gt;=$B$3,4,H52&gt;=$B$4,3,H52&gt;=$B$5,2,H52&gt;$B$6,1),0),"")</f>
        <v/>
      </c>
      <c r="AF52" s="2" t="str" cm="1">
        <f t="array" ref="AF52">IF('NILAI CPL'!$B52&lt;&gt;"",IFERROR(_xlfn.IFS(I52&gt;=$B$3,4,I52&gt;=$B$4,3,I52&gt;=$B$5,2,I52&gt;$B$6,1),0),"")</f>
        <v/>
      </c>
      <c r="AG52" s="2" t="str" cm="1">
        <f t="array" ref="AG52">IF('NILAI CPL'!$B52&lt;&gt;"",IFERROR(_xlfn.IFS(J52&gt;=$B$3,4,J52&gt;=$B$4,3,J52&gt;=$B$5,2,J52&gt;$B$6,1),0),"")</f>
        <v/>
      </c>
      <c r="AH52" s="2" t="str" cm="1">
        <f t="array" ref="AH52">IF('NILAI CPL'!$B52&lt;&gt;"",IFERROR(_xlfn.IFS(K52&gt;=$B$3,4,K52&gt;=$B$4,3,K52&gt;=$B$5,2,K52&gt;$B$6,1),0),"")</f>
        <v/>
      </c>
      <c r="AI52" s="2" t="str" cm="1">
        <f t="array" ref="AI52">IF('NILAI CPL'!$B52&lt;&gt;"",IFERROR(_xlfn.IFS(L52&gt;=$B$3,4,L52&gt;=$B$4,3,L52&gt;=$B$5,2,L52&gt;$B$6,1),0),"")</f>
        <v/>
      </c>
      <c r="AJ52" s="2" t="str" cm="1">
        <f t="array" ref="AJ52">IF('NILAI CPL'!$B52&lt;&gt;"",IFERROR(_xlfn.IFS(M52&gt;=$B$3,4,M52&gt;=$B$4,3,M52&gt;=$B$5,2,M52&gt;$B$6,1),0),"")</f>
        <v/>
      </c>
      <c r="AK52" s="2" t="str" cm="1">
        <f t="array" ref="AK52">IF('NILAI CPL'!$B52&lt;&gt;"",IFERROR(_xlfn.IFS(N52&gt;=$B$3,4,N52&gt;=$B$4,3,N52&gt;=$B$5,2,N52&gt;$B$6,1),0),"")</f>
        <v/>
      </c>
      <c r="AL52" s="2" t="str" cm="1">
        <f t="array" ref="AL52">IF('NILAI CPL'!$B52&lt;&gt;"",IFERROR(_xlfn.IFS(O52&gt;=$B$3,4,O52&gt;=$B$4,3,O52&gt;=$B$5,2,O52&gt;$B$6,1),0),"")</f>
        <v/>
      </c>
      <c r="AM52" s="2" t="str" cm="1">
        <f t="array" ref="AM52">IF('NILAI CPL'!$B52&lt;&gt;"",IFERROR(_xlfn.IFS(P52&gt;=$B$3,4,P52&gt;=$B$4,3,P52&gt;=$B$5,2,P52&gt;$B$6,1),0),"")</f>
        <v/>
      </c>
      <c r="AN52" s="2" t="str" cm="1">
        <f t="array" ref="AN52">IF('NILAI CPL'!$B52&lt;&gt;"",IFERROR(_xlfn.IFS(Q52&gt;=$B$3,4,Q52&gt;=$B$4,3,Q52&gt;=$B$5,2,Q52&gt;$B$6,1),0),"")</f>
        <v/>
      </c>
      <c r="AO52" s="2" t="str" cm="1">
        <f t="array" ref="AO52">IF('NILAI CPL'!$B52&lt;&gt;"",IFERROR(_xlfn.IFS(R52&gt;=$B$3,4,R52&gt;=$B$4,3,R52&gt;=$B$5,2,R52&gt;$B$6,1),0),"")</f>
        <v/>
      </c>
      <c r="AP52" s="2" t="str" cm="1">
        <f t="array" ref="AP52">IF('NILAI CPL'!$B52&lt;&gt;"",IFERROR(_xlfn.IFS(S52&gt;=$B$3,4,S52&gt;=$B$4,3,S52&gt;=$B$5,2,S52&gt;$B$6,1),0),"")</f>
        <v/>
      </c>
      <c r="AQ52" s="2" t="str" cm="1">
        <f t="array" ref="AQ52">IF('NILAI CPL'!$B52&lt;&gt;"",IFERROR(_xlfn.IFS(T52&gt;=$B$3,4,T52&gt;=$B$4,3,T52&gt;=$B$5,2,T52&gt;$B$6,1),0),"")</f>
        <v/>
      </c>
      <c r="AR52" s="2" t="str" cm="1">
        <f t="array" ref="AR52">IF('NILAI CPL'!$B52&lt;&gt;"",IFERROR(_xlfn.IFS(U52&gt;=$B$3,4,U52&gt;=$B$4,3,U52&gt;=$B$5,2,U52&gt;$B$6,1),0),"")</f>
        <v/>
      </c>
      <c r="AS52" s="2" t="str" cm="1">
        <f t="array" ref="AS52">IF('NILAI CPL'!$B52&lt;&gt;"",IFERROR(_xlfn.IFS(V52&gt;=$B$3,4,V52&gt;=$B$4,3,V52&gt;=$B$5,2,V52&gt;$B$6,1),0),"")</f>
        <v/>
      </c>
      <c r="AT52" s="2" t="str" cm="1">
        <f t="array" ref="AT52">IF('NILAI CPL'!$B52&lt;&gt;"",IFERROR(_xlfn.IFS(W52&gt;=$B$3,4,W52&gt;=$B$4,3,W52&gt;=$B$5,2,W52&gt;$B$6,1),0),"")</f>
        <v/>
      </c>
      <c r="AU52" s="2" t="str" cm="1">
        <f t="array" ref="AU52">IF('NILAI CPL'!$B52&lt;&gt;"",IFERROR(_xlfn.IFS(X52&gt;=$B$3,4,X52&gt;=$B$4,3,X52&gt;=$B$5,2,X52&gt;$B$6,1),0),"")</f>
        <v/>
      </c>
      <c r="AV52" s="2" t="str" cm="1">
        <f t="array" ref="AV52">IF('NILAI CPL'!$B52&lt;&gt;"",IFERROR(_xlfn.IFS(Y52&gt;=$B$3,4,Y52&gt;=$B$4,3,Y52&gt;=$B$5,2,Y52&gt;$B$6,1),0),"")</f>
        <v/>
      </c>
      <c r="AW52" s="2" t="str" cm="1">
        <f t="array" ref="AW52">IF('NILAI CPL'!$B52&lt;&gt;"",IFERROR(_xlfn.IFS(Z52&gt;=$B$3,4,Z52&gt;=$B$4,3,Z52&gt;=$B$5,2,Z52&gt;$B$6,1),0),"")</f>
        <v/>
      </c>
      <c r="AY52" s="2" t="str">
        <f t="shared" si="0"/>
        <v/>
      </c>
      <c r="AZ52" s="2" t="str">
        <f t="shared" si="1"/>
        <v/>
      </c>
      <c r="BA52" s="2" t="str">
        <f t="shared" si="2"/>
        <v/>
      </c>
      <c r="BB52" s="2" t="str">
        <f t="shared" si="3"/>
        <v/>
      </c>
      <c r="BC52" s="2" t="str">
        <f t="shared" si="4"/>
        <v/>
      </c>
      <c r="BD52" s="2" t="str">
        <f t="shared" si="5"/>
        <v/>
      </c>
      <c r="BE52" s="2" t="str">
        <f t="shared" si="6"/>
        <v/>
      </c>
      <c r="BF52" s="2" t="str">
        <f t="shared" si="7"/>
        <v/>
      </c>
      <c r="BG52" s="2" t="str">
        <f t="shared" si="8"/>
        <v/>
      </c>
      <c r="BH52" s="2" t="str">
        <f t="shared" si="9"/>
        <v/>
      </c>
      <c r="BJ52" s="2" t="str" cm="1">
        <f t="array" ref="BJ52">IF('NILAI CPL'!$B52&lt;&gt;"",IFERROR(_xlfn.IFS(AY52&gt;=$B$3,4,AY52&gt;=$B$4,3,AY52&gt;=$B$5,2,AY52&gt;$B$6,1),0),"")</f>
        <v/>
      </c>
      <c r="BK52" s="2" t="str" cm="1">
        <f t="array" ref="BK52">IF('NILAI CPL'!$B52&lt;&gt;"",IFERROR(_xlfn.IFS(AZ52&gt;=$B$3,4,AZ52&gt;=$B$4,3,AZ52&gt;=$B$5,2,AZ52&gt;$B$6,1),0),"")</f>
        <v/>
      </c>
      <c r="BL52" s="2" t="str" cm="1">
        <f t="array" ref="BL52">IF('NILAI CPL'!$B52&lt;&gt;"",IFERROR(_xlfn.IFS(BA52&gt;=$B$3,4,BA52&gt;=$B$4,3,BA52&gt;=$B$5,2,BA52&gt;$B$6,1),0),"")</f>
        <v/>
      </c>
      <c r="BM52" s="2" t="str" cm="1">
        <f t="array" ref="BM52">IF('NILAI CPL'!$B52&lt;&gt;"",IFERROR(_xlfn.IFS(BB52&gt;=$B$3,4,BB52&gt;=$B$4,3,BB52&gt;=$B$5,2,BB52&gt;$B$6,1),0),"")</f>
        <v/>
      </c>
      <c r="BN52" s="2" t="str" cm="1">
        <f t="array" ref="BN52">IF('NILAI CPL'!$B52&lt;&gt;"",IFERROR(_xlfn.IFS(BC52&gt;=$B$3,4,BC52&gt;=$B$4,3,BC52&gt;=$B$5,2,BC52&gt;$B$6,1),0),"")</f>
        <v/>
      </c>
      <c r="BO52" s="2" t="str" cm="1">
        <f t="array" ref="BO52">IF('NILAI CPL'!$B52&lt;&gt;"",IFERROR(_xlfn.IFS(BD52&gt;=$B$3,4,BD52&gt;=$B$4,3,BD52&gt;=$B$5,2,BD52&gt;$B$6,1),0),"")</f>
        <v/>
      </c>
      <c r="BP52" s="2" t="str" cm="1">
        <f t="array" ref="BP52">IF('NILAI CPL'!$B52&lt;&gt;"",IFERROR(_xlfn.IFS(BE52&gt;=$B$3,4,BE52&gt;=$B$4,3,BE52&gt;=$B$5,2,BE52&gt;$B$6,1),0),"")</f>
        <v/>
      </c>
      <c r="BQ52" s="2" t="str" cm="1">
        <f t="array" ref="BQ52">IF('NILAI CPL'!$B52&lt;&gt;"",IFERROR(_xlfn.IFS(BF52&gt;=$B$3,4,BF52&gt;=$B$4,3,BF52&gt;=$B$5,2,BF52&gt;$B$6,1),0),"")</f>
        <v/>
      </c>
      <c r="BR52" s="2" t="str" cm="1">
        <f t="array" ref="BR52">IF('NILAI CPL'!$B52&lt;&gt;"",IFERROR(_xlfn.IFS(BG52&gt;=$B$3,4,BG52&gt;=$B$4,3,BG52&gt;=$B$5,2,BG52&gt;$B$6,1),0),"")</f>
        <v/>
      </c>
      <c r="BS52" s="2" t="str" cm="1">
        <f t="array" ref="BS52">IF('NILAI CPL'!$B52&lt;&gt;"",IFERROR(_xlfn.IFS(BH52&gt;=$B$3,4,BH52&gt;=$B$4,3,BH52&gt;=$B$5,2,BH52&gt;$B$6,1),0),"")</f>
        <v/>
      </c>
    </row>
    <row r="53" spans="1:71" x14ac:dyDescent="0.2">
      <c r="A53" s="2">
        <v>43</v>
      </c>
      <c r="B53" s="2" t="str">
        <f>IF(LEN(SUMMARY!B53)&gt;0, SUMMARY!B53, "")</f>
        <v/>
      </c>
      <c r="C53" s="2" t="str">
        <f>IF(LEN(SUMMARY!C53)&gt;0, SUMMARY!C53, "")</f>
        <v/>
      </c>
      <c r="E53" s="2" t="str" cm="1">
        <f t="array" ref="E53">IF('NILAI CPL'!$B53&lt;&gt;"",IFERROR(JumlahPI(ROW(),COLUMN()),0),"")</f>
        <v/>
      </c>
      <c r="F53" s="2" t="str" cm="1">
        <f t="array" ref="F53">IF('NILAI CPL'!$B53&lt;&gt;"",IFERROR(JumlahPI(ROW(),COLUMN()),0),"")</f>
        <v/>
      </c>
      <c r="G53" s="2" t="str" cm="1">
        <f t="array" ref="G53">IF('NILAI CPL'!$B53&lt;&gt;"",IFERROR(JumlahPI(ROW(),COLUMN()),0),"")</f>
        <v/>
      </c>
      <c r="H53" s="2" t="str" cm="1">
        <f t="array" ref="H53">IF('NILAI CPL'!$B53&lt;&gt;"",IFERROR(JumlahPI(ROW(),COLUMN()),0),"")</f>
        <v/>
      </c>
      <c r="I53" s="2" t="str" cm="1">
        <f t="array" ref="I53">IF('NILAI CPL'!$B53&lt;&gt;"",IFERROR(JumlahPI(ROW(),COLUMN()),0),"")</f>
        <v/>
      </c>
      <c r="J53" s="2" t="str" cm="1">
        <f t="array" ref="J53">IF('NILAI CPL'!$B53&lt;&gt;"",IFERROR(JumlahPI(ROW(),COLUMN()),0),"")</f>
        <v/>
      </c>
      <c r="K53" s="2" t="str" cm="1">
        <f t="array" ref="K53">IF('NILAI CPL'!$B53&lt;&gt;"",IFERROR(JumlahPI(ROW(),COLUMN()),0),"")</f>
        <v/>
      </c>
      <c r="L53" s="2" t="str" cm="1">
        <f t="array" ref="L53">IF('NILAI CPL'!$B53&lt;&gt;"",IFERROR(JumlahPI(ROW(),COLUMN()),0),"")</f>
        <v/>
      </c>
      <c r="M53" s="2" t="str" cm="1">
        <f t="array" ref="M53">IF('NILAI CPL'!$B53&lt;&gt;"",IFERROR(JumlahPI(ROW(),COLUMN()),0),"")</f>
        <v/>
      </c>
      <c r="N53" s="2" t="str" cm="1">
        <f t="array" ref="N53">IF('NILAI CPL'!$B53&lt;&gt;"",IFERROR(JumlahPI(ROW(),COLUMN()),0),"")</f>
        <v/>
      </c>
      <c r="O53" s="2" t="str" cm="1">
        <f t="array" ref="O53">IF('NILAI CPL'!$B53&lt;&gt;"",IFERROR(JumlahPI(ROW(),COLUMN()),0),"")</f>
        <v/>
      </c>
      <c r="P53" s="2" t="str" cm="1">
        <f t="array" ref="P53">IF('NILAI CPL'!$B53&lt;&gt;"",IFERROR(JumlahPI(ROW(),COLUMN()),0),"")</f>
        <v/>
      </c>
      <c r="Q53" s="2" t="str" cm="1">
        <f t="array" ref="Q53">IF('NILAI CPL'!$B53&lt;&gt;"",IFERROR(JumlahPI(ROW(),COLUMN()),0),"")</f>
        <v/>
      </c>
      <c r="R53" s="2" t="str" cm="1">
        <f t="array" ref="R53">IF('NILAI CPL'!$B53&lt;&gt;"",IFERROR(JumlahPI(ROW(),COLUMN()),0),"")</f>
        <v/>
      </c>
      <c r="S53" s="2" t="str" cm="1">
        <f t="array" ref="S53">IF('NILAI CPL'!$B53&lt;&gt;"",IFERROR(JumlahPI(ROW(),COLUMN()),0),"")</f>
        <v/>
      </c>
      <c r="T53" s="2" t="str" cm="1">
        <f t="array" ref="T53">IF('NILAI CPL'!$B53&lt;&gt;"",IFERROR(JumlahPI(ROW(),COLUMN()),0),"")</f>
        <v/>
      </c>
      <c r="U53" s="2" t="str" cm="1">
        <f t="array" ref="U53">IF('NILAI CPL'!$B53&lt;&gt;"",IFERROR(JumlahPI(ROW(),COLUMN()),0),"")</f>
        <v/>
      </c>
      <c r="V53" s="2" t="str" cm="1">
        <f t="array" ref="V53">IF('NILAI CPL'!$B53&lt;&gt;"",IFERROR(JumlahPI(ROW(),COLUMN()),0),"")</f>
        <v/>
      </c>
      <c r="W53" s="2" t="str" cm="1">
        <f t="array" ref="W53">IF('NILAI CPL'!$B53&lt;&gt;"",IFERROR(JumlahPI(ROW(),COLUMN()),0),"")</f>
        <v/>
      </c>
      <c r="X53" s="2" t="str" cm="1">
        <f t="array" ref="X53">IF('NILAI CPL'!$B53&lt;&gt;"",IFERROR(JumlahPI(ROW(),COLUMN()),0),"")</f>
        <v/>
      </c>
      <c r="Y53" s="2" t="str" cm="1">
        <f t="array" ref="Y53">IF('NILAI CPL'!$B53&lt;&gt;"",IFERROR(JumlahPI(ROW(),COLUMN()),0),"")</f>
        <v/>
      </c>
      <c r="Z53" s="2" t="str" cm="1">
        <f t="array" ref="Z53">IF('NILAI CPL'!$B53&lt;&gt;"",IFERROR(JumlahPI(ROW(),COLUMN()),0),"")</f>
        <v/>
      </c>
      <c r="AB53" s="2" t="str" cm="1">
        <f t="array" ref="AB53">IF('NILAI CPL'!$B53&lt;&gt;"",IFERROR(_xlfn.IFS(E53&gt;=$B$3,4,E53&gt;=$B$4,3,E53&gt;=$B$5,2,E53&gt;$B$6,1),0),"")</f>
        <v/>
      </c>
      <c r="AC53" s="2" t="str" cm="1">
        <f t="array" ref="AC53">IF('NILAI CPL'!$B53&lt;&gt;"",IFERROR(_xlfn.IFS(F53&gt;=$B$3,4,F53&gt;=$B$4,3,F53&gt;=$B$5,2,F53&gt;$B$6,1),0),"")</f>
        <v/>
      </c>
      <c r="AD53" s="2" t="str" cm="1">
        <f t="array" ref="AD53">IF('NILAI CPL'!$B53&lt;&gt;"",IFERROR(_xlfn.IFS(G53&gt;=$B$3,4,G53&gt;=$B$4,3,G53&gt;=$B$5,2,G53&gt;$B$6,1),0),"")</f>
        <v/>
      </c>
      <c r="AE53" s="2" t="str" cm="1">
        <f t="array" ref="AE53">IF('NILAI CPL'!$B53&lt;&gt;"",IFERROR(_xlfn.IFS(H53&gt;=$B$3,4,H53&gt;=$B$4,3,H53&gt;=$B$5,2,H53&gt;$B$6,1),0),"")</f>
        <v/>
      </c>
      <c r="AF53" s="2" t="str" cm="1">
        <f t="array" ref="AF53">IF('NILAI CPL'!$B53&lt;&gt;"",IFERROR(_xlfn.IFS(I53&gt;=$B$3,4,I53&gt;=$B$4,3,I53&gt;=$B$5,2,I53&gt;$B$6,1),0),"")</f>
        <v/>
      </c>
      <c r="AG53" s="2" t="str" cm="1">
        <f t="array" ref="AG53">IF('NILAI CPL'!$B53&lt;&gt;"",IFERROR(_xlfn.IFS(J53&gt;=$B$3,4,J53&gt;=$B$4,3,J53&gt;=$B$5,2,J53&gt;$B$6,1),0),"")</f>
        <v/>
      </c>
      <c r="AH53" s="2" t="str" cm="1">
        <f t="array" ref="AH53">IF('NILAI CPL'!$B53&lt;&gt;"",IFERROR(_xlfn.IFS(K53&gt;=$B$3,4,K53&gt;=$B$4,3,K53&gt;=$B$5,2,K53&gt;$B$6,1),0),"")</f>
        <v/>
      </c>
      <c r="AI53" s="2" t="str" cm="1">
        <f t="array" ref="AI53">IF('NILAI CPL'!$B53&lt;&gt;"",IFERROR(_xlfn.IFS(L53&gt;=$B$3,4,L53&gt;=$B$4,3,L53&gt;=$B$5,2,L53&gt;$B$6,1),0),"")</f>
        <v/>
      </c>
      <c r="AJ53" s="2" t="str" cm="1">
        <f t="array" ref="AJ53">IF('NILAI CPL'!$B53&lt;&gt;"",IFERROR(_xlfn.IFS(M53&gt;=$B$3,4,M53&gt;=$B$4,3,M53&gt;=$B$5,2,M53&gt;$B$6,1),0),"")</f>
        <v/>
      </c>
      <c r="AK53" s="2" t="str" cm="1">
        <f t="array" ref="AK53">IF('NILAI CPL'!$B53&lt;&gt;"",IFERROR(_xlfn.IFS(N53&gt;=$B$3,4,N53&gt;=$B$4,3,N53&gt;=$B$5,2,N53&gt;$B$6,1),0),"")</f>
        <v/>
      </c>
      <c r="AL53" s="2" t="str" cm="1">
        <f t="array" ref="AL53">IF('NILAI CPL'!$B53&lt;&gt;"",IFERROR(_xlfn.IFS(O53&gt;=$B$3,4,O53&gt;=$B$4,3,O53&gt;=$B$5,2,O53&gt;$B$6,1),0),"")</f>
        <v/>
      </c>
      <c r="AM53" s="2" t="str" cm="1">
        <f t="array" ref="AM53">IF('NILAI CPL'!$B53&lt;&gt;"",IFERROR(_xlfn.IFS(P53&gt;=$B$3,4,P53&gt;=$B$4,3,P53&gt;=$B$5,2,P53&gt;$B$6,1),0),"")</f>
        <v/>
      </c>
      <c r="AN53" s="2" t="str" cm="1">
        <f t="array" ref="AN53">IF('NILAI CPL'!$B53&lt;&gt;"",IFERROR(_xlfn.IFS(Q53&gt;=$B$3,4,Q53&gt;=$B$4,3,Q53&gt;=$B$5,2,Q53&gt;$B$6,1),0),"")</f>
        <v/>
      </c>
      <c r="AO53" s="2" t="str" cm="1">
        <f t="array" ref="AO53">IF('NILAI CPL'!$B53&lt;&gt;"",IFERROR(_xlfn.IFS(R53&gt;=$B$3,4,R53&gt;=$B$4,3,R53&gt;=$B$5,2,R53&gt;$B$6,1),0),"")</f>
        <v/>
      </c>
      <c r="AP53" s="2" t="str" cm="1">
        <f t="array" ref="AP53">IF('NILAI CPL'!$B53&lt;&gt;"",IFERROR(_xlfn.IFS(S53&gt;=$B$3,4,S53&gt;=$B$4,3,S53&gt;=$B$5,2,S53&gt;$B$6,1),0),"")</f>
        <v/>
      </c>
      <c r="AQ53" s="2" t="str" cm="1">
        <f t="array" ref="AQ53">IF('NILAI CPL'!$B53&lt;&gt;"",IFERROR(_xlfn.IFS(T53&gt;=$B$3,4,T53&gt;=$B$4,3,T53&gt;=$B$5,2,T53&gt;$B$6,1),0),"")</f>
        <v/>
      </c>
      <c r="AR53" s="2" t="str" cm="1">
        <f t="array" ref="AR53">IF('NILAI CPL'!$B53&lt;&gt;"",IFERROR(_xlfn.IFS(U53&gt;=$B$3,4,U53&gt;=$B$4,3,U53&gt;=$B$5,2,U53&gt;$B$6,1),0),"")</f>
        <v/>
      </c>
      <c r="AS53" s="2" t="str" cm="1">
        <f t="array" ref="AS53">IF('NILAI CPL'!$B53&lt;&gt;"",IFERROR(_xlfn.IFS(V53&gt;=$B$3,4,V53&gt;=$B$4,3,V53&gt;=$B$5,2,V53&gt;$B$6,1),0),"")</f>
        <v/>
      </c>
      <c r="AT53" s="2" t="str" cm="1">
        <f t="array" ref="AT53">IF('NILAI CPL'!$B53&lt;&gt;"",IFERROR(_xlfn.IFS(W53&gt;=$B$3,4,W53&gt;=$B$4,3,W53&gt;=$B$5,2,W53&gt;$B$6,1),0),"")</f>
        <v/>
      </c>
      <c r="AU53" s="2" t="str" cm="1">
        <f t="array" ref="AU53">IF('NILAI CPL'!$B53&lt;&gt;"",IFERROR(_xlfn.IFS(X53&gt;=$B$3,4,X53&gt;=$B$4,3,X53&gt;=$B$5,2,X53&gt;$B$6,1),0),"")</f>
        <v/>
      </c>
      <c r="AV53" s="2" t="str" cm="1">
        <f t="array" ref="AV53">IF('NILAI CPL'!$B53&lt;&gt;"",IFERROR(_xlfn.IFS(Y53&gt;=$B$3,4,Y53&gt;=$B$4,3,Y53&gt;=$B$5,2,Y53&gt;$B$6,1),0),"")</f>
        <v/>
      </c>
      <c r="AW53" s="2" t="str" cm="1">
        <f t="array" ref="AW53">IF('NILAI CPL'!$B53&lt;&gt;"",IFERROR(_xlfn.IFS(Z53&gt;=$B$3,4,Z53&gt;=$B$4,3,Z53&gt;=$B$5,2,Z53&gt;$B$6,1),0),"")</f>
        <v/>
      </c>
      <c r="AY53" s="2" t="str">
        <f t="shared" si="0"/>
        <v/>
      </c>
      <c r="AZ53" s="2" t="str">
        <f t="shared" si="1"/>
        <v/>
      </c>
      <c r="BA53" s="2" t="str">
        <f t="shared" si="2"/>
        <v/>
      </c>
      <c r="BB53" s="2" t="str">
        <f t="shared" si="3"/>
        <v/>
      </c>
      <c r="BC53" s="2" t="str">
        <f t="shared" si="4"/>
        <v/>
      </c>
      <c r="BD53" s="2" t="str">
        <f t="shared" si="5"/>
        <v/>
      </c>
      <c r="BE53" s="2" t="str">
        <f t="shared" si="6"/>
        <v/>
      </c>
      <c r="BF53" s="2" t="str">
        <f t="shared" si="7"/>
        <v/>
      </c>
      <c r="BG53" s="2" t="str">
        <f t="shared" si="8"/>
        <v/>
      </c>
      <c r="BH53" s="2" t="str">
        <f t="shared" si="9"/>
        <v/>
      </c>
      <c r="BJ53" s="2" t="str" cm="1">
        <f t="array" ref="BJ53">IF('NILAI CPL'!$B53&lt;&gt;"",IFERROR(_xlfn.IFS(AY53&gt;=$B$3,4,AY53&gt;=$B$4,3,AY53&gt;=$B$5,2,AY53&gt;$B$6,1),0),"")</f>
        <v/>
      </c>
      <c r="BK53" s="2" t="str" cm="1">
        <f t="array" ref="BK53">IF('NILAI CPL'!$B53&lt;&gt;"",IFERROR(_xlfn.IFS(AZ53&gt;=$B$3,4,AZ53&gt;=$B$4,3,AZ53&gt;=$B$5,2,AZ53&gt;$B$6,1),0),"")</f>
        <v/>
      </c>
      <c r="BL53" s="2" t="str" cm="1">
        <f t="array" ref="BL53">IF('NILAI CPL'!$B53&lt;&gt;"",IFERROR(_xlfn.IFS(BA53&gt;=$B$3,4,BA53&gt;=$B$4,3,BA53&gt;=$B$5,2,BA53&gt;$B$6,1),0),"")</f>
        <v/>
      </c>
      <c r="BM53" s="2" t="str" cm="1">
        <f t="array" ref="BM53">IF('NILAI CPL'!$B53&lt;&gt;"",IFERROR(_xlfn.IFS(BB53&gt;=$B$3,4,BB53&gt;=$B$4,3,BB53&gt;=$B$5,2,BB53&gt;$B$6,1),0),"")</f>
        <v/>
      </c>
      <c r="BN53" s="2" t="str" cm="1">
        <f t="array" ref="BN53">IF('NILAI CPL'!$B53&lt;&gt;"",IFERROR(_xlfn.IFS(BC53&gt;=$B$3,4,BC53&gt;=$B$4,3,BC53&gt;=$B$5,2,BC53&gt;$B$6,1),0),"")</f>
        <v/>
      </c>
      <c r="BO53" s="2" t="str" cm="1">
        <f t="array" ref="BO53">IF('NILAI CPL'!$B53&lt;&gt;"",IFERROR(_xlfn.IFS(BD53&gt;=$B$3,4,BD53&gt;=$B$4,3,BD53&gt;=$B$5,2,BD53&gt;$B$6,1),0),"")</f>
        <v/>
      </c>
      <c r="BP53" s="2" t="str" cm="1">
        <f t="array" ref="BP53">IF('NILAI CPL'!$B53&lt;&gt;"",IFERROR(_xlfn.IFS(BE53&gt;=$B$3,4,BE53&gt;=$B$4,3,BE53&gt;=$B$5,2,BE53&gt;$B$6,1),0),"")</f>
        <v/>
      </c>
      <c r="BQ53" s="2" t="str" cm="1">
        <f t="array" ref="BQ53">IF('NILAI CPL'!$B53&lt;&gt;"",IFERROR(_xlfn.IFS(BF53&gt;=$B$3,4,BF53&gt;=$B$4,3,BF53&gt;=$B$5,2,BF53&gt;$B$6,1),0),"")</f>
        <v/>
      </c>
      <c r="BR53" s="2" t="str" cm="1">
        <f t="array" ref="BR53">IF('NILAI CPL'!$B53&lt;&gt;"",IFERROR(_xlfn.IFS(BG53&gt;=$B$3,4,BG53&gt;=$B$4,3,BG53&gt;=$B$5,2,BG53&gt;$B$6,1),0),"")</f>
        <v/>
      </c>
      <c r="BS53" s="2" t="str" cm="1">
        <f t="array" ref="BS53">IF('NILAI CPL'!$B53&lt;&gt;"",IFERROR(_xlfn.IFS(BH53&gt;=$B$3,4,BH53&gt;=$B$4,3,BH53&gt;=$B$5,2,BH53&gt;$B$6,1),0),"")</f>
        <v/>
      </c>
    </row>
    <row r="54" spans="1:71" x14ac:dyDescent="0.2">
      <c r="A54" s="2">
        <v>44</v>
      </c>
      <c r="B54" s="2" t="str">
        <f>IF(LEN(SUMMARY!B54)&gt;0, SUMMARY!B54, "")</f>
        <v/>
      </c>
      <c r="C54" s="2" t="str">
        <f>IF(LEN(SUMMARY!C54)&gt;0, SUMMARY!C54, "")</f>
        <v/>
      </c>
      <c r="E54" s="2" t="str" cm="1">
        <f t="array" ref="E54">IF('NILAI CPL'!$B54&lt;&gt;"",IFERROR(JumlahPI(ROW(),COLUMN()),0),"")</f>
        <v/>
      </c>
      <c r="F54" s="2" t="str" cm="1">
        <f t="array" ref="F54">IF('NILAI CPL'!$B54&lt;&gt;"",IFERROR(JumlahPI(ROW(),COLUMN()),0),"")</f>
        <v/>
      </c>
      <c r="G54" s="2" t="str" cm="1">
        <f t="array" ref="G54">IF('NILAI CPL'!$B54&lt;&gt;"",IFERROR(JumlahPI(ROW(),COLUMN()),0),"")</f>
        <v/>
      </c>
      <c r="H54" s="2" t="str" cm="1">
        <f t="array" ref="H54">IF('NILAI CPL'!$B54&lt;&gt;"",IFERROR(JumlahPI(ROW(),COLUMN()),0),"")</f>
        <v/>
      </c>
      <c r="I54" s="2" t="str" cm="1">
        <f t="array" ref="I54">IF('NILAI CPL'!$B54&lt;&gt;"",IFERROR(JumlahPI(ROW(),COLUMN()),0),"")</f>
        <v/>
      </c>
      <c r="J54" s="2" t="str" cm="1">
        <f t="array" ref="J54">IF('NILAI CPL'!$B54&lt;&gt;"",IFERROR(JumlahPI(ROW(),COLUMN()),0),"")</f>
        <v/>
      </c>
      <c r="K54" s="2" t="str" cm="1">
        <f t="array" ref="K54">IF('NILAI CPL'!$B54&lt;&gt;"",IFERROR(JumlahPI(ROW(),COLUMN()),0),"")</f>
        <v/>
      </c>
      <c r="L54" s="2" t="str" cm="1">
        <f t="array" ref="L54">IF('NILAI CPL'!$B54&lt;&gt;"",IFERROR(JumlahPI(ROW(),COLUMN()),0),"")</f>
        <v/>
      </c>
      <c r="M54" s="2" t="str" cm="1">
        <f t="array" ref="M54">IF('NILAI CPL'!$B54&lt;&gt;"",IFERROR(JumlahPI(ROW(),COLUMN()),0),"")</f>
        <v/>
      </c>
      <c r="N54" s="2" t="str" cm="1">
        <f t="array" ref="N54">IF('NILAI CPL'!$B54&lt;&gt;"",IFERROR(JumlahPI(ROW(),COLUMN()),0),"")</f>
        <v/>
      </c>
      <c r="O54" s="2" t="str" cm="1">
        <f t="array" ref="O54">IF('NILAI CPL'!$B54&lt;&gt;"",IFERROR(JumlahPI(ROW(),COLUMN()),0),"")</f>
        <v/>
      </c>
      <c r="P54" s="2" t="str" cm="1">
        <f t="array" ref="P54">IF('NILAI CPL'!$B54&lt;&gt;"",IFERROR(JumlahPI(ROW(),COLUMN()),0),"")</f>
        <v/>
      </c>
      <c r="Q54" s="2" t="str" cm="1">
        <f t="array" ref="Q54">IF('NILAI CPL'!$B54&lt;&gt;"",IFERROR(JumlahPI(ROW(),COLUMN()),0),"")</f>
        <v/>
      </c>
      <c r="R54" s="2" t="str" cm="1">
        <f t="array" ref="R54">IF('NILAI CPL'!$B54&lt;&gt;"",IFERROR(JumlahPI(ROW(),COLUMN()),0),"")</f>
        <v/>
      </c>
      <c r="S54" s="2" t="str" cm="1">
        <f t="array" ref="S54">IF('NILAI CPL'!$B54&lt;&gt;"",IFERROR(JumlahPI(ROW(),COLUMN()),0),"")</f>
        <v/>
      </c>
      <c r="T54" s="2" t="str" cm="1">
        <f t="array" ref="T54">IF('NILAI CPL'!$B54&lt;&gt;"",IFERROR(JumlahPI(ROW(),COLUMN()),0),"")</f>
        <v/>
      </c>
      <c r="U54" s="2" t="str" cm="1">
        <f t="array" ref="U54">IF('NILAI CPL'!$B54&lt;&gt;"",IFERROR(JumlahPI(ROW(),COLUMN()),0),"")</f>
        <v/>
      </c>
      <c r="V54" s="2" t="str" cm="1">
        <f t="array" ref="V54">IF('NILAI CPL'!$B54&lt;&gt;"",IFERROR(JumlahPI(ROW(),COLUMN()),0),"")</f>
        <v/>
      </c>
      <c r="W54" s="2" t="str" cm="1">
        <f t="array" ref="W54">IF('NILAI CPL'!$B54&lt;&gt;"",IFERROR(JumlahPI(ROW(),COLUMN()),0),"")</f>
        <v/>
      </c>
      <c r="X54" s="2" t="str" cm="1">
        <f t="array" ref="X54">IF('NILAI CPL'!$B54&lt;&gt;"",IFERROR(JumlahPI(ROW(),COLUMN()),0),"")</f>
        <v/>
      </c>
      <c r="Y54" s="2" t="str" cm="1">
        <f t="array" ref="Y54">IF('NILAI CPL'!$B54&lt;&gt;"",IFERROR(JumlahPI(ROW(),COLUMN()),0),"")</f>
        <v/>
      </c>
      <c r="Z54" s="2" t="str" cm="1">
        <f t="array" ref="Z54">IF('NILAI CPL'!$B54&lt;&gt;"",IFERROR(JumlahPI(ROW(),COLUMN()),0),"")</f>
        <v/>
      </c>
      <c r="AB54" s="2" t="str" cm="1">
        <f t="array" ref="AB54">IF('NILAI CPL'!$B54&lt;&gt;"",IFERROR(_xlfn.IFS(E54&gt;=$B$3,4,E54&gt;=$B$4,3,E54&gt;=$B$5,2,E54&gt;$B$6,1),0),"")</f>
        <v/>
      </c>
      <c r="AC54" s="2" t="str" cm="1">
        <f t="array" ref="AC54">IF('NILAI CPL'!$B54&lt;&gt;"",IFERROR(_xlfn.IFS(F54&gt;=$B$3,4,F54&gt;=$B$4,3,F54&gt;=$B$5,2,F54&gt;$B$6,1),0),"")</f>
        <v/>
      </c>
      <c r="AD54" s="2" t="str" cm="1">
        <f t="array" ref="AD54">IF('NILAI CPL'!$B54&lt;&gt;"",IFERROR(_xlfn.IFS(G54&gt;=$B$3,4,G54&gt;=$B$4,3,G54&gt;=$B$5,2,G54&gt;$B$6,1),0),"")</f>
        <v/>
      </c>
      <c r="AE54" s="2" t="str" cm="1">
        <f t="array" ref="AE54">IF('NILAI CPL'!$B54&lt;&gt;"",IFERROR(_xlfn.IFS(H54&gt;=$B$3,4,H54&gt;=$B$4,3,H54&gt;=$B$5,2,H54&gt;$B$6,1),0),"")</f>
        <v/>
      </c>
      <c r="AF54" s="2" t="str" cm="1">
        <f t="array" ref="AF54">IF('NILAI CPL'!$B54&lt;&gt;"",IFERROR(_xlfn.IFS(I54&gt;=$B$3,4,I54&gt;=$B$4,3,I54&gt;=$B$5,2,I54&gt;$B$6,1),0),"")</f>
        <v/>
      </c>
      <c r="AG54" s="2" t="str" cm="1">
        <f t="array" ref="AG54">IF('NILAI CPL'!$B54&lt;&gt;"",IFERROR(_xlfn.IFS(J54&gt;=$B$3,4,J54&gt;=$B$4,3,J54&gt;=$B$5,2,J54&gt;$B$6,1),0),"")</f>
        <v/>
      </c>
      <c r="AH54" s="2" t="str" cm="1">
        <f t="array" ref="AH54">IF('NILAI CPL'!$B54&lt;&gt;"",IFERROR(_xlfn.IFS(K54&gt;=$B$3,4,K54&gt;=$B$4,3,K54&gt;=$B$5,2,K54&gt;$B$6,1),0),"")</f>
        <v/>
      </c>
      <c r="AI54" s="2" t="str" cm="1">
        <f t="array" ref="AI54">IF('NILAI CPL'!$B54&lt;&gt;"",IFERROR(_xlfn.IFS(L54&gt;=$B$3,4,L54&gt;=$B$4,3,L54&gt;=$B$5,2,L54&gt;$B$6,1),0),"")</f>
        <v/>
      </c>
      <c r="AJ54" s="2" t="str" cm="1">
        <f t="array" ref="AJ54">IF('NILAI CPL'!$B54&lt;&gt;"",IFERROR(_xlfn.IFS(M54&gt;=$B$3,4,M54&gt;=$B$4,3,M54&gt;=$B$5,2,M54&gt;$B$6,1),0),"")</f>
        <v/>
      </c>
      <c r="AK54" s="2" t="str" cm="1">
        <f t="array" ref="AK54">IF('NILAI CPL'!$B54&lt;&gt;"",IFERROR(_xlfn.IFS(N54&gt;=$B$3,4,N54&gt;=$B$4,3,N54&gt;=$B$5,2,N54&gt;$B$6,1),0),"")</f>
        <v/>
      </c>
      <c r="AL54" s="2" t="str" cm="1">
        <f t="array" ref="AL54">IF('NILAI CPL'!$B54&lt;&gt;"",IFERROR(_xlfn.IFS(O54&gt;=$B$3,4,O54&gt;=$B$4,3,O54&gt;=$B$5,2,O54&gt;$B$6,1),0),"")</f>
        <v/>
      </c>
      <c r="AM54" s="2" t="str" cm="1">
        <f t="array" ref="AM54">IF('NILAI CPL'!$B54&lt;&gt;"",IFERROR(_xlfn.IFS(P54&gt;=$B$3,4,P54&gt;=$B$4,3,P54&gt;=$B$5,2,P54&gt;$B$6,1),0),"")</f>
        <v/>
      </c>
      <c r="AN54" s="2" t="str" cm="1">
        <f t="array" ref="AN54">IF('NILAI CPL'!$B54&lt;&gt;"",IFERROR(_xlfn.IFS(Q54&gt;=$B$3,4,Q54&gt;=$B$4,3,Q54&gt;=$B$5,2,Q54&gt;$B$6,1),0),"")</f>
        <v/>
      </c>
      <c r="AO54" s="2" t="str" cm="1">
        <f t="array" ref="AO54">IF('NILAI CPL'!$B54&lt;&gt;"",IFERROR(_xlfn.IFS(R54&gt;=$B$3,4,R54&gt;=$B$4,3,R54&gt;=$B$5,2,R54&gt;$B$6,1),0),"")</f>
        <v/>
      </c>
      <c r="AP54" s="2" t="str" cm="1">
        <f t="array" ref="AP54">IF('NILAI CPL'!$B54&lt;&gt;"",IFERROR(_xlfn.IFS(S54&gt;=$B$3,4,S54&gt;=$B$4,3,S54&gt;=$B$5,2,S54&gt;$B$6,1),0),"")</f>
        <v/>
      </c>
      <c r="AQ54" s="2" t="str" cm="1">
        <f t="array" ref="AQ54">IF('NILAI CPL'!$B54&lt;&gt;"",IFERROR(_xlfn.IFS(T54&gt;=$B$3,4,T54&gt;=$B$4,3,T54&gt;=$B$5,2,T54&gt;$B$6,1),0),"")</f>
        <v/>
      </c>
      <c r="AR54" s="2" t="str" cm="1">
        <f t="array" ref="AR54">IF('NILAI CPL'!$B54&lt;&gt;"",IFERROR(_xlfn.IFS(U54&gt;=$B$3,4,U54&gt;=$B$4,3,U54&gt;=$B$5,2,U54&gt;$B$6,1),0),"")</f>
        <v/>
      </c>
      <c r="AS54" s="2" t="str" cm="1">
        <f t="array" ref="AS54">IF('NILAI CPL'!$B54&lt;&gt;"",IFERROR(_xlfn.IFS(V54&gt;=$B$3,4,V54&gt;=$B$4,3,V54&gt;=$B$5,2,V54&gt;$B$6,1),0),"")</f>
        <v/>
      </c>
      <c r="AT54" s="2" t="str" cm="1">
        <f t="array" ref="AT54">IF('NILAI CPL'!$B54&lt;&gt;"",IFERROR(_xlfn.IFS(W54&gt;=$B$3,4,W54&gt;=$B$4,3,W54&gt;=$B$5,2,W54&gt;$B$6,1),0),"")</f>
        <v/>
      </c>
      <c r="AU54" s="2" t="str" cm="1">
        <f t="array" ref="AU54">IF('NILAI CPL'!$B54&lt;&gt;"",IFERROR(_xlfn.IFS(X54&gt;=$B$3,4,X54&gt;=$B$4,3,X54&gt;=$B$5,2,X54&gt;$B$6,1),0),"")</f>
        <v/>
      </c>
      <c r="AV54" s="2" t="str" cm="1">
        <f t="array" ref="AV54">IF('NILAI CPL'!$B54&lt;&gt;"",IFERROR(_xlfn.IFS(Y54&gt;=$B$3,4,Y54&gt;=$B$4,3,Y54&gt;=$B$5,2,Y54&gt;$B$6,1),0),"")</f>
        <v/>
      </c>
      <c r="AW54" s="2" t="str" cm="1">
        <f t="array" ref="AW54">IF('NILAI CPL'!$B54&lt;&gt;"",IFERROR(_xlfn.IFS(Z54&gt;=$B$3,4,Z54&gt;=$B$4,3,Z54&gt;=$B$5,2,Z54&gt;$B$6,1),0),"")</f>
        <v/>
      </c>
      <c r="AY54" s="2" t="str">
        <f t="shared" si="0"/>
        <v/>
      </c>
      <c r="AZ54" s="2" t="str">
        <f t="shared" si="1"/>
        <v/>
      </c>
      <c r="BA54" s="2" t="str">
        <f t="shared" si="2"/>
        <v/>
      </c>
      <c r="BB54" s="2" t="str">
        <f t="shared" si="3"/>
        <v/>
      </c>
      <c r="BC54" s="2" t="str">
        <f t="shared" si="4"/>
        <v/>
      </c>
      <c r="BD54" s="2" t="str">
        <f t="shared" si="5"/>
        <v/>
      </c>
      <c r="BE54" s="2" t="str">
        <f t="shared" si="6"/>
        <v/>
      </c>
      <c r="BF54" s="2" t="str">
        <f t="shared" si="7"/>
        <v/>
      </c>
      <c r="BG54" s="2" t="str">
        <f t="shared" si="8"/>
        <v/>
      </c>
      <c r="BH54" s="2" t="str">
        <f t="shared" si="9"/>
        <v/>
      </c>
      <c r="BJ54" s="2" t="str" cm="1">
        <f t="array" ref="BJ54">IF('NILAI CPL'!$B54&lt;&gt;"",IFERROR(_xlfn.IFS(AY54&gt;=$B$3,4,AY54&gt;=$B$4,3,AY54&gt;=$B$5,2,AY54&gt;$B$6,1),0),"")</f>
        <v/>
      </c>
      <c r="BK54" s="2" t="str" cm="1">
        <f t="array" ref="BK54">IF('NILAI CPL'!$B54&lt;&gt;"",IFERROR(_xlfn.IFS(AZ54&gt;=$B$3,4,AZ54&gt;=$B$4,3,AZ54&gt;=$B$5,2,AZ54&gt;$B$6,1),0),"")</f>
        <v/>
      </c>
      <c r="BL54" s="2" t="str" cm="1">
        <f t="array" ref="BL54">IF('NILAI CPL'!$B54&lt;&gt;"",IFERROR(_xlfn.IFS(BA54&gt;=$B$3,4,BA54&gt;=$B$4,3,BA54&gt;=$B$5,2,BA54&gt;$B$6,1),0),"")</f>
        <v/>
      </c>
      <c r="BM54" s="2" t="str" cm="1">
        <f t="array" ref="BM54">IF('NILAI CPL'!$B54&lt;&gt;"",IFERROR(_xlfn.IFS(BB54&gt;=$B$3,4,BB54&gt;=$B$4,3,BB54&gt;=$B$5,2,BB54&gt;$B$6,1),0),"")</f>
        <v/>
      </c>
      <c r="BN54" s="2" t="str" cm="1">
        <f t="array" ref="BN54">IF('NILAI CPL'!$B54&lt;&gt;"",IFERROR(_xlfn.IFS(BC54&gt;=$B$3,4,BC54&gt;=$B$4,3,BC54&gt;=$B$5,2,BC54&gt;$B$6,1),0),"")</f>
        <v/>
      </c>
      <c r="BO54" s="2" t="str" cm="1">
        <f t="array" ref="BO54">IF('NILAI CPL'!$B54&lt;&gt;"",IFERROR(_xlfn.IFS(BD54&gt;=$B$3,4,BD54&gt;=$B$4,3,BD54&gt;=$B$5,2,BD54&gt;$B$6,1),0),"")</f>
        <v/>
      </c>
      <c r="BP54" s="2" t="str" cm="1">
        <f t="array" ref="BP54">IF('NILAI CPL'!$B54&lt;&gt;"",IFERROR(_xlfn.IFS(BE54&gt;=$B$3,4,BE54&gt;=$B$4,3,BE54&gt;=$B$5,2,BE54&gt;$B$6,1),0),"")</f>
        <v/>
      </c>
      <c r="BQ54" s="2" t="str" cm="1">
        <f t="array" ref="BQ54">IF('NILAI CPL'!$B54&lt;&gt;"",IFERROR(_xlfn.IFS(BF54&gt;=$B$3,4,BF54&gt;=$B$4,3,BF54&gt;=$B$5,2,BF54&gt;$B$6,1),0),"")</f>
        <v/>
      </c>
      <c r="BR54" s="2" t="str" cm="1">
        <f t="array" ref="BR54">IF('NILAI CPL'!$B54&lt;&gt;"",IFERROR(_xlfn.IFS(BG54&gt;=$B$3,4,BG54&gt;=$B$4,3,BG54&gt;=$B$5,2,BG54&gt;$B$6,1),0),"")</f>
        <v/>
      </c>
      <c r="BS54" s="2" t="str" cm="1">
        <f t="array" ref="BS54">IF('NILAI CPL'!$B54&lt;&gt;"",IFERROR(_xlfn.IFS(BH54&gt;=$B$3,4,BH54&gt;=$B$4,3,BH54&gt;=$B$5,2,BH54&gt;$B$6,1),0),"")</f>
        <v/>
      </c>
    </row>
    <row r="55" spans="1:71" x14ac:dyDescent="0.2">
      <c r="A55" s="2">
        <v>45</v>
      </c>
      <c r="B55" s="2" t="str">
        <f>IF(LEN(SUMMARY!B55)&gt;0, SUMMARY!B55, "")</f>
        <v/>
      </c>
      <c r="C55" s="2" t="str">
        <f>IF(LEN(SUMMARY!C55)&gt;0, SUMMARY!C55, "")</f>
        <v/>
      </c>
      <c r="E55" s="2" t="str" cm="1">
        <f t="array" ref="E55">IF('NILAI CPL'!$B55&lt;&gt;"",IFERROR(JumlahPI(ROW(),COLUMN()),0),"")</f>
        <v/>
      </c>
      <c r="F55" s="2" t="str" cm="1">
        <f t="array" ref="F55">IF('NILAI CPL'!$B55&lt;&gt;"",IFERROR(JumlahPI(ROW(),COLUMN()),0),"")</f>
        <v/>
      </c>
      <c r="G55" s="2" t="str" cm="1">
        <f t="array" ref="G55">IF('NILAI CPL'!$B55&lt;&gt;"",IFERROR(JumlahPI(ROW(),COLUMN()),0),"")</f>
        <v/>
      </c>
      <c r="H55" s="2" t="str" cm="1">
        <f t="array" ref="H55">IF('NILAI CPL'!$B55&lt;&gt;"",IFERROR(JumlahPI(ROW(),COLUMN()),0),"")</f>
        <v/>
      </c>
      <c r="I55" s="2" t="str" cm="1">
        <f t="array" ref="I55">IF('NILAI CPL'!$B55&lt;&gt;"",IFERROR(JumlahPI(ROW(),COLUMN()),0),"")</f>
        <v/>
      </c>
      <c r="J55" s="2" t="str" cm="1">
        <f t="array" ref="J55">IF('NILAI CPL'!$B55&lt;&gt;"",IFERROR(JumlahPI(ROW(),COLUMN()),0),"")</f>
        <v/>
      </c>
      <c r="K55" s="2" t="str" cm="1">
        <f t="array" ref="K55">IF('NILAI CPL'!$B55&lt;&gt;"",IFERROR(JumlahPI(ROW(),COLUMN()),0),"")</f>
        <v/>
      </c>
      <c r="L55" s="2" t="str" cm="1">
        <f t="array" ref="L55">IF('NILAI CPL'!$B55&lt;&gt;"",IFERROR(JumlahPI(ROW(),COLUMN()),0),"")</f>
        <v/>
      </c>
      <c r="M55" s="2" t="str" cm="1">
        <f t="array" ref="M55">IF('NILAI CPL'!$B55&lt;&gt;"",IFERROR(JumlahPI(ROW(),COLUMN()),0),"")</f>
        <v/>
      </c>
      <c r="N55" s="2" t="str" cm="1">
        <f t="array" ref="N55">IF('NILAI CPL'!$B55&lt;&gt;"",IFERROR(JumlahPI(ROW(),COLUMN()),0),"")</f>
        <v/>
      </c>
      <c r="O55" s="2" t="str" cm="1">
        <f t="array" ref="O55">IF('NILAI CPL'!$B55&lt;&gt;"",IFERROR(JumlahPI(ROW(),COLUMN()),0),"")</f>
        <v/>
      </c>
      <c r="P55" s="2" t="str" cm="1">
        <f t="array" ref="P55">IF('NILAI CPL'!$B55&lt;&gt;"",IFERROR(JumlahPI(ROW(),COLUMN()),0),"")</f>
        <v/>
      </c>
      <c r="Q55" s="2" t="str" cm="1">
        <f t="array" ref="Q55">IF('NILAI CPL'!$B55&lt;&gt;"",IFERROR(JumlahPI(ROW(),COLUMN()),0),"")</f>
        <v/>
      </c>
      <c r="R55" s="2" t="str" cm="1">
        <f t="array" ref="R55">IF('NILAI CPL'!$B55&lt;&gt;"",IFERROR(JumlahPI(ROW(),COLUMN()),0),"")</f>
        <v/>
      </c>
      <c r="S55" s="2" t="str" cm="1">
        <f t="array" ref="S55">IF('NILAI CPL'!$B55&lt;&gt;"",IFERROR(JumlahPI(ROW(),COLUMN()),0),"")</f>
        <v/>
      </c>
      <c r="T55" s="2" t="str" cm="1">
        <f t="array" ref="T55">IF('NILAI CPL'!$B55&lt;&gt;"",IFERROR(JumlahPI(ROW(),COLUMN()),0),"")</f>
        <v/>
      </c>
      <c r="U55" s="2" t="str" cm="1">
        <f t="array" ref="U55">IF('NILAI CPL'!$B55&lt;&gt;"",IFERROR(JumlahPI(ROW(),COLUMN()),0),"")</f>
        <v/>
      </c>
      <c r="V55" s="2" t="str" cm="1">
        <f t="array" ref="V55">IF('NILAI CPL'!$B55&lt;&gt;"",IFERROR(JumlahPI(ROW(),COLUMN()),0),"")</f>
        <v/>
      </c>
      <c r="W55" s="2" t="str" cm="1">
        <f t="array" ref="W55">IF('NILAI CPL'!$B55&lt;&gt;"",IFERROR(JumlahPI(ROW(),COLUMN()),0),"")</f>
        <v/>
      </c>
      <c r="X55" s="2" t="str" cm="1">
        <f t="array" ref="X55">IF('NILAI CPL'!$B55&lt;&gt;"",IFERROR(JumlahPI(ROW(),COLUMN()),0),"")</f>
        <v/>
      </c>
      <c r="Y55" s="2" t="str" cm="1">
        <f t="array" ref="Y55">IF('NILAI CPL'!$B55&lt;&gt;"",IFERROR(JumlahPI(ROW(),COLUMN()),0),"")</f>
        <v/>
      </c>
      <c r="Z55" s="2" t="str" cm="1">
        <f t="array" ref="Z55">IF('NILAI CPL'!$B55&lt;&gt;"",IFERROR(JumlahPI(ROW(),COLUMN()),0),"")</f>
        <v/>
      </c>
      <c r="AB55" s="2" t="str" cm="1">
        <f t="array" ref="AB55">IF('NILAI CPL'!$B55&lt;&gt;"",IFERROR(_xlfn.IFS(E55&gt;=$B$3,4,E55&gt;=$B$4,3,E55&gt;=$B$5,2,E55&gt;$B$6,1),0),"")</f>
        <v/>
      </c>
      <c r="AC55" s="2" t="str" cm="1">
        <f t="array" ref="AC55">IF('NILAI CPL'!$B55&lt;&gt;"",IFERROR(_xlfn.IFS(F55&gt;=$B$3,4,F55&gt;=$B$4,3,F55&gt;=$B$5,2,F55&gt;$B$6,1),0),"")</f>
        <v/>
      </c>
      <c r="AD55" s="2" t="str" cm="1">
        <f t="array" ref="AD55">IF('NILAI CPL'!$B55&lt;&gt;"",IFERROR(_xlfn.IFS(G55&gt;=$B$3,4,G55&gt;=$B$4,3,G55&gt;=$B$5,2,G55&gt;$B$6,1),0),"")</f>
        <v/>
      </c>
      <c r="AE55" s="2" t="str" cm="1">
        <f t="array" ref="AE55">IF('NILAI CPL'!$B55&lt;&gt;"",IFERROR(_xlfn.IFS(H55&gt;=$B$3,4,H55&gt;=$B$4,3,H55&gt;=$B$5,2,H55&gt;$B$6,1),0),"")</f>
        <v/>
      </c>
      <c r="AF55" s="2" t="str" cm="1">
        <f t="array" ref="AF55">IF('NILAI CPL'!$B55&lt;&gt;"",IFERROR(_xlfn.IFS(I55&gt;=$B$3,4,I55&gt;=$B$4,3,I55&gt;=$B$5,2,I55&gt;$B$6,1),0),"")</f>
        <v/>
      </c>
      <c r="AG55" s="2" t="str" cm="1">
        <f t="array" ref="AG55">IF('NILAI CPL'!$B55&lt;&gt;"",IFERROR(_xlfn.IFS(J55&gt;=$B$3,4,J55&gt;=$B$4,3,J55&gt;=$B$5,2,J55&gt;$B$6,1),0),"")</f>
        <v/>
      </c>
      <c r="AH55" s="2" t="str" cm="1">
        <f t="array" ref="AH55">IF('NILAI CPL'!$B55&lt;&gt;"",IFERROR(_xlfn.IFS(K55&gt;=$B$3,4,K55&gt;=$B$4,3,K55&gt;=$B$5,2,K55&gt;$B$6,1),0),"")</f>
        <v/>
      </c>
      <c r="AI55" s="2" t="str" cm="1">
        <f t="array" ref="AI55">IF('NILAI CPL'!$B55&lt;&gt;"",IFERROR(_xlfn.IFS(L55&gt;=$B$3,4,L55&gt;=$B$4,3,L55&gt;=$B$5,2,L55&gt;$B$6,1),0),"")</f>
        <v/>
      </c>
      <c r="AJ55" s="2" t="str" cm="1">
        <f t="array" ref="AJ55">IF('NILAI CPL'!$B55&lt;&gt;"",IFERROR(_xlfn.IFS(M55&gt;=$B$3,4,M55&gt;=$B$4,3,M55&gt;=$B$5,2,M55&gt;$B$6,1),0),"")</f>
        <v/>
      </c>
      <c r="AK55" s="2" t="str" cm="1">
        <f t="array" ref="AK55">IF('NILAI CPL'!$B55&lt;&gt;"",IFERROR(_xlfn.IFS(N55&gt;=$B$3,4,N55&gt;=$B$4,3,N55&gt;=$B$5,2,N55&gt;$B$6,1),0),"")</f>
        <v/>
      </c>
      <c r="AL55" s="2" t="str" cm="1">
        <f t="array" ref="AL55">IF('NILAI CPL'!$B55&lt;&gt;"",IFERROR(_xlfn.IFS(O55&gt;=$B$3,4,O55&gt;=$B$4,3,O55&gt;=$B$5,2,O55&gt;$B$6,1),0),"")</f>
        <v/>
      </c>
      <c r="AM55" s="2" t="str" cm="1">
        <f t="array" ref="AM55">IF('NILAI CPL'!$B55&lt;&gt;"",IFERROR(_xlfn.IFS(P55&gt;=$B$3,4,P55&gt;=$B$4,3,P55&gt;=$B$5,2,P55&gt;$B$6,1),0),"")</f>
        <v/>
      </c>
      <c r="AN55" s="2" t="str" cm="1">
        <f t="array" ref="AN55">IF('NILAI CPL'!$B55&lt;&gt;"",IFERROR(_xlfn.IFS(Q55&gt;=$B$3,4,Q55&gt;=$B$4,3,Q55&gt;=$B$5,2,Q55&gt;$B$6,1),0),"")</f>
        <v/>
      </c>
      <c r="AO55" s="2" t="str" cm="1">
        <f t="array" ref="AO55">IF('NILAI CPL'!$B55&lt;&gt;"",IFERROR(_xlfn.IFS(R55&gt;=$B$3,4,R55&gt;=$B$4,3,R55&gt;=$B$5,2,R55&gt;$B$6,1),0),"")</f>
        <v/>
      </c>
      <c r="AP55" s="2" t="str" cm="1">
        <f t="array" ref="AP55">IF('NILAI CPL'!$B55&lt;&gt;"",IFERROR(_xlfn.IFS(S55&gt;=$B$3,4,S55&gt;=$B$4,3,S55&gt;=$B$5,2,S55&gt;$B$6,1),0),"")</f>
        <v/>
      </c>
      <c r="AQ55" s="2" t="str" cm="1">
        <f t="array" ref="AQ55">IF('NILAI CPL'!$B55&lt;&gt;"",IFERROR(_xlfn.IFS(T55&gt;=$B$3,4,T55&gt;=$B$4,3,T55&gt;=$B$5,2,T55&gt;$B$6,1),0),"")</f>
        <v/>
      </c>
      <c r="AR55" s="2" t="str" cm="1">
        <f t="array" ref="AR55">IF('NILAI CPL'!$B55&lt;&gt;"",IFERROR(_xlfn.IFS(U55&gt;=$B$3,4,U55&gt;=$B$4,3,U55&gt;=$B$5,2,U55&gt;$B$6,1),0),"")</f>
        <v/>
      </c>
      <c r="AS55" s="2" t="str" cm="1">
        <f t="array" ref="AS55">IF('NILAI CPL'!$B55&lt;&gt;"",IFERROR(_xlfn.IFS(V55&gt;=$B$3,4,V55&gt;=$B$4,3,V55&gt;=$B$5,2,V55&gt;$B$6,1),0),"")</f>
        <v/>
      </c>
      <c r="AT55" s="2" t="str" cm="1">
        <f t="array" ref="AT55">IF('NILAI CPL'!$B55&lt;&gt;"",IFERROR(_xlfn.IFS(W55&gt;=$B$3,4,W55&gt;=$B$4,3,W55&gt;=$B$5,2,W55&gt;$B$6,1),0),"")</f>
        <v/>
      </c>
      <c r="AU55" s="2" t="str" cm="1">
        <f t="array" ref="AU55">IF('NILAI CPL'!$B55&lt;&gt;"",IFERROR(_xlfn.IFS(X55&gt;=$B$3,4,X55&gt;=$B$4,3,X55&gt;=$B$5,2,X55&gt;$B$6,1),0),"")</f>
        <v/>
      </c>
      <c r="AV55" s="2" t="str" cm="1">
        <f t="array" ref="AV55">IF('NILAI CPL'!$B55&lt;&gt;"",IFERROR(_xlfn.IFS(Y55&gt;=$B$3,4,Y55&gt;=$B$4,3,Y55&gt;=$B$5,2,Y55&gt;$B$6,1),0),"")</f>
        <v/>
      </c>
      <c r="AW55" s="2" t="str" cm="1">
        <f t="array" ref="AW55">IF('NILAI CPL'!$B55&lt;&gt;"",IFERROR(_xlfn.IFS(Z55&gt;=$B$3,4,Z55&gt;=$B$4,3,Z55&gt;=$B$5,2,Z55&gt;$B$6,1),0),"")</f>
        <v/>
      </c>
      <c r="AY55" s="2" t="str">
        <f t="shared" si="0"/>
        <v/>
      </c>
      <c r="AZ55" s="2" t="str">
        <f t="shared" si="1"/>
        <v/>
      </c>
      <c r="BA55" s="2" t="str">
        <f t="shared" si="2"/>
        <v/>
      </c>
      <c r="BB55" s="2" t="str">
        <f t="shared" si="3"/>
        <v/>
      </c>
      <c r="BC55" s="2" t="str">
        <f t="shared" si="4"/>
        <v/>
      </c>
      <c r="BD55" s="2" t="str">
        <f t="shared" si="5"/>
        <v/>
      </c>
      <c r="BE55" s="2" t="str">
        <f t="shared" si="6"/>
        <v/>
      </c>
      <c r="BF55" s="2" t="str">
        <f t="shared" si="7"/>
        <v/>
      </c>
      <c r="BG55" s="2" t="str">
        <f t="shared" si="8"/>
        <v/>
      </c>
      <c r="BH55" s="2" t="str">
        <f t="shared" si="9"/>
        <v/>
      </c>
      <c r="BJ55" s="2" t="str" cm="1">
        <f t="array" ref="BJ55">IF('NILAI CPL'!$B55&lt;&gt;"",IFERROR(_xlfn.IFS(AY55&gt;=$B$3,4,AY55&gt;=$B$4,3,AY55&gt;=$B$5,2,AY55&gt;$B$6,1),0),"")</f>
        <v/>
      </c>
      <c r="BK55" s="2" t="str" cm="1">
        <f t="array" ref="BK55">IF('NILAI CPL'!$B55&lt;&gt;"",IFERROR(_xlfn.IFS(AZ55&gt;=$B$3,4,AZ55&gt;=$B$4,3,AZ55&gt;=$B$5,2,AZ55&gt;$B$6,1),0),"")</f>
        <v/>
      </c>
      <c r="BL55" s="2" t="str" cm="1">
        <f t="array" ref="BL55">IF('NILAI CPL'!$B55&lt;&gt;"",IFERROR(_xlfn.IFS(BA55&gt;=$B$3,4,BA55&gt;=$B$4,3,BA55&gt;=$B$5,2,BA55&gt;$B$6,1),0),"")</f>
        <v/>
      </c>
      <c r="BM55" s="2" t="str" cm="1">
        <f t="array" ref="BM55">IF('NILAI CPL'!$B55&lt;&gt;"",IFERROR(_xlfn.IFS(BB55&gt;=$B$3,4,BB55&gt;=$B$4,3,BB55&gt;=$B$5,2,BB55&gt;$B$6,1),0),"")</f>
        <v/>
      </c>
      <c r="BN55" s="2" t="str" cm="1">
        <f t="array" ref="BN55">IF('NILAI CPL'!$B55&lt;&gt;"",IFERROR(_xlfn.IFS(BC55&gt;=$B$3,4,BC55&gt;=$B$4,3,BC55&gt;=$B$5,2,BC55&gt;$B$6,1),0),"")</f>
        <v/>
      </c>
      <c r="BO55" s="2" t="str" cm="1">
        <f t="array" ref="BO55">IF('NILAI CPL'!$B55&lt;&gt;"",IFERROR(_xlfn.IFS(BD55&gt;=$B$3,4,BD55&gt;=$B$4,3,BD55&gt;=$B$5,2,BD55&gt;$B$6,1),0),"")</f>
        <v/>
      </c>
      <c r="BP55" s="2" t="str" cm="1">
        <f t="array" ref="BP55">IF('NILAI CPL'!$B55&lt;&gt;"",IFERROR(_xlfn.IFS(BE55&gt;=$B$3,4,BE55&gt;=$B$4,3,BE55&gt;=$B$5,2,BE55&gt;$B$6,1),0),"")</f>
        <v/>
      </c>
      <c r="BQ55" s="2" t="str" cm="1">
        <f t="array" ref="BQ55">IF('NILAI CPL'!$B55&lt;&gt;"",IFERROR(_xlfn.IFS(BF55&gt;=$B$3,4,BF55&gt;=$B$4,3,BF55&gt;=$B$5,2,BF55&gt;$B$6,1),0),"")</f>
        <v/>
      </c>
      <c r="BR55" s="2" t="str" cm="1">
        <f t="array" ref="BR55">IF('NILAI CPL'!$B55&lt;&gt;"",IFERROR(_xlfn.IFS(BG55&gt;=$B$3,4,BG55&gt;=$B$4,3,BG55&gt;=$B$5,2,BG55&gt;$B$6,1),0),"")</f>
        <v/>
      </c>
      <c r="BS55" s="2" t="str" cm="1">
        <f t="array" ref="BS55">IF('NILAI CPL'!$B55&lt;&gt;"",IFERROR(_xlfn.IFS(BH55&gt;=$B$3,4,BH55&gt;=$B$4,3,BH55&gt;=$B$5,2,BH55&gt;$B$6,1),0),"")</f>
        <v/>
      </c>
    </row>
    <row r="56" spans="1:71" x14ac:dyDescent="0.2">
      <c r="A56" s="2">
        <v>46</v>
      </c>
      <c r="B56" s="2" t="str">
        <f>IF(LEN(SUMMARY!B56)&gt;0, SUMMARY!B56, "")</f>
        <v/>
      </c>
      <c r="C56" s="2" t="str">
        <f>IF(LEN(SUMMARY!C56)&gt;0, SUMMARY!C56, "")</f>
        <v/>
      </c>
      <c r="E56" s="2" t="str" cm="1">
        <f t="array" ref="E56">IF('NILAI CPL'!$B56&lt;&gt;"",IFERROR(JumlahPI(ROW(),COLUMN()),0),"")</f>
        <v/>
      </c>
      <c r="F56" s="2" t="str" cm="1">
        <f t="array" ref="F56">IF('NILAI CPL'!$B56&lt;&gt;"",IFERROR(JumlahPI(ROW(),COLUMN()),0),"")</f>
        <v/>
      </c>
      <c r="G56" s="2" t="str" cm="1">
        <f t="array" ref="G56">IF('NILAI CPL'!$B56&lt;&gt;"",IFERROR(JumlahPI(ROW(),COLUMN()),0),"")</f>
        <v/>
      </c>
      <c r="H56" s="2" t="str" cm="1">
        <f t="array" ref="H56">IF('NILAI CPL'!$B56&lt;&gt;"",IFERROR(JumlahPI(ROW(),COLUMN()),0),"")</f>
        <v/>
      </c>
      <c r="I56" s="2" t="str" cm="1">
        <f t="array" ref="I56">IF('NILAI CPL'!$B56&lt;&gt;"",IFERROR(JumlahPI(ROW(),COLUMN()),0),"")</f>
        <v/>
      </c>
      <c r="J56" s="2" t="str" cm="1">
        <f t="array" ref="J56">IF('NILAI CPL'!$B56&lt;&gt;"",IFERROR(JumlahPI(ROW(),COLUMN()),0),"")</f>
        <v/>
      </c>
      <c r="K56" s="2" t="str" cm="1">
        <f t="array" ref="K56">IF('NILAI CPL'!$B56&lt;&gt;"",IFERROR(JumlahPI(ROW(),COLUMN()),0),"")</f>
        <v/>
      </c>
      <c r="L56" s="2" t="str" cm="1">
        <f t="array" ref="L56">IF('NILAI CPL'!$B56&lt;&gt;"",IFERROR(JumlahPI(ROW(),COLUMN()),0),"")</f>
        <v/>
      </c>
      <c r="M56" s="2" t="str" cm="1">
        <f t="array" ref="M56">IF('NILAI CPL'!$B56&lt;&gt;"",IFERROR(JumlahPI(ROW(),COLUMN()),0),"")</f>
        <v/>
      </c>
      <c r="N56" s="2" t="str" cm="1">
        <f t="array" ref="N56">IF('NILAI CPL'!$B56&lt;&gt;"",IFERROR(JumlahPI(ROW(),COLUMN()),0),"")</f>
        <v/>
      </c>
      <c r="O56" s="2" t="str" cm="1">
        <f t="array" ref="O56">IF('NILAI CPL'!$B56&lt;&gt;"",IFERROR(JumlahPI(ROW(),COLUMN()),0),"")</f>
        <v/>
      </c>
      <c r="P56" s="2" t="str" cm="1">
        <f t="array" ref="P56">IF('NILAI CPL'!$B56&lt;&gt;"",IFERROR(JumlahPI(ROW(),COLUMN()),0),"")</f>
        <v/>
      </c>
      <c r="Q56" s="2" t="str" cm="1">
        <f t="array" ref="Q56">IF('NILAI CPL'!$B56&lt;&gt;"",IFERROR(JumlahPI(ROW(),COLUMN()),0),"")</f>
        <v/>
      </c>
      <c r="R56" s="2" t="str" cm="1">
        <f t="array" ref="R56">IF('NILAI CPL'!$B56&lt;&gt;"",IFERROR(JumlahPI(ROW(),COLUMN()),0),"")</f>
        <v/>
      </c>
      <c r="S56" s="2" t="str" cm="1">
        <f t="array" ref="S56">IF('NILAI CPL'!$B56&lt;&gt;"",IFERROR(JumlahPI(ROW(),COLUMN()),0),"")</f>
        <v/>
      </c>
      <c r="T56" s="2" t="str" cm="1">
        <f t="array" ref="T56">IF('NILAI CPL'!$B56&lt;&gt;"",IFERROR(JumlahPI(ROW(),COLUMN()),0),"")</f>
        <v/>
      </c>
      <c r="U56" s="2" t="str" cm="1">
        <f t="array" ref="U56">IF('NILAI CPL'!$B56&lt;&gt;"",IFERROR(JumlahPI(ROW(),COLUMN()),0),"")</f>
        <v/>
      </c>
      <c r="V56" s="2" t="str" cm="1">
        <f t="array" ref="V56">IF('NILAI CPL'!$B56&lt;&gt;"",IFERROR(JumlahPI(ROW(),COLUMN()),0),"")</f>
        <v/>
      </c>
      <c r="W56" s="2" t="str" cm="1">
        <f t="array" ref="W56">IF('NILAI CPL'!$B56&lt;&gt;"",IFERROR(JumlahPI(ROW(),COLUMN()),0),"")</f>
        <v/>
      </c>
      <c r="X56" s="2" t="str" cm="1">
        <f t="array" ref="X56">IF('NILAI CPL'!$B56&lt;&gt;"",IFERROR(JumlahPI(ROW(),COLUMN()),0),"")</f>
        <v/>
      </c>
      <c r="Y56" s="2" t="str" cm="1">
        <f t="array" ref="Y56">IF('NILAI CPL'!$B56&lt;&gt;"",IFERROR(JumlahPI(ROW(),COLUMN()),0),"")</f>
        <v/>
      </c>
      <c r="Z56" s="2" t="str" cm="1">
        <f t="array" ref="Z56">IF('NILAI CPL'!$B56&lt;&gt;"",IFERROR(JumlahPI(ROW(),COLUMN()),0),"")</f>
        <v/>
      </c>
      <c r="AB56" s="2" t="str" cm="1">
        <f t="array" ref="AB56">IF('NILAI CPL'!$B56&lt;&gt;"",IFERROR(_xlfn.IFS(E56&gt;=$B$3,4,E56&gt;=$B$4,3,E56&gt;=$B$5,2,E56&gt;$B$6,1),0),"")</f>
        <v/>
      </c>
      <c r="AC56" s="2" t="str" cm="1">
        <f t="array" ref="AC56">IF('NILAI CPL'!$B56&lt;&gt;"",IFERROR(_xlfn.IFS(F56&gt;=$B$3,4,F56&gt;=$B$4,3,F56&gt;=$B$5,2,F56&gt;$B$6,1),0),"")</f>
        <v/>
      </c>
      <c r="AD56" s="2" t="str" cm="1">
        <f t="array" ref="AD56">IF('NILAI CPL'!$B56&lt;&gt;"",IFERROR(_xlfn.IFS(G56&gt;=$B$3,4,G56&gt;=$B$4,3,G56&gt;=$B$5,2,G56&gt;$B$6,1),0),"")</f>
        <v/>
      </c>
      <c r="AE56" s="2" t="str" cm="1">
        <f t="array" ref="AE56">IF('NILAI CPL'!$B56&lt;&gt;"",IFERROR(_xlfn.IFS(H56&gt;=$B$3,4,H56&gt;=$B$4,3,H56&gt;=$B$5,2,H56&gt;$B$6,1),0),"")</f>
        <v/>
      </c>
      <c r="AF56" s="2" t="str" cm="1">
        <f t="array" ref="AF56">IF('NILAI CPL'!$B56&lt;&gt;"",IFERROR(_xlfn.IFS(I56&gt;=$B$3,4,I56&gt;=$B$4,3,I56&gt;=$B$5,2,I56&gt;$B$6,1),0),"")</f>
        <v/>
      </c>
      <c r="AG56" s="2" t="str" cm="1">
        <f t="array" ref="AG56">IF('NILAI CPL'!$B56&lt;&gt;"",IFERROR(_xlfn.IFS(J56&gt;=$B$3,4,J56&gt;=$B$4,3,J56&gt;=$B$5,2,J56&gt;$B$6,1),0),"")</f>
        <v/>
      </c>
      <c r="AH56" s="2" t="str" cm="1">
        <f t="array" ref="AH56">IF('NILAI CPL'!$B56&lt;&gt;"",IFERROR(_xlfn.IFS(K56&gt;=$B$3,4,K56&gt;=$B$4,3,K56&gt;=$B$5,2,K56&gt;$B$6,1),0),"")</f>
        <v/>
      </c>
      <c r="AI56" s="2" t="str" cm="1">
        <f t="array" ref="AI56">IF('NILAI CPL'!$B56&lt;&gt;"",IFERROR(_xlfn.IFS(L56&gt;=$B$3,4,L56&gt;=$B$4,3,L56&gt;=$B$5,2,L56&gt;$B$6,1),0),"")</f>
        <v/>
      </c>
      <c r="AJ56" s="2" t="str" cm="1">
        <f t="array" ref="AJ56">IF('NILAI CPL'!$B56&lt;&gt;"",IFERROR(_xlfn.IFS(M56&gt;=$B$3,4,M56&gt;=$B$4,3,M56&gt;=$B$5,2,M56&gt;$B$6,1),0),"")</f>
        <v/>
      </c>
      <c r="AK56" s="2" t="str" cm="1">
        <f t="array" ref="AK56">IF('NILAI CPL'!$B56&lt;&gt;"",IFERROR(_xlfn.IFS(N56&gt;=$B$3,4,N56&gt;=$B$4,3,N56&gt;=$B$5,2,N56&gt;$B$6,1),0),"")</f>
        <v/>
      </c>
      <c r="AL56" s="2" t="str" cm="1">
        <f t="array" ref="AL56">IF('NILAI CPL'!$B56&lt;&gt;"",IFERROR(_xlfn.IFS(O56&gt;=$B$3,4,O56&gt;=$B$4,3,O56&gt;=$B$5,2,O56&gt;$B$6,1),0),"")</f>
        <v/>
      </c>
      <c r="AM56" s="2" t="str" cm="1">
        <f t="array" ref="AM56">IF('NILAI CPL'!$B56&lt;&gt;"",IFERROR(_xlfn.IFS(P56&gt;=$B$3,4,P56&gt;=$B$4,3,P56&gt;=$B$5,2,P56&gt;$B$6,1),0),"")</f>
        <v/>
      </c>
      <c r="AN56" s="2" t="str" cm="1">
        <f t="array" ref="AN56">IF('NILAI CPL'!$B56&lt;&gt;"",IFERROR(_xlfn.IFS(Q56&gt;=$B$3,4,Q56&gt;=$B$4,3,Q56&gt;=$B$5,2,Q56&gt;$B$6,1),0),"")</f>
        <v/>
      </c>
      <c r="AO56" s="2" t="str" cm="1">
        <f t="array" ref="AO56">IF('NILAI CPL'!$B56&lt;&gt;"",IFERROR(_xlfn.IFS(R56&gt;=$B$3,4,R56&gt;=$B$4,3,R56&gt;=$B$5,2,R56&gt;$B$6,1),0),"")</f>
        <v/>
      </c>
      <c r="AP56" s="2" t="str" cm="1">
        <f t="array" ref="AP56">IF('NILAI CPL'!$B56&lt;&gt;"",IFERROR(_xlfn.IFS(S56&gt;=$B$3,4,S56&gt;=$B$4,3,S56&gt;=$B$5,2,S56&gt;$B$6,1),0),"")</f>
        <v/>
      </c>
      <c r="AQ56" s="2" t="str" cm="1">
        <f t="array" ref="AQ56">IF('NILAI CPL'!$B56&lt;&gt;"",IFERROR(_xlfn.IFS(T56&gt;=$B$3,4,T56&gt;=$B$4,3,T56&gt;=$B$5,2,T56&gt;$B$6,1),0),"")</f>
        <v/>
      </c>
      <c r="AR56" s="2" t="str" cm="1">
        <f t="array" ref="AR56">IF('NILAI CPL'!$B56&lt;&gt;"",IFERROR(_xlfn.IFS(U56&gt;=$B$3,4,U56&gt;=$B$4,3,U56&gt;=$B$5,2,U56&gt;$B$6,1),0),"")</f>
        <v/>
      </c>
      <c r="AS56" s="2" t="str" cm="1">
        <f t="array" ref="AS56">IF('NILAI CPL'!$B56&lt;&gt;"",IFERROR(_xlfn.IFS(V56&gt;=$B$3,4,V56&gt;=$B$4,3,V56&gt;=$B$5,2,V56&gt;$B$6,1),0),"")</f>
        <v/>
      </c>
      <c r="AT56" s="2" t="str" cm="1">
        <f t="array" ref="AT56">IF('NILAI CPL'!$B56&lt;&gt;"",IFERROR(_xlfn.IFS(W56&gt;=$B$3,4,W56&gt;=$B$4,3,W56&gt;=$B$5,2,W56&gt;$B$6,1),0),"")</f>
        <v/>
      </c>
      <c r="AU56" s="2" t="str" cm="1">
        <f t="array" ref="AU56">IF('NILAI CPL'!$B56&lt;&gt;"",IFERROR(_xlfn.IFS(X56&gt;=$B$3,4,X56&gt;=$B$4,3,X56&gt;=$B$5,2,X56&gt;$B$6,1),0),"")</f>
        <v/>
      </c>
      <c r="AV56" s="2" t="str" cm="1">
        <f t="array" ref="AV56">IF('NILAI CPL'!$B56&lt;&gt;"",IFERROR(_xlfn.IFS(Y56&gt;=$B$3,4,Y56&gt;=$B$4,3,Y56&gt;=$B$5,2,Y56&gt;$B$6,1),0),"")</f>
        <v/>
      </c>
      <c r="AW56" s="2" t="str" cm="1">
        <f t="array" ref="AW56">IF('NILAI CPL'!$B56&lt;&gt;"",IFERROR(_xlfn.IFS(Z56&gt;=$B$3,4,Z56&gt;=$B$4,3,Z56&gt;=$B$5,2,Z56&gt;$B$6,1),0),"")</f>
        <v/>
      </c>
      <c r="AY56" s="2" t="str">
        <f t="shared" si="0"/>
        <v/>
      </c>
      <c r="AZ56" s="2" t="str">
        <f t="shared" si="1"/>
        <v/>
      </c>
      <c r="BA56" s="2" t="str">
        <f t="shared" si="2"/>
        <v/>
      </c>
      <c r="BB56" s="2" t="str">
        <f t="shared" si="3"/>
        <v/>
      </c>
      <c r="BC56" s="2" t="str">
        <f t="shared" si="4"/>
        <v/>
      </c>
      <c r="BD56" s="2" t="str">
        <f t="shared" si="5"/>
        <v/>
      </c>
      <c r="BE56" s="2" t="str">
        <f t="shared" si="6"/>
        <v/>
      </c>
      <c r="BF56" s="2" t="str">
        <f t="shared" si="7"/>
        <v/>
      </c>
      <c r="BG56" s="2" t="str">
        <f t="shared" si="8"/>
        <v/>
      </c>
      <c r="BH56" s="2" t="str">
        <f t="shared" si="9"/>
        <v/>
      </c>
      <c r="BJ56" s="2" t="str" cm="1">
        <f t="array" ref="BJ56">IF('NILAI CPL'!$B56&lt;&gt;"",IFERROR(_xlfn.IFS(AY56&gt;=$B$3,4,AY56&gt;=$B$4,3,AY56&gt;=$B$5,2,AY56&gt;$B$6,1),0),"")</f>
        <v/>
      </c>
      <c r="BK56" s="2" t="str" cm="1">
        <f t="array" ref="BK56">IF('NILAI CPL'!$B56&lt;&gt;"",IFERROR(_xlfn.IFS(AZ56&gt;=$B$3,4,AZ56&gt;=$B$4,3,AZ56&gt;=$B$5,2,AZ56&gt;$B$6,1),0),"")</f>
        <v/>
      </c>
      <c r="BL56" s="2" t="str" cm="1">
        <f t="array" ref="BL56">IF('NILAI CPL'!$B56&lt;&gt;"",IFERROR(_xlfn.IFS(BA56&gt;=$B$3,4,BA56&gt;=$B$4,3,BA56&gt;=$B$5,2,BA56&gt;$B$6,1),0),"")</f>
        <v/>
      </c>
      <c r="BM56" s="2" t="str" cm="1">
        <f t="array" ref="BM56">IF('NILAI CPL'!$B56&lt;&gt;"",IFERROR(_xlfn.IFS(BB56&gt;=$B$3,4,BB56&gt;=$B$4,3,BB56&gt;=$B$5,2,BB56&gt;$B$6,1),0),"")</f>
        <v/>
      </c>
      <c r="BN56" s="2" t="str" cm="1">
        <f t="array" ref="BN56">IF('NILAI CPL'!$B56&lt;&gt;"",IFERROR(_xlfn.IFS(BC56&gt;=$B$3,4,BC56&gt;=$B$4,3,BC56&gt;=$B$5,2,BC56&gt;$B$6,1),0),"")</f>
        <v/>
      </c>
      <c r="BO56" s="2" t="str" cm="1">
        <f t="array" ref="BO56">IF('NILAI CPL'!$B56&lt;&gt;"",IFERROR(_xlfn.IFS(BD56&gt;=$B$3,4,BD56&gt;=$B$4,3,BD56&gt;=$B$5,2,BD56&gt;$B$6,1),0),"")</f>
        <v/>
      </c>
      <c r="BP56" s="2" t="str" cm="1">
        <f t="array" ref="BP56">IF('NILAI CPL'!$B56&lt;&gt;"",IFERROR(_xlfn.IFS(BE56&gt;=$B$3,4,BE56&gt;=$B$4,3,BE56&gt;=$B$5,2,BE56&gt;$B$6,1),0),"")</f>
        <v/>
      </c>
      <c r="BQ56" s="2" t="str" cm="1">
        <f t="array" ref="BQ56">IF('NILAI CPL'!$B56&lt;&gt;"",IFERROR(_xlfn.IFS(BF56&gt;=$B$3,4,BF56&gt;=$B$4,3,BF56&gt;=$B$5,2,BF56&gt;$B$6,1),0),"")</f>
        <v/>
      </c>
      <c r="BR56" s="2" t="str" cm="1">
        <f t="array" ref="BR56">IF('NILAI CPL'!$B56&lt;&gt;"",IFERROR(_xlfn.IFS(BG56&gt;=$B$3,4,BG56&gt;=$B$4,3,BG56&gt;=$B$5,2,BG56&gt;$B$6,1),0),"")</f>
        <v/>
      </c>
      <c r="BS56" s="2" t="str" cm="1">
        <f t="array" ref="BS56">IF('NILAI CPL'!$B56&lt;&gt;"",IFERROR(_xlfn.IFS(BH56&gt;=$B$3,4,BH56&gt;=$B$4,3,BH56&gt;=$B$5,2,BH56&gt;$B$6,1),0),"")</f>
        <v/>
      </c>
    </row>
    <row r="57" spans="1:71" x14ac:dyDescent="0.2">
      <c r="A57" s="2">
        <v>47</v>
      </c>
      <c r="B57" s="2" t="str">
        <f>IF(LEN(SUMMARY!B57)&gt;0, SUMMARY!B57, "")</f>
        <v/>
      </c>
      <c r="C57" s="2" t="str">
        <f>IF(LEN(SUMMARY!C57)&gt;0, SUMMARY!C57, "")</f>
        <v/>
      </c>
      <c r="E57" s="2" t="str" cm="1">
        <f t="array" ref="E57">IF('NILAI CPL'!$B57&lt;&gt;"",IFERROR(JumlahPI(ROW(),COLUMN()),0),"")</f>
        <v/>
      </c>
      <c r="F57" s="2" t="str" cm="1">
        <f t="array" ref="F57">IF('NILAI CPL'!$B57&lt;&gt;"",IFERROR(JumlahPI(ROW(),COLUMN()),0),"")</f>
        <v/>
      </c>
      <c r="G57" s="2" t="str" cm="1">
        <f t="array" ref="G57">IF('NILAI CPL'!$B57&lt;&gt;"",IFERROR(JumlahPI(ROW(),COLUMN()),0),"")</f>
        <v/>
      </c>
      <c r="H57" s="2" t="str" cm="1">
        <f t="array" ref="H57">IF('NILAI CPL'!$B57&lt;&gt;"",IFERROR(JumlahPI(ROW(),COLUMN()),0),"")</f>
        <v/>
      </c>
      <c r="I57" s="2" t="str" cm="1">
        <f t="array" ref="I57">IF('NILAI CPL'!$B57&lt;&gt;"",IFERROR(JumlahPI(ROW(),COLUMN()),0),"")</f>
        <v/>
      </c>
      <c r="J57" s="2" t="str" cm="1">
        <f t="array" ref="J57">IF('NILAI CPL'!$B57&lt;&gt;"",IFERROR(JumlahPI(ROW(),COLUMN()),0),"")</f>
        <v/>
      </c>
      <c r="K57" s="2" t="str" cm="1">
        <f t="array" ref="K57">IF('NILAI CPL'!$B57&lt;&gt;"",IFERROR(JumlahPI(ROW(),COLUMN()),0),"")</f>
        <v/>
      </c>
      <c r="L57" s="2" t="str" cm="1">
        <f t="array" ref="L57">IF('NILAI CPL'!$B57&lt;&gt;"",IFERROR(JumlahPI(ROW(),COLUMN()),0),"")</f>
        <v/>
      </c>
      <c r="M57" s="2" t="str" cm="1">
        <f t="array" ref="M57">IF('NILAI CPL'!$B57&lt;&gt;"",IFERROR(JumlahPI(ROW(),COLUMN()),0),"")</f>
        <v/>
      </c>
      <c r="N57" s="2" t="str" cm="1">
        <f t="array" ref="N57">IF('NILAI CPL'!$B57&lt;&gt;"",IFERROR(JumlahPI(ROW(),COLUMN()),0),"")</f>
        <v/>
      </c>
      <c r="O57" s="2" t="str" cm="1">
        <f t="array" ref="O57">IF('NILAI CPL'!$B57&lt;&gt;"",IFERROR(JumlahPI(ROW(),COLUMN()),0),"")</f>
        <v/>
      </c>
      <c r="P57" s="2" t="str" cm="1">
        <f t="array" ref="P57">IF('NILAI CPL'!$B57&lt;&gt;"",IFERROR(JumlahPI(ROW(),COLUMN()),0),"")</f>
        <v/>
      </c>
      <c r="Q57" s="2" t="str" cm="1">
        <f t="array" ref="Q57">IF('NILAI CPL'!$B57&lt;&gt;"",IFERROR(JumlahPI(ROW(),COLUMN()),0),"")</f>
        <v/>
      </c>
      <c r="R57" s="2" t="str" cm="1">
        <f t="array" ref="R57">IF('NILAI CPL'!$B57&lt;&gt;"",IFERROR(JumlahPI(ROW(),COLUMN()),0),"")</f>
        <v/>
      </c>
      <c r="S57" s="2" t="str" cm="1">
        <f t="array" ref="S57">IF('NILAI CPL'!$B57&lt;&gt;"",IFERROR(JumlahPI(ROW(),COLUMN()),0),"")</f>
        <v/>
      </c>
      <c r="T57" s="2" t="str" cm="1">
        <f t="array" ref="T57">IF('NILAI CPL'!$B57&lt;&gt;"",IFERROR(JumlahPI(ROW(),COLUMN()),0),"")</f>
        <v/>
      </c>
      <c r="U57" s="2" t="str" cm="1">
        <f t="array" ref="U57">IF('NILAI CPL'!$B57&lt;&gt;"",IFERROR(JumlahPI(ROW(),COLUMN()),0),"")</f>
        <v/>
      </c>
      <c r="V57" s="2" t="str" cm="1">
        <f t="array" ref="V57">IF('NILAI CPL'!$B57&lt;&gt;"",IFERROR(JumlahPI(ROW(),COLUMN()),0),"")</f>
        <v/>
      </c>
      <c r="W57" s="2" t="str" cm="1">
        <f t="array" ref="W57">IF('NILAI CPL'!$B57&lt;&gt;"",IFERROR(JumlahPI(ROW(),COLUMN()),0),"")</f>
        <v/>
      </c>
      <c r="X57" s="2" t="str" cm="1">
        <f t="array" ref="X57">IF('NILAI CPL'!$B57&lt;&gt;"",IFERROR(JumlahPI(ROW(),COLUMN()),0),"")</f>
        <v/>
      </c>
      <c r="Y57" s="2" t="str" cm="1">
        <f t="array" ref="Y57">IF('NILAI CPL'!$B57&lt;&gt;"",IFERROR(JumlahPI(ROW(),COLUMN()),0),"")</f>
        <v/>
      </c>
      <c r="Z57" s="2" t="str" cm="1">
        <f t="array" ref="Z57">IF('NILAI CPL'!$B57&lt;&gt;"",IFERROR(JumlahPI(ROW(),COLUMN()),0),"")</f>
        <v/>
      </c>
      <c r="AB57" s="2" t="str" cm="1">
        <f t="array" ref="AB57">IF('NILAI CPL'!$B57&lt;&gt;"",IFERROR(_xlfn.IFS(E57&gt;=$B$3,4,E57&gt;=$B$4,3,E57&gt;=$B$5,2,E57&gt;$B$6,1),0),"")</f>
        <v/>
      </c>
      <c r="AC57" s="2" t="str" cm="1">
        <f t="array" ref="AC57">IF('NILAI CPL'!$B57&lt;&gt;"",IFERROR(_xlfn.IFS(F57&gt;=$B$3,4,F57&gt;=$B$4,3,F57&gt;=$B$5,2,F57&gt;$B$6,1),0),"")</f>
        <v/>
      </c>
      <c r="AD57" s="2" t="str" cm="1">
        <f t="array" ref="AD57">IF('NILAI CPL'!$B57&lt;&gt;"",IFERROR(_xlfn.IFS(G57&gt;=$B$3,4,G57&gt;=$B$4,3,G57&gt;=$B$5,2,G57&gt;$B$6,1),0),"")</f>
        <v/>
      </c>
      <c r="AE57" s="2" t="str" cm="1">
        <f t="array" ref="AE57">IF('NILAI CPL'!$B57&lt;&gt;"",IFERROR(_xlfn.IFS(H57&gt;=$B$3,4,H57&gt;=$B$4,3,H57&gt;=$B$5,2,H57&gt;$B$6,1),0),"")</f>
        <v/>
      </c>
      <c r="AF57" s="2" t="str" cm="1">
        <f t="array" ref="AF57">IF('NILAI CPL'!$B57&lt;&gt;"",IFERROR(_xlfn.IFS(I57&gt;=$B$3,4,I57&gt;=$B$4,3,I57&gt;=$B$5,2,I57&gt;$B$6,1),0),"")</f>
        <v/>
      </c>
      <c r="AG57" s="2" t="str" cm="1">
        <f t="array" ref="AG57">IF('NILAI CPL'!$B57&lt;&gt;"",IFERROR(_xlfn.IFS(J57&gt;=$B$3,4,J57&gt;=$B$4,3,J57&gt;=$B$5,2,J57&gt;$B$6,1),0),"")</f>
        <v/>
      </c>
      <c r="AH57" s="2" t="str" cm="1">
        <f t="array" ref="AH57">IF('NILAI CPL'!$B57&lt;&gt;"",IFERROR(_xlfn.IFS(K57&gt;=$B$3,4,K57&gt;=$B$4,3,K57&gt;=$B$5,2,K57&gt;$B$6,1),0),"")</f>
        <v/>
      </c>
      <c r="AI57" s="2" t="str" cm="1">
        <f t="array" ref="AI57">IF('NILAI CPL'!$B57&lt;&gt;"",IFERROR(_xlfn.IFS(L57&gt;=$B$3,4,L57&gt;=$B$4,3,L57&gt;=$B$5,2,L57&gt;$B$6,1),0),"")</f>
        <v/>
      </c>
      <c r="AJ57" s="2" t="str" cm="1">
        <f t="array" ref="AJ57">IF('NILAI CPL'!$B57&lt;&gt;"",IFERROR(_xlfn.IFS(M57&gt;=$B$3,4,M57&gt;=$B$4,3,M57&gt;=$B$5,2,M57&gt;$B$6,1),0),"")</f>
        <v/>
      </c>
      <c r="AK57" s="2" t="str" cm="1">
        <f t="array" ref="AK57">IF('NILAI CPL'!$B57&lt;&gt;"",IFERROR(_xlfn.IFS(N57&gt;=$B$3,4,N57&gt;=$B$4,3,N57&gt;=$B$5,2,N57&gt;$B$6,1),0),"")</f>
        <v/>
      </c>
      <c r="AL57" s="2" t="str" cm="1">
        <f t="array" ref="AL57">IF('NILAI CPL'!$B57&lt;&gt;"",IFERROR(_xlfn.IFS(O57&gt;=$B$3,4,O57&gt;=$B$4,3,O57&gt;=$B$5,2,O57&gt;$B$6,1),0),"")</f>
        <v/>
      </c>
      <c r="AM57" s="2" t="str" cm="1">
        <f t="array" ref="AM57">IF('NILAI CPL'!$B57&lt;&gt;"",IFERROR(_xlfn.IFS(P57&gt;=$B$3,4,P57&gt;=$B$4,3,P57&gt;=$B$5,2,P57&gt;$B$6,1),0),"")</f>
        <v/>
      </c>
      <c r="AN57" s="2" t="str" cm="1">
        <f t="array" ref="AN57">IF('NILAI CPL'!$B57&lt;&gt;"",IFERROR(_xlfn.IFS(Q57&gt;=$B$3,4,Q57&gt;=$B$4,3,Q57&gt;=$B$5,2,Q57&gt;$B$6,1),0),"")</f>
        <v/>
      </c>
      <c r="AO57" s="2" t="str" cm="1">
        <f t="array" ref="AO57">IF('NILAI CPL'!$B57&lt;&gt;"",IFERROR(_xlfn.IFS(R57&gt;=$B$3,4,R57&gt;=$B$4,3,R57&gt;=$B$5,2,R57&gt;$B$6,1),0),"")</f>
        <v/>
      </c>
      <c r="AP57" s="2" t="str" cm="1">
        <f t="array" ref="AP57">IF('NILAI CPL'!$B57&lt;&gt;"",IFERROR(_xlfn.IFS(S57&gt;=$B$3,4,S57&gt;=$B$4,3,S57&gt;=$B$5,2,S57&gt;$B$6,1),0),"")</f>
        <v/>
      </c>
      <c r="AQ57" s="2" t="str" cm="1">
        <f t="array" ref="AQ57">IF('NILAI CPL'!$B57&lt;&gt;"",IFERROR(_xlfn.IFS(T57&gt;=$B$3,4,T57&gt;=$B$4,3,T57&gt;=$B$5,2,T57&gt;$B$6,1),0),"")</f>
        <v/>
      </c>
      <c r="AR57" s="2" t="str" cm="1">
        <f t="array" ref="AR57">IF('NILAI CPL'!$B57&lt;&gt;"",IFERROR(_xlfn.IFS(U57&gt;=$B$3,4,U57&gt;=$B$4,3,U57&gt;=$B$5,2,U57&gt;$B$6,1),0),"")</f>
        <v/>
      </c>
      <c r="AS57" s="2" t="str" cm="1">
        <f t="array" ref="AS57">IF('NILAI CPL'!$B57&lt;&gt;"",IFERROR(_xlfn.IFS(V57&gt;=$B$3,4,V57&gt;=$B$4,3,V57&gt;=$B$5,2,V57&gt;$B$6,1),0),"")</f>
        <v/>
      </c>
      <c r="AT57" s="2" t="str" cm="1">
        <f t="array" ref="AT57">IF('NILAI CPL'!$B57&lt;&gt;"",IFERROR(_xlfn.IFS(W57&gt;=$B$3,4,W57&gt;=$B$4,3,W57&gt;=$B$5,2,W57&gt;$B$6,1),0),"")</f>
        <v/>
      </c>
      <c r="AU57" s="2" t="str" cm="1">
        <f t="array" ref="AU57">IF('NILAI CPL'!$B57&lt;&gt;"",IFERROR(_xlfn.IFS(X57&gt;=$B$3,4,X57&gt;=$B$4,3,X57&gt;=$B$5,2,X57&gt;$B$6,1),0),"")</f>
        <v/>
      </c>
      <c r="AV57" s="2" t="str" cm="1">
        <f t="array" ref="AV57">IF('NILAI CPL'!$B57&lt;&gt;"",IFERROR(_xlfn.IFS(Y57&gt;=$B$3,4,Y57&gt;=$B$4,3,Y57&gt;=$B$5,2,Y57&gt;$B$6,1),0),"")</f>
        <v/>
      </c>
      <c r="AW57" s="2" t="str" cm="1">
        <f t="array" ref="AW57">IF('NILAI CPL'!$B57&lt;&gt;"",IFERROR(_xlfn.IFS(Z57&gt;=$B$3,4,Z57&gt;=$B$4,3,Z57&gt;=$B$5,2,Z57&gt;$B$6,1),0),"")</f>
        <v/>
      </c>
      <c r="AY57" s="2" t="str">
        <f t="shared" si="0"/>
        <v/>
      </c>
      <c r="AZ57" s="2" t="str">
        <f t="shared" si="1"/>
        <v/>
      </c>
      <c r="BA57" s="2" t="str">
        <f t="shared" si="2"/>
        <v/>
      </c>
      <c r="BB57" s="2" t="str">
        <f t="shared" si="3"/>
        <v/>
      </c>
      <c r="BC57" s="2" t="str">
        <f t="shared" si="4"/>
        <v/>
      </c>
      <c r="BD57" s="2" t="str">
        <f t="shared" si="5"/>
        <v/>
      </c>
      <c r="BE57" s="2" t="str">
        <f t="shared" si="6"/>
        <v/>
      </c>
      <c r="BF57" s="2" t="str">
        <f t="shared" si="7"/>
        <v/>
      </c>
      <c r="BG57" s="2" t="str">
        <f t="shared" si="8"/>
        <v/>
      </c>
      <c r="BH57" s="2" t="str">
        <f t="shared" si="9"/>
        <v/>
      </c>
      <c r="BJ57" s="2" t="str" cm="1">
        <f t="array" ref="BJ57">IF('NILAI CPL'!$B57&lt;&gt;"",IFERROR(_xlfn.IFS(AY57&gt;=$B$3,4,AY57&gt;=$B$4,3,AY57&gt;=$B$5,2,AY57&gt;$B$6,1),0),"")</f>
        <v/>
      </c>
      <c r="BK57" s="2" t="str" cm="1">
        <f t="array" ref="BK57">IF('NILAI CPL'!$B57&lt;&gt;"",IFERROR(_xlfn.IFS(AZ57&gt;=$B$3,4,AZ57&gt;=$B$4,3,AZ57&gt;=$B$5,2,AZ57&gt;$B$6,1),0),"")</f>
        <v/>
      </c>
      <c r="BL57" s="2" t="str" cm="1">
        <f t="array" ref="BL57">IF('NILAI CPL'!$B57&lt;&gt;"",IFERROR(_xlfn.IFS(BA57&gt;=$B$3,4,BA57&gt;=$B$4,3,BA57&gt;=$B$5,2,BA57&gt;$B$6,1),0),"")</f>
        <v/>
      </c>
      <c r="BM57" s="2" t="str" cm="1">
        <f t="array" ref="BM57">IF('NILAI CPL'!$B57&lt;&gt;"",IFERROR(_xlfn.IFS(BB57&gt;=$B$3,4,BB57&gt;=$B$4,3,BB57&gt;=$B$5,2,BB57&gt;$B$6,1),0),"")</f>
        <v/>
      </c>
      <c r="BN57" s="2" t="str" cm="1">
        <f t="array" ref="BN57">IF('NILAI CPL'!$B57&lt;&gt;"",IFERROR(_xlfn.IFS(BC57&gt;=$B$3,4,BC57&gt;=$B$4,3,BC57&gt;=$B$5,2,BC57&gt;$B$6,1),0),"")</f>
        <v/>
      </c>
      <c r="BO57" s="2" t="str" cm="1">
        <f t="array" ref="BO57">IF('NILAI CPL'!$B57&lt;&gt;"",IFERROR(_xlfn.IFS(BD57&gt;=$B$3,4,BD57&gt;=$B$4,3,BD57&gt;=$B$5,2,BD57&gt;$B$6,1),0),"")</f>
        <v/>
      </c>
      <c r="BP57" s="2" t="str" cm="1">
        <f t="array" ref="BP57">IF('NILAI CPL'!$B57&lt;&gt;"",IFERROR(_xlfn.IFS(BE57&gt;=$B$3,4,BE57&gt;=$B$4,3,BE57&gt;=$B$5,2,BE57&gt;$B$6,1),0),"")</f>
        <v/>
      </c>
      <c r="BQ57" s="2" t="str" cm="1">
        <f t="array" ref="BQ57">IF('NILAI CPL'!$B57&lt;&gt;"",IFERROR(_xlfn.IFS(BF57&gt;=$B$3,4,BF57&gt;=$B$4,3,BF57&gt;=$B$5,2,BF57&gt;$B$6,1),0),"")</f>
        <v/>
      </c>
      <c r="BR57" s="2" t="str" cm="1">
        <f t="array" ref="BR57">IF('NILAI CPL'!$B57&lt;&gt;"",IFERROR(_xlfn.IFS(BG57&gt;=$B$3,4,BG57&gt;=$B$4,3,BG57&gt;=$B$5,2,BG57&gt;$B$6,1),0),"")</f>
        <v/>
      </c>
      <c r="BS57" s="2" t="str" cm="1">
        <f t="array" ref="BS57">IF('NILAI CPL'!$B57&lt;&gt;"",IFERROR(_xlfn.IFS(BH57&gt;=$B$3,4,BH57&gt;=$B$4,3,BH57&gt;=$B$5,2,BH57&gt;$B$6,1),0),"")</f>
        <v/>
      </c>
    </row>
    <row r="58" spans="1:71" x14ac:dyDescent="0.2">
      <c r="A58" s="2">
        <v>48</v>
      </c>
      <c r="B58" s="2" t="str">
        <f>IF(LEN(SUMMARY!B58)&gt;0, SUMMARY!B58, "")</f>
        <v/>
      </c>
      <c r="C58" s="2" t="str">
        <f>IF(LEN(SUMMARY!C58)&gt;0, SUMMARY!C58, "")</f>
        <v/>
      </c>
      <c r="E58" s="2" t="str" cm="1">
        <f t="array" ref="E58">IF('NILAI CPL'!$B58&lt;&gt;"",IFERROR(JumlahPI(ROW(),COLUMN()),0),"")</f>
        <v/>
      </c>
      <c r="F58" s="2" t="str" cm="1">
        <f t="array" ref="F58">IF('NILAI CPL'!$B58&lt;&gt;"",IFERROR(JumlahPI(ROW(),COLUMN()),0),"")</f>
        <v/>
      </c>
      <c r="G58" s="2" t="str" cm="1">
        <f t="array" ref="G58">IF('NILAI CPL'!$B58&lt;&gt;"",IFERROR(JumlahPI(ROW(),COLUMN()),0),"")</f>
        <v/>
      </c>
      <c r="H58" s="2" t="str" cm="1">
        <f t="array" ref="H58">IF('NILAI CPL'!$B58&lt;&gt;"",IFERROR(JumlahPI(ROW(),COLUMN()),0),"")</f>
        <v/>
      </c>
      <c r="I58" s="2" t="str" cm="1">
        <f t="array" ref="I58">IF('NILAI CPL'!$B58&lt;&gt;"",IFERROR(JumlahPI(ROW(),COLUMN()),0),"")</f>
        <v/>
      </c>
      <c r="J58" s="2" t="str" cm="1">
        <f t="array" ref="J58">IF('NILAI CPL'!$B58&lt;&gt;"",IFERROR(JumlahPI(ROW(),COLUMN()),0),"")</f>
        <v/>
      </c>
      <c r="K58" s="2" t="str" cm="1">
        <f t="array" ref="K58">IF('NILAI CPL'!$B58&lt;&gt;"",IFERROR(JumlahPI(ROW(),COLUMN()),0),"")</f>
        <v/>
      </c>
      <c r="L58" s="2" t="str" cm="1">
        <f t="array" ref="L58">IF('NILAI CPL'!$B58&lt;&gt;"",IFERROR(JumlahPI(ROW(),COLUMN()),0),"")</f>
        <v/>
      </c>
      <c r="M58" s="2" t="str" cm="1">
        <f t="array" ref="M58">IF('NILAI CPL'!$B58&lt;&gt;"",IFERROR(JumlahPI(ROW(),COLUMN()),0),"")</f>
        <v/>
      </c>
      <c r="N58" s="2" t="str" cm="1">
        <f t="array" ref="N58">IF('NILAI CPL'!$B58&lt;&gt;"",IFERROR(JumlahPI(ROW(),COLUMN()),0),"")</f>
        <v/>
      </c>
      <c r="O58" s="2" t="str" cm="1">
        <f t="array" ref="O58">IF('NILAI CPL'!$B58&lt;&gt;"",IFERROR(JumlahPI(ROW(),COLUMN()),0),"")</f>
        <v/>
      </c>
      <c r="P58" s="2" t="str" cm="1">
        <f t="array" ref="P58">IF('NILAI CPL'!$B58&lt;&gt;"",IFERROR(JumlahPI(ROW(),COLUMN()),0),"")</f>
        <v/>
      </c>
      <c r="Q58" s="2" t="str" cm="1">
        <f t="array" ref="Q58">IF('NILAI CPL'!$B58&lt;&gt;"",IFERROR(JumlahPI(ROW(),COLUMN()),0),"")</f>
        <v/>
      </c>
      <c r="R58" s="2" t="str" cm="1">
        <f t="array" ref="R58">IF('NILAI CPL'!$B58&lt;&gt;"",IFERROR(JumlahPI(ROW(),COLUMN()),0),"")</f>
        <v/>
      </c>
      <c r="S58" s="2" t="str" cm="1">
        <f t="array" ref="S58">IF('NILAI CPL'!$B58&lt;&gt;"",IFERROR(JumlahPI(ROW(),COLUMN()),0),"")</f>
        <v/>
      </c>
      <c r="T58" s="2" t="str" cm="1">
        <f t="array" ref="T58">IF('NILAI CPL'!$B58&lt;&gt;"",IFERROR(JumlahPI(ROW(),COLUMN()),0),"")</f>
        <v/>
      </c>
      <c r="U58" s="2" t="str" cm="1">
        <f t="array" ref="U58">IF('NILAI CPL'!$B58&lt;&gt;"",IFERROR(JumlahPI(ROW(),COLUMN()),0),"")</f>
        <v/>
      </c>
      <c r="V58" s="2" t="str" cm="1">
        <f t="array" ref="V58">IF('NILAI CPL'!$B58&lt;&gt;"",IFERROR(JumlahPI(ROW(),COLUMN()),0),"")</f>
        <v/>
      </c>
      <c r="W58" s="2" t="str" cm="1">
        <f t="array" ref="W58">IF('NILAI CPL'!$B58&lt;&gt;"",IFERROR(JumlahPI(ROW(),COLUMN()),0),"")</f>
        <v/>
      </c>
      <c r="X58" s="2" t="str" cm="1">
        <f t="array" ref="X58">IF('NILAI CPL'!$B58&lt;&gt;"",IFERROR(JumlahPI(ROW(),COLUMN()),0),"")</f>
        <v/>
      </c>
      <c r="Y58" s="2" t="str" cm="1">
        <f t="array" ref="Y58">IF('NILAI CPL'!$B58&lt;&gt;"",IFERROR(JumlahPI(ROW(),COLUMN()),0),"")</f>
        <v/>
      </c>
      <c r="Z58" s="2" t="str" cm="1">
        <f t="array" ref="Z58">IF('NILAI CPL'!$B58&lt;&gt;"",IFERROR(JumlahPI(ROW(),COLUMN()),0),"")</f>
        <v/>
      </c>
      <c r="AB58" s="2" t="str" cm="1">
        <f t="array" ref="AB58">IF('NILAI CPL'!$B58&lt;&gt;"",IFERROR(_xlfn.IFS(E58&gt;=$B$3,4,E58&gt;=$B$4,3,E58&gt;=$B$5,2,E58&gt;$B$6,1),0),"")</f>
        <v/>
      </c>
      <c r="AC58" s="2" t="str" cm="1">
        <f t="array" ref="AC58">IF('NILAI CPL'!$B58&lt;&gt;"",IFERROR(_xlfn.IFS(F58&gt;=$B$3,4,F58&gt;=$B$4,3,F58&gt;=$B$5,2,F58&gt;$B$6,1),0),"")</f>
        <v/>
      </c>
      <c r="AD58" s="2" t="str" cm="1">
        <f t="array" ref="AD58">IF('NILAI CPL'!$B58&lt;&gt;"",IFERROR(_xlfn.IFS(G58&gt;=$B$3,4,G58&gt;=$B$4,3,G58&gt;=$B$5,2,G58&gt;$B$6,1),0),"")</f>
        <v/>
      </c>
      <c r="AE58" s="2" t="str" cm="1">
        <f t="array" ref="AE58">IF('NILAI CPL'!$B58&lt;&gt;"",IFERROR(_xlfn.IFS(H58&gt;=$B$3,4,H58&gt;=$B$4,3,H58&gt;=$B$5,2,H58&gt;$B$6,1),0),"")</f>
        <v/>
      </c>
      <c r="AF58" s="2" t="str" cm="1">
        <f t="array" ref="AF58">IF('NILAI CPL'!$B58&lt;&gt;"",IFERROR(_xlfn.IFS(I58&gt;=$B$3,4,I58&gt;=$B$4,3,I58&gt;=$B$5,2,I58&gt;$B$6,1),0),"")</f>
        <v/>
      </c>
      <c r="AG58" s="2" t="str" cm="1">
        <f t="array" ref="AG58">IF('NILAI CPL'!$B58&lt;&gt;"",IFERROR(_xlfn.IFS(J58&gt;=$B$3,4,J58&gt;=$B$4,3,J58&gt;=$B$5,2,J58&gt;$B$6,1),0),"")</f>
        <v/>
      </c>
      <c r="AH58" s="2" t="str" cm="1">
        <f t="array" ref="AH58">IF('NILAI CPL'!$B58&lt;&gt;"",IFERROR(_xlfn.IFS(K58&gt;=$B$3,4,K58&gt;=$B$4,3,K58&gt;=$B$5,2,K58&gt;$B$6,1),0),"")</f>
        <v/>
      </c>
      <c r="AI58" s="2" t="str" cm="1">
        <f t="array" ref="AI58">IF('NILAI CPL'!$B58&lt;&gt;"",IFERROR(_xlfn.IFS(L58&gt;=$B$3,4,L58&gt;=$B$4,3,L58&gt;=$B$5,2,L58&gt;$B$6,1),0),"")</f>
        <v/>
      </c>
      <c r="AJ58" s="2" t="str" cm="1">
        <f t="array" ref="AJ58">IF('NILAI CPL'!$B58&lt;&gt;"",IFERROR(_xlfn.IFS(M58&gt;=$B$3,4,M58&gt;=$B$4,3,M58&gt;=$B$5,2,M58&gt;$B$6,1),0),"")</f>
        <v/>
      </c>
      <c r="AK58" s="2" t="str" cm="1">
        <f t="array" ref="AK58">IF('NILAI CPL'!$B58&lt;&gt;"",IFERROR(_xlfn.IFS(N58&gt;=$B$3,4,N58&gt;=$B$4,3,N58&gt;=$B$5,2,N58&gt;$B$6,1),0),"")</f>
        <v/>
      </c>
      <c r="AL58" s="2" t="str" cm="1">
        <f t="array" ref="AL58">IF('NILAI CPL'!$B58&lt;&gt;"",IFERROR(_xlfn.IFS(O58&gt;=$B$3,4,O58&gt;=$B$4,3,O58&gt;=$B$5,2,O58&gt;$B$6,1),0),"")</f>
        <v/>
      </c>
      <c r="AM58" s="2" t="str" cm="1">
        <f t="array" ref="AM58">IF('NILAI CPL'!$B58&lt;&gt;"",IFERROR(_xlfn.IFS(P58&gt;=$B$3,4,P58&gt;=$B$4,3,P58&gt;=$B$5,2,P58&gt;$B$6,1),0),"")</f>
        <v/>
      </c>
      <c r="AN58" s="2" t="str" cm="1">
        <f t="array" ref="AN58">IF('NILAI CPL'!$B58&lt;&gt;"",IFERROR(_xlfn.IFS(Q58&gt;=$B$3,4,Q58&gt;=$B$4,3,Q58&gt;=$B$5,2,Q58&gt;$B$6,1),0),"")</f>
        <v/>
      </c>
      <c r="AO58" s="2" t="str" cm="1">
        <f t="array" ref="AO58">IF('NILAI CPL'!$B58&lt;&gt;"",IFERROR(_xlfn.IFS(R58&gt;=$B$3,4,R58&gt;=$B$4,3,R58&gt;=$B$5,2,R58&gt;$B$6,1),0),"")</f>
        <v/>
      </c>
      <c r="AP58" s="2" t="str" cm="1">
        <f t="array" ref="AP58">IF('NILAI CPL'!$B58&lt;&gt;"",IFERROR(_xlfn.IFS(S58&gt;=$B$3,4,S58&gt;=$B$4,3,S58&gt;=$B$5,2,S58&gt;$B$6,1),0),"")</f>
        <v/>
      </c>
      <c r="AQ58" s="2" t="str" cm="1">
        <f t="array" ref="AQ58">IF('NILAI CPL'!$B58&lt;&gt;"",IFERROR(_xlfn.IFS(T58&gt;=$B$3,4,T58&gt;=$B$4,3,T58&gt;=$B$5,2,T58&gt;$B$6,1),0),"")</f>
        <v/>
      </c>
      <c r="AR58" s="2" t="str" cm="1">
        <f t="array" ref="AR58">IF('NILAI CPL'!$B58&lt;&gt;"",IFERROR(_xlfn.IFS(U58&gt;=$B$3,4,U58&gt;=$B$4,3,U58&gt;=$B$5,2,U58&gt;$B$6,1),0),"")</f>
        <v/>
      </c>
      <c r="AS58" s="2" t="str" cm="1">
        <f t="array" ref="AS58">IF('NILAI CPL'!$B58&lt;&gt;"",IFERROR(_xlfn.IFS(V58&gt;=$B$3,4,V58&gt;=$B$4,3,V58&gt;=$B$5,2,V58&gt;$B$6,1),0),"")</f>
        <v/>
      </c>
      <c r="AT58" s="2" t="str" cm="1">
        <f t="array" ref="AT58">IF('NILAI CPL'!$B58&lt;&gt;"",IFERROR(_xlfn.IFS(W58&gt;=$B$3,4,W58&gt;=$B$4,3,W58&gt;=$B$5,2,W58&gt;$B$6,1),0),"")</f>
        <v/>
      </c>
      <c r="AU58" s="2" t="str" cm="1">
        <f t="array" ref="AU58">IF('NILAI CPL'!$B58&lt;&gt;"",IFERROR(_xlfn.IFS(X58&gt;=$B$3,4,X58&gt;=$B$4,3,X58&gt;=$B$5,2,X58&gt;$B$6,1),0),"")</f>
        <v/>
      </c>
      <c r="AV58" s="2" t="str" cm="1">
        <f t="array" ref="AV58">IF('NILAI CPL'!$B58&lt;&gt;"",IFERROR(_xlfn.IFS(Y58&gt;=$B$3,4,Y58&gt;=$B$4,3,Y58&gt;=$B$5,2,Y58&gt;$B$6,1),0),"")</f>
        <v/>
      </c>
      <c r="AW58" s="2" t="str" cm="1">
        <f t="array" ref="AW58">IF('NILAI CPL'!$B58&lt;&gt;"",IFERROR(_xlfn.IFS(Z58&gt;=$B$3,4,Z58&gt;=$B$4,3,Z58&gt;=$B$5,2,Z58&gt;$B$6,1),0),"")</f>
        <v/>
      </c>
      <c r="AY58" s="2" t="str">
        <f t="shared" si="0"/>
        <v/>
      </c>
      <c r="AZ58" s="2" t="str">
        <f t="shared" si="1"/>
        <v/>
      </c>
      <c r="BA58" s="2" t="str">
        <f t="shared" si="2"/>
        <v/>
      </c>
      <c r="BB58" s="2" t="str">
        <f t="shared" si="3"/>
        <v/>
      </c>
      <c r="BC58" s="2" t="str">
        <f t="shared" si="4"/>
        <v/>
      </c>
      <c r="BD58" s="2" t="str">
        <f t="shared" si="5"/>
        <v/>
      </c>
      <c r="BE58" s="2" t="str">
        <f t="shared" si="6"/>
        <v/>
      </c>
      <c r="BF58" s="2" t="str">
        <f t="shared" si="7"/>
        <v/>
      </c>
      <c r="BG58" s="2" t="str">
        <f t="shared" si="8"/>
        <v/>
      </c>
      <c r="BH58" s="2" t="str">
        <f t="shared" si="9"/>
        <v/>
      </c>
      <c r="BJ58" s="2" t="str" cm="1">
        <f t="array" ref="BJ58">IF('NILAI CPL'!$B58&lt;&gt;"",IFERROR(_xlfn.IFS(AY58&gt;=$B$3,4,AY58&gt;=$B$4,3,AY58&gt;=$B$5,2,AY58&gt;$B$6,1),0),"")</f>
        <v/>
      </c>
      <c r="BK58" s="2" t="str" cm="1">
        <f t="array" ref="BK58">IF('NILAI CPL'!$B58&lt;&gt;"",IFERROR(_xlfn.IFS(AZ58&gt;=$B$3,4,AZ58&gt;=$B$4,3,AZ58&gt;=$B$5,2,AZ58&gt;$B$6,1),0),"")</f>
        <v/>
      </c>
      <c r="BL58" s="2" t="str" cm="1">
        <f t="array" ref="BL58">IF('NILAI CPL'!$B58&lt;&gt;"",IFERROR(_xlfn.IFS(BA58&gt;=$B$3,4,BA58&gt;=$B$4,3,BA58&gt;=$B$5,2,BA58&gt;$B$6,1),0),"")</f>
        <v/>
      </c>
      <c r="BM58" s="2" t="str" cm="1">
        <f t="array" ref="BM58">IF('NILAI CPL'!$B58&lt;&gt;"",IFERROR(_xlfn.IFS(BB58&gt;=$B$3,4,BB58&gt;=$B$4,3,BB58&gt;=$B$5,2,BB58&gt;$B$6,1),0),"")</f>
        <v/>
      </c>
      <c r="BN58" s="2" t="str" cm="1">
        <f t="array" ref="BN58">IF('NILAI CPL'!$B58&lt;&gt;"",IFERROR(_xlfn.IFS(BC58&gt;=$B$3,4,BC58&gt;=$B$4,3,BC58&gt;=$B$5,2,BC58&gt;$B$6,1),0),"")</f>
        <v/>
      </c>
      <c r="BO58" s="2" t="str" cm="1">
        <f t="array" ref="BO58">IF('NILAI CPL'!$B58&lt;&gt;"",IFERROR(_xlfn.IFS(BD58&gt;=$B$3,4,BD58&gt;=$B$4,3,BD58&gt;=$B$5,2,BD58&gt;$B$6,1),0),"")</f>
        <v/>
      </c>
      <c r="BP58" s="2" t="str" cm="1">
        <f t="array" ref="BP58">IF('NILAI CPL'!$B58&lt;&gt;"",IFERROR(_xlfn.IFS(BE58&gt;=$B$3,4,BE58&gt;=$B$4,3,BE58&gt;=$B$5,2,BE58&gt;$B$6,1),0),"")</f>
        <v/>
      </c>
      <c r="BQ58" s="2" t="str" cm="1">
        <f t="array" ref="BQ58">IF('NILAI CPL'!$B58&lt;&gt;"",IFERROR(_xlfn.IFS(BF58&gt;=$B$3,4,BF58&gt;=$B$4,3,BF58&gt;=$B$5,2,BF58&gt;$B$6,1),0),"")</f>
        <v/>
      </c>
      <c r="BR58" s="2" t="str" cm="1">
        <f t="array" ref="BR58">IF('NILAI CPL'!$B58&lt;&gt;"",IFERROR(_xlfn.IFS(BG58&gt;=$B$3,4,BG58&gt;=$B$4,3,BG58&gt;=$B$5,2,BG58&gt;$B$6,1),0),"")</f>
        <v/>
      </c>
      <c r="BS58" s="2" t="str" cm="1">
        <f t="array" ref="BS58">IF('NILAI CPL'!$B58&lt;&gt;"",IFERROR(_xlfn.IFS(BH58&gt;=$B$3,4,BH58&gt;=$B$4,3,BH58&gt;=$B$5,2,BH58&gt;$B$6,1),0),"")</f>
        <v/>
      </c>
    </row>
    <row r="59" spans="1:71" x14ac:dyDescent="0.2">
      <c r="A59" s="2">
        <v>49</v>
      </c>
      <c r="B59" s="2" t="str">
        <f>IF(LEN(SUMMARY!B59)&gt;0, SUMMARY!B59, "")</f>
        <v/>
      </c>
      <c r="C59" s="2" t="str">
        <f>IF(LEN(SUMMARY!C59)&gt;0, SUMMARY!C59, "")</f>
        <v/>
      </c>
      <c r="E59" s="2" t="str" cm="1">
        <f t="array" ref="E59">IF('NILAI CPL'!$B59&lt;&gt;"",IFERROR(JumlahPI(ROW(),COLUMN()),0),"")</f>
        <v/>
      </c>
      <c r="F59" s="2" t="str" cm="1">
        <f t="array" ref="F59">IF('NILAI CPL'!$B59&lt;&gt;"",IFERROR(JumlahPI(ROW(),COLUMN()),0),"")</f>
        <v/>
      </c>
      <c r="G59" s="2" t="str" cm="1">
        <f t="array" ref="G59">IF('NILAI CPL'!$B59&lt;&gt;"",IFERROR(JumlahPI(ROW(),COLUMN()),0),"")</f>
        <v/>
      </c>
      <c r="H59" s="2" t="str" cm="1">
        <f t="array" ref="H59">IF('NILAI CPL'!$B59&lt;&gt;"",IFERROR(JumlahPI(ROW(),COLUMN()),0),"")</f>
        <v/>
      </c>
      <c r="I59" s="2" t="str" cm="1">
        <f t="array" ref="I59">IF('NILAI CPL'!$B59&lt;&gt;"",IFERROR(JumlahPI(ROW(),COLUMN()),0),"")</f>
        <v/>
      </c>
      <c r="J59" s="2" t="str" cm="1">
        <f t="array" ref="J59">IF('NILAI CPL'!$B59&lt;&gt;"",IFERROR(JumlahPI(ROW(),COLUMN()),0),"")</f>
        <v/>
      </c>
      <c r="K59" s="2" t="str" cm="1">
        <f t="array" ref="K59">IF('NILAI CPL'!$B59&lt;&gt;"",IFERROR(JumlahPI(ROW(),COLUMN()),0),"")</f>
        <v/>
      </c>
      <c r="L59" s="2" t="str" cm="1">
        <f t="array" ref="L59">IF('NILAI CPL'!$B59&lt;&gt;"",IFERROR(JumlahPI(ROW(),COLUMN()),0),"")</f>
        <v/>
      </c>
      <c r="M59" s="2" t="str" cm="1">
        <f t="array" ref="M59">IF('NILAI CPL'!$B59&lt;&gt;"",IFERROR(JumlahPI(ROW(),COLUMN()),0),"")</f>
        <v/>
      </c>
      <c r="N59" s="2" t="str" cm="1">
        <f t="array" ref="N59">IF('NILAI CPL'!$B59&lt;&gt;"",IFERROR(JumlahPI(ROW(),COLUMN()),0),"")</f>
        <v/>
      </c>
      <c r="O59" s="2" t="str" cm="1">
        <f t="array" ref="O59">IF('NILAI CPL'!$B59&lt;&gt;"",IFERROR(JumlahPI(ROW(),COLUMN()),0),"")</f>
        <v/>
      </c>
      <c r="P59" s="2" t="str" cm="1">
        <f t="array" ref="P59">IF('NILAI CPL'!$B59&lt;&gt;"",IFERROR(JumlahPI(ROW(),COLUMN()),0),"")</f>
        <v/>
      </c>
      <c r="Q59" s="2" t="str" cm="1">
        <f t="array" ref="Q59">IF('NILAI CPL'!$B59&lt;&gt;"",IFERROR(JumlahPI(ROW(),COLUMN()),0),"")</f>
        <v/>
      </c>
      <c r="R59" s="2" t="str" cm="1">
        <f t="array" ref="R59">IF('NILAI CPL'!$B59&lt;&gt;"",IFERROR(JumlahPI(ROW(),COLUMN()),0),"")</f>
        <v/>
      </c>
      <c r="S59" s="2" t="str" cm="1">
        <f t="array" ref="S59">IF('NILAI CPL'!$B59&lt;&gt;"",IFERROR(JumlahPI(ROW(),COLUMN()),0),"")</f>
        <v/>
      </c>
      <c r="T59" s="2" t="str" cm="1">
        <f t="array" ref="T59">IF('NILAI CPL'!$B59&lt;&gt;"",IFERROR(JumlahPI(ROW(),COLUMN()),0),"")</f>
        <v/>
      </c>
      <c r="U59" s="2" t="str" cm="1">
        <f t="array" ref="U59">IF('NILAI CPL'!$B59&lt;&gt;"",IFERROR(JumlahPI(ROW(),COLUMN()),0),"")</f>
        <v/>
      </c>
      <c r="V59" s="2" t="str" cm="1">
        <f t="array" ref="V59">IF('NILAI CPL'!$B59&lt;&gt;"",IFERROR(JumlahPI(ROW(),COLUMN()),0),"")</f>
        <v/>
      </c>
      <c r="W59" s="2" t="str" cm="1">
        <f t="array" ref="W59">IF('NILAI CPL'!$B59&lt;&gt;"",IFERROR(JumlahPI(ROW(),COLUMN()),0),"")</f>
        <v/>
      </c>
      <c r="X59" s="2" t="str" cm="1">
        <f t="array" ref="X59">IF('NILAI CPL'!$B59&lt;&gt;"",IFERROR(JumlahPI(ROW(),COLUMN()),0),"")</f>
        <v/>
      </c>
      <c r="Y59" s="2" t="str" cm="1">
        <f t="array" ref="Y59">IF('NILAI CPL'!$B59&lt;&gt;"",IFERROR(JumlahPI(ROW(),COLUMN()),0),"")</f>
        <v/>
      </c>
      <c r="Z59" s="2" t="str" cm="1">
        <f t="array" ref="Z59">IF('NILAI CPL'!$B59&lt;&gt;"",IFERROR(JumlahPI(ROW(),COLUMN()),0),"")</f>
        <v/>
      </c>
      <c r="AB59" s="2" t="str" cm="1">
        <f t="array" ref="AB59">IF('NILAI CPL'!$B59&lt;&gt;"",IFERROR(_xlfn.IFS(E59&gt;=$B$3,4,E59&gt;=$B$4,3,E59&gt;=$B$5,2,E59&gt;$B$6,1),0),"")</f>
        <v/>
      </c>
      <c r="AC59" s="2" t="str" cm="1">
        <f t="array" ref="AC59">IF('NILAI CPL'!$B59&lt;&gt;"",IFERROR(_xlfn.IFS(F59&gt;=$B$3,4,F59&gt;=$B$4,3,F59&gt;=$B$5,2,F59&gt;$B$6,1),0),"")</f>
        <v/>
      </c>
      <c r="AD59" s="2" t="str" cm="1">
        <f t="array" ref="AD59">IF('NILAI CPL'!$B59&lt;&gt;"",IFERROR(_xlfn.IFS(G59&gt;=$B$3,4,G59&gt;=$B$4,3,G59&gt;=$B$5,2,G59&gt;$B$6,1),0),"")</f>
        <v/>
      </c>
      <c r="AE59" s="2" t="str" cm="1">
        <f t="array" ref="AE59">IF('NILAI CPL'!$B59&lt;&gt;"",IFERROR(_xlfn.IFS(H59&gt;=$B$3,4,H59&gt;=$B$4,3,H59&gt;=$B$5,2,H59&gt;$B$6,1),0),"")</f>
        <v/>
      </c>
      <c r="AF59" s="2" t="str" cm="1">
        <f t="array" ref="AF59">IF('NILAI CPL'!$B59&lt;&gt;"",IFERROR(_xlfn.IFS(I59&gt;=$B$3,4,I59&gt;=$B$4,3,I59&gt;=$B$5,2,I59&gt;$B$6,1),0),"")</f>
        <v/>
      </c>
      <c r="AG59" s="2" t="str" cm="1">
        <f t="array" ref="AG59">IF('NILAI CPL'!$B59&lt;&gt;"",IFERROR(_xlfn.IFS(J59&gt;=$B$3,4,J59&gt;=$B$4,3,J59&gt;=$B$5,2,J59&gt;$B$6,1),0),"")</f>
        <v/>
      </c>
      <c r="AH59" s="2" t="str" cm="1">
        <f t="array" ref="AH59">IF('NILAI CPL'!$B59&lt;&gt;"",IFERROR(_xlfn.IFS(K59&gt;=$B$3,4,K59&gt;=$B$4,3,K59&gt;=$B$5,2,K59&gt;$B$6,1),0),"")</f>
        <v/>
      </c>
      <c r="AI59" s="2" t="str" cm="1">
        <f t="array" ref="AI59">IF('NILAI CPL'!$B59&lt;&gt;"",IFERROR(_xlfn.IFS(L59&gt;=$B$3,4,L59&gt;=$B$4,3,L59&gt;=$B$5,2,L59&gt;$B$6,1),0),"")</f>
        <v/>
      </c>
      <c r="AJ59" s="2" t="str" cm="1">
        <f t="array" ref="AJ59">IF('NILAI CPL'!$B59&lt;&gt;"",IFERROR(_xlfn.IFS(M59&gt;=$B$3,4,M59&gt;=$B$4,3,M59&gt;=$B$5,2,M59&gt;$B$6,1),0),"")</f>
        <v/>
      </c>
      <c r="AK59" s="2" t="str" cm="1">
        <f t="array" ref="AK59">IF('NILAI CPL'!$B59&lt;&gt;"",IFERROR(_xlfn.IFS(N59&gt;=$B$3,4,N59&gt;=$B$4,3,N59&gt;=$B$5,2,N59&gt;$B$6,1),0),"")</f>
        <v/>
      </c>
      <c r="AL59" s="2" t="str" cm="1">
        <f t="array" ref="AL59">IF('NILAI CPL'!$B59&lt;&gt;"",IFERROR(_xlfn.IFS(O59&gt;=$B$3,4,O59&gt;=$B$4,3,O59&gt;=$B$5,2,O59&gt;$B$6,1),0),"")</f>
        <v/>
      </c>
      <c r="AM59" s="2" t="str" cm="1">
        <f t="array" ref="AM59">IF('NILAI CPL'!$B59&lt;&gt;"",IFERROR(_xlfn.IFS(P59&gt;=$B$3,4,P59&gt;=$B$4,3,P59&gt;=$B$5,2,P59&gt;$B$6,1),0),"")</f>
        <v/>
      </c>
      <c r="AN59" s="2" t="str" cm="1">
        <f t="array" ref="AN59">IF('NILAI CPL'!$B59&lt;&gt;"",IFERROR(_xlfn.IFS(Q59&gt;=$B$3,4,Q59&gt;=$B$4,3,Q59&gt;=$B$5,2,Q59&gt;$B$6,1),0),"")</f>
        <v/>
      </c>
      <c r="AO59" s="2" t="str" cm="1">
        <f t="array" ref="AO59">IF('NILAI CPL'!$B59&lt;&gt;"",IFERROR(_xlfn.IFS(R59&gt;=$B$3,4,R59&gt;=$B$4,3,R59&gt;=$B$5,2,R59&gt;$B$6,1),0),"")</f>
        <v/>
      </c>
      <c r="AP59" s="2" t="str" cm="1">
        <f t="array" ref="AP59">IF('NILAI CPL'!$B59&lt;&gt;"",IFERROR(_xlfn.IFS(S59&gt;=$B$3,4,S59&gt;=$B$4,3,S59&gt;=$B$5,2,S59&gt;$B$6,1),0),"")</f>
        <v/>
      </c>
      <c r="AQ59" s="2" t="str" cm="1">
        <f t="array" ref="AQ59">IF('NILAI CPL'!$B59&lt;&gt;"",IFERROR(_xlfn.IFS(T59&gt;=$B$3,4,T59&gt;=$B$4,3,T59&gt;=$B$5,2,T59&gt;$B$6,1),0),"")</f>
        <v/>
      </c>
      <c r="AR59" s="2" t="str" cm="1">
        <f t="array" ref="AR59">IF('NILAI CPL'!$B59&lt;&gt;"",IFERROR(_xlfn.IFS(U59&gt;=$B$3,4,U59&gt;=$B$4,3,U59&gt;=$B$5,2,U59&gt;$B$6,1),0),"")</f>
        <v/>
      </c>
      <c r="AS59" s="2" t="str" cm="1">
        <f t="array" ref="AS59">IF('NILAI CPL'!$B59&lt;&gt;"",IFERROR(_xlfn.IFS(V59&gt;=$B$3,4,V59&gt;=$B$4,3,V59&gt;=$B$5,2,V59&gt;$B$6,1),0),"")</f>
        <v/>
      </c>
      <c r="AT59" s="2" t="str" cm="1">
        <f t="array" ref="AT59">IF('NILAI CPL'!$B59&lt;&gt;"",IFERROR(_xlfn.IFS(W59&gt;=$B$3,4,W59&gt;=$B$4,3,W59&gt;=$B$5,2,W59&gt;$B$6,1),0),"")</f>
        <v/>
      </c>
      <c r="AU59" s="2" t="str" cm="1">
        <f t="array" ref="AU59">IF('NILAI CPL'!$B59&lt;&gt;"",IFERROR(_xlfn.IFS(X59&gt;=$B$3,4,X59&gt;=$B$4,3,X59&gt;=$B$5,2,X59&gt;$B$6,1),0),"")</f>
        <v/>
      </c>
      <c r="AV59" s="2" t="str" cm="1">
        <f t="array" ref="AV59">IF('NILAI CPL'!$B59&lt;&gt;"",IFERROR(_xlfn.IFS(Y59&gt;=$B$3,4,Y59&gt;=$B$4,3,Y59&gt;=$B$5,2,Y59&gt;$B$6,1),0),"")</f>
        <v/>
      </c>
      <c r="AW59" s="2" t="str" cm="1">
        <f t="array" ref="AW59">IF('NILAI CPL'!$B59&lt;&gt;"",IFERROR(_xlfn.IFS(Z59&gt;=$B$3,4,Z59&gt;=$B$4,3,Z59&gt;=$B$5,2,Z59&gt;$B$6,1),0),"")</f>
        <v/>
      </c>
      <c r="AY59" s="2" t="str">
        <f t="shared" si="0"/>
        <v/>
      </c>
      <c r="AZ59" s="2" t="str">
        <f t="shared" si="1"/>
        <v/>
      </c>
      <c r="BA59" s="2" t="str">
        <f t="shared" si="2"/>
        <v/>
      </c>
      <c r="BB59" s="2" t="str">
        <f t="shared" si="3"/>
        <v/>
      </c>
      <c r="BC59" s="2" t="str">
        <f t="shared" si="4"/>
        <v/>
      </c>
      <c r="BD59" s="2" t="str">
        <f t="shared" si="5"/>
        <v/>
      </c>
      <c r="BE59" s="2" t="str">
        <f t="shared" si="6"/>
        <v/>
      </c>
      <c r="BF59" s="2" t="str">
        <f t="shared" si="7"/>
        <v/>
      </c>
      <c r="BG59" s="2" t="str">
        <f t="shared" si="8"/>
        <v/>
      </c>
      <c r="BH59" s="2" t="str">
        <f t="shared" si="9"/>
        <v/>
      </c>
      <c r="BJ59" s="2" t="str" cm="1">
        <f t="array" ref="BJ59">IF('NILAI CPL'!$B59&lt;&gt;"",IFERROR(_xlfn.IFS(AY59&gt;=$B$3,4,AY59&gt;=$B$4,3,AY59&gt;=$B$5,2,AY59&gt;$B$6,1),0),"")</f>
        <v/>
      </c>
      <c r="BK59" s="2" t="str" cm="1">
        <f t="array" ref="BK59">IF('NILAI CPL'!$B59&lt;&gt;"",IFERROR(_xlfn.IFS(AZ59&gt;=$B$3,4,AZ59&gt;=$B$4,3,AZ59&gt;=$B$5,2,AZ59&gt;$B$6,1),0),"")</f>
        <v/>
      </c>
      <c r="BL59" s="2" t="str" cm="1">
        <f t="array" ref="BL59">IF('NILAI CPL'!$B59&lt;&gt;"",IFERROR(_xlfn.IFS(BA59&gt;=$B$3,4,BA59&gt;=$B$4,3,BA59&gt;=$B$5,2,BA59&gt;$B$6,1),0),"")</f>
        <v/>
      </c>
      <c r="BM59" s="2" t="str" cm="1">
        <f t="array" ref="BM59">IF('NILAI CPL'!$B59&lt;&gt;"",IFERROR(_xlfn.IFS(BB59&gt;=$B$3,4,BB59&gt;=$B$4,3,BB59&gt;=$B$5,2,BB59&gt;$B$6,1),0),"")</f>
        <v/>
      </c>
      <c r="BN59" s="2" t="str" cm="1">
        <f t="array" ref="BN59">IF('NILAI CPL'!$B59&lt;&gt;"",IFERROR(_xlfn.IFS(BC59&gt;=$B$3,4,BC59&gt;=$B$4,3,BC59&gt;=$B$5,2,BC59&gt;$B$6,1),0),"")</f>
        <v/>
      </c>
      <c r="BO59" s="2" t="str" cm="1">
        <f t="array" ref="BO59">IF('NILAI CPL'!$B59&lt;&gt;"",IFERROR(_xlfn.IFS(BD59&gt;=$B$3,4,BD59&gt;=$B$4,3,BD59&gt;=$B$5,2,BD59&gt;$B$6,1),0),"")</f>
        <v/>
      </c>
      <c r="BP59" s="2" t="str" cm="1">
        <f t="array" ref="BP59">IF('NILAI CPL'!$B59&lt;&gt;"",IFERROR(_xlfn.IFS(BE59&gt;=$B$3,4,BE59&gt;=$B$4,3,BE59&gt;=$B$5,2,BE59&gt;$B$6,1),0),"")</f>
        <v/>
      </c>
      <c r="BQ59" s="2" t="str" cm="1">
        <f t="array" ref="BQ59">IF('NILAI CPL'!$B59&lt;&gt;"",IFERROR(_xlfn.IFS(BF59&gt;=$B$3,4,BF59&gt;=$B$4,3,BF59&gt;=$B$5,2,BF59&gt;$B$6,1),0),"")</f>
        <v/>
      </c>
      <c r="BR59" s="2" t="str" cm="1">
        <f t="array" ref="BR59">IF('NILAI CPL'!$B59&lt;&gt;"",IFERROR(_xlfn.IFS(BG59&gt;=$B$3,4,BG59&gt;=$B$4,3,BG59&gt;=$B$5,2,BG59&gt;$B$6,1),0),"")</f>
        <v/>
      </c>
      <c r="BS59" s="2" t="str" cm="1">
        <f t="array" ref="BS59">IF('NILAI CPL'!$B59&lt;&gt;"",IFERROR(_xlfn.IFS(BH59&gt;=$B$3,4,BH59&gt;=$B$4,3,BH59&gt;=$B$5,2,BH59&gt;$B$6,1),0),"")</f>
        <v/>
      </c>
    </row>
    <row r="60" spans="1:71" x14ac:dyDescent="0.2">
      <c r="A60" s="2">
        <v>50</v>
      </c>
      <c r="B60" s="2" t="str">
        <f>IF(LEN(SUMMARY!B60)&gt;0, SUMMARY!B60, "")</f>
        <v/>
      </c>
      <c r="C60" s="2" t="str">
        <f>IF(LEN(SUMMARY!C60)&gt;0, SUMMARY!C60, "")</f>
        <v/>
      </c>
      <c r="E60" s="2" t="str" cm="1">
        <f t="array" ref="E60">IF('NILAI CPL'!$B60&lt;&gt;"",IFERROR(JumlahPI(ROW(),COLUMN()),0),"")</f>
        <v/>
      </c>
      <c r="F60" s="2" t="str" cm="1">
        <f t="array" ref="F60">IF('NILAI CPL'!$B60&lt;&gt;"",IFERROR(JumlahPI(ROW(),COLUMN()),0),"")</f>
        <v/>
      </c>
      <c r="G60" s="2" t="str" cm="1">
        <f t="array" ref="G60">IF('NILAI CPL'!$B60&lt;&gt;"",IFERROR(JumlahPI(ROW(),COLUMN()),0),"")</f>
        <v/>
      </c>
      <c r="H60" s="2" t="str" cm="1">
        <f t="array" ref="H60">IF('NILAI CPL'!$B60&lt;&gt;"",IFERROR(JumlahPI(ROW(),COLUMN()),0),"")</f>
        <v/>
      </c>
      <c r="I60" s="2" t="str" cm="1">
        <f t="array" ref="I60">IF('NILAI CPL'!$B60&lt;&gt;"",IFERROR(JumlahPI(ROW(),COLUMN()),0),"")</f>
        <v/>
      </c>
      <c r="J60" s="2" t="str" cm="1">
        <f t="array" ref="J60">IF('NILAI CPL'!$B60&lt;&gt;"",IFERROR(JumlahPI(ROW(),COLUMN()),0),"")</f>
        <v/>
      </c>
      <c r="K60" s="2" t="str" cm="1">
        <f t="array" ref="K60">IF('NILAI CPL'!$B60&lt;&gt;"",IFERROR(JumlahPI(ROW(),COLUMN()),0),"")</f>
        <v/>
      </c>
      <c r="L60" s="2" t="str" cm="1">
        <f t="array" ref="L60">IF('NILAI CPL'!$B60&lt;&gt;"",IFERROR(JumlahPI(ROW(),COLUMN()),0),"")</f>
        <v/>
      </c>
      <c r="M60" s="2" t="str" cm="1">
        <f t="array" ref="M60">IF('NILAI CPL'!$B60&lt;&gt;"",IFERROR(JumlahPI(ROW(),COLUMN()),0),"")</f>
        <v/>
      </c>
      <c r="N60" s="2" t="str" cm="1">
        <f t="array" ref="N60">IF('NILAI CPL'!$B60&lt;&gt;"",IFERROR(JumlahPI(ROW(),COLUMN()),0),"")</f>
        <v/>
      </c>
      <c r="O60" s="2" t="str" cm="1">
        <f t="array" ref="O60">IF('NILAI CPL'!$B60&lt;&gt;"",IFERROR(JumlahPI(ROW(),COLUMN()),0),"")</f>
        <v/>
      </c>
      <c r="P60" s="2" t="str" cm="1">
        <f t="array" ref="P60">IF('NILAI CPL'!$B60&lt;&gt;"",IFERROR(JumlahPI(ROW(),COLUMN()),0),"")</f>
        <v/>
      </c>
      <c r="Q60" s="2" t="str" cm="1">
        <f t="array" ref="Q60">IF('NILAI CPL'!$B60&lt;&gt;"",IFERROR(JumlahPI(ROW(),COLUMN()),0),"")</f>
        <v/>
      </c>
      <c r="R60" s="2" t="str" cm="1">
        <f t="array" ref="R60">IF('NILAI CPL'!$B60&lt;&gt;"",IFERROR(JumlahPI(ROW(),COLUMN()),0),"")</f>
        <v/>
      </c>
      <c r="S60" s="2" t="str" cm="1">
        <f t="array" ref="S60">IF('NILAI CPL'!$B60&lt;&gt;"",IFERROR(JumlahPI(ROW(),COLUMN()),0),"")</f>
        <v/>
      </c>
      <c r="T60" s="2" t="str" cm="1">
        <f t="array" ref="T60">IF('NILAI CPL'!$B60&lt;&gt;"",IFERROR(JumlahPI(ROW(),COLUMN()),0),"")</f>
        <v/>
      </c>
      <c r="U60" s="2" t="str" cm="1">
        <f t="array" ref="U60">IF('NILAI CPL'!$B60&lt;&gt;"",IFERROR(JumlahPI(ROW(),COLUMN()),0),"")</f>
        <v/>
      </c>
      <c r="V60" s="2" t="str" cm="1">
        <f t="array" ref="V60">IF('NILAI CPL'!$B60&lt;&gt;"",IFERROR(JumlahPI(ROW(),COLUMN()),0),"")</f>
        <v/>
      </c>
      <c r="W60" s="2" t="str" cm="1">
        <f t="array" ref="W60">IF('NILAI CPL'!$B60&lt;&gt;"",IFERROR(JumlahPI(ROW(),COLUMN()),0),"")</f>
        <v/>
      </c>
      <c r="X60" s="2" t="str" cm="1">
        <f t="array" ref="X60">IF('NILAI CPL'!$B60&lt;&gt;"",IFERROR(JumlahPI(ROW(),COLUMN()),0),"")</f>
        <v/>
      </c>
      <c r="Y60" s="2" t="str" cm="1">
        <f t="array" ref="Y60">IF('NILAI CPL'!$B60&lt;&gt;"",IFERROR(JumlahPI(ROW(),COLUMN()),0),"")</f>
        <v/>
      </c>
      <c r="Z60" s="2" t="str" cm="1">
        <f t="array" ref="Z60">IF('NILAI CPL'!$B60&lt;&gt;"",IFERROR(JumlahPI(ROW(),COLUMN()),0),"")</f>
        <v/>
      </c>
      <c r="AB60" s="2" t="str" cm="1">
        <f t="array" ref="AB60">IF('NILAI CPL'!$B60&lt;&gt;"",IFERROR(_xlfn.IFS(E60&gt;=$B$3,4,E60&gt;=$B$4,3,E60&gt;=$B$5,2,E60&gt;$B$6,1),0),"")</f>
        <v/>
      </c>
      <c r="AC60" s="2" t="str" cm="1">
        <f t="array" ref="AC60">IF('NILAI CPL'!$B60&lt;&gt;"",IFERROR(_xlfn.IFS(F60&gt;=$B$3,4,F60&gt;=$B$4,3,F60&gt;=$B$5,2,F60&gt;$B$6,1),0),"")</f>
        <v/>
      </c>
      <c r="AD60" s="2" t="str" cm="1">
        <f t="array" ref="AD60">IF('NILAI CPL'!$B60&lt;&gt;"",IFERROR(_xlfn.IFS(G60&gt;=$B$3,4,G60&gt;=$B$4,3,G60&gt;=$B$5,2,G60&gt;$B$6,1),0),"")</f>
        <v/>
      </c>
      <c r="AE60" s="2" t="str" cm="1">
        <f t="array" ref="AE60">IF('NILAI CPL'!$B60&lt;&gt;"",IFERROR(_xlfn.IFS(H60&gt;=$B$3,4,H60&gt;=$B$4,3,H60&gt;=$B$5,2,H60&gt;$B$6,1),0),"")</f>
        <v/>
      </c>
      <c r="AF60" s="2" t="str" cm="1">
        <f t="array" ref="AF60">IF('NILAI CPL'!$B60&lt;&gt;"",IFERROR(_xlfn.IFS(I60&gt;=$B$3,4,I60&gt;=$B$4,3,I60&gt;=$B$5,2,I60&gt;$B$6,1),0),"")</f>
        <v/>
      </c>
      <c r="AG60" s="2" t="str" cm="1">
        <f t="array" ref="AG60">IF('NILAI CPL'!$B60&lt;&gt;"",IFERROR(_xlfn.IFS(J60&gt;=$B$3,4,J60&gt;=$B$4,3,J60&gt;=$B$5,2,J60&gt;$B$6,1),0),"")</f>
        <v/>
      </c>
      <c r="AH60" s="2" t="str" cm="1">
        <f t="array" ref="AH60">IF('NILAI CPL'!$B60&lt;&gt;"",IFERROR(_xlfn.IFS(K60&gt;=$B$3,4,K60&gt;=$B$4,3,K60&gt;=$B$5,2,K60&gt;$B$6,1),0),"")</f>
        <v/>
      </c>
      <c r="AI60" s="2" t="str" cm="1">
        <f t="array" ref="AI60">IF('NILAI CPL'!$B60&lt;&gt;"",IFERROR(_xlfn.IFS(L60&gt;=$B$3,4,L60&gt;=$B$4,3,L60&gt;=$B$5,2,L60&gt;$B$6,1),0),"")</f>
        <v/>
      </c>
      <c r="AJ60" s="2" t="str" cm="1">
        <f t="array" ref="AJ60">IF('NILAI CPL'!$B60&lt;&gt;"",IFERROR(_xlfn.IFS(M60&gt;=$B$3,4,M60&gt;=$B$4,3,M60&gt;=$B$5,2,M60&gt;$B$6,1),0),"")</f>
        <v/>
      </c>
      <c r="AK60" s="2" t="str" cm="1">
        <f t="array" ref="AK60">IF('NILAI CPL'!$B60&lt;&gt;"",IFERROR(_xlfn.IFS(N60&gt;=$B$3,4,N60&gt;=$B$4,3,N60&gt;=$B$5,2,N60&gt;$B$6,1),0),"")</f>
        <v/>
      </c>
      <c r="AL60" s="2" t="str" cm="1">
        <f t="array" ref="AL60">IF('NILAI CPL'!$B60&lt;&gt;"",IFERROR(_xlfn.IFS(O60&gt;=$B$3,4,O60&gt;=$B$4,3,O60&gt;=$B$5,2,O60&gt;$B$6,1),0),"")</f>
        <v/>
      </c>
      <c r="AM60" s="2" t="str" cm="1">
        <f t="array" ref="AM60">IF('NILAI CPL'!$B60&lt;&gt;"",IFERROR(_xlfn.IFS(P60&gt;=$B$3,4,P60&gt;=$B$4,3,P60&gt;=$B$5,2,P60&gt;$B$6,1),0),"")</f>
        <v/>
      </c>
      <c r="AN60" s="2" t="str" cm="1">
        <f t="array" ref="AN60">IF('NILAI CPL'!$B60&lt;&gt;"",IFERROR(_xlfn.IFS(Q60&gt;=$B$3,4,Q60&gt;=$B$4,3,Q60&gt;=$B$5,2,Q60&gt;$B$6,1),0),"")</f>
        <v/>
      </c>
      <c r="AO60" s="2" t="str" cm="1">
        <f t="array" ref="AO60">IF('NILAI CPL'!$B60&lt;&gt;"",IFERROR(_xlfn.IFS(R60&gt;=$B$3,4,R60&gt;=$B$4,3,R60&gt;=$B$5,2,R60&gt;$B$6,1),0),"")</f>
        <v/>
      </c>
      <c r="AP60" s="2" t="str" cm="1">
        <f t="array" ref="AP60">IF('NILAI CPL'!$B60&lt;&gt;"",IFERROR(_xlfn.IFS(S60&gt;=$B$3,4,S60&gt;=$B$4,3,S60&gt;=$B$5,2,S60&gt;$B$6,1),0),"")</f>
        <v/>
      </c>
      <c r="AQ60" s="2" t="str" cm="1">
        <f t="array" ref="AQ60">IF('NILAI CPL'!$B60&lt;&gt;"",IFERROR(_xlfn.IFS(T60&gt;=$B$3,4,T60&gt;=$B$4,3,T60&gt;=$B$5,2,T60&gt;$B$6,1),0),"")</f>
        <v/>
      </c>
      <c r="AR60" s="2" t="str" cm="1">
        <f t="array" ref="AR60">IF('NILAI CPL'!$B60&lt;&gt;"",IFERROR(_xlfn.IFS(U60&gt;=$B$3,4,U60&gt;=$B$4,3,U60&gt;=$B$5,2,U60&gt;$B$6,1),0),"")</f>
        <v/>
      </c>
      <c r="AS60" s="2" t="str" cm="1">
        <f t="array" ref="AS60">IF('NILAI CPL'!$B60&lt;&gt;"",IFERROR(_xlfn.IFS(V60&gt;=$B$3,4,V60&gt;=$B$4,3,V60&gt;=$B$5,2,V60&gt;$B$6,1),0),"")</f>
        <v/>
      </c>
      <c r="AT60" s="2" t="str" cm="1">
        <f t="array" ref="AT60">IF('NILAI CPL'!$B60&lt;&gt;"",IFERROR(_xlfn.IFS(W60&gt;=$B$3,4,W60&gt;=$B$4,3,W60&gt;=$B$5,2,W60&gt;$B$6,1),0),"")</f>
        <v/>
      </c>
      <c r="AU60" s="2" t="str" cm="1">
        <f t="array" ref="AU60">IF('NILAI CPL'!$B60&lt;&gt;"",IFERROR(_xlfn.IFS(X60&gt;=$B$3,4,X60&gt;=$B$4,3,X60&gt;=$B$5,2,X60&gt;$B$6,1),0),"")</f>
        <v/>
      </c>
      <c r="AV60" s="2" t="str" cm="1">
        <f t="array" ref="AV60">IF('NILAI CPL'!$B60&lt;&gt;"",IFERROR(_xlfn.IFS(Y60&gt;=$B$3,4,Y60&gt;=$B$4,3,Y60&gt;=$B$5,2,Y60&gt;$B$6,1),0),"")</f>
        <v/>
      </c>
      <c r="AW60" s="2" t="str" cm="1">
        <f t="array" ref="AW60">IF('NILAI CPL'!$B60&lt;&gt;"",IFERROR(_xlfn.IFS(Z60&gt;=$B$3,4,Z60&gt;=$B$4,3,Z60&gt;=$B$5,2,Z60&gt;$B$6,1),0),"")</f>
        <v/>
      </c>
      <c r="AY60" s="2" t="str">
        <f t="shared" si="0"/>
        <v/>
      </c>
      <c r="AZ60" s="2" t="str">
        <f t="shared" si="1"/>
        <v/>
      </c>
      <c r="BA60" s="2" t="str">
        <f t="shared" si="2"/>
        <v/>
      </c>
      <c r="BB60" s="2" t="str">
        <f t="shared" si="3"/>
        <v/>
      </c>
      <c r="BC60" s="2" t="str">
        <f t="shared" si="4"/>
        <v/>
      </c>
      <c r="BD60" s="2" t="str">
        <f t="shared" si="5"/>
        <v/>
      </c>
      <c r="BE60" s="2" t="str">
        <f t="shared" si="6"/>
        <v/>
      </c>
      <c r="BF60" s="2" t="str">
        <f t="shared" si="7"/>
        <v/>
      </c>
      <c r="BG60" s="2" t="str">
        <f t="shared" si="8"/>
        <v/>
      </c>
      <c r="BH60" s="2" t="str">
        <f t="shared" si="9"/>
        <v/>
      </c>
      <c r="BJ60" s="2" t="str" cm="1">
        <f t="array" ref="BJ60">IF('NILAI CPL'!$B60&lt;&gt;"",IFERROR(_xlfn.IFS(AY60&gt;=$B$3,4,AY60&gt;=$B$4,3,AY60&gt;=$B$5,2,AY60&gt;$B$6,1),0),"")</f>
        <v/>
      </c>
      <c r="BK60" s="2" t="str" cm="1">
        <f t="array" ref="BK60">IF('NILAI CPL'!$B60&lt;&gt;"",IFERROR(_xlfn.IFS(AZ60&gt;=$B$3,4,AZ60&gt;=$B$4,3,AZ60&gt;=$B$5,2,AZ60&gt;$B$6,1),0),"")</f>
        <v/>
      </c>
      <c r="BL60" s="2" t="str" cm="1">
        <f t="array" ref="BL60">IF('NILAI CPL'!$B60&lt;&gt;"",IFERROR(_xlfn.IFS(BA60&gt;=$B$3,4,BA60&gt;=$B$4,3,BA60&gt;=$B$5,2,BA60&gt;$B$6,1),0),"")</f>
        <v/>
      </c>
      <c r="BM60" s="2" t="str" cm="1">
        <f t="array" ref="BM60">IF('NILAI CPL'!$B60&lt;&gt;"",IFERROR(_xlfn.IFS(BB60&gt;=$B$3,4,BB60&gt;=$B$4,3,BB60&gt;=$B$5,2,BB60&gt;$B$6,1),0),"")</f>
        <v/>
      </c>
      <c r="BN60" s="2" t="str" cm="1">
        <f t="array" ref="BN60">IF('NILAI CPL'!$B60&lt;&gt;"",IFERROR(_xlfn.IFS(BC60&gt;=$B$3,4,BC60&gt;=$B$4,3,BC60&gt;=$B$5,2,BC60&gt;$B$6,1),0),"")</f>
        <v/>
      </c>
      <c r="BO60" s="2" t="str" cm="1">
        <f t="array" ref="BO60">IF('NILAI CPL'!$B60&lt;&gt;"",IFERROR(_xlfn.IFS(BD60&gt;=$B$3,4,BD60&gt;=$B$4,3,BD60&gt;=$B$5,2,BD60&gt;$B$6,1),0),"")</f>
        <v/>
      </c>
      <c r="BP60" s="2" t="str" cm="1">
        <f t="array" ref="BP60">IF('NILAI CPL'!$B60&lt;&gt;"",IFERROR(_xlfn.IFS(BE60&gt;=$B$3,4,BE60&gt;=$B$4,3,BE60&gt;=$B$5,2,BE60&gt;$B$6,1),0),"")</f>
        <v/>
      </c>
      <c r="BQ60" s="2" t="str" cm="1">
        <f t="array" ref="BQ60">IF('NILAI CPL'!$B60&lt;&gt;"",IFERROR(_xlfn.IFS(BF60&gt;=$B$3,4,BF60&gt;=$B$4,3,BF60&gt;=$B$5,2,BF60&gt;$B$6,1),0),"")</f>
        <v/>
      </c>
      <c r="BR60" s="2" t="str" cm="1">
        <f t="array" ref="BR60">IF('NILAI CPL'!$B60&lt;&gt;"",IFERROR(_xlfn.IFS(BG60&gt;=$B$3,4,BG60&gt;=$B$4,3,BG60&gt;=$B$5,2,BG60&gt;$B$6,1),0),"")</f>
        <v/>
      </c>
      <c r="BS60" s="2" t="str" cm="1">
        <f t="array" ref="BS60">IF('NILAI CPL'!$B60&lt;&gt;"",IFERROR(_xlfn.IFS(BH60&gt;=$B$3,4,BH60&gt;=$B$4,3,BH60&gt;=$B$5,2,BH60&gt;$B$6,1),0),"")</f>
        <v/>
      </c>
    </row>
    <row r="61" spans="1:71" x14ac:dyDescent="0.2">
      <c r="A61" s="2">
        <v>51</v>
      </c>
      <c r="B61" s="2" t="str">
        <f>IF(LEN(SUMMARY!B61)&gt;0, SUMMARY!B61, "")</f>
        <v/>
      </c>
      <c r="C61" s="2" t="str">
        <f>IF(LEN(SUMMARY!C61)&gt;0, SUMMARY!C61, "")</f>
        <v/>
      </c>
      <c r="E61" s="2" t="str" cm="1">
        <f t="array" ref="E61">IF('NILAI CPL'!$B61&lt;&gt;"",IFERROR(JumlahPI(ROW(),COLUMN()),0),"")</f>
        <v/>
      </c>
      <c r="F61" s="2" t="str" cm="1">
        <f t="array" ref="F61">IF('NILAI CPL'!$B61&lt;&gt;"",IFERROR(JumlahPI(ROW(),COLUMN()),0),"")</f>
        <v/>
      </c>
      <c r="G61" s="2" t="str" cm="1">
        <f t="array" ref="G61">IF('NILAI CPL'!$B61&lt;&gt;"",IFERROR(JumlahPI(ROW(),COLUMN()),0),"")</f>
        <v/>
      </c>
      <c r="H61" s="2" t="str" cm="1">
        <f t="array" ref="H61">IF('NILAI CPL'!$B61&lt;&gt;"",IFERROR(JumlahPI(ROW(),COLUMN()),0),"")</f>
        <v/>
      </c>
      <c r="I61" s="2" t="str" cm="1">
        <f t="array" ref="I61">IF('NILAI CPL'!$B61&lt;&gt;"",IFERROR(JumlahPI(ROW(),COLUMN()),0),"")</f>
        <v/>
      </c>
      <c r="J61" s="2" t="str" cm="1">
        <f t="array" ref="J61">IF('NILAI CPL'!$B61&lt;&gt;"",IFERROR(JumlahPI(ROW(),COLUMN()),0),"")</f>
        <v/>
      </c>
      <c r="K61" s="2" t="str" cm="1">
        <f t="array" ref="K61">IF('NILAI CPL'!$B61&lt;&gt;"",IFERROR(JumlahPI(ROW(),COLUMN()),0),"")</f>
        <v/>
      </c>
      <c r="L61" s="2" t="str" cm="1">
        <f t="array" ref="L61">IF('NILAI CPL'!$B61&lt;&gt;"",IFERROR(JumlahPI(ROW(),COLUMN()),0),"")</f>
        <v/>
      </c>
      <c r="M61" s="2" t="str" cm="1">
        <f t="array" ref="M61">IF('NILAI CPL'!$B61&lt;&gt;"",IFERROR(JumlahPI(ROW(),COLUMN()),0),"")</f>
        <v/>
      </c>
      <c r="N61" s="2" t="str" cm="1">
        <f t="array" ref="N61">IF('NILAI CPL'!$B61&lt;&gt;"",IFERROR(JumlahPI(ROW(),COLUMN()),0),"")</f>
        <v/>
      </c>
      <c r="O61" s="2" t="str" cm="1">
        <f t="array" ref="O61">IF('NILAI CPL'!$B61&lt;&gt;"",IFERROR(JumlahPI(ROW(),COLUMN()),0),"")</f>
        <v/>
      </c>
      <c r="P61" s="2" t="str" cm="1">
        <f t="array" ref="P61">IF('NILAI CPL'!$B61&lt;&gt;"",IFERROR(JumlahPI(ROW(),COLUMN()),0),"")</f>
        <v/>
      </c>
      <c r="Q61" s="2" t="str" cm="1">
        <f t="array" ref="Q61">IF('NILAI CPL'!$B61&lt;&gt;"",IFERROR(JumlahPI(ROW(),COLUMN()),0),"")</f>
        <v/>
      </c>
      <c r="R61" s="2" t="str" cm="1">
        <f t="array" ref="R61">IF('NILAI CPL'!$B61&lt;&gt;"",IFERROR(JumlahPI(ROW(),COLUMN()),0),"")</f>
        <v/>
      </c>
      <c r="S61" s="2" t="str" cm="1">
        <f t="array" ref="S61">IF('NILAI CPL'!$B61&lt;&gt;"",IFERROR(JumlahPI(ROW(),COLUMN()),0),"")</f>
        <v/>
      </c>
      <c r="T61" s="2" t="str" cm="1">
        <f t="array" ref="T61">IF('NILAI CPL'!$B61&lt;&gt;"",IFERROR(JumlahPI(ROW(),COLUMN()),0),"")</f>
        <v/>
      </c>
      <c r="U61" s="2" t="str" cm="1">
        <f t="array" ref="U61">IF('NILAI CPL'!$B61&lt;&gt;"",IFERROR(JumlahPI(ROW(),COLUMN()),0),"")</f>
        <v/>
      </c>
      <c r="V61" s="2" t="str" cm="1">
        <f t="array" ref="V61">IF('NILAI CPL'!$B61&lt;&gt;"",IFERROR(JumlahPI(ROW(),COLUMN()),0),"")</f>
        <v/>
      </c>
      <c r="W61" s="2" t="str" cm="1">
        <f t="array" ref="W61">IF('NILAI CPL'!$B61&lt;&gt;"",IFERROR(JumlahPI(ROW(),COLUMN()),0),"")</f>
        <v/>
      </c>
      <c r="X61" s="2" t="str" cm="1">
        <f t="array" ref="X61">IF('NILAI CPL'!$B61&lt;&gt;"",IFERROR(JumlahPI(ROW(),COLUMN()),0),"")</f>
        <v/>
      </c>
      <c r="Y61" s="2" t="str" cm="1">
        <f t="array" ref="Y61">IF('NILAI CPL'!$B61&lt;&gt;"",IFERROR(JumlahPI(ROW(),COLUMN()),0),"")</f>
        <v/>
      </c>
      <c r="Z61" s="2" t="str" cm="1">
        <f t="array" ref="Z61">IF('NILAI CPL'!$B61&lt;&gt;"",IFERROR(JumlahPI(ROW(),COLUMN()),0),"")</f>
        <v/>
      </c>
      <c r="AB61" s="2" t="str" cm="1">
        <f t="array" ref="AB61">IF('NILAI CPL'!$B61&lt;&gt;"",IFERROR(_xlfn.IFS(E61&gt;=$B$3,4,E61&gt;=$B$4,3,E61&gt;=$B$5,2,E61&gt;$B$6,1),0),"")</f>
        <v/>
      </c>
      <c r="AC61" s="2" t="str" cm="1">
        <f t="array" ref="AC61">IF('NILAI CPL'!$B61&lt;&gt;"",IFERROR(_xlfn.IFS(F61&gt;=$B$3,4,F61&gt;=$B$4,3,F61&gt;=$B$5,2,F61&gt;$B$6,1),0),"")</f>
        <v/>
      </c>
      <c r="AD61" s="2" t="str" cm="1">
        <f t="array" ref="AD61">IF('NILAI CPL'!$B61&lt;&gt;"",IFERROR(_xlfn.IFS(G61&gt;=$B$3,4,G61&gt;=$B$4,3,G61&gt;=$B$5,2,G61&gt;$B$6,1),0),"")</f>
        <v/>
      </c>
      <c r="AE61" s="2" t="str" cm="1">
        <f t="array" ref="AE61">IF('NILAI CPL'!$B61&lt;&gt;"",IFERROR(_xlfn.IFS(H61&gt;=$B$3,4,H61&gt;=$B$4,3,H61&gt;=$B$5,2,H61&gt;$B$6,1),0),"")</f>
        <v/>
      </c>
      <c r="AF61" s="2" t="str" cm="1">
        <f t="array" ref="AF61">IF('NILAI CPL'!$B61&lt;&gt;"",IFERROR(_xlfn.IFS(I61&gt;=$B$3,4,I61&gt;=$B$4,3,I61&gt;=$B$5,2,I61&gt;$B$6,1),0),"")</f>
        <v/>
      </c>
      <c r="AG61" s="2" t="str" cm="1">
        <f t="array" ref="AG61">IF('NILAI CPL'!$B61&lt;&gt;"",IFERROR(_xlfn.IFS(J61&gt;=$B$3,4,J61&gt;=$B$4,3,J61&gt;=$B$5,2,J61&gt;$B$6,1),0),"")</f>
        <v/>
      </c>
      <c r="AH61" s="2" t="str" cm="1">
        <f t="array" ref="AH61">IF('NILAI CPL'!$B61&lt;&gt;"",IFERROR(_xlfn.IFS(K61&gt;=$B$3,4,K61&gt;=$B$4,3,K61&gt;=$B$5,2,K61&gt;$B$6,1),0),"")</f>
        <v/>
      </c>
      <c r="AI61" s="2" t="str" cm="1">
        <f t="array" ref="AI61">IF('NILAI CPL'!$B61&lt;&gt;"",IFERROR(_xlfn.IFS(L61&gt;=$B$3,4,L61&gt;=$B$4,3,L61&gt;=$B$5,2,L61&gt;$B$6,1),0),"")</f>
        <v/>
      </c>
      <c r="AJ61" s="2" t="str" cm="1">
        <f t="array" ref="AJ61">IF('NILAI CPL'!$B61&lt;&gt;"",IFERROR(_xlfn.IFS(M61&gt;=$B$3,4,M61&gt;=$B$4,3,M61&gt;=$B$5,2,M61&gt;$B$6,1),0),"")</f>
        <v/>
      </c>
      <c r="AK61" s="2" t="str" cm="1">
        <f t="array" ref="AK61">IF('NILAI CPL'!$B61&lt;&gt;"",IFERROR(_xlfn.IFS(N61&gt;=$B$3,4,N61&gt;=$B$4,3,N61&gt;=$B$5,2,N61&gt;$B$6,1),0),"")</f>
        <v/>
      </c>
      <c r="AL61" s="2" t="str" cm="1">
        <f t="array" ref="AL61">IF('NILAI CPL'!$B61&lt;&gt;"",IFERROR(_xlfn.IFS(O61&gt;=$B$3,4,O61&gt;=$B$4,3,O61&gt;=$B$5,2,O61&gt;$B$6,1),0),"")</f>
        <v/>
      </c>
      <c r="AM61" s="2" t="str" cm="1">
        <f t="array" ref="AM61">IF('NILAI CPL'!$B61&lt;&gt;"",IFERROR(_xlfn.IFS(P61&gt;=$B$3,4,P61&gt;=$B$4,3,P61&gt;=$B$5,2,P61&gt;$B$6,1),0),"")</f>
        <v/>
      </c>
      <c r="AN61" s="2" t="str" cm="1">
        <f t="array" ref="AN61">IF('NILAI CPL'!$B61&lt;&gt;"",IFERROR(_xlfn.IFS(Q61&gt;=$B$3,4,Q61&gt;=$B$4,3,Q61&gt;=$B$5,2,Q61&gt;$B$6,1),0),"")</f>
        <v/>
      </c>
      <c r="AO61" s="2" t="str" cm="1">
        <f t="array" ref="AO61">IF('NILAI CPL'!$B61&lt;&gt;"",IFERROR(_xlfn.IFS(R61&gt;=$B$3,4,R61&gt;=$B$4,3,R61&gt;=$B$5,2,R61&gt;$B$6,1),0),"")</f>
        <v/>
      </c>
      <c r="AP61" s="2" t="str" cm="1">
        <f t="array" ref="AP61">IF('NILAI CPL'!$B61&lt;&gt;"",IFERROR(_xlfn.IFS(S61&gt;=$B$3,4,S61&gt;=$B$4,3,S61&gt;=$B$5,2,S61&gt;$B$6,1),0),"")</f>
        <v/>
      </c>
      <c r="AQ61" s="2" t="str" cm="1">
        <f t="array" ref="AQ61">IF('NILAI CPL'!$B61&lt;&gt;"",IFERROR(_xlfn.IFS(T61&gt;=$B$3,4,T61&gt;=$B$4,3,T61&gt;=$B$5,2,T61&gt;$B$6,1),0),"")</f>
        <v/>
      </c>
      <c r="AR61" s="2" t="str" cm="1">
        <f t="array" ref="AR61">IF('NILAI CPL'!$B61&lt;&gt;"",IFERROR(_xlfn.IFS(U61&gt;=$B$3,4,U61&gt;=$B$4,3,U61&gt;=$B$5,2,U61&gt;$B$6,1),0),"")</f>
        <v/>
      </c>
      <c r="AS61" s="2" t="str" cm="1">
        <f t="array" ref="AS61">IF('NILAI CPL'!$B61&lt;&gt;"",IFERROR(_xlfn.IFS(V61&gt;=$B$3,4,V61&gt;=$B$4,3,V61&gt;=$B$5,2,V61&gt;$B$6,1),0),"")</f>
        <v/>
      </c>
      <c r="AT61" s="2" t="str" cm="1">
        <f t="array" ref="AT61">IF('NILAI CPL'!$B61&lt;&gt;"",IFERROR(_xlfn.IFS(W61&gt;=$B$3,4,W61&gt;=$B$4,3,W61&gt;=$B$5,2,W61&gt;$B$6,1),0),"")</f>
        <v/>
      </c>
      <c r="AU61" s="2" t="str" cm="1">
        <f t="array" ref="AU61">IF('NILAI CPL'!$B61&lt;&gt;"",IFERROR(_xlfn.IFS(X61&gt;=$B$3,4,X61&gt;=$B$4,3,X61&gt;=$B$5,2,X61&gt;$B$6,1),0),"")</f>
        <v/>
      </c>
      <c r="AV61" s="2" t="str" cm="1">
        <f t="array" ref="AV61">IF('NILAI CPL'!$B61&lt;&gt;"",IFERROR(_xlfn.IFS(Y61&gt;=$B$3,4,Y61&gt;=$B$4,3,Y61&gt;=$B$5,2,Y61&gt;$B$6,1),0),"")</f>
        <v/>
      </c>
      <c r="AW61" s="2" t="str" cm="1">
        <f t="array" ref="AW61">IF('NILAI CPL'!$B61&lt;&gt;"",IFERROR(_xlfn.IFS(Z61&gt;=$B$3,4,Z61&gt;=$B$4,3,Z61&gt;=$B$5,2,Z61&gt;$B$6,1),0),"")</f>
        <v/>
      </c>
      <c r="AY61" s="2" t="str">
        <f t="shared" si="0"/>
        <v/>
      </c>
      <c r="AZ61" s="2" t="str">
        <f t="shared" si="1"/>
        <v/>
      </c>
      <c r="BA61" s="2" t="str">
        <f t="shared" si="2"/>
        <v/>
      </c>
      <c r="BB61" s="2" t="str">
        <f t="shared" si="3"/>
        <v/>
      </c>
      <c r="BC61" s="2" t="str">
        <f t="shared" si="4"/>
        <v/>
      </c>
      <c r="BD61" s="2" t="str">
        <f t="shared" si="5"/>
        <v/>
      </c>
      <c r="BE61" s="2" t="str">
        <f t="shared" si="6"/>
        <v/>
      </c>
      <c r="BF61" s="2" t="str">
        <f t="shared" si="7"/>
        <v/>
      </c>
      <c r="BG61" s="2" t="str">
        <f t="shared" si="8"/>
        <v/>
      </c>
      <c r="BH61" s="2" t="str">
        <f t="shared" si="9"/>
        <v/>
      </c>
      <c r="BJ61" s="2" t="str" cm="1">
        <f t="array" ref="BJ61">IF('NILAI CPL'!$B61&lt;&gt;"",IFERROR(_xlfn.IFS(AY61&gt;=$B$3,4,AY61&gt;=$B$4,3,AY61&gt;=$B$5,2,AY61&gt;$B$6,1),0),"")</f>
        <v/>
      </c>
      <c r="BK61" s="2" t="str" cm="1">
        <f t="array" ref="BK61">IF('NILAI CPL'!$B61&lt;&gt;"",IFERROR(_xlfn.IFS(AZ61&gt;=$B$3,4,AZ61&gt;=$B$4,3,AZ61&gt;=$B$5,2,AZ61&gt;$B$6,1),0),"")</f>
        <v/>
      </c>
      <c r="BL61" s="2" t="str" cm="1">
        <f t="array" ref="BL61">IF('NILAI CPL'!$B61&lt;&gt;"",IFERROR(_xlfn.IFS(BA61&gt;=$B$3,4,BA61&gt;=$B$4,3,BA61&gt;=$B$5,2,BA61&gt;$B$6,1),0),"")</f>
        <v/>
      </c>
      <c r="BM61" s="2" t="str" cm="1">
        <f t="array" ref="BM61">IF('NILAI CPL'!$B61&lt;&gt;"",IFERROR(_xlfn.IFS(BB61&gt;=$B$3,4,BB61&gt;=$B$4,3,BB61&gt;=$B$5,2,BB61&gt;$B$6,1),0),"")</f>
        <v/>
      </c>
      <c r="BN61" s="2" t="str" cm="1">
        <f t="array" ref="BN61">IF('NILAI CPL'!$B61&lt;&gt;"",IFERROR(_xlfn.IFS(BC61&gt;=$B$3,4,BC61&gt;=$B$4,3,BC61&gt;=$B$5,2,BC61&gt;$B$6,1),0),"")</f>
        <v/>
      </c>
      <c r="BO61" s="2" t="str" cm="1">
        <f t="array" ref="BO61">IF('NILAI CPL'!$B61&lt;&gt;"",IFERROR(_xlfn.IFS(BD61&gt;=$B$3,4,BD61&gt;=$B$4,3,BD61&gt;=$B$5,2,BD61&gt;$B$6,1),0),"")</f>
        <v/>
      </c>
      <c r="BP61" s="2" t="str" cm="1">
        <f t="array" ref="BP61">IF('NILAI CPL'!$B61&lt;&gt;"",IFERROR(_xlfn.IFS(BE61&gt;=$B$3,4,BE61&gt;=$B$4,3,BE61&gt;=$B$5,2,BE61&gt;$B$6,1),0),"")</f>
        <v/>
      </c>
      <c r="BQ61" s="2" t="str" cm="1">
        <f t="array" ref="BQ61">IF('NILAI CPL'!$B61&lt;&gt;"",IFERROR(_xlfn.IFS(BF61&gt;=$B$3,4,BF61&gt;=$B$4,3,BF61&gt;=$B$5,2,BF61&gt;$B$6,1),0),"")</f>
        <v/>
      </c>
      <c r="BR61" s="2" t="str" cm="1">
        <f t="array" ref="BR61">IF('NILAI CPL'!$B61&lt;&gt;"",IFERROR(_xlfn.IFS(BG61&gt;=$B$3,4,BG61&gt;=$B$4,3,BG61&gt;=$B$5,2,BG61&gt;$B$6,1),0),"")</f>
        <v/>
      </c>
      <c r="BS61" s="2" t="str" cm="1">
        <f t="array" ref="BS61">IF('NILAI CPL'!$B61&lt;&gt;"",IFERROR(_xlfn.IFS(BH61&gt;=$B$3,4,BH61&gt;=$B$4,3,BH61&gt;=$B$5,2,BH61&gt;$B$6,1),0),"")</f>
        <v/>
      </c>
    </row>
    <row r="62" spans="1:71" x14ac:dyDescent="0.2">
      <c r="A62" s="2">
        <v>52</v>
      </c>
      <c r="B62" s="2" t="str">
        <f>IF(LEN(SUMMARY!B62)&gt;0, SUMMARY!B62, "")</f>
        <v/>
      </c>
      <c r="C62" s="2" t="str">
        <f>IF(LEN(SUMMARY!C62)&gt;0, SUMMARY!C62, "")</f>
        <v/>
      </c>
      <c r="E62" s="2" t="str" cm="1">
        <f t="array" ref="E62">IF('NILAI CPL'!$B62&lt;&gt;"",IFERROR(JumlahPI(ROW(),COLUMN()),0),"")</f>
        <v/>
      </c>
      <c r="F62" s="2" t="str" cm="1">
        <f t="array" ref="F62">IF('NILAI CPL'!$B62&lt;&gt;"",IFERROR(JumlahPI(ROW(),COLUMN()),0),"")</f>
        <v/>
      </c>
      <c r="G62" s="2" t="str" cm="1">
        <f t="array" ref="G62">IF('NILAI CPL'!$B62&lt;&gt;"",IFERROR(JumlahPI(ROW(),COLUMN()),0),"")</f>
        <v/>
      </c>
      <c r="H62" s="2" t="str" cm="1">
        <f t="array" ref="H62">IF('NILAI CPL'!$B62&lt;&gt;"",IFERROR(JumlahPI(ROW(),COLUMN()),0),"")</f>
        <v/>
      </c>
      <c r="I62" s="2" t="str" cm="1">
        <f t="array" ref="I62">IF('NILAI CPL'!$B62&lt;&gt;"",IFERROR(JumlahPI(ROW(),COLUMN()),0),"")</f>
        <v/>
      </c>
      <c r="J62" s="2" t="str" cm="1">
        <f t="array" ref="J62">IF('NILAI CPL'!$B62&lt;&gt;"",IFERROR(JumlahPI(ROW(),COLUMN()),0),"")</f>
        <v/>
      </c>
      <c r="K62" s="2" t="str" cm="1">
        <f t="array" ref="K62">IF('NILAI CPL'!$B62&lt;&gt;"",IFERROR(JumlahPI(ROW(),COLUMN()),0),"")</f>
        <v/>
      </c>
      <c r="L62" s="2" t="str" cm="1">
        <f t="array" ref="L62">IF('NILAI CPL'!$B62&lt;&gt;"",IFERROR(JumlahPI(ROW(),COLUMN()),0),"")</f>
        <v/>
      </c>
      <c r="M62" s="2" t="str" cm="1">
        <f t="array" ref="M62">IF('NILAI CPL'!$B62&lt;&gt;"",IFERROR(JumlahPI(ROW(),COLUMN()),0),"")</f>
        <v/>
      </c>
      <c r="N62" s="2" t="str" cm="1">
        <f t="array" ref="N62">IF('NILAI CPL'!$B62&lt;&gt;"",IFERROR(JumlahPI(ROW(),COLUMN()),0),"")</f>
        <v/>
      </c>
      <c r="O62" s="2" t="str" cm="1">
        <f t="array" ref="O62">IF('NILAI CPL'!$B62&lt;&gt;"",IFERROR(JumlahPI(ROW(),COLUMN()),0),"")</f>
        <v/>
      </c>
      <c r="P62" s="2" t="str" cm="1">
        <f t="array" ref="P62">IF('NILAI CPL'!$B62&lt;&gt;"",IFERROR(JumlahPI(ROW(),COLUMN()),0),"")</f>
        <v/>
      </c>
      <c r="Q62" s="2" t="str" cm="1">
        <f t="array" ref="Q62">IF('NILAI CPL'!$B62&lt;&gt;"",IFERROR(JumlahPI(ROW(),COLUMN()),0),"")</f>
        <v/>
      </c>
      <c r="R62" s="2" t="str" cm="1">
        <f t="array" ref="R62">IF('NILAI CPL'!$B62&lt;&gt;"",IFERROR(JumlahPI(ROW(),COLUMN()),0),"")</f>
        <v/>
      </c>
      <c r="S62" s="2" t="str" cm="1">
        <f t="array" ref="S62">IF('NILAI CPL'!$B62&lt;&gt;"",IFERROR(JumlahPI(ROW(),COLUMN()),0),"")</f>
        <v/>
      </c>
      <c r="T62" s="2" t="str" cm="1">
        <f t="array" ref="T62">IF('NILAI CPL'!$B62&lt;&gt;"",IFERROR(JumlahPI(ROW(),COLUMN()),0),"")</f>
        <v/>
      </c>
      <c r="U62" s="2" t="str" cm="1">
        <f t="array" ref="U62">IF('NILAI CPL'!$B62&lt;&gt;"",IFERROR(JumlahPI(ROW(),COLUMN()),0),"")</f>
        <v/>
      </c>
      <c r="V62" s="2" t="str" cm="1">
        <f t="array" ref="V62">IF('NILAI CPL'!$B62&lt;&gt;"",IFERROR(JumlahPI(ROW(),COLUMN()),0),"")</f>
        <v/>
      </c>
      <c r="W62" s="2" t="str" cm="1">
        <f t="array" ref="W62">IF('NILAI CPL'!$B62&lt;&gt;"",IFERROR(JumlahPI(ROW(),COLUMN()),0),"")</f>
        <v/>
      </c>
      <c r="X62" s="2" t="str" cm="1">
        <f t="array" ref="X62">IF('NILAI CPL'!$B62&lt;&gt;"",IFERROR(JumlahPI(ROW(),COLUMN()),0),"")</f>
        <v/>
      </c>
      <c r="Y62" s="2" t="str" cm="1">
        <f t="array" ref="Y62">IF('NILAI CPL'!$B62&lt;&gt;"",IFERROR(JumlahPI(ROW(),COLUMN()),0),"")</f>
        <v/>
      </c>
      <c r="Z62" s="2" t="str" cm="1">
        <f t="array" ref="Z62">IF('NILAI CPL'!$B62&lt;&gt;"",IFERROR(JumlahPI(ROW(),COLUMN()),0),"")</f>
        <v/>
      </c>
      <c r="AB62" s="2" t="str" cm="1">
        <f t="array" ref="AB62">IF('NILAI CPL'!$B62&lt;&gt;"",IFERROR(_xlfn.IFS(E62&gt;=$B$3,4,E62&gt;=$B$4,3,E62&gt;=$B$5,2,E62&gt;$B$6,1),0),"")</f>
        <v/>
      </c>
      <c r="AC62" s="2" t="str" cm="1">
        <f t="array" ref="AC62">IF('NILAI CPL'!$B62&lt;&gt;"",IFERROR(_xlfn.IFS(F62&gt;=$B$3,4,F62&gt;=$B$4,3,F62&gt;=$B$5,2,F62&gt;$B$6,1),0),"")</f>
        <v/>
      </c>
      <c r="AD62" s="2" t="str" cm="1">
        <f t="array" ref="AD62">IF('NILAI CPL'!$B62&lt;&gt;"",IFERROR(_xlfn.IFS(G62&gt;=$B$3,4,G62&gt;=$B$4,3,G62&gt;=$B$5,2,G62&gt;$B$6,1),0),"")</f>
        <v/>
      </c>
      <c r="AE62" s="2" t="str" cm="1">
        <f t="array" ref="AE62">IF('NILAI CPL'!$B62&lt;&gt;"",IFERROR(_xlfn.IFS(H62&gt;=$B$3,4,H62&gt;=$B$4,3,H62&gt;=$B$5,2,H62&gt;$B$6,1),0),"")</f>
        <v/>
      </c>
      <c r="AF62" s="2" t="str" cm="1">
        <f t="array" ref="AF62">IF('NILAI CPL'!$B62&lt;&gt;"",IFERROR(_xlfn.IFS(I62&gt;=$B$3,4,I62&gt;=$B$4,3,I62&gt;=$B$5,2,I62&gt;$B$6,1),0),"")</f>
        <v/>
      </c>
      <c r="AG62" s="2" t="str" cm="1">
        <f t="array" ref="AG62">IF('NILAI CPL'!$B62&lt;&gt;"",IFERROR(_xlfn.IFS(J62&gt;=$B$3,4,J62&gt;=$B$4,3,J62&gt;=$B$5,2,J62&gt;$B$6,1),0),"")</f>
        <v/>
      </c>
      <c r="AH62" s="2" t="str" cm="1">
        <f t="array" ref="AH62">IF('NILAI CPL'!$B62&lt;&gt;"",IFERROR(_xlfn.IFS(K62&gt;=$B$3,4,K62&gt;=$B$4,3,K62&gt;=$B$5,2,K62&gt;$B$6,1),0),"")</f>
        <v/>
      </c>
      <c r="AI62" s="2" t="str" cm="1">
        <f t="array" ref="AI62">IF('NILAI CPL'!$B62&lt;&gt;"",IFERROR(_xlfn.IFS(L62&gt;=$B$3,4,L62&gt;=$B$4,3,L62&gt;=$B$5,2,L62&gt;$B$6,1),0),"")</f>
        <v/>
      </c>
      <c r="AJ62" s="2" t="str" cm="1">
        <f t="array" ref="AJ62">IF('NILAI CPL'!$B62&lt;&gt;"",IFERROR(_xlfn.IFS(M62&gt;=$B$3,4,M62&gt;=$B$4,3,M62&gt;=$B$5,2,M62&gt;$B$6,1),0),"")</f>
        <v/>
      </c>
      <c r="AK62" s="2" t="str" cm="1">
        <f t="array" ref="AK62">IF('NILAI CPL'!$B62&lt;&gt;"",IFERROR(_xlfn.IFS(N62&gt;=$B$3,4,N62&gt;=$B$4,3,N62&gt;=$B$5,2,N62&gt;$B$6,1),0),"")</f>
        <v/>
      </c>
      <c r="AL62" s="2" t="str" cm="1">
        <f t="array" ref="AL62">IF('NILAI CPL'!$B62&lt;&gt;"",IFERROR(_xlfn.IFS(O62&gt;=$B$3,4,O62&gt;=$B$4,3,O62&gt;=$B$5,2,O62&gt;$B$6,1),0),"")</f>
        <v/>
      </c>
      <c r="AM62" s="2" t="str" cm="1">
        <f t="array" ref="AM62">IF('NILAI CPL'!$B62&lt;&gt;"",IFERROR(_xlfn.IFS(P62&gt;=$B$3,4,P62&gt;=$B$4,3,P62&gt;=$B$5,2,P62&gt;$B$6,1),0),"")</f>
        <v/>
      </c>
      <c r="AN62" s="2" t="str" cm="1">
        <f t="array" ref="AN62">IF('NILAI CPL'!$B62&lt;&gt;"",IFERROR(_xlfn.IFS(Q62&gt;=$B$3,4,Q62&gt;=$B$4,3,Q62&gt;=$B$5,2,Q62&gt;$B$6,1),0),"")</f>
        <v/>
      </c>
      <c r="AO62" s="2" t="str" cm="1">
        <f t="array" ref="AO62">IF('NILAI CPL'!$B62&lt;&gt;"",IFERROR(_xlfn.IFS(R62&gt;=$B$3,4,R62&gt;=$B$4,3,R62&gt;=$B$5,2,R62&gt;$B$6,1),0),"")</f>
        <v/>
      </c>
      <c r="AP62" s="2" t="str" cm="1">
        <f t="array" ref="AP62">IF('NILAI CPL'!$B62&lt;&gt;"",IFERROR(_xlfn.IFS(S62&gt;=$B$3,4,S62&gt;=$B$4,3,S62&gt;=$B$5,2,S62&gt;$B$6,1),0),"")</f>
        <v/>
      </c>
      <c r="AQ62" s="2" t="str" cm="1">
        <f t="array" ref="AQ62">IF('NILAI CPL'!$B62&lt;&gt;"",IFERROR(_xlfn.IFS(T62&gt;=$B$3,4,T62&gt;=$B$4,3,T62&gt;=$B$5,2,T62&gt;$B$6,1),0),"")</f>
        <v/>
      </c>
      <c r="AR62" s="2" t="str" cm="1">
        <f t="array" ref="AR62">IF('NILAI CPL'!$B62&lt;&gt;"",IFERROR(_xlfn.IFS(U62&gt;=$B$3,4,U62&gt;=$B$4,3,U62&gt;=$B$5,2,U62&gt;$B$6,1),0),"")</f>
        <v/>
      </c>
      <c r="AS62" s="2" t="str" cm="1">
        <f t="array" ref="AS62">IF('NILAI CPL'!$B62&lt;&gt;"",IFERROR(_xlfn.IFS(V62&gt;=$B$3,4,V62&gt;=$B$4,3,V62&gt;=$B$5,2,V62&gt;$B$6,1),0),"")</f>
        <v/>
      </c>
      <c r="AT62" s="2" t="str" cm="1">
        <f t="array" ref="AT62">IF('NILAI CPL'!$B62&lt;&gt;"",IFERROR(_xlfn.IFS(W62&gt;=$B$3,4,W62&gt;=$B$4,3,W62&gt;=$B$5,2,W62&gt;$B$6,1),0),"")</f>
        <v/>
      </c>
      <c r="AU62" s="2" t="str" cm="1">
        <f t="array" ref="AU62">IF('NILAI CPL'!$B62&lt;&gt;"",IFERROR(_xlfn.IFS(X62&gt;=$B$3,4,X62&gt;=$B$4,3,X62&gt;=$B$5,2,X62&gt;$B$6,1),0),"")</f>
        <v/>
      </c>
      <c r="AV62" s="2" t="str" cm="1">
        <f t="array" ref="AV62">IF('NILAI CPL'!$B62&lt;&gt;"",IFERROR(_xlfn.IFS(Y62&gt;=$B$3,4,Y62&gt;=$B$4,3,Y62&gt;=$B$5,2,Y62&gt;$B$6,1),0),"")</f>
        <v/>
      </c>
      <c r="AW62" s="2" t="str" cm="1">
        <f t="array" ref="AW62">IF('NILAI CPL'!$B62&lt;&gt;"",IFERROR(_xlfn.IFS(Z62&gt;=$B$3,4,Z62&gt;=$B$4,3,Z62&gt;=$B$5,2,Z62&gt;$B$6,1),0),"")</f>
        <v/>
      </c>
      <c r="AY62" s="2" t="str">
        <f t="shared" si="0"/>
        <v/>
      </c>
      <c r="AZ62" s="2" t="str">
        <f t="shared" si="1"/>
        <v/>
      </c>
      <c r="BA62" s="2" t="str">
        <f t="shared" si="2"/>
        <v/>
      </c>
      <c r="BB62" s="2" t="str">
        <f t="shared" si="3"/>
        <v/>
      </c>
      <c r="BC62" s="2" t="str">
        <f t="shared" si="4"/>
        <v/>
      </c>
      <c r="BD62" s="2" t="str">
        <f t="shared" si="5"/>
        <v/>
      </c>
      <c r="BE62" s="2" t="str">
        <f t="shared" si="6"/>
        <v/>
      </c>
      <c r="BF62" s="2" t="str">
        <f t="shared" si="7"/>
        <v/>
      </c>
      <c r="BG62" s="2" t="str">
        <f t="shared" si="8"/>
        <v/>
      </c>
      <c r="BH62" s="2" t="str">
        <f t="shared" si="9"/>
        <v/>
      </c>
      <c r="BJ62" s="2" t="str" cm="1">
        <f t="array" ref="BJ62">IF('NILAI CPL'!$B62&lt;&gt;"",IFERROR(_xlfn.IFS(AY62&gt;=$B$3,4,AY62&gt;=$B$4,3,AY62&gt;=$B$5,2,AY62&gt;$B$6,1),0),"")</f>
        <v/>
      </c>
      <c r="BK62" s="2" t="str" cm="1">
        <f t="array" ref="BK62">IF('NILAI CPL'!$B62&lt;&gt;"",IFERROR(_xlfn.IFS(AZ62&gt;=$B$3,4,AZ62&gt;=$B$4,3,AZ62&gt;=$B$5,2,AZ62&gt;$B$6,1),0),"")</f>
        <v/>
      </c>
      <c r="BL62" s="2" t="str" cm="1">
        <f t="array" ref="BL62">IF('NILAI CPL'!$B62&lt;&gt;"",IFERROR(_xlfn.IFS(BA62&gt;=$B$3,4,BA62&gt;=$B$4,3,BA62&gt;=$B$5,2,BA62&gt;$B$6,1),0),"")</f>
        <v/>
      </c>
      <c r="BM62" s="2" t="str" cm="1">
        <f t="array" ref="BM62">IF('NILAI CPL'!$B62&lt;&gt;"",IFERROR(_xlfn.IFS(BB62&gt;=$B$3,4,BB62&gt;=$B$4,3,BB62&gt;=$B$5,2,BB62&gt;$B$6,1),0),"")</f>
        <v/>
      </c>
      <c r="BN62" s="2" t="str" cm="1">
        <f t="array" ref="BN62">IF('NILAI CPL'!$B62&lt;&gt;"",IFERROR(_xlfn.IFS(BC62&gt;=$B$3,4,BC62&gt;=$B$4,3,BC62&gt;=$B$5,2,BC62&gt;$B$6,1),0),"")</f>
        <v/>
      </c>
      <c r="BO62" s="2" t="str" cm="1">
        <f t="array" ref="BO62">IF('NILAI CPL'!$B62&lt;&gt;"",IFERROR(_xlfn.IFS(BD62&gt;=$B$3,4,BD62&gt;=$B$4,3,BD62&gt;=$B$5,2,BD62&gt;$B$6,1),0),"")</f>
        <v/>
      </c>
      <c r="BP62" s="2" t="str" cm="1">
        <f t="array" ref="BP62">IF('NILAI CPL'!$B62&lt;&gt;"",IFERROR(_xlfn.IFS(BE62&gt;=$B$3,4,BE62&gt;=$B$4,3,BE62&gt;=$B$5,2,BE62&gt;$B$6,1),0),"")</f>
        <v/>
      </c>
      <c r="BQ62" s="2" t="str" cm="1">
        <f t="array" ref="BQ62">IF('NILAI CPL'!$B62&lt;&gt;"",IFERROR(_xlfn.IFS(BF62&gt;=$B$3,4,BF62&gt;=$B$4,3,BF62&gt;=$B$5,2,BF62&gt;$B$6,1),0),"")</f>
        <v/>
      </c>
      <c r="BR62" s="2" t="str" cm="1">
        <f t="array" ref="BR62">IF('NILAI CPL'!$B62&lt;&gt;"",IFERROR(_xlfn.IFS(BG62&gt;=$B$3,4,BG62&gt;=$B$4,3,BG62&gt;=$B$5,2,BG62&gt;$B$6,1),0),"")</f>
        <v/>
      </c>
      <c r="BS62" s="2" t="str" cm="1">
        <f t="array" ref="BS62">IF('NILAI CPL'!$B62&lt;&gt;"",IFERROR(_xlfn.IFS(BH62&gt;=$B$3,4,BH62&gt;=$B$4,3,BH62&gt;=$B$5,2,BH62&gt;$B$6,1),0),"")</f>
        <v/>
      </c>
    </row>
    <row r="63" spans="1:71" x14ac:dyDescent="0.2">
      <c r="A63" s="2">
        <v>53</v>
      </c>
      <c r="B63" s="2" t="str">
        <f>IF(LEN(SUMMARY!B63)&gt;0, SUMMARY!B63, "")</f>
        <v/>
      </c>
      <c r="C63" s="2" t="str">
        <f>IF(LEN(SUMMARY!C63)&gt;0, SUMMARY!C63, "")</f>
        <v/>
      </c>
      <c r="E63" s="2" t="str" cm="1">
        <f t="array" ref="E63">IF('NILAI CPL'!$B63&lt;&gt;"",IFERROR(JumlahPI(ROW(),COLUMN()),0),"")</f>
        <v/>
      </c>
      <c r="F63" s="2" t="str" cm="1">
        <f t="array" ref="F63">IF('NILAI CPL'!$B63&lt;&gt;"",IFERROR(JumlahPI(ROW(),COLUMN()),0),"")</f>
        <v/>
      </c>
      <c r="G63" s="2" t="str" cm="1">
        <f t="array" ref="G63">IF('NILAI CPL'!$B63&lt;&gt;"",IFERROR(JumlahPI(ROW(),COLUMN()),0),"")</f>
        <v/>
      </c>
      <c r="H63" s="2" t="str" cm="1">
        <f t="array" ref="H63">IF('NILAI CPL'!$B63&lt;&gt;"",IFERROR(JumlahPI(ROW(),COLUMN()),0),"")</f>
        <v/>
      </c>
      <c r="I63" s="2" t="str" cm="1">
        <f t="array" ref="I63">IF('NILAI CPL'!$B63&lt;&gt;"",IFERROR(JumlahPI(ROW(),COLUMN()),0),"")</f>
        <v/>
      </c>
      <c r="J63" s="2" t="str" cm="1">
        <f t="array" ref="J63">IF('NILAI CPL'!$B63&lt;&gt;"",IFERROR(JumlahPI(ROW(),COLUMN()),0),"")</f>
        <v/>
      </c>
      <c r="K63" s="2" t="str" cm="1">
        <f t="array" ref="K63">IF('NILAI CPL'!$B63&lt;&gt;"",IFERROR(JumlahPI(ROW(),COLUMN()),0),"")</f>
        <v/>
      </c>
      <c r="L63" s="2" t="str" cm="1">
        <f t="array" ref="L63">IF('NILAI CPL'!$B63&lt;&gt;"",IFERROR(JumlahPI(ROW(),COLUMN()),0),"")</f>
        <v/>
      </c>
      <c r="M63" s="2" t="str" cm="1">
        <f t="array" ref="M63">IF('NILAI CPL'!$B63&lt;&gt;"",IFERROR(JumlahPI(ROW(),COLUMN()),0),"")</f>
        <v/>
      </c>
      <c r="N63" s="2" t="str" cm="1">
        <f t="array" ref="N63">IF('NILAI CPL'!$B63&lt;&gt;"",IFERROR(JumlahPI(ROW(),COLUMN()),0),"")</f>
        <v/>
      </c>
      <c r="O63" s="2" t="str" cm="1">
        <f t="array" ref="O63">IF('NILAI CPL'!$B63&lt;&gt;"",IFERROR(JumlahPI(ROW(),COLUMN()),0),"")</f>
        <v/>
      </c>
      <c r="P63" s="2" t="str" cm="1">
        <f t="array" ref="P63">IF('NILAI CPL'!$B63&lt;&gt;"",IFERROR(JumlahPI(ROW(),COLUMN()),0),"")</f>
        <v/>
      </c>
      <c r="Q63" s="2" t="str" cm="1">
        <f t="array" ref="Q63">IF('NILAI CPL'!$B63&lt;&gt;"",IFERROR(JumlahPI(ROW(),COLUMN()),0),"")</f>
        <v/>
      </c>
      <c r="R63" s="2" t="str" cm="1">
        <f t="array" ref="R63">IF('NILAI CPL'!$B63&lt;&gt;"",IFERROR(JumlahPI(ROW(),COLUMN()),0),"")</f>
        <v/>
      </c>
      <c r="S63" s="2" t="str" cm="1">
        <f t="array" ref="S63">IF('NILAI CPL'!$B63&lt;&gt;"",IFERROR(JumlahPI(ROW(),COLUMN()),0),"")</f>
        <v/>
      </c>
      <c r="T63" s="2" t="str" cm="1">
        <f t="array" ref="T63">IF('NILAI CPL'!$B63&lt;&gt;"",IFERROR(JumlahPI(ROW(),COLUMN()),0),"")</f>
        <v/>
      </c>
      <c r="U63" s="2" t="str" cm="1">
        <f t="array" ref="U63">IF('NILAI CPL'!$B63&lt;&gt;"",IFERROR(JumlahPI(ROW(),COLUMN()),0),"")</f>
        <v/>
      </c>
      <c r="V63" s="2" t="str" cm="1">
        <f t="array" ref="V63">IF('NILAI CPL'!$B63&lt;&gt;"",IFERROR(JumlahPI(ROW(),COLUMN()),0),"")</f>
        <v/>
      </c>
      <c r="W63" s="2" t="str" cm="1">
        <f t="array" ref="W63">IF('NILAI CPL'!$B63&lt;&gt;"",IFERROR(JumlahPI(ROW(),COLUMN()),0),"")</f>
        <v/>
      </c>
      <c r="X63" s="2" t="str" cm="1">
        <f t="array" ref="X63">IF('NILAI CPL'!$B63&lt;&gt;"",IFERROR(JumlahPI(ROW(),COLUMN()),0),"")</f>
        <v/>
      </c>
      <c r="Y63" s="2" t="str" cm="1">
        <f t="array" ref="Y63">IF('NILAI CPL'!$B63&lt;&gt;"",IFERROR(JumlahPI(ROW(),COLUMN()),0),"")</f>
        <v/>
      </c>
      <c r="Z63" s="2" t="str" cm="1">
        <f t="array" ref="Z63">IF('NILAI CPL'!$B63&lt;&gt;"",IFERROR(JumlahPI(ROW(),COLUMN()),0),"")</f>
        <v/>
      </c>
      <c r="AB63" s="2" t="str" cm="1">
        <f t="array" ref="AB63">IF('NILAI CPL'!$B63&lt;&gt;"",IFERROR(_xlfn.IFS(E63&gt;=$B$3,4,E63&gt;=$B$4,3,E63&gt;=$B$5,2,E63&gt;$B$6,1),0),"")</f>
        <v/>
      </c>
      <c r="AC63" s="2" t="str" cm="1">
        <f t="array" ref="AC63">IF('NILAI CPL'!$B63&lt;&gt;"",IFERROR(_xlfn.IFS(F63&gt;=$B$3,4,F63&gt;=$B$4,3,F63&gt;=$B$5,2,F63&gt;$B$6,1),0),"")</f>
        <v/>
      </c>
      <c r="AD63" s="2" t="str" cm="1">
        <f t="array" ref="AD63">IF('NILAI CPL'!$B63&lt;&gt;"",IFERROR(_xlfn.IFS(G63&gt;=$B$3,4,G63&gt;=$B$4,3,G63&gt;=$B$5,2,G63&gt;$B$6,1),0),"")</f>
        <v/>
      </c>
      <c r="AE63" s="2" t="str" cm="1">
        <f t="array" ref="AE63">IF('NILAI CPL'!$B63&lt;&gt;"",IFERROR(_xlfn.IFS(H63&gt;=$B$3,4,H63&gt;=$B$4,3,H63&gt;=$B$5,2,H63&gt;$B$6,1),0),"")</f>
        <v/>
      </c>
      <c r="AF63" s="2" t="str" cm="1">
        <f t="array" ref="AF63">IF('NILAI CPL'!$B63&lt;&gt;"",IFERROR(_xlfn.IFS(I63&gt;=$B$3,4,I63&gt;=$B$4,3,I63&gt;=$B$5,2,I63&gt;$B$6,1),0),"")</f>
        <v/>
      </c>
      <c r="AG63" s="2" t="str" cm="1">
        <f t="array" ref="AG63">IF('NILAI CPL'!$B63&lt;&gt;"",IFERROR(_xlfn.IFS(J63&gt;=$B$3,4,J63&gt;=$B$4,3,J63&gt;=$B$5,2,J63&gt;$B$6,1),0),"")</f>
        <v/>
      </c>
      <c r="AH63" s="2" t="str" cm="1">
        <f t="array" ref="AH63">IF('NILAI CPL'!$B63&lt;&gt;"",IFERROR(_xlfn.IFS(K63&gt;=$B$3,4,K63&gt;=$B$4,3,K63&gt;=$B$5,2,K63&gt;$B$6,1),0),"")</f>
        <v/>
      </c>
      <c r="AI63" s="2" t="str" cm="1">
        <f t="array" ref="AI63">IF('NILAI CPL'!$B63&lt;&gt;"",IFERROR(_xlfn.IFS(L63&gt;=$B$3,4,L63&gt;=$B$4,3,L63&gt;=$B$5,2,L63&gt;$B$6,1),0),"")</f>
        <v/>
      </c>
      <c r="AJ63" s="2" t="str" cm="1">
        <f t="array" ref="AJ63">IF('NILAI CPL'!$B63&lt;&gt;"",IFERROR(_xlfn.IFS(M63&gt;=$B$3,4,M63&gt;=$B$4,3,M63&gt;=$B$5,2,M63&gt;$B$6,1),0),"")</f>
        <v/>
      </c>
      <c r="AK63" s="2" t="str" cm="1">
        <f t="array" ref="AK63">IF('NILAI CPL'!$B63&lt;&gt;"",IFERROR(_xlfn.IFS(N63&gt;=$B$3,4,N63&gt;=$B$4,3,N63&gt;=$B$5,2,N63&gt;$B$6,1),0),"")</f>
        <v/>
      </c>
      <c r="AL63" s="2" t="str" cm="1">
        <f t="array" ref="AL63">IF('NILAI CPL'!$B63&lt;&gt;"",IFERROR(_xlfn.IFS(O63&gt;=$B$3,4,O63&gt;=$B$4,3,O63&gt;=$B$5,2,O63&gt;$B$6,1),0),"")</f>
        <v/>
      </c>
      <c r="AM63" s="2" t="str" cm="1">
        <f t="array" ref="AM63">IF('NILAI CPL'!$B63&lt;&gt;"",IFERROR(_xlfn.IFS(P63&gt;=$B$3,4,P63&gt;=$B$4,3,P63&gt;=$B$5,2,P63&gt;$B$6,1),0),"")</f>
        <v/>
      </c>
      <c r="AN63" s="2" t="str" cm="1">
        <f t="array" ref="AN63">IF('NILAI CPL'!$B63&lt;&gt;"",IFERROR(_xlfn.IFS(Q63&gt;=$B$3,4,Q63&gt;=$B$4,3,Q63&gt;=$B$5,2,Q63&gt;$B$6,1),0),"")</f>
        <v/>
      </c>
      <c r="AO63" s="2" t="str" cm="1">
        <f t="array" ref="AO63">IF('NILAI CPL'!$B63&lt;&gt;"",IFERROR(_xlfn.IFS(R63&gt;=$B$3,4,R63&gt;=$B$4,3,R63&gt;=$B$5,2,R63&gt;$B$6,1),0),"")</f>
        <v/>
      </c>
      <c r="AP63" s="2" t="str" cm="1">
        <f t="array" ref="AP63">IF('NILAI CPL'!$B63&lt;&gt;"",IFERROR(_xlfn.IFS(S63&gt;=$B$3,4,S63&gt;=$B$4,3,S63&gt;=$B$5,2,S63&gt;$B$6,1),0),"")</f>
        <v/>
      </c>
      <c r="AQ63" s="2" t="str" cm="1">
        <f t="array" ref="AQ63">IF('NILAI CPL'!$B63&lt;&gt;"",IFERROR(_xlfn.IFS(T63&gt;=$B$3,4,T63&gt;=$B$4,3,T63&gt;=$B$5,2,T63&gt;$B$6,1),0),"")</f>
        <v/>
      </c>
      <c r="AR63" s="2" t="str" cm="1">
        <f t="array" ref="AR63">IF('NILAI CPL'!$B63&lt;&gt;"",IFERROR(_xlfn.IFS(U63&gt;=$B$3,4,U63&gt;=$B$4,3,U63&gt;=$B$5,2,U63&gt;$B$6,1),0),"")</f>
        <v/>
      </c>
      <c r="AS63" s="2" t="str" cm="1">
        <f t="array" ref="AS63">IF('NILAI CPL'!$B63&lt;&gt;"",IFERROR(_xlfn.IFS(V63&gt;=$B$3,4,V63&gt;=$B$4,3,V63&gt;=$B$5,2,V63&gt;$B$6,1),0),"")</f>
        <v/>
      </c>
      <c r="AT63" s="2" t="str" cm="1">
        <f t="array" ref="AT63">IF('NILAI CPL'!$B63&lt;&gt;"",IFERROR(_xlfn.IFS(W63&gt;=$B$3,4,W63&gt;=$B$4,3,W63&gt;=$B$5,2,W63&gt;$B$6,1),0),"")</f>
        <v/>
      </c>
      <c r="AU63" s="2" t="str" cm="1">
        <f t="array" ref="AU63">IF('NILAI CPL'!$B63&lt;&gt;"",IFERROR(_xlfn.IFS(X63&gt;=$B$3,4,X63&gt;=$B$4,3,X63&gt;=$B$5,2,X63&gt;$B$6,1),0),"")</f>
        <v/>
      </c>
      <c r="AV63" s="2" t="str" cm="1">
        <f t="array" ref="AV63">IF('NILAI CPL'!$B63&lt;&gt;"",IFERROR(_xlfn.IFS(Y63&gt;=$B$3,4,Y63&gt;=$B$4,3,Y63&gt;=$B$5,2,Y63&gt;$B$6,1),0),"")</f>
        <v/>
      </c>
      <c r="AW63" s="2" t="str" cm="1">
        <f t="array" ref="AW63">IF('NILAI CPL'!$B63&lt;&gt;"",IFERROR(_xlfn.IFS(Z63&gt;=$B$3,4,Z63&gt;=$B$4,3,Z63&gt;=$B$5,2,Z63&gt;$B$6,1),0),"")</f>
        <v/>
      </c>
      <c r="AY63" s="2" t="str">
        <f t="shared" si="0"/>
        <v/>
      </c>
      <c r="AZ63" s="2" t="str">
        <f t="shared" si="1"/>
        <v/>
      </c>
      <c r="BA63" s="2" t="str">
        <f t="shared" si="2"/>
        <v/>
      </c>
      <c r="BB63" s="2" t="str">
        <f t="shared" si="3"/>
        <v/>
      </c>
      <c r="BC63" s="2" t="str">
        <f t="shared" si="4"/>
        <v/>
      </c>
      <c r="BD63" s="2" t="str">
        <f t="shared" si="5"/>
        <v/>
      </c>
      <c r="BE63" s="2" t="str">
        <f t="shared" si="6"/>
        <v/>
      </c>
      <c r="BF63" s="2" t="str">
        <f t="shared" si="7"/>
        <v/>
      </c>
      <c r="BG63" s="2" t="str">
        <f t="shared" si="8"/>
        <v/>
      </c>
      <c r="BH63" s="2" t="str">
        <f t="shared" si="9"/>
        <v/>
      </c>
      <c r="BJ63" s="2" t="str" cm="1">
        <f t="array" ref="BJ63">IF('NILAI CPL'!$B63&lt;&gt;"",IFERROR(_xlfn.IFS(AY63&gt;=$B$3,4,AY63&gt;=$B$4,3,AY63&gt;=$B$5,2,AY63&gt;$B$6,1),0),"")</f>
        <v/>
      </c>
      <c r="BK63" s="2" t="str" cm="1">
        <f t="array" ref="BK63">IF('NILAI CPL'!$B63&lt;&gt;"",IFERROR(_xlfn.IFS(AZ63&gt;=$B$3,4,AZ63&gt;=$B$4,3,AZ63&gt;=$B$5,2,AZ63&gt;$B$6,1),0),"")</f>
        <v/>
      </c>
      <c r="BL63" s="2" t="str" cm="1">
        <f t="array" ref="BL63">IF('NILAI CPL'!$B63&lt;&gt;"",IFERROR(_xlfn.IFS(BA63&gt;=$B$3,4,BA63&gt;=$B$4,3,BA63&gt;=$B$5,2,BA63&gt;$B$6,1),0),"")</f>
        <v/>
      </c>
      <c r="BM63" s="2" t="str" cm="1">
        <f t="array" ref="BM63">IF('NILAI CPL'!$B63&lt;&gt;"",IFERROR(_xlfn.IFS(BB63&gt;=$B$3,4,BB63&gt;=$B$4,3,BB63&gt;=$B$5,2,BB63&gt;$B$6,1),0),"")</f>
        <v/>
      </c>
      <c r="BN63" s="2" t="str" cm="1">
        <f t="array" ref="BN63">IF('NILAI CPL'!$B63&lt;&gt;"",IFERROR(_xlfn.IFS(BC63&gt;=$B$3,4,BC63&gt;=$B$4,3,BC63&gt;=$B$5,2,BC63&gt;$B$6,1),0),"")</f>
        <v/>
      </c>
      <c r="BO63" s="2" t="str" cm="1">
        <f t="array" ref="BO63">IF('NILAI CPL'!$B63&lt;&gt;"",IFERROR(_xlfn.IFS(BD63&gt;=$B$3,4,BD63&gt;=$B$4,3,BD63&gt;=$B$5,2,BD63&gt;$B$6,1),0),"")</f>
        <v/>
      </c>
      <c r="BP63" s="2" t="str" cm="1">
        <f t="array" ref="BP63">IF('NILAI CPL'!$B63&lt;&gt;"",IFERROR(_xlfn.IFS(BE63&gt;=$B$3,4,BE63&gt;=$B$4,3,BE63&gt;=$B$5,2,BE63&gt;$B$6,1),0),"")</f>
        <v/>
      </c>
      <c r="BQ63" s="2" t="str" cm="1">
        <f t="array" ref="BQ63">IF('NILAI CPL'!$B63&lt;&gt;"",IFERROR(_xlfn.IFS(BF63&gt;=$B$3,4,BF63&gt;=$B$4,3,BF63&gt;=$B$5,2,BF63&gt;$B$6,1),0),"")</f>
        <v/>
      </c>
      <c r="BR63" s="2" t="str" cm="1">
        <f t="array" ref="BR63">IF('NILAI CPL'!$B63&lt;&gt;"",IFERROR(_xlfn.IFS(BG63&gt;=$B$3,4,BG63&gt;=$B$4,3,BG63&gt;=$B$5,2,BG63&gt;$B$6,1),0),"")</f>
        <v/>
      </c>
      <c r="BS63" s="2" t="str" cm="1">
        <f t="array" ref="BS63">IF('NILAI CPL'!$B63&lt;&gt;"",IFERROR(_xlfn.IFS(BH63&gt;=$B$3,4,BH63&gt;=$B$4,3,BH63&gt;=$B$5,2,BH63&gt;$B$6,1),0),"")</f>
        <v/>
      </c>
    </row>
    <row r="64" spans="1:71" x14ac:dyDescent="0.2">
      <c r="A64" s="2">
        <v>54</v>
      </c>
      <c r="B64" s="2" t="str">
        <f>IF(LEN(SUMMARY!B64)&gt;0, SUMMARY!B64, "")</f>
        <v/>
      </c>
      <c r="C64" s="2" t="str">
        <f>IF(LEN(SUMMARY!C64)&gt;0, SUMMARY!C64, "")</f>
        <v/>
      </c>
      <c r="E64" s="2" t="str" cm="1">
        <f t="array" ref="E64">IF('NILAI CPL'!$B64&lt;&gt;"",IFERROR(JumlahPI(ROW(),COLUMN()),0),"")</f>
        <v/>
      </c>
      <c r="F64" s="2" t="str" cm="1">
        <f t="array" ref="F64">IF('NILAI CPL'!$B64&lt;&gt;"",IFERROR(JumlahPI(ROW(),COLUMN()),0),"")</f>
        <v/>
      </c>
      <c r="G64" s="2" t="str" cm="1">
        <f t="array" ref="G64">IF('NILAI CPL'!$B64&lt;&gt;"",IFERROR(JumlahPI(ROW(),COLUMN()),0),"")</f>
        <v/>
      </c>
      <c r="H64" s="2" t="str" cm="1">
        <f t="array" ref="H64">IF('NILAI CPL'!$B64&lt;&gt;"",IFERROR(JumlahPI(ROW(),COLUMN()),0),"")</f>
        <v/>
      </c>
      <c r="I64" s="2" t="str" cm="1">
        <f t="array" ref="I64">IF('NILAI CPL'!$B64&lt;&gt;"",IFERROR(JumlahPI(ROW(),COLUMN()),0),"")</f>
        <v/>
      </c>
      <c r="J64" s="2" t="str" cm="1">
        <f t="array" ref="J64">IF('NILAI CPL'!$B64&lt;&gt;"",IFERROR(JumlahPI(ROW(),COLUMN()),0),"")</f>
        <v/>
      </c>
      <c r="K64" s="2" t="str" cm="1">
        <f t="array" ref="K64">IF('NILAI CPL'!$B64&lt;&gt;"",IFERROR(JumlahPI(ROW(),COLUMN()),0),"")</f>
        <v/>
      </c>
      <c r="L64" s="2" t="str" cm="1">
        <f t="array" ref="L64">IF('NILAI CPL'!$B64&lt;&gt;"",IFERROR(JumlahPI(ROW(),COLUMN()),0),"")</f>
        <v/>
      </c>
      <c r="M64" s="2" t="str" cm="1">
        <f t="array" ref="M64">IF('NILAI CPL'!$B64&lt;&gt;"",IFERROR(JumlahPI(ROW(),COLUMN()),0),"")</f>
        <v/>
      </c>
      <c r="N64" s="2" t="str" cm="1">
        <f t="array" ref="N64">IF('NILAI CPL'!$B64&lt;&gt;"",IFERROR(JumlahPI(ROW(),COLUMN()),0),"")</f>
        <v/>
      </c>
      <c r="O64" s="2" t="str" cm="1">
        <f t="array" ref="O64">IF('NILAI CPL'!$B64&lt;&gt;"",IFERROR(JumlahPI(ROW(),COLUMN()),0),"")</f>
        <v/>
      </c>
      <c r="P64" s="2" t="str" cm="1">
        <f t="array" ref="P64">IF('NILAI CPL'!$B64&lt;&gt;"",IFERROR(JumlahPI(ROW(),COLUMN()),0),"")</f>
        <v/>
      </c>
      <c r="Q64" s="2" t="str" cm="1">
        <f t="array" ref="Q64">IF('NILAI CPL'!$B64&lt;&gt;"",IFERROR(JumlahPI(ROW(),COLUMN()),0),"")</f>
        <v/>
      </c>
      <c r="R64" s="2" t="str" cm="1">
        <f t="array" ref="R64">IF('NILAI CPL'!$B64&lt;&gt;"",IFERROR(JumlahPI(ROW(),COLUMN()),0),"")</f>
        <v/>
      </c>
      <c r="S64" s="2" t="str" cm="1">
        <f t="array" ref="S64">IF('NILAI CPL'!$B64&lt;&gt;"",IFERROR(JumlahPI(ROW(),COLUMN()),0),"")</f>
        <v/>
      </c>
      <c r="T64" s="2" t="str" cm="1">
        <f t="array" ref="T64">IF('NILAI CPL'!$B64&lt;&gt;"",IFERROR(JumlahPI(ROW(),COLUMN()),0),"")</f>
        <v/>
      </c>
      <c r="U64" s="2" t="str" cm="1">
        <f t="array" ref="U64">IF('NILAI CPL'!$B64&lt;&gt;"",IFERROR(JumlahPI(ROW(),COLUMN()),0),"")</f>
        <v/>
      </c>
      <c r="V64" s="2" t="str" cm="1">
        <f t="array" ref="V64">IF('NILAI CPL'!$B64&lt;&gt;"",IFERROR(JumlahPI(ROW(),COLUMN()),0),"")</f>
        <v/>
      </c>
      <c r="W64" s="2" t="str" cm="1">
        <f t="array" ref="W64">IF('NILAI CPL'!$B64&lt;&gt;"",IFERROR(JumlahPI(ROW(),COLUMN()),0),"")</f>
        <v/>
      </c>
      <c r="X64" s="2" t="str" cm="1">
        <f t="array" ref="X64">IF('NILAI CPL'!$B64&lt;&gt;"",IFERROR(JumlahPI(ROW(),COLUMN()),0),"")</f>
        <v/>
      </c>
      <c r="Y64" s="2" t="str" cm="1">
        <f t="array" ref="Y64">IF('NILAI CPL'!$B64&lt;&gt;"",IFERROR(JumlahPI(ROW(),COLUMN()),0),"")</f>
        <v/>
      </c>
      <c r="Z64" s="2" t="str" cm="1">
        <f t="array" ref="Z64">IF('NILAI CPL'!$B64&lt;&gt;"",IFERROR(JumlahPI(ROW(),COLUMN()),0),"")</f>
        <v/>
      </c>
      <c r="AB64" s="2" t="str" cm="1">
        <f t="array" ref="AB64">IF('NILAI CPL'!$B64&lt;&gt;"",IFERROR(_xlfn.IFS(E64&gt;=$B$3,4,E64&gt;=$B$4,3,E64&gt;=$B$5,2,E64&gt;$B$6,1),0),"")</f>
        <v/>
      </c>
      <c r="AC64" s="2" t="str" cm="1">
        <f t="array" ref="AC64">IF('NILAI CPL'!$B64&lt;&gt;"",IFERROR(_xlfn.IFS(F64&gt;=$B$3,4,F64&gt;=$B$4,3,F64&gt;=$B$5,2,F64&gt;$B$6,1),0),"")</f>
        <v/>
      </c>
      <c r="AD64" s="2" t="str" cm="1">
        <f t="array" ref="AD64">IF('NILAI CPL'!$B64&lt;&gt;"",IFERROR(_xlfn.IFS(G64&gt;=$B$3,4,G64&gt;=$B$4,3,G64&gt;=$B$5,2,G64&gt;$B$6,1),0),"")</f>
        <v/>
      </c>
      <c r="AE64" s="2" t="str" cm="1">
        <f t="array" ref="AE64">IF('NILAI CPL'!$B64&lt;&gt;"",IFERROR(_xlfn.IFS(H64&gt;=$B$3,4,H64&gt;=$B$4,3,H64&gt;=$B$5,2,H64&gt;$B$6,1),0),"")</f>
        <v/>
      </c>
      <c r="AF64" s="2" t="str" cm="1">
        <f t="array" ref="AF64">IF('NILAI CPL'!$B64&lt;&gt;"",IFERROR(_xlfn.IFS(I64&gt;=$B$3,4,I64&gt;=$B$4,3,I64&gt;=$B$5,2,I64&gt;$B$6,1),0),"")</f>
        <v/>
      </c>
      <c r="AG64" s="2" t="str" cm="1">
        <f t="array" ref="AG64">IF('NILAI CPL'!$B64&lt;&gt;"",IFERROR(_xlfn.IFS(J64&gt;=$B$3,4,J64&gt;=$B$4,3,J64&gt;=$B$5,2,J64&gt;$B$6,1),0),"")</f>
        <v/>
      </c>
      <c r="AH64" s="2" t="str" cm="1">
        <f t="array" ref="AH64">IF('NILAI CPL'!$B64&lt;&gt;"",IFERROR(_xlfn.IFS(K64&gt;=$B$3,4,K64&gt;=$B$4,3,K64&gt;=$B$5,2,K64&gt;$B$6,1),0),"")</f>
        <v/>
      </c>
      <c r="AI64" s="2" t="str" cm="1">
        <f t="array" ref="AI64">IF('NILAI CPL'!$B64&lt;&gt;"",IFERROR(_xlfn.IFS(L64&gt;=$B$3,4,L64&gt;=$B$4,3,L64&gt;=$B$5,2,L64&gt;$B$6,1),0),"")</f>
        <v/>
      </c>
      <c r="AJ64" s="2" t="str" cm="1">
        <f t="array" ref="AJ64">IF('NILAI CPL'!$B64&lt;&gt;"",IFERROR(_xlfn.IFS(M64&gt;=$B$3,4,M64&gt;=$B$4,3,M64&gt;=$B$5,2,M64&gt;$B$6,1),0),"")</f>
        <v/>
      </c>
      <c r="AK64" s="2" t="str" cm="1">
        <f t="array" ref="AK64">IF('NILAI CPL'!$B64&lt;&gt;"",IFERROR(_xlfn.IFS(N64&gt;=$B$3,4,N64&gt;=$B$4,3,N64&gt;=$B$5,2,N64&gt;$B$6,1),0),"")</f>
        <v/>
      </c>
      <c r="AL64" s="2" t="str" cm="1">
        <f t="array" ref="AL64">IF('NILAI CPL'!$B64&lt;&gt;"",IFERROR(_xlfn.IFS(O64&gt;=$B$3,4,O64&gt;=$B$4,3,O64&gt;=$B$5,2,O64&gt;$B$6,1),0),"")</f>
        <v/>
      </c>
      <c r="AM64" s="2" t="str" cm="1">
        <f t="array" ref="AM64">IF('NILAI CPL'!$B64&lt;&gt;"",IFERROR(_xlfn.IFS(P64&gt;=$B$3,4,P64&gt;=$B$4,3,P64&gt;=$B$5,2,P64&gt;$B$6,1),0),"")</f>
        <v/>
      </c>
      <c r="AN64" s="2" t="str" cm="1">
        <f t="array" ref="AN64">IF('NILAI CPL'!$B64&lt;&gt;"",IFERROR(_xlfn.IFS(Q64&gt;=$B$3,4,Q64&gt;=$B$4,3,Q64&gt;=$B$5,2,Q64&gt;$B$6,1),0),"")</f>
        <v/>
      </c>
      <c r="AO64" s="2" t="str" cm="1">
        <f t="array" ref="AO64">IF('NILAI CPL'!$B64&lt;&gt;"",IFERROR(_xlfn.IFS(R64&gt;=$B$3,4,R64&gt;=$B$4,3,R64&gt;=$B$5,2,R64&gt;$B$6,1),0),"")</f>
        <v/>
      </c>
      <c r="AP64" s="2" t="str" cm="1">
        <f t="array" ref="AP64">IF('NILAI CPL'!$B64&lt;&gt;"",IFERROR(_xlfn.IFS(S64&gt;=$B$3,4,S64&gt;=$B$4,3,S64&gt;=$B$5,2,S64&gt;$B$6,1),0),"")</f>
        <v/>
      </c>
      <c r="AQ64" s="2" t="str" cm="1">
        <f t="array" ref="AQ64">IF('NILAI CPL'!$B64&lt;&gt;"",IFERROR(_xlfn.IFS(T64&gt;=$B$3,4,T64&gt;=$B$4,3,T64&gt;=$B$5,2,T64&gt;$B$6,1),0),"")</f>
        <v/>
      </c>
      <c r="AR64" s="2" t="str" cm="1">
        <f t="array" ref="AR64">IF('NILAI CPL'!$B64&lt;&gt;"",IFERROR(_xlfn.IFS(U64&gt;=$B$3,4,U64&gt;=$B$4,3,U64&gt;=$B$5,2,U64&gt;$B$6,1),0),"")</f>
        <v/>
      </c>
      <c r="AS64" s="2" t="str" cm="1">
        <f t="array" ref="AS64">IF('NILAI CPL'!$B64&lt;&gt;"",IFERROR(_xlfn.IFS(V64&gt;=$B$3,4,V64&gt;=$B$4,3,V64&gt;=$B$5,2,V64&gt;$B$6,1),0),"")</f>
        <v/>
      </c>
      <c r="AT64" s="2" t="str" cm="1">
        <f t="array" ref="AT64">IF('NILAI CPL'!$B64&lt;&gt;"",IFERROR(_xlfn.IFS(W64&gt;=$B$3,4,W64&gt;=$B$4,3,W64&gt;=$B$5,2,W64&gt;$B$6,1),0),"")</f>
        <v/>
      </c>
      <c r="AU64" s="2" t="str" cm="1">
        <f t="array" ref="AU64">IF('NILAI CPL'!$B64&lt;&gt;"",IFERROR(_xlfn.IFS(X64&gt;=$B$3,4,X64&gt;=$B$4,3,X64&gt;=$B$5,2,X64&gt;$B$6,1),0),"")</f>
        <v/>
      </c>
      <c r="AV64" s="2" t="str" cm="1">
        <f t="array" ref="AV64">IF('NILAI CPL'!$B64&lt;&gt;"",IFERROR(_xlfn.IFS(Y64&gt;=$B$3,4,Y64&gt;=$B$4,3,Y64&gt;=$B$5,2,Y64&gt;$B$6,1),0),"")</f>
        <v/>
      </c>
      <c r="AW64" s="2" t="str" cm="1">
        <f t="array" ref="AW64">IF('NILAI CPL'!$B64&lt;&gt;"",IFERROR(_xlfn.IFS(Z64&gt;=$B$3,4,Z64&gt;=$B$4,3,Z64&gt;=$B$5,2,Z64&gt;$B$6,1),0),"")</f>
        <v/>
      </c>
      <c r="AY64" s="2" t="str">
        <f t="shared" si="0"/>
        <v/>
      </c>
      <c r="AZ64" s="2" t="str">
        <f t="shared" si="1"/>
        <v/>
      </c>
      <c r="BA64" s="2" t="str">
        <f t="shared" si="2"/>
        <v/>
      </c>
      <c r="BB64" s="2" t="str">
        <f t="shared" si="3"/>
        <v/>
      </c>
      <c r="BC64" s="2" t="str">
        <f t="shared" si="4"/>
        <v/>
      </c>
      <c r="BD64" s="2" t="str">
        <f t="shared" si="5"/>
        <v/>
      </c>
      <c r="BE64" s="2" t="str">
        <f t="shared" si="6"/>
        <v/>
      </c>
      <c r="BF64" s="2" t="str">
        <f t="shared" si="7"/>
        <v/>
      </c>
      <c r="BG64" s="2" t="str">
        <f t="shared" si="8"/>
        <v/>
      </c>
      <c r="BH64" s="2" t="str">
        <f t="shared" si="9"/>
        <v/>
      </c>
      <c r="BJ64" s="2" t="str" cm="1">
        <f t="array" ref="BJ64">IF('NILAI CPL'!$B64&lt;&gt;"",IFERROR(_xlfn.IFS(AY64&gt;=$B$3,4,AY64&gt;=$B$4,3,AY64&gt;=$B$5,2,AY64&gt;$B$6,1),0),"")</f>
        <v/>
      </c>
      <c r="BK64" s="2" t="str" cm="1">
        <f t="array" ref="BK64">IF('NILAI CPL'!$B64&lt;&gt;"",IFERROR(_xlfn.IFS(AZ64&gt;=$B$3,4,AZ64&gt;=$B$4,3,AZ64&gt;=$B$5,2,AZ64&gt;$B$6,1),0),"")</f>
        <v/>
      </c>
      <c r="BL64" s="2" t="str" cm="1">
        <f t="array" ref="BL64">IF('NILAI CPL'!$B64&lt;&gt;"",IFERROR(_xlfn.IFS(BA64&gt;=$B$3,4,BA64&gt;=$B$4,3,BA64&gt;=$B$5,2,BA64&gt;$B$6,1),0),"")</f>
        <v/>
      </c>
      <c r="BM64" s="2" t="str" cm="1">
        <f t="array" ref="BM64">IF('NILAI CPL'!$B64&lt;&gt;"",IFERROR(_xlfn.IFS(BB64&gt;=$B$3,4,BB64&gt;=$B$4,3,BB64&gt;=$B$5,2,BB64&gt;$B$6,1),0),"")</f>
        <v/>
      </c>
      <c r="BN64" s="2" t="str" cm="1">
        <f t="array" ref="BN64">IF('NILAI CPL'!$B64&lt;&gt;"",IFERROR(_xlfn.IFS(BC64&gt;=$B$3,4,BC64&gt;=$B$4,3,BC64&gt;=$B$5,2,BC64&gt;$B$6,1),0),"")</f>
        <v/>
      </c>
      <c r="BO64" s="2" t="str" cm="1">
        <f t="array" ref="BO64">IF('NILAI CPL'!$B64&lt;&gt;"",IFERROR(_xlfn.IFS(BD64&gt;=$B$3,4,BD64&gt;=$B$4,3,BD64&gt;=$B$5,2,BD64&gt;$B$6,1),0),"")</f>
        <v/>
      </c>
      <c r="BP64" s="2" t="str" cm="1">
        <f t="array" ref="BP64">IF('NILAI CPL'!$B64&lt;&gt;"",IFERROR(_xlfn.IFS(BE64&gt;=$B$3,4,BE64&gt;=$B$4,3,BE64&gt;=$B$5,2,BE64&gt;$B$6,1),0),"")</f>
        <v/>
      </c>
      <c r="BQ64" s="2" t="str" cm="1">
        <f t="array" ref="BQ64">IF('NILAI CPL'!$B64&lt;&gt;"",IFERROR(_xlfn.IFS(BF64&gt;=$B$3,4,BF64&gt;=$B$4,3,BF64&gt;=$B$5,2,BF64&gt;$B$6,1),0),"")</f>
        <v/>
      </c>
      <c r="BR64" s="2" t="str" cm="1">
        <f t="array" ref="BR64">IF('NILAI CPL'!$B64&lt;&gt;"",IFERROR(_xlfn.IFS(BG64&gt;=$B$3,4,BG64&gt;=$B$4,3,BG64&gt;=$B$5,2,BG64&gt;$B$6,1),0),"")</f>
        <v/>
      </c>
      <c r="BS64" s="2" t="str" cm="1">
        <f t="array" ref="BS64">IF('NILAI CPL'!$B64&lt;&gt;"",IFERROR(_xlfn.IFS(BH64&gt;=$B$3,4,BH64&gt;=$B$4,3,BH64&gt;=$B$5,2,BH64&gt;$B$6,1),0),"")</f>
        <v/>
      </c>
    </row>
    <row r="65" spans="1:71" x14ac:dyDescent="0.2">
      <c r="A65" s="2">
        <v>55</v>
      </c>
      <c r="B65" s="2" t="str">
        <f>IF(LEN(SUMMARY!B65)&gt;0, SUMMARY!B65, "")</f>
        <v/>
      </c>
      <c r="C65" s="2" t="str">
        <f>IF(LEN(SUMMARY!C65)&gt;0, SUMMARY!C65, "")</f>
        <v/>
      </c>
      <c r="E65" s="2" t="str" cm="1">
        <f t="array" ref="E65">IF('NILAI CPL'!$B65&lt;&gt;"",IFERROR(JumlahPI(ROW(),COLUMN()),0),"")</f>
        <v/>
      </c>
      <c r="F65" s="2" t="str" cm="1">
        <f t="array" ref="F65">IF('NILAI CPL'!$B65&lt;&gt;"",IFERROR(JumlahPI(ROW(),COLUMN()),0),"")</f>
        <v/>
      </c>
      <c r="G65" s="2" t="str" cm="1">
        <f t="array" ref="G65">IF('NILAI CPL'!$B65&lt;&gt;"",IFERROR(JumlahPI(ROW(),COLUMN()),0),"")</f>
        <v/>
      </c>
      <c r="H65" s="2" t="str" cm="1">
        <f t="array" ref="H65">IF('NILAI CPL'!$B65&lt;&gt;"",IFERROR(JumlahPI(ROW(),COLUMN()),0),"")</f>
        <v/>
      </c>
      <c r="I65" s="2" t="str" cm="1">
        <f t="array" ref="I65">IF('NILAI CPL'!$B65&lt;&gt;"",IFERROR(JumlahPI(ROW(),COLUMN()),0),"")</f>
        <v/>
      </c>
      <c r="J65" s="2" t="str" cm="1">
        <f t="array" ref="J65">IF('NILAI CPL'!$B65&lt;&gt;"",IFERROR(JumlahPI(ROW(),COLUMN()),0),"")</f>
        <v/>
      </c>
      <c r="K65" s="2" t="str" cm="1">
        <f t="array" ref="K65">IF('NILAI CPL'!$B65&lt;&gt;"",IFERROR(JumlahPI(ROW(),COLUMN()),0),"")</f>
        <v/>
      </c>
      <c r="L65" s="2" t="str" cm="1">
        <f t="array" ref="L65">IF('NILAI CPL'!$B65&lt;&gt;"",IFERROR(JumlahPI(ROW(),COLUMN()),0),"")</f>
        <v/>
      </c>
      <c r="M65" s="2" t="str" cm="1">
        <f t="array" ref="M65">IF('NILAI CPL'!$B65&lt;&gt;"",IFERROR(JumlahPI(ROW(),COLUMN()),0),"")</f>
        <v/>
      </c>
      <c r="N65" s="2" t="str" cm="1">
        <f t="array" ref="N65">IF('NILAI CPL'!$B65&lt;&gt;"",IFERROR(JumlahPI(ROW(),COLUMN()),0),"")</f>
        <v/>
      </c>
      <c r="O65" s="2" t="str" cm="1">
        <f t="array" ref="O65">IF('NILAI CPL'!$B65&lt;&gt;"",IFERROR(JumlahPI(ROW(),COLUMN()),0),"")</f>
        <v/>
      </c>
      <c r="P65" s="2" t="str" cm="1">
        <f t="array" ref="P65">IF('NILAI CPL'!$B65&lt;&gt;"",IFERROR(JumlahPI(ROW(),COLUMN()),0),"")</f>
        <v/>
      </c>
      <c r="Q65" s="2" t="str" cm="1">
        <f t="array" ref="Q65">IF('NILAI CPL'!$B65&lt;&gt;"",IFERROR(JumlahPI(ROW(),COLUMN()),0),"")</f>
        <v/>
      </c>
      <c r="R65" s="2" t="str" cm="1">
        <f t="array" ref="R65">IF('NILAI CPL'!$B65&lt;&gt;"",IFERROR(JumlahPI(ROW(),COLUMN()),0),"")</f>
        <v/>
      </c>
      <c r="S65" s="2" t="str" cm="1">
        <f t="array" ref="S65">IF('NILAI CPL'!$B65&lt;&gt;"",IFERROR(JumlahPI(ROW(),COLUMN()),0),"")</f>
        <v/>
      </c>
      <c r="T65" s="2" t="str" cm="1">
        <f t="array" ref="T65">IF('NILAI CPL'!$B65&lt;&gt;"",IFERROR(JumlahPI(ROW(),COLUMN()),0),"")</f>
        <v/>
      </c>
      <c r="U65" s="2" t="str" cm="1">
        <f t="array" ref="U65">IF('NILAI CPL'!$B65&lt;&gt;"",IFERROR(JumlahPI(ROW(),COLUMN()),0),"")</f>
        <v/>
      </c>
      <c r="V65" s="2" t="str" cm="1">
        <f t="array" ref="V65">IF('NILAI CPL'!$B65&lt;&gt;"",IFERROR(JumlahPI(ROW(),COLUMN()),0),"")</f>
        <v/>
      </c>
      <c r="W65" s="2" t="str" cm="1">
        <f t="array" ref="W65">IF('NILAI CPL'!$B65&lt;&gt;"",IFERROR(JumlahPI(ROW(),COLUMN()),0),"")</f>
        <v/>
      </c>
      <c r="X65" s="2" t="str" cm="1">
        <f t="array" ref="X65">IF('NILAI CPL'!$B65&lt;&gt;"",IFERROR(JumlahPI(ROW(),COLUMN()),0),"")</f>
        <v/>
      </c>
      <c r="Y65" s="2" t="str" cm="1">
        <f t="array" ref="Y65">IF('NILAI CPL'!$B65&lt;&gt;"",IFERROR(JumlahPI(ROW(),COLUMN()),0),"")</f>
        <v/>
      </c>
      <c r="Z65" s="2" t="str" cm="1">
        <f t="array" ref="Z65">IF('NILAI CPL'!$B65&lt;&gt;"",IFERROR(JumlahPI(ROW(),COLUMN()),0),"")</f>
        <v/>
      </c>
      <c r="AB65" s="2" t="str" cm="1">
        <f t="array" ref="AB65">IF('NILAI CPL'!$B65&lt;&gt;"",IFERROR(_xlfn.IFS(E65&gt;=$B$3,4,E65&gt;=$B$4,3,E65&gt;=$B$5,2,E65&gt;$B$6,1),0),"")</f>
        <v/>
      </c>
      <c r="AC65" s="2" t="str" cm="1">
        <f t="array" ref="AC65">IF('NILAI CPL'!$B65&lt;&gt;"",IFERROR(_xlfn.IFS(F65&gt;=$B$3,4,F65&gt;=$B$4,3,F65&gt;=$B$5,2,F65&gt;$B$6,1),0),"")</f>
        <v/>
      </c>
      <c r="AD65" s="2" t="str" cm="1">
        <f t="array" ref="AD65">IF('NILAI CPL'!$B65&lt;&gt;"",IFERROR(_xlfn.IFS(G65&gt;=$B$3,4,G65&gt;=$B$4,3,G65&gt;=$B$5,2,G65&gt;$B$6,1),0),"")</f>
        <v/>
      </c>
      <c r="AE65" s="2" t="str" cm="1">
        <f t="array" ref="AE65">IF('NILAI CPL'!$B65&lt;&gt;"",IFERROR(_xlfn.IFS(H65&gt;=$B$3,4,H65&gt;=$B$4,3,H65&gt;=$B$5,2,H65&gt;$B$6,1),0),"")</f>
        <v/>
      </c>
      <c r="AF65" s="2" t="str" cm="1">
        <f t="array" ref="AF65">IF('NILAI CPL'!$B65&lt;&gt;"",IFERROR(_xlfn.IFS(I65&gt;=$B$3,4,I65&gt;=$B$4,3,I65&gt;=$B$5,2,I65&gt;$B$6,1),0),"")</f>
        <v/>
      </c>
      <c r="AG65" s="2" t="str" cm="1">
        <f t="array" ref="AG65">IF('NILAI CPL'!$B65&lt;&gt;"",IFERROR(_xlfn.IFS(J65&gt;=$B$3,4,J65&gt;=$B$4,3,J65&gt;=$B$5,2,J65&gt;$B$6,1),0),"")</f>
        <v/>
      </c>
      <c r="AH65" s="2" t="str" cm="1">
        <f t="array" ref="AH65">IF('NILAI CPL'!$B65&lt;&gt;"",IFERROR(_xlfn.IFS(K65&gt;=$B$3,4,K65&gt;=$B$4,3,K65&gt;=$B$5,2,K65&gt;$B$6,1),0),"")</f>
        <v/>
      </c>
      <c r="AI65" s="2" t="str" cm="1">
        <f t="array" ref="AI65">IF('NILAI CPL'!$B65&lt;&gt;"",IFERROR(_xlfn.IFS(L65&gt;=$B$3,4,L65&gt;=$B$4,3,L65&gt;=$B$5,2,L65&gt;$B$6,1),0),"")</f>
        <v/>
      </c>
      <c r="AJ65" s="2" t="str" cm="1">
        <f t="array" ref="AJ65">IF('NILAI CPL'!$B65&lt;&gt;"",IFERROR(_xlfn.IFS(M65&gt;=$B$3,4,M65&gt;=$B$4,3,M65&gt;=$B$5,2,M65&gt;$B$6,1),0),"")</f>
        <v/>
      </c>
      <c r="AK65" s="2" t="str" cm="1">
        <f t="array" ref="AK65">IF('NILAI CPL'!$B65&lt;&gt;"",IFERROR(_xlfn.IFS(N65&gt;=$B$3,4,N65&gt;=$B$4,3,N65&gt;=$B$5,2,N65&gt;$B$6,1),0),"")</f>
        <v/>
      </c>
      <c r="AL65" s="2" t="str" cm="1">
        <f t="array" ref="AL65">IF('NILAI CPL'!$B65&lt;&gt;"",IFERROR(_xlfn.IFS(O65&gt;=$B$3,4,O65&gt;=$B$4,3,O65&gt;=$B$5,2,O65&gt;$B$6,1),0),"")</f>
        <v/>
      </c>
      <c r="AM65" s="2" t="str" cm="1">
        <f t="array" ref="AM65">IF('NILAI CPL'!$B65&lt;&gt;"",IFERROR(_xlfn.IFS(P65&gt;=$B$3,4,P65&gt;=$B$4,3,P65&gt;=$B$5,2,P65&gt;$B$6,1),0),"")</f>
        <v/>
      </c>
      <c r="AN65" s="2" t="str" cm="1">
        <f t="array" ref="AN65">IF('NILAI CPL'!$B65&lt;&gt;"",IFERROR(_xlfn.IFS(Q65&gt;=$B$3,4,Q65&gt;=$B$4,3,Q65&gt;=$B$5,2,Q65&gt;$B$6,1),0),"")</f>
        <v/>
      </c>
      <c r="AO65" s="2" t="str" cm="1">
        <f t="array" ref="AO65">IF('NILAI CPL'!$B65&lt;&gt;"",IFERROR(_xlfn.IFS(R65&gt;=$B$3,4,R65&gt;=$B$4,3,R65&gt;=$B$5,2,R65&gt;$B$6,1),0),"")</f>
        <v/>
      </c>
      <c r="AP65" s="2" t="str" cm="1">
        <f t="array" ref="AP65">IF('NILAI CPL'!$B65&lt;&gt;"",IFERROR(_xlfn.IFS(S65&gt;=$B$3,4,S65&gt;=$B$4,3,S65&gt;=$B$5,2,S65&gt;$B$6,1),0),"")</f>
        <v/>
      </c>
      <c r="AQ65" s="2" t="str" cm="1">
        <f t="array" ref="AQ65">IF('NILAI CPL'!$B65&lt;&gt;"",IFERROR(_xlfn.IFS(T65&gt;=$B$3,4,T65&gt;=$B$4,3,T65&gt;=$B$5,2,T65&gt;$B$6,1),0),"")</f>
        <v/>
      </c>
      <c r="AR65" s="2" t="str" cm="1">
        <f t="array" ref="AR65">IF('NILAI CPL'!$B65&lt;&gt;"",IFERROR(_xlfn.IFS(U65&gt;=$B$3,4,U65&gt;=$B$4,3,U65&gt;=$B$5,2,U65&gt;$B$6,1),0),"")</f>
        <v/>
      </c>
      <c r="AS65" s="2" t="str" cm="1">
        <f t="array" ref="AS65">IF('NILAI CPL'!$B65&lt;&gt;"",IFERROR(_xlfn.IFS(V65&gt;=$B$3,4,V65&gt;=$B$4,3,V65&gt;=$B$5,2,V65&gt;$B$6,1),0),"")</f>
        <v/>
      </c>
      <c r="AT65" s="2" t="str" cm="1">
        <f t="array" ref="AT65">IF('NILAI CPL'!$B65&lt;&gt;"",IFERROR(_xlfn.IFS(W65&gt;=$B$3,4,W65&gt;=$B$4,3,W65&gt;=$B$5,2,W65&gt;$B$6,1),0),"")</f>
        <v/>
      </c>
      <c r="AU65" s="2" t="str" cm="1">
        <f t="array" ref="AU65">IF('NILAI CPL'!$B65&lt;&gt;"",IFERROR(_xlfn.IFS(X65&gt;=$B$3,4,X65&gt;=$B$4,3,X65&gt;=$B$5,2,X65&gt;$B$6,1),0),"")</f>
        <v/>
      </c>
      <c r="AV65" s="2" t="str" cm="1">
        <f t="array" ref="AV65">IF('NILAI CPL'!$B65&lt;&gt;"",IFERROR(_xlfn.IFS(Y65&gt;=$B$3,4,Y65&gt;=$B$4,3,Y65&gt;=$B$5,2,Y65&gt;$B$6,1),0),"")</f>
        <v/>
      </c>
      <c r="AW65" s="2" t="str" cm="1">
        <f t="array" ref="AW65">IF('NILAI CPL'!$B65&lt;&gt;"",IFERROR(_xlfn.IFS(Z65&gt;=$B$3,4,Z65&gt;=$B$4,3,Z65&gt;=$B$5,2,Z65&gt;$B$6,1),0),"")</f>
        <v/>
      </c>
      <c r="AY65" s="2" t="str">
        <f t="shared" si="0"/>
        <v/>
      </c>
      <c r="AZ65" s="2" t="str">
        <f t="shared" si="1"/>
        <v/>
      </c>
      <c r="BA65" s="2" t="str">
        <f t="shared" si="2"/>
        <v/>
      </c>
      <c r="BB65" s="2" t="str">
        <f t="shared" si="3"/>
        <v/>
      </c>
      <c r="BC65" s="2" t="str">
        <f t="shared" si="4"/>
        <v/>
      </c>
      <c r="BD65" s="2" t="str">
        <f t="shared" si="5"/>
        <v/>
      </c>
      <c r="BE65" s="2" t="str">
        <f t="shared" si="6"/>
        <v/>
      </c>
      <c r="BF65" s="2" t="str">
        <f t="shared" si="7"/>
        <v/>
      </c>
      <c r="BG65" s="2" t="str">
        <f t="shared" si="8"/>
        <v/>
      </c>
      <c r="BH65" s="2" t="str">
        <f t="shared" si="9"/>
        <v/>
      </c>
      <c r="BJ65" s="2" t="str" cm="1">
        <f t="array" ref="BJ65">IF('NILAI CPL'!$B65&lt;&gt;"",IFERROR(_xlfn.IFS(AY65&gt;=$B$3,4,AY65&gt;=$B$4,3,AY65&gt;=$B$5,2,AY65&gt;$B$6,1),0),"")</f>
        <v/>
      </c>
      <c r="BK65" s="2" t="str" cm="1">
        <f t="array" ref="BK65">IF('NILAI CPL'!$B65&lt;&gt;"",IFERROR(_xlfn.IFS(AZ65&gt;=$B$3,4,AZ65&gt;=$B$4,3,AZ65&gt;=$B$5,2,AZ65&gt;$B$6,1),0),"")</f>
        <v/>
      </c>
      <c r="BL65" s="2" t="str" cm="1">
        <f t="array" ref="BL65">IF('NILAI CPL'!$B65&lt;&gt;"",IFERROR(_xlfn.IFS(BA65&gt;=$B$3,4,BA65&gt;=$B$4,3,BA65&gt;=$B$5,2,BA65&gt;$B$6,1),0),"")</f>
        <v/>
      </c>
      <c r="BM65" s="2" t="str" cm="1">
        <f t="array" ref="BM65">IF('NILAI CPL'!$B65&lt;&gt;"",IFERROR(_xlfn.IFS(BB65&gt;=$B$3,4,BB65&gt;=$B$4,3,BB65&gt;=$B$5,2,BB65&gt;$B$6,1),0),"")</f>
        <v/>
      </c>
      <c r="BN65" s="2" t="str" cm="1">
        <f t="array" ref="BN65">IF('NILAI CPL'!$B65&lt;&gt;"",IFERROR(_xlfn.IFS(BC65&gt;=$B$3,4,BC65&gt;=$B$4,3,BC65&gt;=$B$5,2,BC65&gt;$B$6,1),0),"")</f>
        <v/>
      </c>
      <c r="BO65" s="2" t="str" cm="1">
        <f t="array" ref="BO65">IF('NILAI CPL'!$B65&lt;&gt;"",IFERROR(_xlfn.IFS(BD65&gt;=$B$3,4,BD65&gt;=$B$4,3,BD65&gt;=$B$5,2,BD65&gt;$B$6,1),0),"")</f>
        <v/>
      </c>
      <c r="BP65" s="2" t="str" cm="1">
        <f t="array" ref="BP65">IF('NILAI CPL'!$B65&lt;&gt;"",IFERROR(_xlfn.IFS(BE65&gt;=$B$3,4,BE65&gt;=$B$4,3,BE65&gt;=$B$5,2,BE65&gt;$B$6,1),0),"")</f>
        <v/>
      </c>
      <c r="BQ65" s="2" t="str" cm="1">
        <f t="array" ref="BQ65">IF('NILAI CPL'!$B65&lt;&gt;"",IFERROR(_xlfn.IFS(BF65&gt;=$B$3,4,BF65&gt;=$B$4,3,BF65&gt;=$B$5,2,BF65&gt;$B$6,1),0),"")</f>
        <v/>
      </c>
      <c r="BR65" s="2" t="str" cm="1">
        <f t="array" ref="BR65">IF('NILAI CPL'!$B65&lt;&gt;"",IFERROR(_xlfn.IFS(BG65&gt;=$B$3,4,BG65&gt;=$B$4,3,BG65&gt;=$B$5,2,BG65&gt;$B$6,1),0),"")</f>
        <v/>
      </c>
      <c r="BS65" s="2" t="str" cm="1">
        <f t="array" ref="BS65">IF('NILAI CPL'!$B65&lt;&gt;"",IFERROR(_xlfn.IFS(BH65&gt;=$B$3,4,BH65&gt;=$B$4,3,BH65&gt;=$B$5,2,BH65&gt;$B$6,1),0),"")</f>
        <v/>
      </c>
    </row>
    <row r="66" spans="1:71" x14ac:dyDescent="0.2">
      <c r="A66" s="2">
        <v>56</v>
      </c>
      <c r="B66" s="2" t="str">
        <f>IF(LEN(SUMMARY!B66)&gt;0, SUMMARY!B66, "")</f>
        <v/>
      </c>
      <c r="C66" s="2" t="str">
        <f>IF(LEN(SUMMARY!C66)&gt;0, SUMMARY!C66, "")</f>
        <v/>
      </c>
      <c r="E66" s="2" t="str" cm="1">
        <f t="array" ref="E66">IF('NILAI CPL'!$B66&lt;&gt;"",IFERROR(JumlahPI(ROW(),COLUMN()),0),"")</f>
        <v/>
      </c>
      <c r="F66" s="2" t="str" cm="1">
        <f t="array" ref="F66">IF('NILAI CPL'!$B66&lt;&gt;"",IFERROR(JumlahPI(ROW(),COLUMN()),0),"")</f>
        <v/>
      </c>
      <c r="G66" s="2" t="str" cm="1">
        <f t="array" ref="G66">IF('NILAI CPL'!$B66&lt;&gt;"",IFERROR(JumlahPI(ROW(),COLUMN()),0),"")</f>
        <v/>
      </c>
      <c r="H66" s="2" t="str" cm="1">
        <f t="array" ref="H66">IF('NILAI CPL'!$B66&lt;&gt;"",IFERROR(JumlahPI(ROW(),COLUMN()),0),"")</f>
        <v/>
      </c>
      <c r="I66" s="2" t="str" cm="1">
        <f t="array" ref="I66">IF('NILAI CPL'!$B66&lt;&gt;"",IFERROR(JumlahPI(ROW(),COLUMN()),0),"")</f>
        <v/>
      </c>
      <c r="J66" s="2" t="str" cm="1">
        <f t="array" ref="J66">IF('NILAI CPL'!$B66&lt;&gt;"",IFERROR(JumlahPI(ROW(),COLUMN()),0),"")</f>
        <v/>
      </c>
      <c r="K66" s="2" t="str" cm="1">
        <f t="array" ref="K66">IF('NILAI CPL'!$B66&lt;&gt;"",IFERROR(JumlahPI(ROW(),COLUMN()),0),"")</f>
        <v/>
      </c>
      <c r="L66" s="2" t="str" cm="1">
        <f t="array" ref="L66">IF('NILAI CPL'!$B66&lt;&gt;"",IFERROR(JumlahPI(ROW(),COLUMN()),0),"")</f>
        <v/>
      </c>
      <c r="M66" s="2" t="str" cm="1">
        <f t="array" ref="M66">IF('NILAI CPL'!$B66&lt;&gt;"",IFERROR(JumlahPI(ROW(),COLUMN()),0),"")</f>
        <v/>
      </c>
      <c r="N66" s="2" t="str" cm="1">
        <f t="array" ref="N66">IF('NILAI CPL'!$B66&lt;&gt;"",IFERROR(JumlahPI(ROW(),COLUMN()),0),"")</f>
        <v/>
      </c>
      <c r="O66" s="2" t="str" cm="1">
        <f t="array" ref="O66">IF('NILAI CPL'!$B66&lt;&gt;"",IFERROR(JumlahPI(ROW(),COLUMN()),0),"")</f>
        <v/>
      </c>
      <c r="P66" s="2" t="str" cm="1">
        <f t="array" ref="P66">IF('NILAI CPL'!$B66&lt;&gt;"",IFERROR(JumlahPI(ROW(),COLUMN()),0),"")</f>
        <v/>
      </c>
      <c r="Q66" s="2" t="str" cm="1">
        <f t="array" ref="Q66">IF('NILAI CPL'!$B66&lt;&gt;"",IFERROR(JumlahPI(ROW(),COLUMN()),0),"")</f>
        <v/>
      </c>
      <c r="R66" s="2" t="str" cm="1">
        <f t="array" ref="R66">IF('NILAI CPL'!$B66&lt;&gt;"",IFERROR(JumlahPI(ROW(),COLUMN()),0),"")</f>
        <v/>
      </c>
      <c r="S66" s="2" t="str" cm="1">
        <f t="array" ref="S66">IF('NILAI CPL'!$B66&lt;&gt;"",IFERROR(JumlahPI(ROW(),COLUMN()),0),"")</f>
        <v/>
      </c>
      <c r="T66" s="2" t="str" cm="1">
        <f t="array" ref="T66">IF('NILAI CPL'!$B66&lt;&gt;"",IFERROR(JumlahPI(ROW(),COLUMN()),0),"")</f>
        <v/>
      </c>
      <c r="U66" s="2" t="str" cm="1">
        <f t="array" ref="U66">IF('NILAI CPL'!$B66&lt;&gt;"",IFERROR(JumlahPI(ROW(),COLUMN()),0),"")</f>
        <v/>
      </c>
      <c r="V66" s="2" t="str" cm="1">
        <f t="array" ref="V66">IF('NILAI CPL'!$B66&lt;&gt;"",IFERROR(JumlahPI(ROW(),COLUMN()),0),"")</f>
        <v/>
      </c>
      <c r="W66" s="2" t="str" cm="1">
        <f t="array" ref="W66">IF('NILAI CPL'!$B66&lt;&gt;"",IFERROR(JumlahPI(ROW(),COLUMN()),0),"")</f>
        <v/>
      </c>
      <c r="X66" s="2" t="str" cm="1">
        <f t="array" ref="X66">IF('NILAI CPL'!$B66&lt;&gt;"",IFERROR(JumlahPI(ROW(),COLUMN()),0),"")</f>
        <v/>
      </c>
      <c r="Y66" s="2" t="str" cm="1">
        <f t="array" ref="Y66">IF('NILAI CPL'!$B66&lt;&gt;"",IFERROR(JumlahPI(ROW(),COLUMN()),0),"")</f>
        <v/>
      </c>
      <c r="Z66" s="2" t="str" cm="1">
        <f t="array" ref="Z66">IF('NILAI CPL'!$B66&lt;&gt;"",IFERROR(JumlahPI(ROW(),COLUMN()),0),"")</f>
        <v/>
      </c>
      <c r="AB66" s="2" t="str" cm="1">
        <f t="array" ref="AB66">IF('NILAI CPL'!$B66&lt;&gt;"",IFERROR(_xlfn.IFS(E66&gt;=$B$3,4,E66&gt;=$B$4,3,E66&gt;=$B$5,2,E66&gt;$B$6,1),0),"")</f>
        <v/>
      </c>
      <c r="AC66" s="2" t="str" cm="1">
        <f t="array" ref="AC66">IF('NILAI CPL'!$B66&lt;&gt;"",IFERROR(_xlfn.IFS(F66&gt;=$B$3,4,F66&gt;=$B$4,3,F66&gt;=$B$5,2,F66&gt;$B$6,1),0),"")</f>
        <v/>
      </c>
      <c r="AD66" s="2" t="str" cm="1">
        <f t="array" ref="AD66">IF('NILAI CPL'!$B66&lt;&gt;"",IFERROR(_xlfn.IFS(G66&gt;=$B$3,4,G66&gt;=$B$4,3,G66&gt;=$B$5,2,G66&gt;$B$6,1),0),"")</f>
        <v/>
      </c>
      <c r="AE66" s="2" t="str" cm="1">
        <f t="array" ref="AE66">IF('NILAI CPL'!$B66&lt;&gt;"",IFERROR(_xlfn.IFS(H66&gt;=$B$3,4,H66&gt;=$B$4,3,H66&gt;=$B$5,2,H66&gt;$B$6,1),0),"")</f>
        <v/>
      </c>
      <c r="AF66" s="2" t="str" cm="1">
        <f t="array" ref="AF66">IF('NILAI CPL'!$B66&lt;&gt;"",IFERROR(_xlfn.IFS(I66&gt;=$B$3,4,I66&gt;=$B$4,3,I66&gt;=$B$5,2,I66&gt;$B$6,1),0),"")</f>
        <v/>
      </c>
      <c r="AG66" s="2" t="str" cm="1">
        <f t="array" ref="AG66">IF('NILAI CPL'!$B66&lt;&gt;"",IFERROR(_xlfn.IFS(J66&gt;=$B$3,4,J66&gt;=$B$4,3,J66&gt;=$B$5,2,J66&gt;$B$6,1),0),"")</f>
        <v/>
      </c>
      <c r="AH66" s="2" t="str" cm="1">
        <f t="array" ref="AH66">IF('NILAI CPL'!$B66&lt;&gt;"",IFERROR(_xlfn.IFS(K66&gt;=$B$3,4,K66&gt;=$B$4,3,K66&gt;=$B$5,2,K66&gt;$B$6,1),0),"")</f>
        <v/>
      </c>
      <c r="AI66" s="2" t="str" cm="1">
        <f t="array" ref="AI66">IF('NILAI CPL'!$B66&lt;&gt;"",IFERROR(_xlfn.IFS(L66&gt;=$B$3,4,L66&gt;=$B$4,3,L66&gt;=$B$5,2,L66&gt;$B$6,1),0),"")</f>
        <v/>
      </c>
      <c r="AJ66" s="2" t="str" cm="1">
        <f t="array" ref="AJ66">IF('NILAI CPL'!$B66&lt;&gt;"",IFERROR(_xlfn.IFS(M66&gt;=$B$3,4,M66&gt;=$B$4,3,M66&gt;=$B$5,2,M66&gt;$B$6,1),0),"")</f>
        <v/>
      </c>
      <c r="AK66" s="2" t="str" cm="1">
        <f t="array" ref="AK66">IF('NILAI CPL'!$B66&lt;&gt;"",IFERROR(_xlfn.IFS(N66&gt;=$B$3,4,N66&gt;=$B$4,3,N66&gt;=$B$5,2,N66&gt;$B$6,1),0),"")</f>
        <v/>
      </c>
      <c r="AL66" s="2" t="str" cm="1">
        <f t="array" ref="AL66">IF('NILAI CPL'!$B66&lt;&gt;"",IFERROR(_xlfn.IFS(O66&gt;=$B$3,4,O66&gt;=$B$4,3,O66&gt;=$B$5,2,O66&gt;$B$6,1),0),"")</f>
        <v/>
      </c>
      <c r="AM66" s="2" t="str" cm="1">
        <f t="array" ref="AM66">IF('NILAI CPL'!$B66&lt;&gt;"",IFERROR(_xlfn.IFS(P66&gt;=$B$3,4,P66&gt;=$B$4,3,P66&gt;=$B$5,2,P66&gt;$B$6,1),0),"")</f>
        <v/>
      </c>
      <c r="AN66" s="2" t="str" cm="1">
        <f t="array" ref="AN66">IF('NILAI CPL'!$B66&lt;&gt;"",IFERROR(_xlfn.IFS(Q66&gt;=$B$3,4,Q66&gt;=$B$4,3,Q66&gt;=$B$5,2,Q66&gt;$B$6,1),0),"")</f>
        <v/>
      </c>
      <c r="AO66" s="2" t="str" cm="1">
        <f t="array" ref="AO66">IF('NILAI CPL'!$B66&lt;&gt;"",IFERROR(_xlfn.IFS(R66&gt;=$B$3,4,R66&gt;=$B$4,3,R66&gt;=$B$5,2,R66&gt;$B$6,1),0),"")</f>
        <v/>
      </c>
      <c r="AP66" s="2" t="str" cm="1">
        <f t="array" ref="AP66">IF('NILAI CPL'!$B66&lt;&gt;"",IFERROR(_xlfn.IFS(S66&gt;=$B$3,4,S66&gt;=$B$4,3,S66&gt;=$B$5,2,S66&gt;$B$6,1),0),"")</f>
        <v/>
      </c>
      <c r="AQ66" s="2" t="str" cm="1">
        <f t="array" ref="AQ66">IF('NILAI CPL'!$B66&lt;&gt;"",IFERROR(_xlfn.IFS(T66&gt;=$B$3,4,T66&gt;=$B$4,3,T66&gt;=$B$5,2,T66&gt;$B$6,1),0),"")</f>
        <v/>
      </c>
      <c r="AR66" s="2" t="str" cm="1">
        <f t="array" ref="AR66">IF('NILAI CPL'!$B66&lt;&gt;"",IFERROR(_xlfn.IFS(U66&gt;=$B$3,4,U66&gt;=$B$4,3,U66&gt;=$B$5,2,U66&gt;$B$6,1),0),"")</f>
        <v/>
      </c>
      <c r="AS66" s="2" t="str" cm="1">
        <f t="array" ref="AS66">IF('NILAI CPL'!$B66&lt;&gt;"",IFERROR(_xlfn.IFS(V66&gt;=$B$3,4,V66&gt;=$B$4,3,V66&gt;=$B$5,2,V66&gt;$B$6,1),0),"")</f>
        <v/>
      </c>
      <c r="AT66" s="2" t="str" cm="1">
        <f t="array" ref="AT66">IF('NILAI CPL'!$B66&lt;&gt;"",IFERROR(_xlfn.IFS(W66&gt;=$B$3,4,W66&gt;=$B$4,3,W66&gt;=$B$5,2,W66&gt;$B$6,1),0),"")</f>
        <v/>
      </c>
      <c r="AU66" s="2" t="str" cm="1">
        <f t="array" ref="AU66">IF('NILAI CPL'!$B66&lt;&gt;"",IFERROR(_xlfn.IFS(X66&gt;=$B$3,4,X66&gt;=$B$4,3,X66&gt;=$B$5,2,X66&gt;$B$6,1),0),"")</f>
        <v/>
      </c>
      <c r="AV66" s="2" t="str" cm="1">
        <f t="array" ref="AV66">IF('NILAI CPL'!$B66&lt;&gt;"",IFERROR(_xlfn.IFS(Y66&gt;=$B$3,4,Y66&gt;=$B$4,3,Y66&gt;=$B$5,2,Y66&gt;$B$6,1),0),"")</f>
        <v/>
      </c>
      <c r="AW66" s="2" t="str" cm="1">
        <f t="array" ref="AW66">IF('NILAI CPL'!$B66&lt;&gt;"",IFERROR(_xlfn.IFS(Z66&gt;=$B$3,4,Z66&gt;=$B$4,3,Z66&gt;=$B$5,2,Z66&gt;$B$6,1),0),"")</f>
        <v/>
      </c>
      <c r="AY66" s="2" t="str">
        <f t="shared" si="0"/>
        <v/>
      </c>
      <c r="AZ66" s="2" t="str">
        <f t="shared" si="1"/>
        <v/>
      </c>
      <c r="BA66" s="2" t="str">
        <f t="shared" si="2"/>
        <v/>
      </c>
      <c r="BB66" s="2" t="str">
        <f t="shared" si="3"/>
        <v/>
      </c>
      <c r="BC66" s="2" t="str">
        <f t="shared" si="4"/>
        <v/>
      </c>
      <c r="BD66" s="2" t="str">
        <f t="shared" si="5"/>
        <v/>
      </c>
      <c r="BE66" s="2" t="str">
        <f t="shared" si="6"/>
        <v/>
      </c>
      <c r="BF66" s="2" t="str">
        <f t="shared" si="7"/>
        <v/>
      </c>
      <c r="BG66" s="2" t="str">
        <f t="shared" si="8"/>
        <v/>
      </c>
      <c r="BH66" s="2" t="str">
        <f t="shared" si="9"/>
        <v/>
      </c>
      <c r="BJ66" s="2" t="str" cm="1">
        <f t="array" ref="BJ66">IF('NILAI CPL'!$B66&lt;&gt;"",IFERROR(_xlfn.IFS(AY66&gt;=$B$3,4,AY66&gt;=$B$4,3,AY66&gt;=$B$5,2,AY66&gt;$B$6,1),0),"")</f>
        <v/>
      </c>
      <c r="BK66" s="2" t="str" cm="1">
        <f t="array" ref="BK66">IF('NILAI CPL'!$B66&lt;&gt;"",IFERROR(_xlfn.IFS(AZ66&gt;=$B$3,4,AZ66&gt;=$B$4,3,AZ66&gt;=$B$5,2,AZ66&gt;$B$6,1),0),"")</f>
        <v/>
      </c>
      <c r="BL66" s="2" t="str" cm="1">
        <f t="array" ref="BL66">IF('NILAI CPL'!$B66&lt;&gt;"",IFERROR(_xlfn.IFS(BA66&gt;=$B$3,4,BA66&gt;=$B$4,3,BA66&gt;=$B$5,2,BA66&gt;$B$6,1),0),"")</f>
        <v/>
      </c>
      <c r="BM66" s="2" t="str" cm="1">
        <f t="array" ref="BM66">IF('NILAI CPL'!$B66&lt;&gt;"",IFERROR(_xlfn.IFS(BB66&gt;=$B$3,4,BB66&gt;=$B$4,3,BB66&gt;=$B$5,2,BB66&gt;$B$6,1),0),"")</f>
        <v/>
      </c>
      <c r="BN66" s="2" t="str" cm="1">
        <f t="array" ref="BN66">IF('NILAI CPL'!$B66&lt;&gt;"",IFERROR(_xlfn.IFS(BC66&gt;=$B$3,4,BC66&gt;=$B$4,3,BC66&gt;=$B$5,2,BC66&gt;$B$6,1),0),"")</f>
        <v/>
      </c>
      <c r="BO66" s="2" t="str" cm="1">
        <f t="array" ref="BO66">IF('NILAI CPL'!$B66&lt;&gt;"",IFERROR(_xlfn.IFS(BD66&gt;=$B$3,4,BD66&gt;=$B$4,3,BD66&gt;=$B$5,2,BD66&gt;$B$6,1),0),"")</f>
        <v/>
      </c>
      <c r="BP66" s="2" t="str" cm="1">
        <f t="array" ref="BP66">IF('NILAI CPL'!$B66&lt;&gt;"",IFERROR(_xlfn.IFS(BE66&gt;=$B$3,4,BE66&gt;=$B$4,3,BE66&gt;=$B$5,2,BE66&gt;$B$6,1),0),"")</f>
        <v/>
      </c>
      <c r="BQ66" s="2" t="str" cm="1">
        <f t="array" ref="BQ66">IF('NILAI CPL'!$B66&lt;&gt;"",IFERROR(_xlfn.IFS(BF66&gt;=$B$3,4,BF66&gt;=$B$4,3,BF66&gt;=$B$5,2,BF66&gt;$B$6,1),0),"")</f>
        <v/>
      </c>
      <c r="BR66" s="2" t="str" cm="1">
        <f t="array" ref="BR66">IF('NILAI CPL'!$B66&lt;&gt;"",IFERROR(_xlfn.IFS(BG66&gt;=$B$3,4,BG66&gt;=$B$4,3,BG66&gt;=$B$5,2,BG66&gt;$B$6,1),0),"")</f>
        <v/>
      </c>
      <c r="BS66" s="2" t="str" cm="1">
        <f t="array" ref="BS66">IF('NILAI CPL'!$B66&lt;&gt;"",IFERROR(_xlfn.IFS(BH66&gt;=$B$3,4,BH66&gt;=$B$4,3,BH66&gt;=$B$5,2,BH66&gt;$B$6,1),0),"")</f>
        <v/>
      </c>
    </row>
    <row r="67" spans="1:71" x14ac:dyDescent="0.2">
      <c r="A67" s="2">
        <v>57</v>
      </c>
      <c r="B67" s="2" t="str">
        <f>IF(LEN(SUMMARY!B67)&gt;0, SUMMARY!B67, "")</f>
        <v/>
      </c>
      <c r="C67" s="2" t="str">
        <f>IF(LEN(SUMMARY!C67)&gt;0, SUMMARY!C67, "")</f>
        <v/>
      </c>
      <c r="E67" s="2" t="str" cm="1">
        <f t="array" ref="E67">IF('NILAI CPL'!$B67&lt;&gt;"",IFERROR(JumlahPI(ROW(),COLUMN()),0),"")</f>
        <v/>
      </c>
      <c r="F67" s="2" t="str" cm="1">
        <f t="array" ref="F67">IF('NILAI CPL'!$B67&lt;&gt;"",IFERROR(JumlahPI(ROW(),COLUMN()),0),"")</f>
        <v/>
      </c>
      <c r="G67" s="2" t="str" cm="1">
        <f t="array" ref="G67">IF('NILAI CPL'!$B67&lt;&gt;"",IFERROR(JumlahPI(ROW(),COLUMN()),0),"")</f>
        <v/>
      </c>
      <c r="H67" s="2" t="str" cm="1">
        <f t="array" ref="H67">IF('NILAI CPL'!$B67&lt;&gt;"",IFERROR(JumlahPI(ROW(),COLUMN()),0),"")</f>
        <v/>
      </c>
      <c r="I67" s="2" t="str" cm="1">
        <f t="array" ref="I67">IF('NILAI CPL'!$B67&lt;&gt;"",IFERROR(JumlahPI(ROW(),COLUMN()),0),"")</f>
        <v/>
      </c>
      <c r="J67" s="2" t="str" cm="1">
        <f t="array" ref="J67">IF('NILAI CPL'!$B67&lt;&gt;"",IFERROR(JumlahPI(ROW(),COLUMN()),0),"")</f>
        <v/>
      </c>
      <c r="K67" s="2" t="str" cm="1">
        <f t="array" ref="K67">IF('NILAI CPL'!$B67&lt;&gt;"",IFERROR(JumlahPI(ROW(),COLUMN()),0),"")</f>
        <v/>
      </c>
      <c r="L67" s="2" t="str" cm="1">
        <f t="array" ref="L67">IF('NILAI CPL'!$B67&lt;&gt;"",IFERROR(JumlahPI(ROW(),COLUMN()),0),"")</f>
        <v/>
      </c>
      <c r="M67" s="2" t="str" cm="1">
        <f t="array" ref="M67">IF('NILAI CPL'!$B67&lt;&gt;"",IFERROR(JumlahPI(ROW(),COLUMN()),0),"")</f>
        <v/>
      </c>
      <c r="N67" s="2" t="str" cm="1">
        <f t="array" ref="N67">IF('NILAI CPL'!$B67&lt;&gt;"",IFERROR(JumlahPI(ROW(),COLUMN()),0),"")</f>
        <v/>
      </c>
      <c r="O67" s="2" t="str" cm="1">
        <f t="array" ref="O67">IF('NILAI CPL'!$B67&lt;&gt;"",IFERROR(JumlahPI(ROW(),COLUMN()),0),"")</f>
        <v/>
      </c>
      <c r="P67" s="2" t="str" cm="1">
        <f t="array" ref="P67">IF('NILAI CPL'!$B67&lt;&gt;"",IFERROR(JumlahPI(ROW(),COLUMN()),0),"")</f>
        <v/>
      </c>
      <c r="Q67" s="2" t="str" cm="1">
        <f t="array" ref="Q67">IF('NILAI CPL'!$B67&lt;&gt;"",IFERROR(JumlahPI(ROW(),COLUMN()),0),"")</f>
        <v/>
      </c>
      <c r="R67" s="2" t="str" cm="1">
        <f t="array" ref="R67">IF('NILAI CPL'!$B67&lt;&gt;"",IFERROR(JumlahPI(ROW(),COLUMN()),0),"")</f>
        <v/>
      </c>
      <c r="S67" s="2" t="str" cm="1">
        <f t="array" ref="S67">IF('NILAI CPL'!$B67&lt;&gt;"",IFERROR(JumlahPI(ROW(),COLUMN()),0),"")</f>
        <v/>
      </c>
      <c r="T67" s="2" t="str" cm="1">
        <f t="array" ref="T67">IF('NILAI CPL'!$B67&lt;&gt;"",IFERROR(JumlahPI(ROW(),COLUMN()),0),"")</f>
        <v/>
      </c>
      <c r="U67" s="2" t="str" cm="1">
        <f t="array" ref="U67">IF('NILAI CPL'!$B67&lt;&gt;"",IFERROR(JumlahPI(ROW(),COLUMN()),0),"")</f>
        <v/>
      </c>
      <c r="V67" s="2" t="str" cm="1">
        <f t="array" ref="V67">IF('NILAI CPL'!$B67&lt;&gt;"",IFERROR(JumlahPI(ROW(),COLUMN()),0),"")</f>
        <v/>
      </c>
      <c r="W67" s="2" t="str" cm="1">
        <f t="array" ref="W67">IF('NILAI CPL'!$B67&lt;&gt;"",IFERROR(JumlahPI(ROW(),COLUMN()),0),"")</f>
        <v/>
      </c>
      <c r="X67" s="2" t="str" cm="1">
        <f t="array" ref="X67">IF('NILAI CPL'!$B67&lt;&gt;"",IFERROR(JumlahPI(ROW(),COLUMN()),0),"")</f>
        <v/>
      </c>
      <c r="Y67" s="2" t="str" cm="1">
        <f t="array" ref="Y67">IF('NILAI CPL'!$B67&lt;&gt;"",IFERROR(JumlahPI(ROW(),COLUMN()),0),"")</f>
        <v/>
      </c>
      <c r="Z67" s="2" t="str" cm="1">
        <f t="array" ref="Z67">IF('NILAI CPL'!$B67&lt;&gt;"",IFERROR(JumlahPI(ROW(),COLUMN()),0),"")</f>
        <v/>
      </c>
      <c r="AB67" s="2" t="str" cm="1">
        <f t="array" ref="AB67">IF('NILAI CPL'!$B67&lt;&gt;"",IFERROR(_xlfn.IFS(E67&gt;=$B$3,4,E67&gt;=$B$4,3,E67&gt;=$B$5,2,E67&gt;$B$6,1),0),"")</f>
        <v/>
      </c>
      <c r="AC67" s="2" t="str" cm="1">
        <f t="array" ref="AC67">IF('NILAI CPL'!$B67&lt;&gt;"",IFERROR(_xlfn.IFS(F67&gt;=$B$3,4,F67&gt;=$B$4,3,F67&gt;=$B$5,2,F67&gt;$B$6,1),0),"")</f>
        <v/>
      </c>
      <c r="AD67" s="2" t="str" cm="1">
        <f t="array" ref="AD67">IF('NILAI CPL'!$B67&lt;&gt;"",IFERROR(_xlfn.IFS(G67&gt;=$B$3,4,G67&gt;=$B$4,3,G67&gt;=$B$5,2,G67&gt;$B$6,1),0),"")</f>
        <v/>
      </c>
      <c r="AE67" s="2" t="str" cm="1">
        <f t="array" ref="AE67">IF('NILAI CPL'!$B67&lt;&gt;"",IFERROR(_xlfn.IFS(H67&gt;=$B$3,4,H67&gt;=$B$4,3,H67&gt;=$B$5,2,H67&gt;$B$6,1),0),"")</f>
        <v/>
      </c>
      <c r="AF67" s="2" t="str" cm="1">
        <f t="array" ref="AF67">IF('NILAI CPL'!$B67&lt;&gt;"",IFERROR(_xlfn.IFS(I67&gt;=$B$3,4,I67&gt;=$B$4,3,I67&gt;=$B$5,2,I67&gt;$B$6,1),0),"")</f>
        <v/>
      </c>
      <c r="AG67" s="2" t="str" cm="1">
        <f t="array" ref="AG67">IF('NILAI CPL'!$B67&lt;&gt;"",IFERROR(_xlfn.IFS(J67&gt;=$B$3,4,J67&gt;=$B$4,3,J67&gt;=$B$5,2,J67&gt;$B$6,1),0),"")</f>
        <v/>
      </c>
      <c r="AH67" s="2" t="str" cm="1">
        <f t="array" ref="AH67">IF('NILAI CPL'!$B67&lt;&gt;"",IFERROR(_xlfn.IFS(K67&gt;=$B$3,4,K67&gt;=$B$4,3,K67&gt;=$B$5,2,K67&gt;$B$6,1),0),"")</f>
        <v/>
      </c>
      <c r="AI67" s="2" t="str" cm="1">
        <f t="array" ref="AI67">IF('NILAI CPL'!$B67&lt;&gt;"",IFERROR(_xlfn.IFS(L67&gt;=$B$3,4,L67&gt;=$B$4,3,L67&gt;=$B$5,2,L67&gt;$B$6,1),0),"")</f>
        <v/>
      </c>
      <c r="AJ67" s="2" t="str" cm="1">
        <f t="array" ref="AJ67">IF('NILAI CPL'!$B67&lt;&gt;"",IFERROR(_xlfn.IFS(M67&gt;=$B$3,4,M67&gt;=$B$4,3,M67&gt;=$B$5,2,M67&gt;$B$6,1),0),"")</f>
        <v/>
      </c>
      <c r="AK67" s="2" t="str" cm="1">
        <f t="array" ref="AK67">IF('NILAI CPL'!$B67&lt;&gt;"",IFERROR(_xlfn.IFS(N67&gt;=$B$3,4,N67&gt;=$B$4,3,N67&gt;=$B$5,2,N67&gt;$B$6,1),0),"")</f>
        <v/>
      </c>
      <c r="AL67" s="2" t="str" cm="1">
        <f t="array" ref="AL67">IF('NILAI CPL'!$B67&lt;&gt;"",IFERROR(_xlfn.IFS(O67&gt;=$B$3,4,O67&gt;=$B$4,3,O67&gt;=$B$5,2,O67&gt;$B$6,1),0),"")</f>
        <v/>
      </c>
      <c r="AM67" s="2" t="str" cm="1">
        <f t="array" ref="AM67">IF('NILAI CPL'!$B67&lt;&gt;"",IFERROR(_xlfn.IFS(P67&gt;=$B$3,4,P67&gt;=$B$4,3,P67&gt;=$B$5,2,P67&gt;$B$6,1),0),"")</f>
        <v/>
      </c>
      <c r="AN67" s="2" t="str" cm="1">
        <f t="array" ref="AN67">IF('NILAI CPL'!$B67&lt;&gt;"",IFERROR(_xlfn.IFS(Q67&gt;=$B$3,4,Q67&gt;=$B$4,3,Q67&gt;=$B$5,2,Q67&gt;$B$6,1),0),"")</f>
        <v/>
      </c>
      <c r="AO67" s="2" t="str" cm="1">
        <f t="array" ref="AO67">IF('NILAI CPL'!$B67&lt;&gt;"",IFERROR(_xlfn.IFS(R67&gt;=$B$3,4,R67&gt;=$B$4,3,R67&gt;=$B$5,2,R67&gt;$B$6,1),0),"")</f>
        <v/>
      </c>
      <c r="AP67" s="2" t="str" cm="1">
        <f t="array" ref="AP67">IF('NILAI CPL'!$B67&lt;&gt;"",IFERROR(_xlfn.IFS(S67&gt;=$B$3,4,S67&gt;=$B$4,3,S67&gt;=$B$5,2,S67&gt;$B$6,1),0),"")</f>
        <v/>
      </c>
      <c r="AQ67" s="2" t="str" cm="1">
        <f t="array" ref="AQ67">IF('NILAI CPL'!$B67&lt;&gt;"",IFERROR(_xlfn.IFS(T67&gt;=$B$3,4,T67&gt;=$B$4,3,T67&gt;=$B$5,2,T67&gt;$B$6,1),0),"")</f>
        <v/>
      </c>
      <c r="AR67" s="2" t="str" cm="1">
        <f t="array" ref="AR67">IF('NILAI CPL'!$B67&lt;&gt;"",IFERROR(_xlfn.IFS(U67&gt;=$B$3,4,U67&gt;=$B$4,3,U67&gt;=$B$5,2,U67&gt;$B$6,1),0),"")</f>
        <v/>
      </c>
      <c r="AS67" s="2" t="str" cm="1">
        <f t="array" ref="AS67">IF('NILAI CPL'!$B67&lt;&gt;"",IFERROR(_xlfn.IFS(V67&gt;=$B$3,4,V67&gt;=$B$4,3,V67&gt;=$B$5,2,V67&gt;$B$6,1),0),"")</f>
        <v/>
      </c>
      <c r="AT67" s="2" t="str" cm="1">
        <f t="array" ref="AT67">IF('NILAI CPL'!$B67&lt;&gt;"",IFERROR(_xlfn.IFS(W67&gt;=$B$3,4,W67&gt;=$B$4,3,W67&gt;=$B$5,2,W67&gt;$B$6,1),0),"")</f>
        <v/>
      </c>
      <c r="AU67" s="2" t="str" cm="1">
        <f t="array" ref="AU67">IF('NILAI CPL'!$B67&lt;&gt;"",IFERROR(_xlfn.IFS(X67&gt;=$B$3,4,X67&gt;=$B$4,3,X67&gt;=$B$5,2,X67&gt;$B$6,1),0),"")</f>
        <v/>
      </c>
      <c r="AV67" s="2" t="str" cm="1">
        <f t="array" ref="AV67">IF('NILAI CPL'!$B67&lt;&gt;"",IFERROR(_xlfn.IFS(Y67&gt;=$B$3,4,Y67&gt;=$B$4,3,Y67&gt;=$B$5,2,Y67&gt;$B$6,1),0),"")</f>
        <v/>
      </c>
      <c r="AW67" s="2" t="str" cm="1">
        <f t="array" ref="AW67">IF('NILAI CPL'!$B67&lt;&gt;"",IFERROR(_xlfn.IFS(Z67&gt;=$B$3,4,Z67&gt;=$B$4,3,Z67&gt;=$B$5,2,Z67&gt;$B$6,1),0),"")</f>
        <v/>
      </c>
      <c r="AY67" s="2" t="str">
        <f t="shared" si="0"/>
        <v/>
      </c>
      <c r="AZ67" s="2" t="str">
        <f t="shared" si="1"/>
        <v/>
      </c>
      <c r="BA67" s="2" t="str">
        <f t="shared" si="2"/>
        <v/>
      </c>
      <c r="BB67" s="2" t="str">
        <f t="shared" si="3"/>
        <v/>
      </c>
      <c r="BC67" s="2" t="str">
        <f t="shared" si="4"/>
        <v/>
      </c>
      <c r="BD67" s="2" t="str">
        <f t="shared" si="5"/>
        <v/>
      </c>
      <c r="BE67" s="2" t="str">
        <f t="shared" si="6"/>
        <v/>
      </c>
      <c r="BF67" s="2" t="str">
        <f t="shared" si="7"/>
        <v/>
      </c>
      <c r="BG67" s="2" t="str">
        <f t="shared" si="8"/>
        <v/>
      </c>
      <c r="BH67" s="2" t="str">
        <f t="shared" si="9"/>
        <v/>
      </c>
      <c r="BJ67" s="2" t="str" cm="1">
        <f t="array" ref="BJ67">IF('NILAI CPL'!$B67&lt;&gt;"",IFERROR(_xlfn.IFS(AY67&gt;=$B$3,4,AY67&gt;=$B$4,3,AY67&gt;=$B$5,2,AY67&gt;$B$6,1),0),"")</f>
        <v/>
      </c>
      <c r="BK67" s="2" t="str" cm="1">
        <f t="array" ref="BK67">IF('NILAI CPL'!$B67&lt;&gt;"",IFERROR(_xlfn.IFS(AZ67&gt;=$B$3,4,AZ67&gt;=$B$4,3,AZ67&gt;=$B$5,2,AZ67&gt;$B$6,1),0),"")</f>
        <v/>
      </c>
      <c r="BL67" s="2" t="str" cm="1">
        <f t="array" ref="BL67">IF('NILAI CPL'!$B67&lt;&gt;"",IFERROR(_xlfn.IFS(BA67&gt;=$B$3,4,BA67&gt;=$B$4,3,BA67&gt;=$B$5,2,BA67&gt;$B$6,1),0),"")</f>
        <v/>
      </c>
      <c r="BM67" s="2" t="str" cm="1">
        <f t="array" ref="BM67">IF('NILAI CPL'!$B67&lt;&gt;"",IFERROR(_xlfn.IFS(BB67&gt;=$B$3,4,BB67&gt;=$B$4,3,BB67&gt;=$B$5,2,BB67&gt;$B$6,1),0),"")</f>
        <v/>
      </c>
      <c r="BN67" s="2" t="str" cm="1">
        <f t="array" ref="BN67">IF('NILAI CPL'!$B67&lt;&gt;"",IFERROR(_xlfn.IFS(BC67&gt;=$B$3,4,BC67&gt;=$B$4,3,BC67&gt;=$B$5,2,BC67&gt;$B$6,1),0),"")</f>
        <v/>
      </c>
      <c r="BO67" s="2" t="str" cm="1">
        <f t="array" ref="BO67">IF('NILAI CPL'!$B67&lt;&gt;"",IFERROR(_xlfn.IFS(BD67&gt;=$B$3,4,BD67&gt;=$B$4,3,BD67&gt;=$B$5,2,BD67&gt;$B$6,1),0),"")</f>
        <v/>
      </c>
      <c r="BP67" s="2" t="str" cm="1">
        <f t="array" ref="BP67">IF('NILAI CPL'!$B67&lt;&gt;"",IFERROR(_xlfn.IFS(BE67&gt;=$B$3,4,BE67&gt;=$B$4,3,BE67&gt;=$B$5,2,BE67&gt;$B$6,1),0),"")</f>
        <v/>
      </c>
      <c r="BQ67" s="2" t="str" cm="1">
        <f t="array" ref="BQ67">IF('NILAI CPL'!$B67&lt;&gt;"",IFERROR(_xlfn.IFS(BF67&gt;=$B$3,4,BF67&gt;=$B$4,3,BF67&gt;=$B$5,2,BF67&gt;$B$6,1),0),"")</f>
        <v/>
      </c>
      <c r="BR67" s="2" t="str" cm="1">
        <f t="array" ref="BR67">IF('NILAI CPL'!$B67&lt;&gt;"",IFERROR(_xlfn.IFS(BG67&gt;=$B$3,4,BG67&gt;=$B$4,3,BG67&gt;=$B$5,2,BG67&gt;$B$6,1),0),"")</f>
        <v/>
      </c>
      <c r="BS67" s="2" t="str" cm="1">
        <f t="array" ref="BS67">IF('NILAI CPL'!$B67&lt;&gt;"",IFERROR(_xlfn.IFS(BH67&gt;=$B$3,4,BH67&gt;=$B$4,3,BH67&gt;=$B$5,2,BH67&gt;$B$6,1),0),"")</f>
        <v/>
      </c>
    </row>
    <row r="68" spans="1:71" x14ac:dyDescent="0.2">
      <c r="A68" s="2">
        <v>58</v>
      </c>
      <c r="B68" s="2" t="str">
        <f>IF(LEN(SUMMARY!B68)&gt;0, SUMMARY!B68, "")</f>
        <v/>
      </c>
      <c r="C68" s="2" t="str">
        <f>IF(LEN(SUMMARY!C68)&gt;0, SUMMARY!C68, "")</f>
        <v/>
      </c>
      <c r="E68" s="2" t="str" cm="1">
        <f t="array" ref="E68">IF('NILAI CPL'!$B68&lt;&gt;"",IFERROR(JumlahPI(ROW(),COLUMN()),0),"")</f>
        <v/>
      </c>
      <c r="F68" s="2" t="str" cm="1">
        <f t="array" ref="F68">IF('NILAI CPL'!$B68&lt;&gt;"",IFERROR(JumlahPI(ROW(),COLUMN()),0),"")</f>
        <v/>
      </c>
      <c r="G68" s="2" t="str" cm="1">
        <f t="array" ref="G68">IF('NILAI CPL'!$B68&lt;&gt;"",IFERROR(JumlahPI(ROW(),COLUMN()),0),"")</f>
        <v/>
      </c>
      <c r="H68" s="2" t="str" cm="1">
        <f t="array" ref="H68">IF('NILAI CPL'!$B68&lt;&gt;"",IFERROR(JumlahPI(ROW(),COLUMN()),0),"")</f>
        <v/>
      </c>
      <c r="I68" s="2" t="str" cm="1">
        <f t="array" ref="I68">IF('NILAI CPL'!$B68&lt;&gt;"",IFERROR(JumlahPI(ROW(),COLUMN()),0),"")</f>
        <v/>
      </c>
      <c r="J68" s="2" t="str" cm="1">
        <f t="array" ref="J68">IF('NILAI CPL'!$B68&lt;&gt;"",IFERROR(JumlahPI(ROW(),COLUMN()),0),"")</f>
        <v/>
      </c>
      <c r="K68" s="2" t="str" cm="1">
        <f t="array" ref="K68">IF('NILAI CPL'!$B68&lt;&gt;"",IFERROR(JumlahPI(ROW(),COLUMN()),0),"")</f>
        <v/>
      </c>
      <c r="L68" s="2" t="str" cm="1">
        <f t="array" ref="L68">IF('NILAI CPL'!$B68&lt;&gt;"",IFERROR(JumlahPI(ROW(),COLUMN()),0),"")</f>
        <v/>
      </c>
      <c r="M68" s="2" t="str" cm="1">
        <f t="array" ref="M68">IF('NILAI CPL'!$B68&lt;&gt;"",IFERROR(JumlahPI(ROW(),COLUMN()),0),"")</f>
        <v/>
      </c>
      <c r="N68" s="2" t="str" cm="1">
        <f t="array" ref="N68">IF('NILAI CPL'!$B68&lt;&gt;"",IFERROR(JumlahPI(ROW(),COLUMN()),0),"")</f>
        <v/>
      </c>
      <c r="O68" s="2" t="str" cm="1">
        <f t="array" ref="O68">IF('NILAI CPL'!$B68&lt;&gt;"",IFERROR(JumlahPI(ROW(),COLUMN()),0),"")</f>
        <v/>
      </c>
      <c r="P68" s="2" t="str" cm="1">
        <f t="array" ref="P68">IF('NILAI CPL'!$B68&lt;&gt;"",IFERROR(JumlahPI(ROW(),COLUMN()),0),"")</f>
        <v/>
      </c>
      <c r="Q68" s="2" t="str" cm="1">
        <f t="array" ref="Q68">IF('NILAI CPL'!$B68&lt;&gt;"",IFERROR(JumlahPI(ROW(),COLUMN()),0),"")</f>
        <v/>
      </c>
      <c r="R68" s="2" t="str" cm="1">
        <f t="array" ref="R68">IF('NILAI CPL'!$B68&lt;&gt;"",IFERROR(JumlahPI(ROW(),COLUMN()),0),"")</f>
        <v/>
      </c>
      <c r="S68" s="2" t="str" cm="1">
        <f t="array" ref="S68">IF('NILAI CPL'!$B68&lt;&gt;"",IFERROR(JumlahPI(ROW(),COLUMN()),0),"")</f>
        <v/>
      </c>
      <c r="T68" s="2" t="str" cm="1">
        <f t="array" ref="T68">IF('NILAI CPL'!$B68&lt;&gt;"",IFERROR(JumlahPI(ROW(),COLUMN()),0),"")</f>
        <v/>
      </c>
      <c r="U68" s="2" t="str" cm="1">
        <f t="array" ref="U68">IF('NILAI CPL'!$B68&lt;&gt;"",IFERROR(JumlahPI(ROW(),COLUMN()),0),"")</f>
        <v/>
      </c>
      <c r="V68" s="2" t="str" cm="1">
        <f t="array" ref="V68">IF('NILAI CPL'!$B68&lt;&gt;"",IFERROR(JumlahPI(ROW(),COLUMN()),0),"")</f>
        <v/>
      </c>
      <c r="W68" s="2" t="str" cm="1">
        <f t="array" ref="W68">IF('NILAI CPL'!$B68&lt;&gt;"",IFERROR(JumlahPI(ROW(),COLUMN()),0),"")</f>
        <v/>
      </c>
      <c r="X68" s="2" t="str" cm="1">
        <f t="array" ref="X68">IF('NILAI CPL'!$B68&lt;&gt;"",IFERROR(JumlahPI(ROW(),COLUMN()),0),"")</f>
        <v/>
      </c>
      <c r="Y68" s="2" t="str" cm="1">
        <f t="array" ref="Y68">IF('NILAI CPL'!$B68&lt;&gt;"",IFERROR(JumlahPI(ROW(),COLUMN()),0),"")</f>
        <v/>
      </c>
      <c r="Z68" s="2" t="str" cm="1">
        <f t="array" ref="Z68">IF('NILAI CPL'!$B68&lt;&gt;"",IFERROR(JumlahPI(ROW(),COLUMN()),0),"")</f>
        <v/>
      </c>
      <c r="AB68" s="2" t="str" cm="1">
        <f t="array" ref="AB68">IF('NILAI CPL'!$B68&lt;&gt;"",IFERROR(_xlfn.IFS(E68&gt;=$B$3,4,E68&gt;=$B$4,3,E68&gt;=$B$5,2,E68&gt;$B$6,1),0),"")</f>
        <v/>
      </c>
      <c r="AC68" s="2" t="str" cm="1">
        <f t="array" ref="AC68">IF('NILAI CPL'!$B68&lt;&gt;"",IFERROR(_xlfn.IFS(F68&gt;=$B$3,4,F68&gt;=$B$4,3,F68&gt;=$B$5,2,F68&gt;$B$6,1),0),"")</f>
        <v/>
      </c>
      <c r="AD68" s="2" t="str" cm="1">
        <f t="array" ref="AD68">IF('NILAI CPL'!$B68&lt;&gt;"",IFERROR(_xlfn.IFS(G68&gt;=$B$3,4,G68&gt;=$B$4,3,G68&gt;=$B$5,2,G68&gt;$B$6,1),0),"")</f>
        <v/>
      </c>
      <c r="AE68" s="2" t="str" cm="1">
        <f t="array" ref="AE68">IF('NILAI CPL'!$B68&lt;&gt;"",IFERROR(_xlfn.IFS(H68&gt;=$B$3,4,H68&gt;=$B$4,3,H68&gt;=$B$5,2,H68&gt;$B$6,1),0),"")</f>
        <v/>
      </c>
      <c r="AF68" s="2" t="str" cm="1">
        <f t="array" ref="AF68">IF('NILAI CPL'!$B68&lt;&gt;"",IFERROR(_xlfn.IFS(I68&gt;=$B$3,4,I68&gt;=$B$4,3,I68&gt;=$B$5,2,I68&gt;$B$6,1),0),"")</f>
        <v/>
      </c>
      <c r="AG68" s="2" t="str" cm="1">
        <f t="array" ref="AG68">IF('NILAI CPL'!$B68&lt;&gt;"",IFERROR(_xlfn.IFS(J68&gt;=$B$3,4,J68&gt;=$B$4,3,J68&gt;=$B$5,2,J68&gt;$B$6,1),0),"")</f>
        <v/>
      </c>
      <c r="AH68" s="2" t="str" cm="1">
        <f t="array" ref="AH68">IF('NILAI CPL'!$B68&lt;&gt;"",IFERROR(_xlfn.IFS(K68&gt;=$B$3,4,K68&gt;=$B$4,3,K68&gt;=$B$5,2,K68&gt;$B$6,1),0),"")</f>
        <v/>
      </c>
      <c r="AI68" s="2" t="str" cm="1">
        <f t="array" ref="AI68">IF('NILAI CPL'!$B68&lt;&gt;"",IFERROR(_xlfn.IFS(L68&gt;=$B$3,4,L68&gt;=$B$4,3,L68&gt;=$B$5,2,L68&gt;$B$6,1),0),"")</f>
        <v/>
      </c>
      <c r="AJ68" s="2" t="str" cm="1">
        <f t="array" ref="AJ68">IF('NILAI CPL'!$B68&lt;&gt;"",IFERROR(_xlfn.IFS(M68&gt;=$B$3,4,M68&gt;=$B$4,3,M68&gt;=$B$5,2,M68&gt;$B$6,1),0),"")</f>
        <v/>
      </c>
      <c r="AK68" s="2" t="str" cm="1">
        <f t="array" ref="AK68">IF('NILAI CPL'!$B68&lt;&gt;"",IFERROR(_xlfn.IFS(N68&gt;=$B$3,4,N68&gt;=$B$4,3,N68&gt;=$B$5,2,N68&gt;$B$6,1),0),"")</f>
        <v/>
      </c>
      <c r="AL68" s="2" t="str" cm="1">
        <f t="array" ref="AL68">IF('NILAI CPL'!$B68&lt;&gt;"",IFERROR(_xlfn.IFS(O68&gt;=$B$3,4,O68&gt;=$B$4,3,O68&gt;=$B$5,2,O68&gt;$B$6,1),0),"")</f>
        <v/>
      </c>
      <c r="AM68" s="2" t="str" cm="1">
        <f t="array" ref="AM68">IF('NILAI CPL'!$B68&lt;&gt;"",IFERROR(_xlfn.IFS(P68&gt;=$B$3,4,P68&gt;=$B$4,3,P68&gt;=$B$5,2,P68&gt;$B$6,1),0),"")</f>
        <v/>
      </c>
      <c r="AN68" s="2" t="str" cm="1">
        <f t="array" ref="AN68">IF('NILAI CPL'!$B68&lt;&gt;"",IFERROR(_xlfn.IFS(Q68&gt;=$B$3,4,Q68&gt;=$B$4,3,Q68&gt;=$B$5,2,Q68&gt;$B$6,1),0),"")</f>
        <v/>
      </c>
      <c r="AO68" s="2" t="str" cm="1">
        <f t="array" ref="AO68">IF('NILAI CPL'!$B68&lt;&gt;"",IFERROR(_xlfn.IFS(R68&gt;=$B$3,4,R68&gt;=$B$4,3,R68&gt;=$B$5,2,R68&gt;$B$6,1),0),"")</f>
        <v/>
      </c>
      <c r="AP68" s="2" t="str" cm="1">
        <f t="array" ref="AP68">IF('NILAI CPL'!$B68&lt;&gt;"",IFERROR(_xlfn.IFS(S68&gt;=$B$3,4,S68&gt;=$B$4,3,S68&gt;=$B$5,2,S68&gt;$B$6,1),0),"")</f>
        <v/>
      </c>
      <c r="AQ68" s="2" t="str" cm="1">
        <f t="array" ref="AQ68">IF('NILAI CPL'!$B68&lt;&gt;"",IFERROR(_xlfn.IFS(T68&gt;=$B$3,4,T68&gt;=$B$4,3,T68&gt;=$B$5,2,T68&gt;$B$6,1),0),"")</f>
        <v/>
      </c>
      <c r="AR68" s="2" t="str" cm="1">
        <f t="array" ref="AR68">IF('NILAI CPL'!$B68&lt;&gt;"",IFERROR(_xlfn.IFS(U68&gt;=$B$3,4,U68&gt;=$B$4,3,U68&gt;=$B$5,2,U68&gt;$B$6,1),0),"")</f>
        <v/>
      </c>
      <c r="AS68" s="2" t="str" cm="1">
        <f t="array" ref="AS68">IF('NILAI CPL'!$B68&lt;&gt;"",IFERROR(_xlfn.IFS(V68&gt;=$B$3,4,V68&gt;=$B$4,3,V68&gt;=$B$5,2,V68&gt;$B$6,1),0),"")</f>
        <v/>
      </c>
      <c r="AT68" s="2" t="str" cm="1">
        <f t="array" ref="AT68">IF('NILAI CPL'!$B68&lt;&gt;"",IFERROR(_xlfn.IFS(W68&gt;=$B$3,4,W68&gt;=$B$4,3,W68&gt;=$B$5,2,W68&gt;$B$6,1),0),"")</f>
        <v/>
      </c>
      <c r="AU68" s="2" t="str" cm="1">
        <f t="array" ref="AU68">IF('NILAI CPL'!$B68&lt;&gt;"",IFERROR(_xlfn.IFS(X68&gt;=$B$3,4,X68&gt;=$B$4,3,X68&gt;=$B$5,2,X68&gt;$B$6,1),0),"")</f>
        <v/>
      </c>
      <c r="AV68" s="2" t="str" cm="1">
        <f t="array" ref="AV68">IF('NILAI CPL'!$B68&lt;&gt;"",IFERROR(_xlfn.IFS(Y68&gt;=$B$3,4,Y68&gt;=$B$4,3,Y68&gt;=$B$5,2,Y68&gt;$B$6,1),0),"")</f>
        <v/>
      </c>
      <c r="AW68" s="2" t="str" cm="1">
        <f t="array" ref="AW68">IF('NILAI CPL'!$B68&lt;&gt;"",IFERROR(_xlfn.IFS(Z68&gt;=$B$3,4,Z68&gt;=$B$4,3,Z68&gt;=$B$5,2,Z68&gt;$B$6,1),0),"")</f>
        <v/>
      </c>
      <c r="AY68" s="2" t="str">
        <f t="shared" si="0"/>
        <v/>
      </c>
      <c r="AZ68" s="2" t="str">
        <f t="shared" si="1"/>
        <v/>
      </c>
      <c r="BA68" s="2" t="str">
        <f t="shared" si="2"/>
        <v/>
      </c>
      <c r="BB68" s="2" t="str">
        <f t="shared" si="3"/>
        <v/>
      </c>
      <c r="BC68" s="2" t="str">
        <f t="shared" si="4"/>
        <v/>
      </c>
      <c r="BD68" s="2" t="str">
        <f t="shared" si="5"/>
        <v/>
      </c>
      <c r="BE68" s="2" t="str">
        <f t="shared" si="6"/>
        <v/>
      </c>
      <c r="BF68" s="2" t="str">
        <f t="shared" si="7"/>
        <v/>
      </c>
      <c r="BG68" s="2" t="str">
        <f t="shared" si="8"/>
        <v/>
      </c>
      <c r="BH68" s="2" t="str">
        <f t="shared" si="9"/>
        <v/>
      </c>
      <c r="BJ68" s="2" t="str" cm="1">
        <f t="array" ref="BJ68">IF('NILAI CPL'!$B68&lt;&gt;"",IFERROR(_xlfn.IFS(AY68&gt;=$B$3,4,AY68&gt;=$B$4,3,AY68&gt;=$B$5,2,AY68&gt;$B$6,1),0),"")</f>
        <v/>
      </c>
      <c r="BK68" s="2" t="str" cm="1">
        <f t="array" ref="BK68">IF('NILAI CPL'!$B68&lt;&gt;"",IFERROR(_xlfn.IFS(AZ68&gt;=$B$3,4,AZ68&gt;=$B$4,3,AZ68&gt;=$B$5,2,AZ68&gt;$B$6,1),0),"")</f>
        <v/>
      </c>
      <c r="BL68" s="2" t="str" cm="1">
        <f t="array" ref="BL68">IF('NILAI CPL'!$B68&lt;&gt;"",IFERROR(_xlfn.IFS(BA68&gt;=$B$3,4,BA68&gt;=$B$4,3,BA68&gt;=$B$5,2,BA68&gt;$B$6,1),0),"")</f>
        <v/>
      </c>
      <c r="BM68" s="2" t="str" cm="1">
        <f t="array" ref="BM68">IF('NILAI CPL'!$B68&lt;&gt;"",IFERROR(_xlfn.IFS(BB68&gt;=$B$3,4,BB68&gt;=$B$4,3,BB68&gt;=$B$5,2,BB68&gt;$B$6,1),0),"")</f>
        <v/>
      </c>
      <c r="BN68" s="2" t="str" cm="1">
        <f t="array" ref="BN68">IF('NILAI CPL'!$B68&lt;&gt;"",IFERROR(_xlfn.IFS(BC68&gt;=$B$3,4,BC68&gt;=$B$4,3,BC68&gt;=$B$5,2,BC68&gt;$B$6,1),0),"")</f>
        <v/>
      </c>
      <c r="BO68" s="2" t="str" cm="1">
        <f t="array" ref="BO68">IF('NILAI CPL'!$B68&lt;&gt;"",IFERROR(_xlfn.IFS(BD68&gt;=$B$3,4,BD68&gt;=$B$4,3,BD68&gt;=$B$5,2,BD68&gt;$B$6,1),0),"")</f>
        <v/>
      </c>
      <c r="BP68" s="2" t="str" cm="1">
        <f t="array" ref="BP68">IF('NILAI CPL'!$B68&lt;&gt;"",IFERROR(_xlfn.IFS(BE68&gt;=$B$3,4,BE68&gt;=$B$4,3,BE68&gt;=$B$5,2,BE68&gt;$B$6,1),0),"")</f>
        <v/>
      </c>
      <c r="BQ68" s="2" t="str" cm="1">
        <f t="array" ref="BQ68">IF('NILAI CPL'!$B68&lt;&gt;"",IFERROR(_xlfn.IFS(BF68&gt;=$B$3,4,BF68&gt;=$B$4,3,BF68&gt;=$B$5,2,BF68&gt;$B$6,1),0),"")</f>
        <v/>
      </c>
      <c r="BR68" s="2" t="str" cm="1">
        <f t="array" ref="BR68">IF('NILAI CPL'!$B68&lt;&gt;"",IFERROR(_xlfn.IFS(BG68&gt;=$B$3,4,BG68&gt;=$B$4,3,BG68&gt;=$B$5,2,BG68&gt;$B$6,1),0),"")</f>
        <v/>
      </c>
      <c r="BS68" s="2" t="str" cm="1">
        <f t="array" ref="BS68">IF('NILAI CPL'!$B68&lt;&gt;"",IFERROR(_xlfn.IFS(BH68&gt;=$B$3,4,BH68&gt;=$B$4,3,BH68&gt;=$B$5,2,BH68&gt;$B$6,1),0),"")</f>
        <v/>
      </c>
    </row>
    <row r="69" spans="1:71" x14ac:dyDescent="0.2">
      <c r="A69" s="2">
        <v>59</v>
      </c>
      <c r="B69" s="2" t="str">
        <f>IF(LEN(SUMMARY!B69)&gt;0, SUMMARY!B69, "")</f>
        <v/>
      </c>
      <c r="C69" s="2" t="str">
        <f>IF(LEN(SUMMARY!C69)&gt;0, SUMMARY!C69, "")</f>
        <v/>
      </c>
      <c r="E69" s="2" t="str" cm="1">
        <f t="array" ref="E69">IF('NILAI CPL'!$B69&lt;&gt;"",IFERROR(JumlahPI(ROW(),COLUMN()),0),"")</f>
        <v/>
      </c>
      <c r="F69" s="2" t="str" cm="1">
        <f t="array" ref="F69">IF('NILAI CPL'!$B69&lt;&gt;"",IFERROR(JumlahPI(ROW(),COLUMN()),0),"")</f>
        <v/>
      </c>
      <c r="G69" s="2" t="str" cm="1">
        <f t="array" ref="G69">IF('NILAI CPL'!$B69&lt;&gt;"",IFERROR(JumlahPI(ROW(),COLUMN()),0),"")</f>
        <v/>
      </c>
      <c r="H69" s="2" t="str" cm="1">
        <f t="array" ref="H69">IF('NILAI CPL'!$B69&lt;&gt;"",IFERROR(JumlahPI(ROW(),COLUMN()),0),"")</f>
        <v/>
      </c>
      <c r="I69" s="2" t="str" cm="1">
        <f t="array" ref="I69">IF('NILAI CPL'!$B69&lt;&gt;"",IFERROR(JumlahPI(ROW(),COLUMN()),0),"")</f>
        <v/>
      </c>
      <c r="J69" s="2" t="str" cm="1">
        <f t="array" ref="J69">IF('NILAI CPL'!$B69&lt;&gt;"",IFERROR(JumlahPI(ROW(),COLUMN()),0),"")</f>
        <v/>
      </c>
      <c r="K69" s="2" t="str" cm="1">
        <f t="array" ref="K69">IF('NILAI CPL'!$B69&lt;&gt;"",IFERROR(JumlahPI(ROW(),COLUMN()),0),"")</f>
        <v/>
      </c>
      <c r="L69" s="2" t="str" cm="1">
        <f t="array" ref="L69">IF('NILAI CPL'!$B69&lt;&gt;"",IFERROR(JumlahPI(ROW(),COLUMN()),0),"")</f>
        <v/>
      </c>
      <c r="M69" s="2" t="str" cm="1">
        <f t="array" ref="M69">IF('NILAI CPL'!$B69&lt;&gt;"",IFERROR(JumlahPI(ROW(),COLUMN()),0),"")</f>
        <v/>
      </c>
      <c r="N69" s="2" t="str" cm="1">
        <f t="array" ref="N69">IF('NILAI CPL'!$B69&lt;&gt;"",IFERROR(JumlahPI(ROW(),COLUMN()),0),"")</f>
        <v/>
      </c>
      <c r="O69" s="2" t="str" cm="1">
        <f t="array" ref="O69">IF('NILAI CPL'!$B69&lt;&gt;"",IFERROR(JumlahPI(ROW(),COLUMN()),0),"")</f>
        <v/>
      </c>
      <c r="P69" s="2" t="str" cm="1">
        <f t="array" ref="P69">IF('NILAI CPL'!$B69&lt;&gt;"",IFERROR(JumlahPI(ROW(),COLUMN()),0),"")</f>
        <v/>
      </c>
      <c r="Q69" s="2" t="str" cm="1">
        <f t="array" ref="Q69">IF('NILAI CPL'!$B69&lt;&gt;"",IFERROR(JumlahPI(ROW(),COLUMN()),0),"")</f>
        <v/>
      </c>
      <c r="R69" s="2" t="str" cm="1">
        <f t="array" ref="R69">IF('NILAI CPL'!$B69&lt;&gt;"",IFERROR(JumlahPI(ROW(),COLUMN()),0),"")</f>
        <v/>
      </c>
      <c r="S69" s="2" t="str" cm="1">
        <f t="array" ref="S69">IF('NILAI CPL'!$B69&lt;&gt;"",IFERROR(JumlahPI(ROW(),COLUMN()),0),"")</f>
        <v/>
      </c>
      <c r="T69" s="2" t="str" cm="1">
        <f t="array" ref="T69">IF('NILAI CPL'!$B69&lt;&gt;"",IFERROR(JumlahPI(ROW(),COLUMN()),0),"")</f>
        <v/>
      </c>
      <c r="U69" s="2" t="str" cm="1">
        <f t="array" ref="U69">IF('NILAI CPL'!$B69&lt;&gt;"",IFERROR(JumlahPI(ROW(),COLUMN()),0),"")</f>
        <v/>
      </c>
      <c r="V69" s="2" t="str" cm="1">
        <f t="array" ref="V69">IF('NILAI CPL'!$B69&lt;&gt;"",IFERROR(JumlahPI(ROW(),COLUMN()),0),"")</f>
        <v/>
      </c>
      <c r="W69" s="2" t="str" cm="1">
        <f t="array" ref="W69">IF('NILAI CPL'!$B69&lt;&gt;"",IFERROR(JumlahPI(ROW(),COLUMN()),0),"")</f>
        <v/>
      </c>
      <c r="X69" s="2" t="str" cm="1">
        <f t="array" ref="X69">IF('NILAI CPL'!$B69&lt;&gt;"",IFERROR(JumlahPI(ROW(),COLUMN()),0),"")</f>
        <v/>
      </c>
      <c r="Y69" s="2" t="str" cm="1">
        <f t="array" ref="Y69">IF('NILAI CPL'!$B69&lt;&gt;"",IFERROR(JumlahPI(ROW(),COLUMN()),0),"")</f>
        <v/>
      </c>
      <c r="Z69" s="2" t="str" cm="1">
        <f t="array" ref="Z69">IF('NILAI CPL'!$B69&lt;&gt;"",IFERROR(JumlahPI(ROW(),COLUMN()),0),"")</f>
        <v/>
      </c>
      <c r="AB69" s="2" t="str" cm="1">
        <f t="array" ref="AB69">IF('NILAI CPL'!$B69&lt;&gt;"",IFERROR(_xlfn.IFS(E69&gt;=$B$3,4,E69&gt;=$B$4,3,E69&gt;=$B$5,2,E69&gt;$B$6,1),0),"")</f>
        <v/>
      </c>
      <c r="AC69" s="2" t="str" cm="1">
        <f t="array" ref="AC69">IF('NILAI CPL'!$B69&lt;&gt;"",IFERROR(_xlfn.IFS(F69&gt;=$B$3,4,F69&gt;=$B$4,3,F69&gt;=$B$5,2,F69&gt;$B$6,1),0),"")</f>
        <v/>
      </c>
      <c r="AD69" s="2" t="str" cm="1">
        <f t="array" ref="AD69">IF('NILAI CPL'!$B69&lt;&gt;"",IFERROR(_xlfn.IFS(G69&gt;=$B$3,4,G69&gt;=$B$4,3,G69&gt;=$B$5,2,G69&gt;$B$6,1),0),"")</f>
        <v/>
      </c>
      <c r="AE69" s="2" t="str" cm="1">
        <f t="array" ref="AE69">IF('NILAI CPL'!$B69&lt;&gt;"",IFERROR(_xlfn.IFS(H69&gt;=$B$3,4,H69&gt;=$B$4,3,H69&gt;=$B$5,2,H69&gt;$B$6,1),0),"")</f>
        <v/>
      </c>
      <c r="AF69" s="2" t="str" cm="1">
        <f t="array" ref="AF69">IF('NILAI CPL'!$B69&lt;&gt;"",IFERROR(_xlfn.IFS(I69&gt;=$B$3,4,I69&gt;=$B$4,3,I69&gt;=$B$5,2,I69&gt;$B$6,1),0),"")</f>
        <v/>
      </c>
      <c r="AG69" s="2" t="str" cm="1">
        <f t="array" ref="AG69">IF('NILAI CPL'!$B69&lt;&gt;"",IFERROR(_xlfn.IFS(J69&gt;=$B$3,4,J69&gt;=$B$4,3,J69&gt;=$B$5,2,J69&gt;$B$6,1),0),"")</f>
        <v/>
      </c>
      <c r="AH69" s="2" t="str" cm="1">
        <f t="array" ref="AH69">IF('NILAI CPL'!$B69&lt;&gt;"",IFERROR(_xlfn.IFS(K69&gt;=$B$3,4,K69&gt;=$B$4,3,K69&gt;=$B$5,2,K69&gt;$B$6,1),0),"")</f>
        <v/>
      </c>
      <c r="AI69" s="2" t="str" cm="1">
        <f t="array" ref="AI69">IF('NILAI CPL'!$B69&lt;&gt;"",IFERROR(_xlfn.IFS(L69&gt;=$B$3,4,L69&gt;=$B$4,3,L69&gt;=$B$5,2,L69&gt;$B$6,1),0),"")</f>
        <v/>
      </c>
      <c r="AJ69" s="2" t="str" cm="1">
        <f t="array" ref="AJ69">IF('NILAI CPL'!$B69&lt;&gt;"",IFERROR(_xlfn.IFS(M69&gt;=$B$3,4,M69&gt;=$B$4,3,M69&gt;=$B$5,2,M69&gt;$B$6,1),0),"")</f>
        <v/>
      </c>
      <c r="AK69" s="2" t="str" cm="1">
        <f t="array" ref="AK69">IF('NILAI CPL'!$B69&lt;&gt;"",IFERROR(_xlfn.IFS(N69&gt;=$B$3,4,N69&gt;=$B$4,3,N69&gt;=$B$5,2,N69&gt;$B$6,1),0),"")</f>
        <v/>
      </c>
      <c r="AL69" s="2" t="str" cm="1">
        <f t="array" ref="AL69">IF('NILAI CPL'!$B69&lt;&gt;"",IFERROR(_xlfn.IFS(O69&gt;=$B$3,4,O69&gt;=$B$4,3,O69&gt;=$B$5,2,O69&gt;$B$6,1),0),"")</f>
        <v/>
      </c>
      <c r="AM69" s="2" t="str" cm="1">
        <f t="array" ref="AM69">IF('NILAI CPL'!$B69&lt;&gt;"",IFERROR(_xlfn.IFS(P69&gt;=$B$3,4,P69&gt;=$B$4,3,P69&gt;=$B$5,2,P69&gt;$B$6,1),0),"")</f>
        <v/>
      </c>
      <c r="AN69" s="2" t="str" cm="1">
        <f t="array" ref="AN69">IF('NILAI CPL'!$B69&lt;&gt;"",IFERROR(_xlfn.IFS(Q69&gt;=$B$3,4,Q69&gt;=$B$4,3,Q69&gt;=$B$5,2,Q69&gt;$B$6,1),0),"")</f>
        <v/>
      </c>
      <c r="AO69" s="2" t="str" cm="1">
        <f t="array" ref="AO69">IF('NILAI CPL'!$B69&lt;&gt;"",IFERROR(_xlfn.IFS(R69&gt;=$B$3,4,R69&gt;=$B$4,3,R69&gt;=$B$5,2,R69&gt;$B$6,1),0),"")</f>
        <v/>
      </c>
      <c r="AP69" s="2" t="str" cm="1">
        <f t="array" ref="AP69">IF('NILAI CPL'!$B69&lt;&gt;"",IFERROR(_xlfn.IFS(S69&gt;=$B$3,4,S69&gt;=$B$4,3,S69&gt;=$B$5,2,S69&gt;$B$6,1),0),"")</f>
        <v/>
      </c>
      <c r="AQ69" s="2" t="str" cm="1">
        <f t="array" ref="AQ69">IF('NILAI CPL'!$B69&lt;&gt;"",IFERROR(_xlfn.IFS(T69&gt;=$B$3,4,T69&gt;=$B$4,3,T69&gt;=$B$5,2,T69&gt;$B$6,1),0),"")</f>
        <v/>
      </c>
      <c r="AR69" s="2" t="str" cm="1">
        <f t="array" ref="AR69">IF('NILAI CPL'!$B69&lt;&gt;"",IFERROR(_xlfn.IFS(U69&gt;=$B$3,4,U69&gt;=$B$4,3,U69&gt;=$B$5,2,U69&gt;$B$6,1),0),"")</f>
        <v/>
      </c>
      <c r="AS69" s="2" t="str" cm="1">
        <f t="array" ref="AS69">IF('NILAI CPL'!$B69&lt;&gt;"",IFERROR(_xlfn.IFS(V69&gt;=$B$3,4,V69&gt;=$B$4,3,V69&gt;=$B$5,2,V69&gt;$B$6,1),0),"")</f>
        <v/>
      </c>
      <c r="AT69" s="2" t="str" cm="1">
        <f t="array" ref="AT69">IF('NILAI CPL'!$B69&lt;&gt;"",IFERROR(_xlfn.IFS(W69&gt;=$B$3,4,W69&gt;=$B$4,3,W69&gt;=$B$5,2,W69&gt;$B$6,1),0),"")</f>
        <v/>
      </c>
      <c r="AU69" s="2" t="str" cm="1">
        <f t="array" ref="AU69">IF('NILAI CPL'!$B69&lt;&gt;"",IFERROR(_xlfn.IFS(X69&gt;=$B$3,4,X69&gt;=$B$4,3,X69&gt;=$B$5,2,X69&gt;$B$6,1),0),"")</f>
        <v/>
      </c>
      <c r="AV69" s="2" t="str" cm="1">
        <f t="array" ref="AV69">IF('NILAI CPL'!$B69&lt;&gt;"",IFERROR(_xlfn.IFS(Y69&gt;=$B$3,4,Y69&gt;=$B$4,3,Y69&gt;=$B$5,2,Y69&gt;$B$6,1),0),"")</f>
        <v/>
      </c>
      <c r="AW69" s="2" t="str" cm="1">
        <f t="array" ref="AW69">IF('NILAI CPL'!$B69&lt;&gt;"",IFERROR(_xlfn.IFS(Z69&gt;=$B$3,4,Z69&gt;=$B$4,3,Z69&gt;=$B$5,2,Z69&gt;$B$6,1),0),"")</f>
        <v/>
      </c>
      <c r="AY69" s="2" t="str">
        <f t="shared" si="0"/>
        <v/>
      </c>
      <c r="AZ69" s="2" t="str">
        <f t="shared" si="1"/>
        <v/>
      </c>
      <c r="BA69" s="2" t="str">
        <f t="shared" si="2"/>
        <v/>
      </c>
      <c r="BB69" s="2" t="str">
        <f t="shared" si="3"/>
        <v/>
      </c>
      <c r="BC69" s="2" t="str">
        <f t="shared" si="4"/>
        <v/>
      </c>
      <c r="BD69" s="2" t="str">
        <f t="shared" si="5"/>
        <v/>
      </c>
      <c r="BE69" s="2" t="str">
        <f t="shared" si="6"/>
        <v/>
      </c>
      <c r="BF69" s="2" t="str">
        <f t="shared" si="7"/>
        <v/>
      </c>
      <c r="BG69" s="2" t="str">
        <f t="shared" si="8"/>
        <v/>
      </c>
      <c r="BH69" s="2" t="str">
        <f t="shared" si="9"/>
        <v/>
      </c>
      <c r="BJ69" s="2" t="str" cm="1">
        <f t="array" ref="BJ69">IF('NILAI CPL'!$B69&lt;&gt;"",IFERROR(_xlfn.IFS(AY69&gt;=$B$3,4,AY69&gt;=$B$4,3,AY69&gt;=$B$5,2,AY69&gt;$B$6,1),0),"")</f>
        <v/>
      </c>
      <c r="BK69" s="2" t="str" cm="1">
        <f t="array" ref="BK69">IF('NILAI CPL'!$B69&lt;&gt;"",IFERROR(_xlfn.IFS(AZ69&gt;=$B$3,4,AZ69&gt;=$B$4,3,AZ69&gt;=$B$5,2,AZ69&gt;$B$6,1),0),"")</f>
        <v/>
      </c>
      <c r="BL69" s="2" t="str" cm="1">
        <f t="array" ref="BL69">IF('NILAI CPL'!$B69&lt;&gt;"",IFERROR(_xlfn.IFS(BA69&gt;=$B$3,4,BA69&gt;=$B$4,3,BA69&gt;=$B$5,2,BA69&gt;$B$6,1),0),"")</f>
        <v/>
      </c>
      <c r="BM69" s="2" t="str" cm="1">
        <f t="array" ref="BM69">IF('NILAI CPL'!$B69&lt;&gt;"",IFERROR(_xlfn.IFS(BB69&gt;=$B$3,4,BB69&gt;=$B$4,3,BB69&gt;=$B$5,2,BB69&gt;$B$6,1),0),"")</f>
        <v/>
      </c>
      <c r="BN69" s="2" t="str" cm="1">
        <f t="array" ref="BN69">IF('NILAI CPL'!$B69&lt;&gt;"",IFERROR(_xlfn.IFS(BC69&gt;=$B$3,4,BC69&gt;=$B$4,3,BC69&gt;=$B$5,2,BC69&gt;$B$6,1),0),"")</f>
        <v/>
      </c>
      <c r="BO69" s="2" t="str" cm="1">
        <f t="array" ref="BO69">IF('NILAI CPL'!$B69&lt;&gt;"",IFERROR(_xlfn.IFS(BD69&gt;=$B$3,4,BD69&gt;=$B$4,3,BD69&gt;=$B$5,2,BD69&gt;$B$6,1),0),"")</f>
        <v/>
      </c>
      <c r="BP69" s="2" t="str" cm="1">
        <f t="array" ref="BP69">IF('NILAI CPL'!$B69&lt;&gt;"",IFERROR(_xlfn.IFS(BE69&gt;=$B$3,4,BE69&gt;=$B$4,3,BE69&gt;=$B$5,2,BE69&gt;$B$6,1),0),"")</f>
        <v/>
      </c>
      <c r="BQ69" s="2" t="str" cm="1">
        <f t="array" ref="BQ69">IF('NILAI CPL'!$B69&lt;&gt;"",IFERROR(_xlfn.IFS(BF69&gt;=$B$3,4,BF69&gt;=$B$4,3,BF69&gt;=$B$5,2,BF69&gt;$B$6,1),0),"")</f>
        <v/>
      </c>
      <c r="BR69" s="2" t="str" cm="1">
        <f t="array" ref="BR69">IF('NILAI CPL'!$B69&lt;&gt;"",IFERROR(_xlfn.IFS(BG69&gt;=$B$3,4,BG69&gt;=$B$4,3,BG69&gt;=$B$5,2,BG69&gt;$B$6,1),0),"")</f>
        <v/>
      </c>
      <c r="BS69" s="2" t="str" cm="1">
        <f t="array" ref="BS69">IF('NILAI CPL'!$B69&lt;&gt;"",IFERROR(_xlfn.IFS(BH69&gt;=$B$3,4,BH69&gt;=$B$4,3,BH69&gt;=$B$5,2,BH69&gt;$B$6,1),0),"")</f>
        <v/>
      </c>
    </row>
    <row r="70" spans="1:71" x14ac:dyDescent="0.2">
      <c r="A70" s="2">
        <v>60</v>
      </c>
      <c r="B70" s="2" t="str">
        <f>IF(LEN(SUMMARY!B70)&gt;0, SUMMARY!B70, "")</f>
        <v/>
      </c>
      <c r="C70" s="2" t="str">
        <f>IF(LEN(SUMMARY!C70)&gt;0, SUMMARY!C70, "")</f>
        <v/>
      </c>
      <c r="E70" s="2" t="str" cm="1">
        <f t="array" ref="E70">IF('NILAI CPL'!$B70&lt;&gt;"",IFERROR(JumlahPI(ROW(),COLUMN()),0),"")</f>
        <v/>
      </c>
      <c r="F70" s="2" t="str" cm="1">
        <f t="array" ref="F70">IF('NILAI CPL'!$B70&lt;&gt;"",IFERROR(JumlahPI(ROW(),COLUMN()),0),"")</f>
        <v/>
      </c>
      <c r="G70" s="2" t="str" cm="1">
        <f t="array" ref="G70">IF('NILAI CPL'!$B70&lt;&gt;"",IFERROR(JumlahPI(ROW(),COLUMN()),0),"")</f>
        <v/>
      </c>
      <c r="H70" s="2" t="str" cm="1">
        <f t="array" ref="H70">IF('NILAI CPL'!$B70&lt;&gt;"",IFERROR(JumlahPI(ROW(),COLUMN()),0),"")</f>
        <v/>
      </c>
      <c r="I70" s="2" t="str" cm="1">
        <f t="array" ref="I70">IF('NILAI CPL'!$B70&lt;&gt;"",IFERROR(JumlahPI(ROW(),COLUMN()),0),"")</f>
        <v/>
      </c>
      <c r="J70" s="2" t="str" cm="1">
        <f t="array" ref="J70">IF('NILAI CPL'!$B70&lt;&gt;"",IFERROR(JumlahPI(ROW(),COLUMN()),0),"")</f>
        <v/>
      </c>
      <c r="K70" s="2" t="str" cm="1">
        <f t="array" ref="K70">IF('NILAI CPL'!$B70&lt;&gt;"",IFERROR(JumlahPI(ROW(),COLUMN()),0),"")</f>
        <v/>
      </c>
      <c r="L70" s="2" t="str" cm="1">
        <f t="array" ref="L70">IF('NILAI CPL'!$B70&lt;&gt;"",IFERROR(JumlahPI(ROW(),COLUMN()),0),"")</f>
        <v/>
      </c>
      <c r="M70" s="2" t="str" cm="1">
        <f t="array" ref="M70">IF('NILAI CPL'!$B70&lt;&gt;"",IFERROR(JumlahPI(ROW(),COLUMN()),0),"")</f>
        <v/>
      </c>
      <c r="N70" s="2" t="str" cm="1">
        <f t="array" ref="N70">IF('NILAI CPL'!$B70&lt;&gt;"",IFERROR(JumlahPI(ROW(),COLUMN()),0),"")</f>
        <v/>
      </c>
      <c r="O70" s="2" t="str" cm="1">
        <f t="array" ref="O70">IF('NILAI CPL'!$B70&lt;&gt;"",IFERROR(JumlahPI(ROW(),COLUMN()),0),"")</f>
        <v/>
      </c>
      <c r="P70" s="2" t="str" cm="1">
        <f t="array" ref="P70">IF('NILAI CPL'!$B70&lt;&gt;"",IFERROR(JumlahPI(ROW(),COLUMN()),0),"")</f>
        <v/>
      </c>
      <c r="Q70" s="2" t="str" cm="1">
        <f t="array" ref="Q70">IF('NILAI CPL'!$B70&lt;&gt;"",IFERROR(JumlahPI(ROW(),COLUMN()),0),"")</f>
        <v/>
      </c>
      <c r="R70" s="2" t="str" cm="1">
        <f t="array" ref="R70">IF('NILAI CPL'!$B70&lt;&gt;"",IFERROR(JumlahPI(ROW(),COLUMN()),0),"")</f>
        <v/>
      </c>
      <c r="S70" s="2" t="str" cm="1">
        <f t="array" ref="S70">IF('NILAI CPL'!$B70&lt;&gt;"",IFERROR(JumlahPI(ROW(),COLUMN()),0),"")</f>
        <v/>
      </c>
      <c r="T70" s="2" t="str" cm="1">
        <f t="array" ref="T70">IF('NILAI CPL'!$B70&lt;&gt;"",IFERROR(JumlahPI(ROW(),COLUMN()),0),"")</f>
        <v/>
      </c>
      <c r="U70" s="2" t="str" cm="1">
        <f t="array" ref="U70">IF('NILAI CPL'!$B70&lt;&gt;"",IFERROR(JumlahPI(ROW(),COLUMN()),0),"")</f>
        <v/>
      </c>
      <c r="V70" s="2" t="str" cm="1">
        <f t="array" ref="V70">IF('NILAI CPL'!$B70&lt;&gt;"",IFERROR(JumlahPI(ROW(),COLUMN()),0),"")</f>
        <v/>
      </c>
      <c r="W70" s="2" t="str" cm="1">
        <f t="array" ref="W70">IF('NILAI CPL'!$B70&lt;&gt;"",IFERROR(JumlahPI(ROW(),COLUMN()),0),"")</f>
        <v/>
      </c>
      <c r="X70" s="2" t="str" cm="1">
        <f t="array" ref="X70">IF('NILAI CPL'!$B70&lt;&gt;"",IFERROR(JumlahPI(ROW(),COLUMN()),0),"")</f>
        <v/>
      </c>
      <c r="Y70" s="2" t="str" cm="1">
        <f t="array" ref="Y70">IF('NILAI CPL'!$B70&lt;&gt;"",IFERROR(JumlahPI(ROW(),COLUMN()),0),"")</f>
        <v/>
      </c>
      <c r="Z70" s="2" t="str" cm="1">
        <f t="array" ref="Z70">IF('NILAI CPL'!$B70&lt;&gt;"",IFERROR(JumlahPI(ROW(),COLUMN()),0),"")</f>
        <v/>
      </c>
      <c r="AB70" s="2" t="str" cm="1">
        <f t="array" ref="AB70">IF('NILAI CPL'!$B70&lt;&gt;"",IFERROR(_xlfn.IFS(E70&gt;=$B$3,4,E70&gt;=$B$4,3,E70&gt;=$B$5,2,E70&gt;$B$6,1),0),"")</f>
        <v/>
      </c>
      <c r="AC70" s="2" t="str" cm="1">
        <f t="array" ref="AC70">IF('NILAI CPL'!$B70&lt;&gt;"",IFERROR(_xlfn.IFS(F70&gt;=$B$3,4,F70&gt;=$B$4,3,F70&gt;=$B$5,2,F70&gt;$B$6,1),0),"")</f>
        <v/>
      </c>
      <c r="AD70" s="2" t="str" cm="1">
        <f t="array" ref="AD70">IF('NILAI CPL'!$B70&lt;&gt;"",IFERROR(_xlfn.IFS(G70&gt;=$B$3,4,G70&gt;=$B$4,3,G70&gt;=$B$5,2,G70&gt;$B$6,1),0),"")</f>
        <v/>
      </c>
      <c r="AE70" s="2" t="str" cm="1">
        <f t="array" ref="AE70">IF('NILAI CPL'!$B70&lt;&gt;"",IFERROR(_xlfn.IFS(H70&gt;=$B$3,4,H70&gt;=$B$4,3,H70&gt;=$B$5,2,H70&gt;$B$6,1),0),"")</f>
        <v/>
      </c>
      <c r="AF70" s="2" t="str" cm="1">
        <f t="array" ref="AF70">IF('NILAI CPL'!$B70&lt;&gt;"",IFERROR(_xlfn.IFS(I70&gt;=$B$3,4,I70&gt;=$B$4,3,I70&gt;=$B$5,2,I70&gt;$B$6,1),0),"")</f>
        <v/>
      </c>
      <c r="AG70" s="2" t="str" cm="1">
        <f t="array" ref="AG70">IF('NILAI CPL'!$B70&lt;&gt;"",IFERROR(_xlfn.IFS(J70&gt;=$B$3,4,J70&gt;=$B$4,3,J70&gt;=$B$5,2,J70&gt;$B$6,1),0),"")</f>
        <v/>
      </c>
      <c r="AH70" s="2" t="str" cm="1">
        <f t="array" ref="AH70">IF('NILAI CPL'!$B70&lt;&gt;"",IFERROR(_xlfn.IFS(K70&gt;=$B$3,4,K70&gt;=$B$4,3,K70&gt;=$B$5,2,K70&gt;$B$6,1),0),"")</f>
        <v/>
      </c>
      <c r="AI70" s="2" t="str" cm="1">
        <f t="array" ref="AI70">IF('NILAI CPL'!$B70&lt;&gt;"",IFERROR(_xlfn.IFS(L70&gt;=$B$3,4,L70&gt;=$B$4,3,L70&gt;=$B$5,2,L70&gt;$B$6,1),0),"")</f>
        <v/>
      </c>
      <c r="AJ70" s="2" t="str" cm="1">
        <f t="array" ref="AJ70">IF('NILAI CPL'!$B70&lt;&gt;"",IFERROR(_xlfn.IFS(M70&gt;=$B$3,4,M70&gt;=$B$4,3,M70&gt;=$B$5,2,M70&gt;$B$6,1),0),"")</f>
        <v/>
      </c>
      <c r="AK70" s="2" t="str" cm="1">
        <f t="array" ref="AK70">IF('NILAI CPL'!$B70&lt;&gt;"",IFERROR(_xlfn.IFS(N70&gt;=$B$3,4,N70&gt;=$B$4,3,N70&gt;=$B$5,2,N70&gt;$B$6,1),0),"")</f>
        <v/>
      </c>
      <c r="AL70" s="2" t="str" cm="1">
        <f t="array" ref="AL70">IF('NILAI CPL'!$B70&lt;&gt;"",IFERROR(_xlfn.IFS(O70&gt;=$B$3,4,O70&gt;=$B$4,3,O70&gt;=$B$5,2,O70&gt;$B$6,1),0),"")</f>
        <v/>
      </c>
      <c r="AM70" s="2" t="str" cm="1">
        <f t="array" ref="AM70">IF('NILAI CPL'!$B70&lt;&gt;"",IFERROR(_xlfn.IFS(P70&gt;=$B$3,4,P70&gt;=$B$4,3,P70&gt;=$B$5,2,P70&gt;$B$6,1),0),"")</f>
        <v/>
      </c>
      <c r="AN70" s="2" t="str" cm="1">
        <f t="array" ref="AN70">IF('NILAI CPL'!$B70&lt;&gt;"",IFERROR(_xlfn.IFS(Q70&gt;=$B$3,4,Q70&gt;=$B$4,3,Q70&gt;=$B$5,2,Q70&gt;$B$6,1),0),"")</f>
        <v/>
      </c>
      <c r="AO70" s="2" t="str" cm="1">
        <f t="array" ref="AO70">IF('NILAI CPL'!$B70&lt;&gt;"",IFERROR(_xlfn.IFS(R70&gt;=$B$3,4,R70&gt;=$B$4,3,R70&gt;=$B$5,2,R70&gt;$B$6,1),0),"")</f>
        <v/>
      </c>
      <c r="AP70" s="2" t="str" cm="1">
        <f t="array" ref="AP70">IF('NILAI CPL'!$B70&lt;&gt;"",IFERROR(_xlfn.IFS(S70&gt;=$B$3,4,S70&gt;=$B$4,3,S70&gt;=$B$5,2,S70&gt;$B$6,1),0),"")</f>
        <v/>
      </c>
      <c r="AQ70" s="2" t="str" cm="1">
        <f t="array" ref="AQ70">IF('NILAI CPL'!$B70&lt;&gt;"",IFERROR(_xlfn.IFS(T70&gt;=$B$3,4,T70&gt;=$B$4,3,T70&gt;=$B$5,2,T70&gt;$B$6,1),0),"")</f>
        <v/>
      </c>
      <c r="AR70" s="2" t="str" cm="1">
        <f t="array" ref="AR70">IF('NILAI CPL'!$B70&lt;&gt;"",IFERROR(_xlfn.IFS(U70&gt;=$B$3,4,U70&gt;=$B$4,3,U70&gt;=$B$5,2,U70&gt;$B$6,1),0),"")</f>
        <v/>
      </c>
      <c r="AS70" s="2" t="str" cm="1">
        <f t="array" ref="AS70">IF('NILAI CPL'!$B70&lt;&gt;"",IFERROR(_xlfn.IFS(V70&gt;=$B$3,4,V70&gt;=$B$4,3,V70&gt;=$B$5,2,V70&gt;$B$6,1),0),"")</f>
        <v/>
      </c>
      <c r="AT70" s="2" t="str" cm="1">
        <f t="array" ref="AT70">IF('NILAI CPL'!$B70&lt;&gt;"",IFERROR(_xlfn.IFS(W70&gt;=$B$3,4,W70&gt;=$B$4,3,W70&gt;=$B$5,2,W70&gt;$B$6,1),0),"")</f>
        <v/>
      </c>
      <c r="AU70" s="2" t="str" cm="1">
        <f t="array" ref="AU70">IF('NILAI CPL'!$B70&lt;&gt;"",IFERROR(_xlfn.IFS(X70&gt;=$B$3,4,X70&gt;=$B$4,3,X70&gt;=$B$5,2,X70&gt;$B$6,1),0),"")</f>
        <v/>
      </c>
      <c r="AV70" s="2" t="str" cm="1">
        <f t="array" ref="AV70">IF('NILAI CPL'!$B70&lt;&gt;"",IFERROR(_xlfn.IFS(Y70&gt;=$B$3,4,Y70&gt;=$B$4,3,Y70&gt;=$B$5,2,Y70&gt;$B$6,1),0),"")</f>
        <v/>
      </c>
      <c r="AW70" s="2" t="str" cm="1">
        <f t="array" ref="AW70">IF('NILAI CPL'!$B70&lt;&gt;"",IFERROR(_xlfn.IFS(Z70&gt;=$B$3,4,Z70&gt;=$B$4,3,Z70&gt;=$B$5,2,Z70&gt;$B$6,1),0),"")</f>
        <v/>
      </c>
      <c r="AY70" s="2" t="str">
        <f t="shared" si="0"/>
        <v/>
      </c>
      <c r="AZ70" s="2" t="str">
        <f t="shared" si="1"/>
        <v/>
      </c>
      <c r="BA70" s="2" t="str">
        <f t="shared" si="2"/>
        <v/>
      </c>
      <c r="BB70" s="2" t="str">
        <f t="shared" si="3"/>
        <v/>
      </c>
      <c r="BC70" s="2" t="str">
        <f t="shared" si="4"/>
        <v/>
      </c>
      <c r="BD70" s="2" t="str">
        <f t="shared" si="5"/>
        <v/>
      </c>
      <c r="BE70" s="2" t="str">
        <f t="shared" si="6"/>
        <v/>
      </c>
      <c r="BF70" s="2" t="str">
        <f t="shared" si="7"/>
        <v/>
      </c>
      <c r="BG70" s="2" t="str">
        <f t="shared" si="8"/>
        <v/>
      </c>
      <c r="BH70" s="2" t="str">
        <f t="shared" si="9"/>
        <v/>
      </c>
      <c r="BJ70" s="2" t="str" cm="1">
        <f t="array" ref="BJ70">IF('NILAI CPL'!$B70&lt;&gt;"",IFERROR(_xlfn.IFS(AY70&gt;=$B$3,4,AY70&gt;=$B$4,3,AY70&gt;=$B$5,2,AY70&gt;$B$6,1),0),"")</f>
        <v/>
      </c>
      <c r="BK70" s="2" t="str" cm="1">
        <f t="array" ref="BK70">IF('NILAI CPL'!$B70&lt;&gt;"",IFERROR(_xlfn.IFS(AZ70&gt;=$B$3,4,AZ70&gt;=$B$4,3,AZ70&gt;=$B$5,2,AZ70&gt;$B$6,1),0),"")</f>
        <v/>
      </c>
      <c r="BL70" s="2" t="str" cm="1">
        <f t="array" ref="BL70">IF('NILAI CPL'!$B70&lt;&gt;"",IFERROR(_xlfn.IFS(BA70&gt;=$B$3,4,BA70&gt;=$B$4,3,BA70&gt;=$B$5,2,BA70&gt;$B$6,1),0),"")</f>
        <v/>
      </c>
      <c r="BM70" s="2" t="str" cm="1">
        <f t="array" ref="BM70">IF('NILAI CPL'!$B70&lt;&gt;"",IFERROR(_xlfn.IFS(BB70&gt;=$B$3,4,BB70&gt;=$B$4,3,BB70&gt;=$B$5,2,BB70&gt;$B$6,1),0),"")</f>
        <v/>
      </c>
      <c r="BN70" s="2" t="str" cm="1">
        <f t="array" ref="BN70">IF('NILAI CPL'!$B70&lt;&gt;"",IFERROR(_xlfn.IFS(BC70&gt;=$B$3,4,BC70&gt;=$B$4,3,BC70&gt;=$B$5,2,BC70&gt;$B$6,1),0),"")</f>
        <v/>
      </c>
      <c r="BO70" s="2" t="str" cm="1">
        <f t="array" ref="BO70">IF('NILAI CPL'!$B70&lt;&gt;"",IFERROR(_xlfn.IFS(BD70&gt;=$B$3,4,BD70&gt;=$B$4,3,BD70&gt;=$B$5,2,BD70&gt;$B$6,1),0),"")</f>
        <v/>
      </c>
      <c r="BP70" s="2" t="str" cm="1">
        <f t="array" ref="BP70">IF('NILAI CPL'!$B70&lt;&gt;"",IFERROR(_xlfn.IFS(BE70&gt;=$B$3,4,BE70&gt;=$B$4,3,BE70&gt;=$B$5,2,BE70&gt;$B$6,1),0),"")</f>
        <v/>
      </c>
      <c r="BQ70" s="2" t="str" cm="1">
        <f t="array" ref="BQ70">IF('NILAI CPL'!$B70&lt;&gt;"",IFERROR(_xlfn.IFS(BF70&gt;=$B$3,4,BF70&gt;=$B$4,3,BF70&gt;=$B$5,2,BF70&gt;$B$6,1),0),"")</f>
        <v/>
      </c>
      <c r="BR70" s="2" t="str" cm="1">
        <f t="array" ref="BR70">IF('NILAI CPL'!$B70&lt;&gt;"",IFERROR(_xlfn.IFS(BG70&gt;=$B$3,4,BG70&gt;=$B$4,3,BG70&gt;=$B$5,2,BG70&gt;$B$6,1),0),"")</f>
        <v/>
      </c>
      <c r="BS70" s="2" t="str" cm="1">
        <f t="array" ref="BS70">IF('NILAI CPL'!$B70&lt;&gt;"",IFERROR(_xlfn.IFS(BH70&gt;=$B$3,4,BH70&gt;=$B$4,3,BH70&gt;=$B$5,2,BH70&gt;$B$6,1),0),"")</f>
        <v/>
      </c>
    </row>
    <row r="71" spans="1:71" x14ac:dyDescent="0.2">
      <c r="A71" s="2">
        <v>61</v>
      </c>
      <c r="B71" s="2" t="str">
        <f>IF(LEN(SUMMARY!B71)&gt;0, SUMMARY!B71, "")</f>
        <v/>
      </c>
      <c r="C71" s="2" t="str">
        <f>IF(LEN(SUMMARY!C71)&gt;0, SUMMARY!C71, "")</f>
        <v/>
      </c>
      <c r="E71" s="2" t="str" cm="1">
        <f t="array" ref="E71">IF('NILAI CPL'!$B71&lt;&gt;"",IFERROR(JumlahPI(ROW(),COLUMN()),0),"")</f>
        <v/>
      </c>
      <c r="F71" s="2" t="str" cm="1">
        <f t="array" ref="F71">IF('NILAI CPL'!$B71&lt;&gt;"",IFERROR(JumlahPI(ROW(),COLUMN()),0),"")</f>
        <v/>
      </c>
      <c r="G71" s="2" t="str" cm="1">
        <f t="array" ref="G71">IF('NILAI CPL'!$B71&lt;&gt;"",IFERROR(JumlahPI(ROW(),COLUMN()),0),"")</f>
        <v/>
      </c>
      <c r="H71" s="2" t="str" cm="1">
        <f t="array" ref="H71">IF('NILAI CPL'!$B71&lt;&gt;"",IFERROR(JumlahPI(ROW(),COLUMN()),0),"")</f>
        <v/>
      </c>
      <c r="I71" s="2" t="str" cm="1">
        <f t="array" ref="I71">IF('NILAI CPL'!$B71&lt;&gt;"",IFERROR(JumlahPI(ROW(),COLUMN()),0),"")</f>
        <v/>
      </c>
      <c r="J71" s="2" t="str" cm="1">
        <f t="array" ref="J71">IF('NILAI CPL'!$B71&lt;&gt;"",IFERROR(JumlahPI(ROW(),COLUMN()),0),"")</f>
        <v/>
      </c>
      <c r="K71" s="2" t="str" cm="1">
        <f t="array" ref="K71">IF('NILAI CPL'!$B71&lt;&gt;"",IFERROR(JumlahPI(ROW(),COLUMN()),0),"")</f>
        <v/>
      </c>
      <c r="L71" s="2" t="str" cm="1">
        <f t="array" ref="L71">IF('NILAI CPL'!$B71&lt;&gt;"",IFERROR(JumlahPI(ROW(),COLUMN()),0),"")</f>
        <v/>
      </c>
      <c r="M71" s="2" t="str" cm="1">
        <f t="array" ref="M71">IF('NILAI CPL'!$B71&lt;&gt;"",IFERROR(JumlahPI(ROW(),COLUMN()),0),"")</f>
        <v/>
      </c>
      <c r="N71" s="2" t="str" cm="1">
        <f t="array" ref="N71">IF('NILAI CPL'!$B71&lt;&gt;"",IFERROR(JumlahPI(ROW(),COLUMN()),0),"")</f>
        <v/>
      </c>
      <c r="O71" s="2" t="str" cm="1">
        <f t="array" ref="O71">IF('NILAI CPL'!$B71&lt;&gt;"",IFERROR(JumlahPI(ROW(),COLUMN()),0),"")</f>
        <v/>
      </c>
      <c r="P71" s="2" t="str" cm="1">
        <f t="array" ref="P71">IF('NILAI CPL'!$B71&lt;&gt;"",IFERROR(JumlahPI(ROW(),COLUMN()),0),"")</f>
        <v/>
      </c>
      <c r="Q71" s="2" t="str" cm="1">
        <f t="array" ref="Q71">IF('NILAI CPL'!$B71&lt;&gt;"",IFERROR(JumlahPI(ROW(),COLUMN()),0),"")</f>
        <v/>
      </c>
      <c r="R71" s="2" t="str" cm="1">
        <f t="array" ref="R71">IF('NILAI CPL'!$B71&lt;&gt;"",IFERROR(JumlahPI(ROW(),COLUMN()),0),"")</f>
        <v/>
      </c>
      <c r="S71" s="2" t="str" cm="1">
        <f t="array" ref="S71">IF('NILAI CPL'!$B71&lt;&gt;"",IFERROR(JumlahPI(ROW(),COLUMN()),0),"")</f>
        <v/>
      </c>
      <c r="T71" s="2" t="str" cm="1">
        <f t="array" ref="T71">IF('NILAI CPL'!$B71&lt;&gt;"",IFERROR(JumlahPI(ROW(),COLUMN()),0),"")</f>
        <v/>
      </c>
      <c r="U71" s="2" t="str" cm="1">
        <f t="array" ref="U71">IF('NILAI CPL'!$B71&lt;&gt;"",IFERROR(JumlahPI(ROW(),COLUMN()),0),"")</f>
        <v/>
      </c>
      <c r="V71" s="2" t="str" cm="1">
        <f t="array" ref="V71">IF('NILAI CPL'!$B71&lt;&gt;"",IFERROR(JumlahPI(ROW(),COLUMN()),0),"")</f>
        <v/>
      </c>
      <c r="W71" s="2" t="str" cm="1">
        <f t="array" ref="W71">IF('NILAI CPL'!$B71&lt;&gt;"",IFERROR(JumlahPI(ROW(),COLUMN()),0),"")</f>
        <v/>
      </c>
      <c r="X71" s="2" t="str" cm="1">
        <f t="array" ref="X71">IF('NILAI CPL'!$B71&lt;&gt;"",IFERROR(JumlahPI(ROW(),COLUMN()),0),"")</f>
        <v/>
      </c>
      <c r="Y71" s="2" t="str" cm="1">
        <f t="array" ref="Y71">IF('NILAI CPL'!$B71&lt;&gt;"",IFERROR(JumlahPI(ROW(),COLUMN()),0),"")</f>
        <v/>
      </c>
      <c r="Z71" s="2" t="str" cm="1">
        <f t="array" ref="Z71">IF('NILAI CPL'!$B71&lt;&gt;"",IFERROR(JumlahPI(ROW(),COLUMN()),0),"")</f>
        <v/>
      </c>
      <c r="AB71" s="2" t="str" cm="1">
        <f t="array" ref="AB71">IF('NILAI CPL'!$B71&lt;&gt;"",IFERROR(_xlfn.IFS(E71&gt;=$B$3,4,E71&gt;=$B$4,3,E71&gt;=$B$5,2,E71&gt;$B$6,1),0),"")</f>
        <v/>
      </c>
      <c r="AC71" s="2" t="str" cm="1">
        <f t="array" ref="AC71">IF('NILAI CPL'!$B71&lt;&gt;"",IFERROR(_xlfn.IFS(F71&gt;=$B$3,4,F71&gt;=$B$4,3,F71&gt;=$B$5,2,F71&gt;$B$6,1),0),"")</f>
        <v/>
      </c>
      <c r="AD71" s="2" t="str" cm="1">
        <f t="array" ref="AD71">IF('NILAI CPL'!$B71&lt;&gt;"",IFERROR(_xlfn.IFS(G71&gt;=$B$3,4,G71&gt;=$B$4,3,G71&gt;=$B$5,2,G71&gt;$B$6,1),0),"")</f>
        <v/>
      </c>
      <c r="AE71" s="2" t="str" cm="1">
        <f t="array" ref="AE71">IF('NILAI CPL'!$B71&lt;&gt;"",IFERROR(_xlfn.IFS(H71&gt;=$B$3,4,H71&gt;=$B$4,3,H71&gt;=$B$5,2,H71&gt;$B$6,1),0),"")</f>
        <v/>
      </c>
      <c r="AF71" s="2" t="str" cm="1">
        <f t="array" ref="AF71">IF('NILAI CPL'!$B71&lt;&gt;"",IFERROR(_xlfn.IFS(I71&gt;=$B$3,4,I71&gt;=$B$4,3,I71&gt;=$B$5,2,I71&gt;$B$6,1),0),"")</f>
        <v/>
      </c>
      <c r="AG71" s="2" t="str" cm="1">
        <f t="array" ref="AG71">IF('NILAI CPL'!$B71&lt;&gt;"",IFERROR(_xlfn.IFS(J71&gt;=$B$3,4,J71&gt;=$B$4,3,J71&gt;=$B$5,2,J71&gt;$B$6,1),0),"")</f>
        <v/>
      </c>
      <c r="AH71" s="2" t="str" cm="1">
        <f t="array" ref="AH71">IF('NILAI CPL'!$B71&lt;&gt;"",IFERROR(_xlfn.IFS(K71&gt;=$B$3,4,K71&gt;=$B$4,3,K71&gt;=$B$5,2,K71&gt;$B$6,1),0),"")</f>
        <v/>
      </c>
      <c r="AI71" s="2" t="str" cm="1">
        <f t="array" ref="AI71">IF('NILAI CPL'!$B71&lt;&gt;"",IFERROR(_xlfn.IFS(L71&gt;=$B$3,4,L71&gt;=$B$4,3,L71&gt;=$B$5,2,L71&gt;$B$6,1),0),"")</f>
        <v/>
      </c>
      <c r="AJ71" s="2" t="str" cm="1">
        <f t="array" ref="AJ71">IF('NILAI CPL'!$B71&lt;&gt;"",IFERROR(_xlfn.IFS(M71&gt;=$B$3,4,M71&gt;=$B$4,3,M71&gt;=$B$5,2,M71&gt;$B$6,1),0),"")</f>
        <v/>
      </c>
      <c r="AK71" s="2" t="str" cm="1">
        <f t="array" ref="AK71">IF('NILAI CPL'!$B71&lt;&gt;"",IFERROR(_xlfn.IFS(N71&gt;=$B$3,4,N71&gt;=$B$4,3,N71&gt;=$B$5,2,N71&gt;$B$6,1),0),"")</f>
        <v/>
      </c>
      <c r="AL71" s="2" t="str" cm="1">
        <f t="array" ref="AL71">IF('NILAI CPL'!$B71&lt;&gt;"",IFERROR(_xlfn.IFS(O71&gt;=$B$3,4,O71&gt;=$B$4,3,O71&gt;=$B$5,2,O71&gt;$B$6,1),0),"")</f>
        <v/>
      </c>
      <c r="AM71" s="2" t="str" cm="1">
        <f t="array" ref="AM71">IF('NILAI CPL'!$B71&lt;&gt;"",IFERROR(_xlfn.IFS(P71&gt;=$B$3,4,P71&gt;=$B$4,3,P71&gt;=$B$5,2,P71&gt;$B$6,1),0),"")</f>
        <v/>
      </c>
      <c r="AN71" s="2" t="str" cm="1">
        <f t="array" ref="AN71">IF('NILAI CPL'!$B71&lt;&gt;"",IFERROR(_xlfn.IFS(Q71&gt;=$B$3,4,Q71&gt;=$B$4,3,Q71&gt;=$B$5,2,Q71&gt;$B$6,1),0),"")</f>
        <v/>
      </c>
      <c r="AO71" s="2" t="str" cm="1">
        <f t="array" ref="AO71">IF('NILAI CPL'!$B71&lt;&gt;"",IFERROR(_xlfn.IFS(R71&gt;=$B$3,4,R71&gt;=$B$4,3,R71&gt;=$B$5,2,R71&gt;$B$6,1),0),"")</f>
        <v/>
      </c>
      <c r="AP71" s="2" t="str" cm="1">
        <f t="array" ref="AP71">IF('NILAI CPL'!$B71&lt;&gt;"",IFERROR(_xlfn.IFS(S71&gt;=$B$3,4,S71&gt;=$B$4,3,S71&gt;=$B$5,2,S71&gt;$B$6,1),0),"")</f>
        <v/>
      </c>
      <c r="AQ71" s="2" t="str" cm="1">
        <f t="array" ref="AQ71">IF('NILAI CPL'!$B71&lt;&gt;"",IFERROR(_xlfn.IFS(T71&gt;=$B$3,4,T71&gt;=$B$4,3,T71&gt;=$B$5,2,T71&gt;$B$6,1),0),"")</f>
        <v/>
      </c>
      <c r="AR71" s="2" t="str" cm="1">
        <f t="array" ref="AR71">IF('NILAI CPL'!$B71&lt;&gt;"",IFERROR(_xlfn.IFS(U71&gt;=$B$3,4,U71&gt;=$B$4,3,U71&gt;=$B$5,2,U71&gt;$B$6,1),0),"")</f>
        <v/>
      </c>
      <c r="AS71" s="2" t="str" cm="1">
        <f t="array" ref="AS71">IF('NILAI CPL'!$B71&lt;&gt;"",IFERROR(_xlfn.IFS(V71&gt;=$B$3,4,V71&gt;=$B$4,3,V71&gt;=$B$5,2,V71&gt;$B$6,1),0),"")</f>
        <v/>
      </c>
      <c r="AT71" s="2" t="str" cm="1">
        <f t="array" ref="AT71">IF('NILAI CPL'!$B71&lt;&gt;"",IFERROR(_xlfn.IFS(W71&gt;=$B$3,4,W71&gt;=$B$4,3,W71&gt;=$B$5,2,W71&gt;$B$6,1),0),"")</f>
        <v/>
      </c>
      <c r="AU71" s="2" t="str" cm="1">
        <f t="array" ref="AU71">IF('NILAI CPL'!$B71&lt;&gt;"",IFERROR(_xlfn.IFS(X71&gt;=$B$3,4,X71&gt;=$B$4,3,X71&gt;=$B$5,2,X71&gt;$B$6,1),0),"")</f>
        <v/>
      </c>
      <c r="AV71" s="2" t="str" cm="1">
        <f t="array" ref="AV71">IF('NILAI CPL'!$B71&lt;&gt;"",IFERROR(_xlfn.IFS(Y71&gt;=$B$3,4,Y71&gt;=$B$4,3,Y71&gt;=$B$5,2,Y71&gt;$B$6,1),0),"")</f>
        <v/>
      </c>
      <c r="AW71" s="2" t="str" cm="1">
        <f t="array" ref="AW71">IF('NILAI CPL'!$B71&lt;&gt;"",IFERROR(_xlfn.IFS(Z71&gt;=$B$3,4,Z71&gt;=$B$4,3,Z71&gt;=$B$5,2,Z71&gt;$B$6,1),0),"")</f>
        <v/>
      </c>
      <c r="AY71" s="2" t="str">
        <f t="shared" si="0"/>
        <v/>
      </c>
      <c r="AZ71" s="2" t="str">
        <f t="shared" si="1"/>
        <v/>
      </c>
      <c r="BA71" s="2" t="str">
        <f t="shared" si="2"/>
        <v/>
      </c>
      <c r="BB71" s="2" t="str">
        <f t="shared" si="3"/>
        <v/>
      </c>
      <c r="BC71" s="2" t="str">
        <f t="shared" si="4"/>
        <v/>
      </c>
      <c r="BD71" s="2" t="str">
        <f t="shared" si="5"/>
        <v/>
      </c>
      <c r="BE71" s="2" t="str">
        <f t="shared" si="6"/>
        <v/>
      </c>
      <c r="BF71" s="2" t="str">
        <f t="shared" si="7"/>
        <v/>
      </c>
      <c r="BG71" s="2" t="str">
        <f t="shared" si="8"/>
        <v/>
      </c>
      <c r="BH71" s="2" t="str">
        <f t="shared" si="9"/>
        <v/>
      </c>
      <c r="BJ71" s="2" t="str" cm="1">
        <f t="array" ref="BJ71">IF('NILAI CPL'!$B71&lt;&gt;"",IFERROR(_xlfn.IFS(AY71&gt;=$B$3,4,AY71&gt;=$B$4,3,AY71&gt;=$B$5,2,AY71&gt;$B$6,1),0),"")</f>
        <v/>
      </c>
      <c r="BK71" s="2" t="str" cm="1">
        <f t="array" ref="BK71">IF('NILAI CPL'!$B71&lt;&gt;"",IFERROR(_xlfn.IFS(AZ71&gt;=$B$3,4,AZ71&gt;=$B$4,3,AZ71&gt;=$B$5,2,AZ71&gt;$B$6,1),0),"")</f>
        <v/>
      </c>
      <c r="BL71" s="2" t="str" cm="1">
        <f t="array" ref="BL71">IF('NILAI CPL'!$B71&lt;&gt;"",IFERROR(_xlfn.IFS(BA71&gt;=$B$3,4,BA71&gt;=$B$4,3,BA71&gt;=$B$5,2,BA71&gt;$B$6,1),0),"")</f>
        <v/>
      </c>
      <c r="BM71" s="2" t="str" cm="1">
        <f t="array" ref="BM71">IF('NILAI CPL'!$B71&lt;&gt;"",IFERROR(_xlfn.IFS(BB71&gt;=$B$3,4,BB71&gt;=$B$4,3,BB71&gt;=$B$5,2,BB71&gt;$B$6,1),0),"")</f>
        <v/>
      </c>
      <c r="BN71" s="2" t="str" cm="1">
        <f t="array" ref="BN71">IF('NILAI CPL'!$B71&lt;&gt;"",IFERROR(_xlfn.IFS(BC71&gt;=$B$3,4,BC71&gt;=$B$4,3,BC71&gt;=$B$5,2,BC71&gt;$B$6,1),0),"")</f>
        <v/>
      </c>
      <c r="BO71" s="2" t="str" cm="1">
        <f t="array" ref="BO71">IF('NILAI CPL'!$B71&lt;&gt;"",IFERROR(_xlfn.IFS(BD71&gt;=$B$3,4,BD71&gt;=$B$4,3,BD71&gt;=$B$5,2,BD71&gt;$B$6,1),0),"")</f>
        <v/>
      </c>
      <c r="BP71" s="2" t="str" cm="1">
        <f t="array" ref="BP71">IF('NILAI CPL'!$B71&lt;&gt;"",IFERROR(_xlfn.IFS(BE71&gt;=$B$3,4,BE71&gt;=$B$4,3,BE71&gt;=$B$5,2,BE71&gt;$B$6,1),0),"")</f>
        <v/>
      </c>
      <c r="BQ71" s="2" t="str" cm="1">
        <f t="array" ref="BQ71">IF('NILAI CPL'!$B71&lt;&gt;"",IFERROR(_xlfn.IFS(BF71&gt;=$B$3,4,BF71&gt;=$B$4,3,BF71&gt;=$B$5,2,BF71&gt;$B$6,1),0),"")</f>
        <v/>
      </c>
      <c r="BR71" s="2" t="str" cm="1">
        <f t="array" ref="BR71">IF('NILAI CPL'!$B71&lt;&gt;"",IFERROR(_xlfn.IFS(BG71&gt;=$B$3,4,BG71&gt;=$B$4,3,BG71&gt;=$B$5,2,BG71&gt;$B$6,1),0),"")</f>
        <v/>
      </c>
      <c r="BS71" s="2" t="str" cm="1">
        <f t="array" ref="BS71">IF('NILAI CPL'!$B71&lt;&gt;"",IFERROR(_xlfn.IFS(BH71&gt;=$B$3,4,BH71&gt;=$B$4,3,BH71&gt;=$B$5,2,BH71&gt;$B$6,1),0),"")</f>
        <v/>
      </c>
    </row>
    <row r="72" spans="1:71" x14ac:dyDescent="0.2">
      <c r="A72" s="2">
        <v>62</v>
      </c>
      <c r="B72" s="2" t="str">
        <f>IF(LEN(SUMMARY!B72)&gt;0, SUMMARY!B72, "")</f>
        <v/>
      </c>
      <c r="C72" s="2" t="str">
        <f>IF(LEN(SUMMARY!C72)&gt;0, SUMMARY!C72, "")</f>
        <v/>
      </c>
      <c r="E72" s="2" t="str" cm="1">
        <f t="array" ref="E72">IF('NILAI CPL'!$B72&lt;&gt;"",IFERROR(JumlahPI(ROW(),COLUMN()),0),"")</f>
        <v/>
      </c>
      <c r="F72" s="2" t="str" cm="1">
        <f t="array" ref="F72">IF('NILAI CPL'!$B72&lt;&gt;"",IFERROR(JumlahPI(ROW(),COLUMN()),0),"")</f>
        <v/>
      </c>
      <c r="G72" s="2" t="str" cm="1">
        <f t="array" ref="G72">IF('NILAI CPL'!$B72&lt;&gt;"",IFERROR(JumlahPI(ROW(),COLUMN()),0),"")</f>
        <v/>
      </c>
      <c r="H72" s="2" t="str" cm="1">
        <f t="array" ref="H72">IF('NILAI CPL'!$B72&lt;&gt;"",IFERROR(JumlahPI(ROW(),COLUMN()),0),"")</f>
        <v/>
      </c>
      <c r="I72" s="2" t="str" cm="1">
        <f t="array" ref="I72">IF('NILAI CPL'!$B72&lt;&gt;"",IFERROR(JumlahPI(ROW(),COLUMN()),0),"")</f>
        <v/>
      </c>
      <c r="J72" s="2" t="str" cm="1">
        <f t="array" ref="J72">IF('NILAI CPL'!$B72&lt;&gt;"",IFERROR(JumlahPI(ROW(),COLUMN()),0),"")</f>
        <v/>
      </c>
      <c r="K72" s="2" t="str" cm="1">
        <f t="array" ref="K72">IF('NILAI CPL'!$B72&lt;&gt;"",IFERROR(JumlahPI(ROW(),COLUMN()),0),"")</f>
        <v/>
      </c>
      <c r="L72" s="2" t="str" cm="1">
        <f t="array" ref="L72">IF('NILAI CPL'!$B72&lt;&gt;"",IFERROR(JumlahPI(ROW(),COLUMN()),0),"")</f>
        <v/>
      </c>
      <c r="M72" s="2" t="str" cm="1">
        <f t="array" ref="M72">IF('NILAI CPL'!$B72&lt;&gt;"",IFERROR(JumlahPI(ROW(),COLUMN()),0),"")</f>
        <v/>
      </c>
      <c r="N72" s="2" t="str" cm="1">
        <f t="array" ref="N72">IF('NILAI CPL'!$B72&lt;&gt;"",IFERROR(JumlahPI(ROW(),COLUMN()),0),"")</f>
        <v/>
      </c>
      <c r="O72" s="2" t="str" cm="1">
        <f t="array" ref="O72">IF('NILAI CPL'!$B72&lt;&gt;"",IFERROR(JumlahPI(ROW(),COLUMN()),0),"")</f>
        <v/>
      </c>
      <c r="P72" s="2" t="str" cm="1">
        <f t="array" ref="P72">IF('NILAI CPL'!$B72&lt;&gt;"",IFERROR(JumlahPI(ROW(),COLUMN()),0),"")</f>
        <v/>
      </c>
      <c r="Q72" s="2" t="str" cm="1">
        <f t="array" ref="Q72">IF('NILAI CPL'!$B72&lt;&gt;"",IFERROR(JumlahPI(ROW(),COLUMN()),0),"")</f>
        <v/>
      </c>
      <c r="R72" s="2" t="str" cm="1">
        <f t="array" ref="R72">IF('NILAI CPL'!$B72&lt;&gt;"",IFERROR(JumlahPI(ROW(),COLUMN()),0),"")</f>
        <v/>
      </c>
      <c r="S72" s="2" t="str" cm="1">
        <f t="array" ref="S72">IF('NILAI CPL'!$B72&lt;&gt;"",IFERROR(JumlahPI(ROW(),COLUMN()),0),"")</f>
        <v/>
      </c>
      <c r="T72" s="2" t="str" cm="1">
        <f t="array" ref="T72">IF('NILAI CPL'!$B72&lt;&gt;"",IFERROR(JumlahPI(ROW(),COLUMN()),0),"")</f>
        <v/>
      </c>
      <c r="U72" s="2" t="str" cm="1">
        <f t="array" ref="U72">IF('NILAI CPL'!$B72&lt;&gt;"",IFERROR(JumlahPI(ROW(),COLUMN()),0),"")</f>
        <v/>
      </c>
      <c r="V72" s="2" t="str" cm="1">
        <f t="array" ref="V72">IF('NILAI CPL'!$B72&lt;&gt;"",IFERROR(JumlahPI(ROW(),COLUMN()),0),"")</f>
        <v/>
      </c>
      <c r="W72" s="2" t="str" cm="1">
        <f t="array" ref="W72">IF('NILAI CPL'!$B72&lt;&gt;"",IFERROR(JumlahPI(ROW(),COLUMN()),0),"")</f>
        <v/>
      </c>
      <c r="X72" s="2" t="str" cm="1">
        <f t="array" ref="X72">IF('NILAI CPL'!$B72&lt;&gt;"",IFERROR(JumlahPI(ROW(),COLUMN()),0),"")</f>
        <v/>
      </c>
      <c r="Y72" s="2" t="str" cm="1">
        <f t="array" ref="Y72">IF('NILAI CPL'!$B72&lt;&gt;"",IFERROR(JumlahPI(ROW(),COLUMN()),0),"")</f>
        <v/>
      </c>
      <c r="Z72" s="2" t="str" cm="1">
        <f t="array" ref="Z72">IF('NILAI CPL'!$B72&lt;&gt;"",IFERROR(JumlahPI(ROW(),COLUMN()),0),"")</f>
        <v/>
      </c>
      <c r="AB72" s="2" t="str" cm="1">
        <f t="array" ref="AB72">IF('NILAI CPL'!$B72&lt;&gt;"",IFERROR(_xlfn.IFS(E72&gt;=$B$3,4,E72&gt;=$B$4,3,E72&gt;=$B$5,2,E72&gt;$B$6,1),0),"")</f>
        <v/>
      </c>
      <c r="AC72" s="2" t="str" cm="1">
        <f t="array" ref="AC72">IF('NILAI CPL'!$B72&lt;&gt;"",IFERROR(_xlfn.IFS(F72&gt;=$B$3,4,F72&gt;=$B$4,3,F72&gt;=$B$5,2,F72&gt;$B$6,1),0),"")</f>
        <v/>
      </c>
      <c r="AD72" s="2" t="str" cm="1">
        <f t="array" ref="AD72">IF('NILAI CPL'!$B72&lt;&gt;"",IFERROR(_xlfn.IFS(G72&gt;=$B$3,4,G72&gt;=$B$4,3,G72&gt;=$B$5,2,G72&gt;$B$6,1),0),"")</f>
        <v/>
      </c>
      <c r="AE72" s="2" t="str" cm="1">
        <f t="array" ref="AE72">IF('NILAI CPL'!$B72&lt;&gt;"",IFERROR(_xlfn.IFS(H72&gt;=$B$3,4,H72&gt;=$B$4,3,H72&gt;=$B$5,2,H72&gt;$B$6,1),0),"")</f>
        <v/>
      </c>
      <c r="AF72" s="2" t="str" cm="1">
        <f t="array" ref="AF72">IF('NILAI CPL'!$B72&lt;&gt;"",IFERROR(_xlfn.IFS(I72&gt;=$B$3,4,I72&gt;=$B$4,3,I72&gt;=$B$5,2,I72&gt;$B$6,1),0),"")</f>
        <v/>
      </c>
      <c r="AG72" s="2" t="str" cm="1">
        <f t="array" ref="AG72">IF('NILAI CPL'!$B72&lt;&gt;"",IFERROR(_xlfn.IFS(J72&gt;=$B$3,4,J72&gt;=$B$4,3,J72&gt;=$B$5,2,J72&gt;$B$6,1),0),"")</f>
        <v/>
      </c>
      <c r="AH72" s="2" t="str" cm="1">
        <f t="array" ref="AH72">IF('NILAI CPL'!$B72&lt;&gt;"",IFERROR(_xlfn.IFS(K72&gt;=$B$3,4,K72&gt;=$B$4,3,K72&gt;=$B$5,2,K72&gt;$B$6,1),0),"")</f>
        <v/>
      </c>
      <c r="AI72" s="2" t="str" cm="1">
        <f t="array" ref="AI72">IF('NILAI CPL'!$B72&lt;&gt;"",IFERROR(_xlfn.IFS(L72&gt;=$B$3,4,L72&gt;=$B$4,3,L72&gt;=$B$5,2,L72&gt;$B$6,1),0),"")</f>
        <v/>
      </c>
      <c r="AJ72" s="2" t="str" cm="1">
        <f t="array" ref="AJ72">IF('NILAI CPL'!$B72&lt;&gt;"",IFERROR(_xlfn.IFS(M72&gt;=$B$3,4,M72&gt;=$B$4,3,M72&gt;=$B$5,2,M72&gt;$B$6,1),0),"")</f>
        <v/>
      </c>
      <c r="AK72" s="2" t="str" cm="1">
        <f t="array" ref="AK72">IF('NILAI CPL'!$B72&lt;&gt;"",IFERROR(_xlfn.IFS(N72&gt;=$B$3,4,N72&gt;=$B$4,3,N72&gt;=$B$5,2,N72&gt;$B$6,1),0),"")</f>
        <v/>
      </c>
      <c r="AL72" s="2" t="str" cm="1">
        <f t="array" ref="AL72">IF('NILAI CPL'!$B72&lt;&gt;"",IFERROR(_xlfn.IFS(O72&gt;=$B$3,4,O72&gt;=$B$4,3,O72&gt;=$B$5,2,O72&gt;$B$6,1),0),"")</f>
        <v/>
      </c>
      <c r="AM72" s="2" t="str" cm="1">
        <f t="array" ref="AM72">IF('NILAI CPL'!$B72&lt;&gt;"",IFERROR(_xlfn.IFS(P72&gt;=$B$3,4,P72&gt;=$B$4,3,P72&gt;=$B$5,2,P72&gt;$B$6,1),0),"")</f>
        <v/>
      </c>
      <c r="AN72" s="2" t="str" cm="1">
        <f t="array" ref="AN72">IF('NILAI CPL'!$B72&lt;&gt;"",IFERROR(_xlfn.IFS(Q72&gt;=$B$3,4,Q72&gt;=$B$4,3,Q72&gt;=$B$5,2,Q72&gt;$B$6,1),0),"")</f>
        <v/>
      </c>
      <c r="AO72" s="2" t="str" cm="1">
        <f t="array" ref="AO72">IF('NILAI CPL'!$B72&lt;&gt;"",IFERROR(_xlfn.IFS(R72&gt;=$B$3,4,R72&gt;=$B$4,3,R72&gt;=$B$5,2,R72&gt;$B$6,1),0),"")</f>
        <v/>
      </c>
      <c r="AP72" s="2" t="str" cm="1">
        <f t="array" ref="AP72">IF('NILAI CPL'!$B72&lt;&gt;"",IFERROR(_xlfn.IFS(S72&gt;=$B$3,4,S72&gt;=$B$4,3,S72&gt;=$B$5,2,S72&gt;$B$6,1),0),"")</f>
        <v/>
      </c>
      <c r="AQ72" s="2" t="str" cm="1">
        <f t="array" ref="AQ72">IF('NILAI CPL'!$B72&lt;&gt;"",IFERROR(_xlfn.IFS(T72&gt;=$B$3,4,T72&gt;=$B$4,3,T72&gt;=$B$5,2,T72&gt;$B$6,1),0),"")</f>
        <v/>
      </c>
      <c r="AR72" s="2" t="str" cm="1">
        <f t="array" ref="AR72">IF('NILAI CPL'!$B72&lt;&gt;"",IFERROR(_xlfn.IFS(U72&gt;=$B$3,4,U72&gt;=$B$4,3,U72&gt;=$B$5,2,U72&gt;$B$6,1),0),"")</f>
        <v/>
      </c>
      <c r="AS72" s="2" t="str" cm="1">
        <f t="array" ref="AS72">IF('NILAI CPL'!$B72&lt;&gt;"",IFERROR(_xlfn.IFS(V72&gt;=$B$3,4,V72&gt;=$B$4,3,V72&gt;=$B$5,2,V72&gt;$B$6,1),0),"")</f>
        <v/>
      </c>
      <c r="AT72" s="2" t="str" cm="1">
        <f t="array" ref="AT72">IF('NILAI CPL'!$B72&lt;&gt;"",IFERROR(_xlfn.IFS(W72&gt;=$B$3,4,W72&gt;=$B$4,3,W72&gt;=$B$5,2,W72&gt;$B$6,1),0),"")</f>
        <v/>
      </c>
      <c r="AU72" s="2" t="str" cm="1">
        <f t="array" ref="AU72">IF('NILAI CPL'!$B72&lt;&gt;"",IFERROR(_xlfn.IFS(X72&gt;=$B$3,4,X72&gt;=$B$4,3,X72&gt;=$B$5,2,X72&gt;$B$6,1),0),"")</f>
        <v/>
      </c>
      <c r="AV72" s="2" t="str" cm="1">
        <f t="array" ref="AV72">IF('NILAI CPL'!$B72&lt;&gt;"",IFERROR(_xlfn.IFS(Y72&gt;=$B$3,4,Y72&gt;=$B$4,3,Y72&gt;=$B$5,2,Y72&gt;$B$6,1),0),"")</f>
        <v/>
      </c>
      <c r="AW72" s="2" t="str" cm="1">
        <f t="array" ref="AW72">IF('NILAI CPL'!$B72&lt;&gt;"",IFERROR(_xlfn.IFS(Z72&gt;=$B$3,4,Z72&gt;=$B$4,3,Z72&gt;=$B$5,2,Z72&gt;$B$6,1),0),"")</f>
        <v/>
      </c>
      <c r="AY72" s="2" t="str">
        <f t="shared" si="0"/>
        <v/>
      </c>
      <c r="AZ72" s="2" t="str">
        <f t="shared" si="1"/>
        <v/>
      </c>
      <c r="BA72" s="2" t="str">
        <f t="shared" si="2"/>
        <v/>
      </c>
      <c r="BB72" s="2" t="str">
        <f t="shared" si="3"/>
        <v/>
      </c>
      <c r="BC72" s="2" t="str">
        <f t="shared" si="4"/>
        <v/>
      </c>
      <c r="BD72" s="2" t="str">
        <f t="shared" si="5"/>
        <v/>
      </c>
      <c r="BE72" s="2" t="str">
        <f t="shared" si="6"/>
        <v/>
      </c>
      <c r="BF72" s="2" t="str">
        <f t="shared" si="7"/>
        <v/>
      </c>
      <c r="BG72" s="2" t="str">
        <f t="shared" si="8"/>
        <v/>
      </c>
      <c r="BH72" s="2" t="str">
        <f t="shared" si="9"/>
        <v/>
      </c>
      <c r="BJ72" s="2" t="str" cm="1">
        <f t="array" ref="BJ72">IF('NILAI CPL'!$B72&lt;&gt;"",IFERROR(_xlfn.IFS(AY72&gt;=$B$3,4,AY72&gt;=$B$4,3,AY72&gt;=$B$5,2,AY72&gt;$B$6,1),0),"")</f>
        <v/>
      </c>
      <c r="BK72" s="2" t="str" cm="1">
        <f t="array" ref="BK72">IF('NILAI CPL'!$B72&lt;&gt;"",IFERROR(_xlfn.IFS(AZ72&gt;=$B$3,4,AZ72&gt;=$B$4,3,AZ72&gt;=$B$5,2,AZ72&gt;$B$6,1),0),"")</f>
        <v/>
      </c>
      <c r="BL72" s="2" t="str" cm="1">
        <f t="array" ref="BL72">IF('NILAI CPL'!$B72&lt;&gt;"",IFERROR(_xlfn.IFS(BA72&gt;=$B$3,4,BA72&gt;=$B$4,3,BA72&gt;=$B$5,2,BA72&gt;$B$6,1),0),"")</f>
        <v/>
      </c>
      <c r="BM72" s="2" t="str" cm="1">
        <f t="array" ref="BM72">IF('NILAI CPL'!$B72&lt;&gt;"",IFERROR(_xlfn.IFS(BB72&gt;=$B$3,4,BB72&gt;=$B$4,3,BB72&gt;=$B$5,2,BB72&gt;$B$6,1),0),"")</f>
        <v/>
      </c>
      <c r="BN72" s="2" t="str" cm="1">
        <f t="array" ref="BN72">IF('NILAI CPL'!$B72&lt;&gt;"",IFERROR(_xlfn.IFS(BC72&gt;=$B$3,4,BC72&gt;=$B$4,3,BC72&gt;=$B$5,2,BC72&gt;$B$6,1),0),"")</f>
        <v/>
      </c>
      <c r="BO72" s="2" t="str" cm="1">
        <f t="array" ref="BO72">IF('NILAI CPL'!$B72&lt;&gt;"",IFERROR(_xlfn.IFS(BD72&gt;=$B$3,4,BD72&gt;=$B$4,3,BD72&gt;=$B$5,2,BD72&gt;$B$6,1),0),"")</f>
        <v/>
      </c>
      <c r="BP72" s="2" t="str" cm="1">
        <f t="array" ref="BP72">IF('NILAI CPL'!$B72&lt;&gt;"",IFERROR(_xlfn.IFS(BE72&gt;=$B$3,4,BE72&gt;=$B$4,3,BE72&gt;=$B$5,2,BE72&gt;$B$6,1),0),"")</f>
        <v/>
      </c>
      <c r="BQ72" s="2" t="str" cm="1">
        <f t="array" ref="BQ72">IF('NILAI CPL'!$B72&lt;&gt;"",IFERROR(_xlfn.IFS(BF72&gt;=$B$3,4,BF72&gt;=$B$4,3,BF72&gt;=$B$5,2,BF72&gt;$B$6,1),0),"")</f>
        <v/>
      </c>
      <c r="BR72" s="2" t="str" cm="1">
        <f t="array" ref="BR72">IF('NILAI CPL'!$B72&lt;&gt;"",IFERROR(_xlfn.IFS(BG72&gt;=$B$3,4,BG72&gt;=$B$4,3,BG72&gt;=$B$5,2,BG72&gt;$B$6,1),0),"")</f>
        <v/>
      </c>
      <c r="BS72" s="2" t="str" cm="1">
        <f t="array" ref="BS72">IF('NILAI CPL'!$B72&lt;&gt;"",IFERROR(_xlfn.IFS(BH72&gt;=$B$3,4,BH72&gt;=$B$4,3,BH72&gt;=$B$5,2,BH72&gt;$B$6,1),0),"")</f>
        <v/>
      </c>
    </row>
    <row r="73" spans="1:71" x14ac:dyDescent="0.2">
      <c r="A73" s="2">
        <v>63</v>
      </c>
      <c r="B73" s="2" t="str">
        <f>IF(LEN(SUMMARY!B73)&gt;0, SUMMARY!B73, "")</f>
        <v/>
      </c>
      <c r="C73" s="2" t="str">
        <f>IF(LEN(SUMMARY!C73)&gt;0, SUMMARY!C73, "")</f>
        <v/>
      </c>
      <c r="E73" s="2" t="str" cm="1">
        <f t="array" ref="E73">IF('NILAI CPL'!$B73&lt;&gt;"",IFERROR(JumlahPI(ROW(),COLUMN()),0),"")</f>
        <v/>
      </c>
      <c r="F73" s="2" t="str" cm="1">
        <f t="array" ref="F73">IF('NILAI CPL'!$B73&lt;&gt;"",IFERROR(JumlahPI(ROW(),COLUMN()),0),"")</f>
        <v/>
      </c>
      <c r="G73" s="2" t="str" cm="1">
        <f t="array" ref="G73">IF('NILAI CPL'!$B73&lt;&gt;"",IFERROR(JumlahPI(ROW(),COLUMN()),0),"")</f>
        <v/>
      </c>
      <c r="H73" s="2" t="str" cm="1">
        <f t="array" ref="H73">IF('NILAI CPL'!$B73&lt;&gt;"",IFERROR(JumlahPI(ROW(),COLUMN()),0),"")</f>
        <v/>
      </c>
      <c r="I73" s="2" t="str" cm="1">
        <f t="array" ref="I73">IF('NILAI CPL'!$B73&lt;&gt;"",IFERROR(JumlahPI(ROW(),COLUMN()),0),"")</f>
        <v/>
      </c>
      <c r="J73" s="2" t="str" cm="1">
        <f t="array" ref="J73">IF('NILAI CPL'!$B73&lt;&gt;"",IFERROR(JumlahPI(ROW(),COLUMN()),0),"")</f>
        <v/>
      </c>
      <c r="K73" s="2" t="str" cm="1">
        <f t="array" ref="K73">IF('NILAI CPL'!$B73&lt;&gt;"",IFERROR(JumlahPI(ROW(),COLUMN()),0),"")</f>
        <v/>
      </c>
      <c r="L73" s="2" t="str" cm="1">
        <f t="array" ref="L73">IF('NILAI CPL'!$B73&lt;&gt;"",IFERROR(JumlahPI(ROW(),COLUMN()),0),"")</f>
        <v/>
      </c>
      <c r="M73" s="2" t="str" cm="1">
        <f t="array" ref="M73">IF('NILAI CPL'!$B73&lt;&gt;"",IFERROR(JumlahPI(ROW(),COLUMN()),0),"")</f>
        <v/>
      </c>
      <c r="N73" s="2" t="str" cm="1">
        <f t="array" ref="N73">IF('NILAI CPL'!$B73&lt;&gt;"",IFERROR(JumlahPI(ROW(),COLUMN()),0),"")</f>
        <v/>
      </c>
      <c r="O73" s="2" t="str" cm="1">
        <f t="array" ref="O73">IF('NILAI CPL'!$B73&lt;&gt;"",IFERROR(JumlahPI(ROW(),COLUMN()),0),"")</f>
        <v/>
      </c>
      <c r="P73" s="2" t="str" cm="1">
        <f t="array" ref="P73">IF('NILAI CPL'!$B73&lt;&gt;"",IFERROR(JumlahPI(ROW(),COLUMN()),0),"")</f>
        <v/>
      </c>
      <c r="Q73" s="2" t="str" cm="1">
        <f t="array" ref="Q73">IF('NILAI CPL'!$B73&lt;&gt;"",IFERROR(JumlahPI(ROW(),COLUMN()),0),"")</f>
        <v/>
      </c>
      <c r="R73" s="2" t="str" cm="1">
        <f t="array" ref="R73">IF('NILAI CPL'!$B73&lt;&gt;"",IFERROR(JumlahPI(ROW(),COLUMN()),0),"")</f>
        <v/>
      </c>
      <c r="S73" s="2" t="str" cm="1">
        <f t="array" ref="S73">IF('NILAI CPL'!$B73&lt;&gt;"",IFERROR(JumlahPI(ROW(),COLUMN()),0),"")</f>
        <v/>
      </c>
      <c r="T73" s="2" t="str" cm="1">
        <f t="array" ref="T73">IF('NILAI CPL'!$B73&lt;&gt;"",IFERROR(JumlahPI(ROW(),COLUMN()),0),"")</f>
        <v/>
      </c>
      <c r="U73" s="2" t="str" cm="1">
        <f t="array" ref="U73">IF('NILAI CPL'!$B73&lt;&gt;"",IFERROR(JumlahPI(ROW(),COLUMN()),0),"")</f>
        <v/>
      </c>
      <c r="V73" s="2" t="str" cm="1">
        <f t="array" ref="V73">IF('NILAI CPL'!$B73&lt;&gt;"",IFERROR(JumlahPI(ROW(),COLUMN()),0),"")</f>
        <v/>
      </c>
      <c r="W73" s="2" t="str" cm="1">
        <f t="array" ref="W73">IF('NILAI CPL'!$B73&lt;&gt;"",IFERROR(JumlahPI(ROW(),COLUMN()),0),"")</f>
        <v/>
      </c>
      <c r="X73" s="2" t="str" cm="1">
        <f t="array" ref="X73">IF('NILAI CPL'!$B73&lt;&gt;"",IFERROR(JumlahPI(ROW(),COLUMN()),0),"")</f>
        <v/>
      </c>
      <c r="Y73" s="2" t="str" cm="1">
        <f t="array" ref="Y73">IF('NILAI CPL'!$B73&lt;&gt;"",IFERROR(JumlahPI(ROW(),COLUMN()),0),"")</f>
        <v/>
      </c>
      <c r="Z73" s="2" t="str" cm="1">
        <f t="array" ref="Z73">IF('NILAI CPL'!$B73&lt;&gt;"",IFERROR(JumlahPI(ROW(),COLUMN()),0),"")</f>
        <v/>
      </c>
      <c r="AB73" s="2" t="str" cm="1">
        <f t="array" ref="AB73">IF('NILAI CPL'!$B73&lt;&gt;"",IFERROR(_xlfn.IFS(E73&gt;=$B$3,4,E73&gt;=$B$4,3,E73&gt;=$B$5,2,E73&gt;$B$6,1),0),"")</f>
        <v/>
      </c>
      <c r="AC73" s="2" t="str" cm="1">
        <f t="array" ref="AC73">IF('NILAI CPL'!$B73&lt;&gt;"",IFERROR(_xlfn.IFS(F73&gt;=$B$3,4,F73&gt;=$B$4,3,F73&gt;=$B$5,2,F73&gt;$B$6,1),0),"")</f>
        <v/>
      </c>
      <c r="AD73" s="2" t="str" cm="1">
        <f t="array" ref="AD73">IF('NILAI CPL'!$B73&lt;&gt;"",IFERROR(_xlfn.IFS(G73&gt;=$B$3,4,G73&gt;=$B$4,3,G73&gt;=$B$5,2,G73&gt;$B$6,1),0),"")</f>
        <v/>
      </c>
      <c r="AE73" s="2" t="str" cm="1">
        <f t="array" ref="AE73">IF('NILAI CPL'!$B73&lt;&gt;"",IFERROR(_xlfn.IFS(H73&gt;=$B$3,4,H73&gt;=$B$4,3,H73&gt;=$B$5,2,H73&gt;$B$6,1),0),"")</f>
        <v/>
      </c>
      <c r="AF73" s="2" t="str" cm="1">
        <f t="array" ref="AF73">IF('NILAI CPL'!$B73&lt;&gt;"",IFERROR(_xlfn.IFS(I73&gt;=$B$3,4,I73&gt;=$B$4,3,I73&gt;=$B$5,2,I73&gt;$B$6,1),0),"")</f>
        <v/>
      </c>
      <c r="AG73" s="2" t="str" cm="1">
        <f t="array" ref="AG73">IF('NILAI CPL'!$B73&lt;&gt;"",IFERROR(_xlfn.IFS(J73&gt;=$B$3,4,J73&gt;=$B$4,3,J73&gt;=$B$5,2,J73&gt;$B$6,1),0),"")</f>
        <v/>
      </c>
      <c r="AH73" s="2" t="str" cm="1">
        <f t="array" ref="AH73">IF('NILAI CPL'!$B73&lt;&gt;"",IFERROR(_xlfn.IFS(K73&gt;=$B$3,4,K73&gt;=$B$4,3,K73&gt;=$B$5,2,K73&gt;$B$6,1),0),"")</f>
        <v/>
      </c>
      <c r="AI73" s="2" t="str" cm="1">
        <f t="array" ref="AI73">IF('NILAI CPL'!$B73&lt;&gt;"",IFERROR(_xlfn.IFS(L73&gt;=$B$3,4,L73&gt;=$B$4,3,L73&gt;=$B$5,2,L73&gt;$B$6,1),0),"")</f>
        <v/>
      </c>
      <c r="AJ73" s="2" t="str" cm="1">
        <f t="array" ref="AJ73">IF('NILAI CPL'!$B73&lt;&gt;"",IFERROR(_xlfn.IFS(M73&gt;=$B$3,4,M73&gt;=$B$4,3,M73&gt;=$B$5,2,M73&gt;$B$6,1),0),"")</f>
        <v/>
      </c>
      <c r="AK73" s="2" t="str" cm="1">
        <f t="array" ref="AK73">IF('NILAI CPL'!$B73&lt;&gt;"",IFERROR(_xlfn.IFS(N73&gt;=$B$3,4,N73&gt;=$B$4,3,N73&gt;=$B$5,2,N73&gt;$B$6,1),0),"")</f>
        <v/>
      </c>
      <c r="AL73" s="2" t="str" cm="1">
        <f t="array" ref="AL73">IF('NILAI CPL'!$B73&lt;&gt;"",IFERROR(_xlfn.IFS(O73&gt;=$B$3,4,O73&gt;=$B$4,3,O73&gt;=$B$5,2,O73&gt;$B$6,1),0),"")</f>
        <v/>
      </c>
      <c r="AM73" s="2" t="str" cm="1">
        <f t="array" ref="AM73">IF('NILAI CPL'!$B73&lt;&gt;"",IFERROR(_xlfn.IFS(P73&gt;=$B$3,4,P73&gt;=$B$4,3,P73&gt;=$B$5,2,P73&gt;$B$6,1),0),"")</f>
        <v/>
      </c>
      <c r="AN73" s="2" t="str" cm="1">
        <f t="array" ref="AN73">IF('NILAI CPL'!$B73&lt;&gt;"",IFERROR(_xlfn.IFS(Q73&gt;=$B$3,4,Q73&gt;=$B$4,3,Q73&gt;=$B$5,2,Q73&gt;$B$6,1),0),"")</f>
        <v/>
      </c>
      <c r="AO73" s="2" t="str" cm="1">
        <f t="array" ref="AO73">IF('NILAI CPL'!$B73&lt;&gt;"",IFERROR(_xlfn.IFS(R73&gt;=$B$3,4,R73&gt;=$B$4,3,R73&gt;=$B$5,2,R73&gt;$B$6,1),0),"")</f>
        <v/>
      </c>
      <c r="AP73" s="2" t="str" cm="1">
        <f t="array" ref="AP73">IF('NILAI CPL'!$B73&lt;&gt;"",IFERROR(_xlfn.IFS(S73&gt;=$B$3,4,S73&gt;=$B$4,3,S73&gt;=$B$5,2,S73&gt;$B$6,1),0),"")</f>
        <v/>
      </c>
      <c r="AQ73" s="2" t="str" cm="1">
        <f t="array" ref="AQ73">IF('NILAI CPL'!$B73&lt;&gt;"",IFERROR(_xlfn.IFS(T73&gt;=$B$3,4,T73&gt;=$B$4,3,T73&gt;=$B$5,2,T73&gt;$B$6,1),0),"")</f>
        <v/>
      </c>
      <c r="AR73" s="2" t="str" cm="1">
        <f t="array" ref="AR73">IF('NILAI CPL'!$B73&lt;&gt;"",IFERROR(_xlfn.IFS(U73&gt;=$B$3,4,U73&gt;=$B$4,3,U73&gt;=$B$5,2,U73&gt;$B$6,1),0),"")</f>
        <v/>
      </c>
      <c r="AS73" s="2" t="str" cm="1">
        <f t="array" ref="AS73">IF('NILAI CPL'!$B73&lt;&gt;"",IFERROR(_xlfn.IFS(V73&gt;=$B$3,4,V73&gt;=$B$4,3,V73&gt;=$B$5,2,V73&gt;$B$6,1),0),"")</f>
        <v/>
      </c>
      <c r="AT73" s="2" t="str" cm="1">
        <f t="array" ref="AT73">IF('NILAI CPL'!$B73&lt;&gt;"",IFERROR(_xlfn.IFS(W73&gt;=$B$3,4,W73&gt;=$B$4,3,W73&gt;=$B$5,2,W73&gt;$B$6,1),0),"")</f>
        <v/>
      </c>
      <c r="AU73" s="2" t="str" cm="1">
        <f t="array" ref="AU73">IF('NILAI CPL'!$B73&lt;&gt;"",IFERROR(_xlfn.IFS(X73&gt;=$B$3,4,X73&gt;=$B$4,3,X73&gt;=$B$5,2,X73&gt;$B$6,1),0),"")</f>
        <v/>
      </c>
      <c r="AV73" s="2" t="str" cm="1">
        <f t="array" ref="AV73">IF('NILAI CPL'!$B73&lt;&gt;"",IFERROR(_xlfn.IFS(Y73&gt;=$B$3,4,Y73&gt;=$B$4,3,Y73&gt;=$B$5,2,Y73&gt;$B$6,1),0),"")</f>
        <v/>
      </c>
      <c r="AW73" s="2" t="str" cm="1">
        <f t="array" ref="AW73">IF('NILAI CPL'!$B73&lt;&gt;"",IFERROR(_xlfn.IFS(Z73&gt;=$B$3,4,Z73&gt;=$B$4,3,Z73&gt;=$B$5,2,Z73&gt;$B$6,1),0),"")</f>
        <v/>
      </c>
      <c r="AY73" s="2" t="str">
        <f t="shared" si="0"/>
        <v/>
      </c>
      <c r="AZ73" s="2" t="str">
        <f t="shared" si="1"/>
        <v/>
      </c>
      <c r="BA73" s="2" t="str">
        <f t="shared" si="2"/>
        <v/>
      </c>
      <c r="BB73" s="2" t="str">
        <f t="shared" si="3"/>
        <v/>
      </c>
      <c r="BC73" s="2" t="str">
        <f t="shared" si="4"/>
        <v/>
      </c>
      <c r="BD73" s="2" t="str">
        <f t="shared" si="5"/>
        <v/>
      </c>
      <c r="BE73" s="2" t="str">
        <f t="shared" si="6"/>
        <v/>
      </c>
      <c r="BF73" s="2" t="str">
        <f t="shared" si="7"/>
        <v/>
      </c>
      <c r="BG73" s="2" t="str">
        <f t="shared" si="8"/>
        <v/>
      </c>
      <c r="BH73" s="2" t="str">
        <f t="shared" si="9"/>
        <v/>
      </c>
      <c r="BJ73" s="2" t="str" cm="1">
        <f t="array" ref="BJ73">IF('NILAI CPL'!$B73&lt;&gt;"",IFERROR(_xlfn.IFS(AY73&gt;=$B$3,4,AY73&gt;=$B$4,3,AY73&gt;=$B$5,2,AY73&gt;$B$6,1),0),"")</f>
        <v/>
      </c>
      <c r="BK73" s="2" t="str" cm="1">
        <f t="array" ref="BK73">IF('NILAI CPL'!$B73&lt;&gt;"",IFERROR(_xlfn.IFS(AZ73&gt;=$B$3,4,AZ73&gt;=$B$4,3,AZ73&gt;=$B$5,2,AZ73&gt;$B$6,1),0),"")</f>
        <v/>
      </c>
      <c r="BL73" s="2" t="str" cm="1">
        <f t="array" ref="BL73">IF('NILAI CPL'!$B73&lt;&gt;"",IFERROR(_xlfn.IFS(BA73&gt;=$B$3,4,BA73&gt;=$B$4,3,BA73&gt;=$B$5,2,BA73&gt;$B$6,1),0),"")</f>
        <v/>
      </c>
      <c r="BM73" s="2" t="str" cm="1">
        <f t="array" ref="BM73">IF('NILAI CPL'!$B73&lt;&gt;"",IFERROR(_xlfn.IFS(BB73&gt;=$B$3,4,BB73&gt;=$B$4,3,BB73&gt;=$B$5,2,BB73&gt;$B$6,1),0),"")</f>
        <v/>
      </c>
      <c r="BN73" s="2" t="str" cm="1">
        <f t="array" ref="BN73">IF('NILAI CPL'!$B73&lt;&gt;"",IFERROR(_xlfn.IFS(BC73&gt;=$B$3,4,BC73&gt;=$B$4,3,BC73&gt;=$B$5,2,BC73&gt;$B$6,1),0),"")</f>
        <v/>
      </c>
      <c r="BO73" s="2" t="str" cm="1">
        <f t="array" ref="BO73">IF('NILAI CPL'!$B73&lt;&gt;"",IFERROR(_xlfn.IFS(BD73&gt;=$B$3,4,BD73&gt;=$B$4,3,BD73&gt;=$B$5,2,BD73&gt;$B$6,1),0),"")</f>
        <v/>
      </c>
      <c r="BP73" s="2" t="str" cm="1">
        <f t="array" ref="BP73">IF('NILAI CPL'!$B73&lt;&gt;"",IFERROR(_xlfn.IFS(BE73&gt;=$B$3,4,BE73&gt;=$B$4,3,BE73&gt;=$B$5,2,BE73&gt;$B$6,1),0),"")</f>
        <v/>
      </c>
      <c r="BQ73" s="2" t="str" cm="1">
        <f t="array" ref="BQ73">IF('NILAI CPL'!$B73&lt;&gt;"",IFERROR(_xlfn.IFS(BF73&gt;=$B$3,4,BF73&gt;=$B$4,3,BF73&gt;=$B$5,2,BF73&gt;$B$6,1),0),"")</f>
        <v/>
      </c>
      <c r="BR73" s="2" t="str" cm="1">
        <f t="array" ref="BR73">IF('NILAI CPL'!$B73&lt;&gt;"",IFERROR(_xlfn.IFS(BG73&gt;=$B$3,4,BG73&gt;=$B$4,3,BG73&gt;=$B$5,2,BG73&gt;$B$6,1),0),"")</f>
        <v/>
      </c>
      <c r="BS73" s="2" t="str" cm="1">
        <f t="array" ref="BS73">IF('NILAI CPL'!$B73&lt;&gt;"",IFERROR(_xlfn.IFS(BH73&gt;=$B$3,4,BH73&gt;=$B$4,3,BH73&gt;=$B$5,2,BH73&gt;$B$6,1),0),"")</f>
        <v/>
      </c>
    </row>
    <row r="74" spans="1:71" x14ac:dyDescent="0.2">
      <c r="A74" s="2">
        <v>64</v>
      </c>
      <c r="B74" s="2" t="str">
        <f>IF(LEN(SUMMARY!B74)&gt;0, SUMMARY!B74, "")</f>
        <v/>
      </c>
      <c r="C74" s="2" t="str">
        <f>IF(LEN(SUMMARY!C74)&gt;0, SUMMARY!C74, "")</f>
        <v/>
      </c>
      <c r="E74" s="2" t="str" cm="1">
        <f t="array" ref="E74">IF('NILAI CPL'!$B74&lt;&gt;"",IFERROR(JumlahPI(ROW(),COLUMN()),0),"")</f>
        <v/>
      </c>
      <c r="F74" s="2" t="str" cm="1">
        <f t="array" ref="F74">IF('NILAI CPL'!$B74&lt;&gt;"",IFERROR(JumlahPI(ROW(),COLUMN()),0),"")</f>
        <v/>
      </c>
      <c r="G74" s="2" t="str" cm="1">
        <f t="array" ref="G74">IF('NILAI CPL'!$B74&lt;&gt;"",IFERROR(JumlahPI(ROW(),COLUMN()),0),"")</f>
        <v/>
      </c>
      <c r="H74" s="2" t="str" cm="1">
        <f t="array" ref="H74">IF('NILAI CPL'!$B74&lt;&gt;"",IFERROR(JumlahPI(ROW(),COLUMN()),0),"")</f>
        <v/>
      </c>
      <c r="I74" s="2" t="str" cm="1">
        <f t="array" ref="I74">IF('NILAI CPL'!$B74&lt;&gt;"",IFERROR(JumlahPI(ROW(),COLUMN()),0),"")</f>
        <v/>
      </c>
      <c r="J74" s="2" t="str" cm="1">
        <f t="array" ref="J74">IF('NILAI CPL'!$B74&lt;&gt;"",IFERROR(JumlahPI(ROW(),COLUMN()),0),"")</f>
        <v/>
      </c>
      <c r="K74" s="2" t="str" cm="1">
        <f t="array" ref="K74">IF('NILAI CPL'!$B74&lt;&gt;"",IFERROR(JumlahPI(ROW(),COLUMN()),0),"")</f>
        <v/>
      </c>
      <c r="L74" s="2" t="str" cm="1">
        <f t="array" ref="L74">IF('NILAI CPL'!$B74&lt;&gt;"",IFERROR(JumlahPI(ROW(),COLUMN()),0),"")</f>
        <v/>
      </c>
      <c r="M74" s="2" t="str" cm="1">
        <f t="array" ref="M74">IF('NILAI CPL'!$B74&lt;&gt;"",IFERROR(JumlahPI(ROW(),COLUMN()),0),"")</f>
        <v/>
      </c>
      <c r="N74" s="2" t="str" cm="1">
        <f t="array" ref="N74">IF('NILAI CPL'!$B74&lt;&gt;"",IFERROR(JumlahPI(ROW(),COLUMN()),0),"")</f>
        <v/>
      </c>
      <c r="O74" s="2" t="str" cm="1">
        <f t="array" ref="O74">IF('NILAI CPL'!$B74&lt;&gt;"",IFERROR(JumlahPI(ROW(),COLUMN()),0),"")</f>
        <v/>
      </c>
      <c r="P74" s="2" t="str" cm="1">
        <f t="array" ref="P74">IF('NILAI CPL'!$B74&lt;&gt;"",IFERROR(JumlahPI(ROW(),COLUMN()),0),"")</f>
        <v/>
      </c>
      <c r="Q74" s="2" t="str" cm="1">
        <f t="array" ref="Q74">IF('NILAI CPL'!$B74&lt;&gt;"",IFERROR(JumlahPI(ROW(),COLUMN()),0),"")</f>
        <v/>
      </c>
      <c r="R74" s="2" t="str" cm="1">
        <f t="array" ref="R74">IF('NILAI CPL'!$B74&lt;&gt;"",IFERROR(JumlahPI(ROW(),COLUMN()),0),"")</f>
        <v/>
      </c>
      <c r="S74" s="2" t="str" cm="1">
        <f t="array" ref="S74">IF('NILAI CPL'!$B74&lt;&gt;"",IFERROR(JumlahPI(ROW(),COLUMN()),0),"")</f>
        <v/>
      </c>
      <c r="T74" s="2" t="str" cm="1">
        <f t="array" ref="T74">IF('NILAI CPL'!$B74&lt;&gt;"",IFERROR(JumlahPI(ROW(),COLUMN()),0),"")</f>
        <v/>
      </c>
      <c r="U74" s="2" t="str" cm="1">
        <f t="array" ref="U74">IF('NILAI CPL'!$B74&lt;&gt;"",IFERROR(JumlahPI(ROW(),COLUMN()),0),"")</f>
        <v/>
      </c>
      <c r="V74" s="2" t="str" cm="1">
        <f t="array" ref="V74">IF('NILAI CPL'!$B74&lt;&gt;"",IFERROR(JumlahPI(ROW(),COLUMN()),0),"")</f>
        <v/>
      </c>
      <c r="W74" s="2" t="str" cm="1">
        <f t="array" ref="W74">IF('NILAI CPL'!$B74&lt;&gt;"",IFERROR(JumlahPI(ROW(),COLUMN()),0),"")</f>
        <v/>
      </c>
      <c r="X74" s="2" t="str" cm="1">
        <f t="array" ref="X74">IF('NILAI CPL'!$B74&lt;&gt;"",IFERROR(JumlahPI(ROW(),COLUMN()),0),"")</f>
        <v/>
      </c>
      <c r="Y74" s="2" t="str" cm="1">
        <f t="array" ref="Y74">IF('NILAI CPL'!$B74&lt;&gt;"",IFERROR(JumlahPI(ROW(),COLUMN()),0),"")</f>
        <v/>
      </c>
      <c r="Z74" s="2" t="str" cm="1">
        <f t="array" ref="Z74">IF('NILAI CPL'!$B74&lt;&gt;"",IFERROR(JumlahPI(ROW(),COLUMN()),0),"")</f>
        <v/>
      </c>
      <c r="AB74" s="2" t="str" cm="1">
        <f t="array" ref="AB74">IF('NILAI CPL'!$B74&lt;&gt;"",IFERROR(_xlfn.IFS(E74&gt;=$B$3,4,E74&gt;=$B$4,3,E74&gt;=$B$5,2,E74&gt;$B$6,1),0),"")</f>
        <v/>
      </c>
      <c r="AC74" s="2" t="str" cm="1">
        <f t="array" ref="AC74">IF('NILAI CPL'!$B74&lt;&gt;"",IFERROR(_xlfn.IFS(F74&gt;=$B$3,4,F74&gt;=$B$4,3,F74&gt;=$B$5,2,F74&gt;$B$6,1),0),"")</f>
        <v/>
      </c>
      <c r="AD74" s="2" t="str" cm="1">
        <f t="array" ref="AD74">IF('NILAI CPL'!$B74&lt;&gt;"",IFERROR(_xlfn.IFS(G74&gt;=$B$3,4,G74&gt;=$B$4,3,G74&gt;=$B$5,2,G74&gt;$B$6,1),0),"")</f>
        <v/>
      </c>
      <c r="AE74" s="2" t="str" cm="1">
        <f t="array" ref="AE74">IF('NILAI CPL'!$B74&lt;&gt;"",IFERROR(_xlfn.IFS(H74&gt;=$B$3,4,H74&gt;=$B$4,3,H74&gt;=$B$5,2,H74&gt;$B$6,1),0),"")</f>
        <v/>
      </c>
      <c r="AF74" s="2" t="str" cm="1">
        <f t="array" ref="AF74">IF('NILAI CPL'!$B74&lt;&gt;"",IFERROR(_xlfn.IFS(I74&gt;=$B$3,4,I74&gt;=$B$4,3,I74&gt;=$B$5,2,I74&gt;$B$6,1),0),"")</f>
        <v/>
      </c>
      <c r="AG74" s="2" t="str" cm="1">
        <f t="array" ref="AG74">IF('NILAI CPL'!$B74&lt;&gt;"",IFERROR(_xlfn.IFS(J74&gt;=$B$3,4,J74&gt;=$B$4,3,J74&gt;=$B$5,2,J74&gt;$B$6,1),0),"")</f>
        <v/>
      </c>
      <c r="AH74" s="2" t="str" cm="1">
        <f t="array" ref="AH74">IF('NILAI CPL'!$B74&lt;&gt;"",IFERROR(_xlfn.IFS(K74&gt;=$B$3,4,K74&gt;=$B$4,3,K74&gt;=$B$5,2,K74&gt;$B$6,1),0),"")</f>
        <v/>
      </c>
      <c r="AI74" s="2" t="str" cm="1">
        <f t="array" ref="AI74">IF('NILAI CPL'!$B74&lt;&gt;"",IFERROR(_xlfn.IFS(L74&gt;=$B$3,4,L74&gt;=$B$4,3,L74&gt;=$B$5,2,L74&gt;$B$6,1),0),"")</f>
        <v/>
      </c>
      <c r="AJ74" s="2" t="str" cm="1">
        <f t="array" ref="AJ74">IF('NILAI CPL'!$B74&lt;&gt;"",IFERROR(_xlfn.IFS(M74&gt;=$B$3,4,M74&gt;=$B$4,3,M74&gt;=$B$5,2,M74&gt;$B$6,1),0),"")</f>
        <v/>
      </c>
      <c r="AK74" s="2" t="str" cm="1">
        <f t="array" ref="AK74">IF('NILAI CPL'!$B74&lt;&gt;"",IFERROR(_xlfn.IFS(N74&gt;=$B$3,4,N74&gt;=$B$4,3,N74&gt;=$B$5,2,N74&gt;$B$6,1),0),"")</f>
        <v/>
      </c>
      <c r="AL74" s="2" t="str" cm="1">
        <f t="array" ref="AL74">IF('NILAI CPL'!$B74&lt;&gt;"",IFERROR(_xlfn.IFS(O74&gt;=$B$3,4,O74&gt;=$B$4,3,O74&gt;=$B$5,2,O74&gt;$B$6,1),0),"")</f>
        <v/>
      </c>
      <c r="AM74" s="2" t="str" cm="1">
        <f t="array" ref="AM74">IF('NILAI CPL'!$B74&lt;&gt;"",IFERROR(_xlfn.IFS(P74&gt;=$B$3,4,P74&gt;=$B$4,3,P74&gt;=$B$5,2,P74&gt;$B$6,1),0),"")</f>
        <v/>
      </c>
      <c r="AN74" s="2" t="str" cm="1">
        <f t="array" ref="AN74">IF('NILAI CPL'!$B74&lt;&gt;"",IFERROR(_xlfn.IFS(Q74&gt;=$B$3,4,Q74&gt;=$B$4,3,Q74&gt;=$B$5,2,Q74&gt;$B$6,1),0),"")</f>
        <v/>
      </c>
      <c r="AO74" s="2" t="str" cm="1">
        <f t="array" ref="AO74">IF('NILAI CPL'!$B74&lt;&gt;"",IFERROR(_xlfn.IFS(R74&gt;=$B$3,4,R74&gt;=$B$4,3,R74&gt;=$B$5,2,R74&gt;$B$6,1),0),"")</f>
        <v/>
      </c>
      <c r="AP74" s="2" t="str" cm="1">
        <f t="array" ref="AP74">IF('NILAI CPL'!$B74&lt;&gt;"",IFERROR(_xlfn.IFS(S74&gt;=$B$3,4,S74&gt;=$B$4,3,S74&gt;=$B$5,2,S74&gt;$B$6,1),0),"")</f>
        <v/>
      </c>
      <c r="AQ74" s="2" t="str" cm="1">
        <f t="array" ref="AQ74">IF('NILAI CPL'!$B74&lt;&gt;"",IFERROR(_xlfn.IFS(T74&gt;=$B$3,4,T74&gt;=$B$4,3,T74&gt;=$B$5,2,T74&gt;$B$6,1),0),"")</f>
        <v/>
      </c>
      <c r="AR74" s="2" t="str" cm="1">
        <f t="array" ref="AR74">IF('NILAI CPL'!$B74&lt;&gt;"",IFERROR(_xlfn.IFS(U74&gt;=$B$3,4,U74&gt;=$B$4,3,U74&gt;=$B$5,2,U74&gt;$B$6,1),0),"")</f>
        <v/>
      </c>
      <c r="AS74" s="2" t="str" cm="1">
        <f t="array" ref="AS74">IF('NILAI CPL'!$B74&lt;&gt;"",IFERROR(_xlfn.IFS(V74&gt;=$B$3,4,V74&gt;=$B$4,3,V74&gt;=$B$5,2,V74&gt;$B$6,1),0),"")</f>
        <v/>
      </c>
      <c r="AT74" s="2" t="str" cm="1">
        <f t="array" ref="AT74">IF('NILAI CPL'!$B74&lt;&gt;"",IFERROR(_xlfn.IFS(W74&gt;=$B$3,4,W74&gt;=$B$4,3,W74&gt;=$B$5,2,W74&gt;$B$6,1),0),"")</f>
        <v/>
      </c>
      <c r="AU74" s="2" t="str" cm="1">
        <f t="array" ref="AU74">IF('NILAI CPL'!$B74&lt;&gt;"",IFERROR(_xlfn.IFS(X74&gt;=$B$3,4,X74&gt;=$B$4,3,X74&gt;=$B$5,2,X74&gt;$B$6,1),0),"")</f>
        <v/>
      </c>
      <c r="AV74" s="2" t="str" cm="1">
        <f t="array" ref="AV74">IF('NILAI CPL'!$B74&lt;&gt;"",IFERROR(_xlfn.IFS(Y74&gt;=$B$3,4,Y74&gt;=$B$4,3,Y74&gt;=$B$5,2,Y74&gt;$B$6,1),0),"")</f>
        <v/>
      </c>
      <c r="AW74" s="2" t="str" cm="1">
        <f t="array" ref="AW74">IF('NILAI CPL'!$B74&lt;&gt;"",IFERROR(_xlfn.IFS(Z74&gt;=$B$3,4,Z74&gt;=$B$4,3,Z74&gt;=$B$5,2,Z74&gt;$B$6,1),0),"")</f>
        <v/>
      </c>
      <c r="AY74" s="2" t="str">
        <f t="shared" si="0"/>
        <v/>
      </c>
      <c r="AZ74" s="2" t="str">
        <f t="shared" si="1"/>
        <v/>
      </c>
      <c r="BA74" s="2" t="str">
        <f t="shared" si="2"/>
        <v/>
      </c>
      <c r="BB74" s="2" t="str">
        <f t="shared" si="3"/>
        <v/>
      </c>
      <c r="BC74" s="2" t="str">
        <f t="shared" si="4"/>
        <v/>
      </c>
      <c r="BD74" s="2" t="str">
        <f t="shared" si="5"/>
        <v/>
      </c>
      <c r="BE74" s="2" t="str">
        <f t="shared" si="6"/>
        <v/>
      </c>
      <c r="BF74" s="2" t="str">
        <f t="shared" si="7"/>
        <v/>
      </c>
      <c r="BG74" s="2" t="str">
        <f t="shared" si="8"/>
        <v/>
      </c>
      <c r="BH74" s="2" t="str">
        <f t="shared" si="9"/>
        <v/>
      </c>
      <c r="BJ74" s="2" t="str" cm="1">
        <f t="array" ref="BJ74">IF('NILAI CPL'!$B74&lt;&gt;"",IFERROR(_xlfn.IFS(AY74&gt;=$B$3,4,AY74&gt;=$B$4,3,AY74&gt;=$B$5,2,AY74&gt;$B$6,1),0),"")</f>
        <v/>
      </c>
      <c r="BK74" s="2" t="str" cm="1">
        <f t="array" ref="BK74">IF('NILAI CPL'!$B74&lt;&gt;"",IFERROR(_xlfn.IFS(AZ74&gt;=$B$3,4,AZ74&gt;=$B$4,3,AZ74&gt;=$B$5,2,AZ74&gt;$B$6,1),0),"")</f>
        <v/>
      </c>
      <c r="BL74" s="2" t="str" cm="1">
        <f t="array" ref="BL74">IF('NILAI CPL'!$B74&lt;&gt;"",IFERROR(_xlfn.IFS(BA74&gt;=$B$3,4,BA74&gt;=$B$4,3,BA74&gt;=$B$5,2,BA74&gt;$B$6,1),0),"")</f>
        <v/>
      </c>
      <c r="BM74" s="2" t="str" cm="1">
        <f t="array" ref="BM74">IF('NILAI CPL'!$B74&lt;&gt;"",IFERROR(_xlfn.IFS(BB74&gt;=$B$3,4,BB74&gt;=$B$4,3,BB74&gt;=$B$5,2,BB74&gt;$B$6,1),0),"")</f>
        <v/>
      </c>
      <c r="BN74" s="2" t="str" cm="1">
        <f t="array" ref="BN74">IF('NILAI CPL'!$B74&lt;&gt;"",IFERROR(_xlfn.IFS(BC74&gt;=$B$3,4,BC74&gt;=$B$4,3,BC74&gt;=$B$5,2,BC74&gt;$B$6,1),0),"")</f>
        <v/>
      </c>
      <c r="BO74" s="2" t="str" cm="1">
        <f t="array" ref="BO74">IF('NILAI CPL'!$B74&lt;&gt;"",IFERROR(_xlfn.IFS(BD74&gt;=$B$3,4,BD74&gt;=$B$4,3,BD74&gt;=$B$5,2,BD74&gt;$B$6,1),0),"")</f>
        <v/>
      </c>
      <c r="BP74" s="2" t="str" cm="1">
        <f t="array" ref="BP74">IF('NILAI CPL'!$B74&lt;&gt;"",IFERROR(_xlfn.IFS(BE74&gt;=$B$3,4,BE74&gt;=$B$4,3,BE74&gt;=$B$5,2,BE74&gt;$B$6,1),0),"")</f>
        <v/>
      </c>
      <c r="BQ74" s="2" t="str" cm="1">
        <f t="array" ref="BQ74">IF('NILAI CPL'!$B74&lt;&gt;"",IFERROR(_xlfn.IFS(BF74&gt;=$B$3,4,BF74&gt;=$B$4,3,BF74&gt;=$B$5,2,BF74&gt;$B$6,1),0),"")</f>
        <v/>
      </c>
      <c r="BR74" s="2" t="str" cm="1">
        <f t="array" ref="BR74">IF('NILAI CPL'!$B74&lt;&gt;"",IFERROR(_xlfn.IFS(BG74&gt;=$B$3,4,BG74&gt;=$B$4,3,BG74&gt;=$B$5,2,BG74&gt;$B$6,1),0),"")</f>
        <v/>
      </c>
      <c r="BS74" s="2" t="str" cm="1">
        <f t="array" ref="BS74">IF('NILAI CPL'!$B74&lt;&gt;"",IFERROR(_xlfn.IFS(BH74&gt;=$B$3,4,BH74&gt;=$B$4,3,BH74&gt;=$B$5,2,BH74&gt;$B$6,1),0),"")</f>
        <v/>
      </c>
    </row>
    <row r="75" spans="1:71" x14ac:dyDescent="0.2">
      <c r="A75" s="2">
        <v>65</v>
      </c>
      <c r="B75" s="2" t="str">
        <f>IF(LEN(SUMMARY!B75)&gt;0, SUMMARY!B75, "")</f>
        <v/>
      </c>
      <c r="C75" s="2" t="str">
        <f>IF(LEN(SUMMARY!C75)&gt;0, SUMMARY!C75, "")</f>
        <v/>
      </c>
      <c r="E75" s="2" t="str" cm="1">
        <f t="array" ref="E75">IF('NILAI CPL'!$B75&lt;&gt;"",IFERROR(JumlahPI(ROW(),COLUMN()),0),"")</f>
        <v/>
      </c>
      <c r="F75" s="2" t="str" cm="1">
        <f t="array" ref="F75">IF('NILAI CPL'!$B75&lt;&gt;"",IFERROR(JumlahPI(ROW(),COLUMN()),0),"")</f>
        <v/>
      </c>
      <c r="G75" s="2" t="str" cm="1">
        <f t="array" ref="G75">IF('NILAI CPL'!$B75&lt;&gt;"",IFERROR(JumlahPI(ROW(),COLUMN()),0),"")</f>
        <v/>
      </c>
      <c r="H75" s="2" t="str" cm="1">
        <f t="array" ref="H75">IF('NILAI CPL'!$B75&lt;&gt;"",IFERROR(JumlahPI(ROW(),COLUMN()),0),"")</f>
        <v/>
      </c>
      <c r="I75" s="2" t="str" cm="1">
        <f t="array" ref="I75">IF('NILAI CPL'!$B75&lt;&gt;"",IFERROR(JumlahPI(ROW(),COLUMN()),0),"")</f>
        <v/>
      </c>
      <c r="J75" s="2" t="str" cm="1">
        <f t="array" ref="J75">IF('NILAI CPL'!$B75&lt;&gt;"",IFERROR(JumlahPI(ROW(),COLUMN()),0),"")</f>
        <v/>
      </c>
      <c r="K75" s="2" t="str" cm="1">
        <f t="array" ref="K75">IF('NILAI CPL'!$B75&lt;&gt;"",IFERROR(JumlahPI(ROW(),COLUMN()),0),"")</f>
        <v/>
      </c>
      <c r="L75" s="2" t="str" cm="1">
        <f t="array" ref="L75">IF('NILAI CPL'!$B75&lt;&gt;"",IFERROR(JumlahPI(ROW(),COLUMN()),0),"")</f>
        <v/>
      </c>
      <c r="M75" s="2" t="str" cm="1">
        <f t="array" ref="M75">IF('NILAI CPL'!$B75&lt;&gt;"",IFERROR(JumlahPI(ROW(),COLUMN()),0),"")</f>
        <v/>
      </c>
      <c r="N75" s="2" t="str" cm="1">
        <f t="array" ref="N75">IF('NILAI CPL'!$B75&lt;&gt;"",IFERROR(JumlahPI(ROW(),COLUMN()),0),"")</f>
        <v/>
      </c>
      <c r="O75" s="2" t="str" cm="1">
        <f t="array" ref="O75">IF('NILAI CPL'!$B75&lt;&gt;"",IFERROR(JumlahPI(ROW(),COLUMN()),0),"")</f>
        <v/>
      </c>
      <c r="P75" s="2" t="str" cm="1">
        <f t="array" ref="P75">IF('NILAI CPL'!$B75&lt;&gt;"",IFERROR(JumlahPI(ROW(),COLUMN()),0),"")</f>
        <v/>
      </c>
      <c r="Q75" s="2" t="str" cm="1">
        <f t="array" ref="Q75">IF('NILAI CPL'!$B75&lt;&gt;"",IFERROR(JumlahPI(ROW(),COLUMN()),0),"")</f>
        <v/>
      </c>
      <c r="R75" s="2" t="str" cm="1">
        <f t="array" ref="R75">IF('NILAI CPL'!$B75&lt;&gt;"",IFERROR(JumlahPI(ROW(),COLUMN()),0),"")</f>
        <v/>
      </c>
      <c r="S75" s="2" t="str" cm="1">
        <f t="array" ref="S75">IF('NILAI CPL'!$B75&lt;&gt;"",IFERROR(JumlahPI(ROW(),COLUMN()),0),"")</f>
        <v/>
      </c>
      <c r="T75" s="2" t="str" cm="1">
        <f t="array" ref="T75">IF('NILAI CPL'!$B75&lt;&gt;"",IFERROR(JumlahPI(ROW(),COLUMN()),0),"")</f>
        <v/>
      </c>
      <c r="U75" s="2" t="str" cm="1">
        <f t="array" ref="U75">IF('NILAI CPL'!$B75&lt;&gt;"",IFERROR(JumlahPI(ROW(),COLUMN()),0),"")</f>
        <v/>
      </c>
      <c r="V75" s="2" t="str" cm="1">
        <f t="array" ref="V75">IF('NILAI CPL'!$B75&lt;&gt;"",IFERROR(JumlahPI(ROW(),COLUMN()),0),"")</f>
        <v/>
      </c>
      <c r="W75" s="2" t="str" cm="1">
        <f t="array" ref="W75">IF('NILAI CPL'!$B75&lt;&gt;"",IFERROR(JumlahPI(ROW(),COLUMN()),0),"")</f>
        <v/>
      </c>
      <c r="X75" s="2" t="str" cm="1">
        <f t="array" ref="X75">IF('NILAI CPL'!$B75&lt;&gt;"",IFERROR(JumlahPI(ROW(),COLUMN()),0),"")</f>
        <v/>
      </c>
      <c r="Y75" s="2" t="str" cm="1">
        <f t="array" ref="Y75">IF('NILAI CPL'!$B75&lt;&gt;"",IFERROR(JumlahPI(ROW(),COLUMN()),0),"")</f>
        <v/>
      </c>
      <c r="Z75" s="2" t="str" cm="1">
        <f t="array" ref="Z75">IF('NILAI CPL'!$B75&lt;&gt;"",IFERROR(JumlahPI(ROW(),COLUMN()),0),"")</f>
        <v/>
      </c>
      <c r="AB75" s="2" t="str" cm="1">
        <f t="array" ref="AB75">IF('NILAI CPL'!$B75&lt;&gt;"",IFERROR(_xlfn.IFS(E75&gt;=$B$3,4,E75&gt;=$B$4,3,E75&gt;=$B$5,2,E75&gt;$B$6,1),0),"")</f>
        <v/>
      </c>
      <c r="AC75" s="2" t="str" cm="1">
        <f t="array" ref="AC75">IF('NILAI CPL'!$B75&lt;&gt;"",IFERROR(_xlfn.IFS(F75&gt;=$B$3,4,F75&gt;=$B$4,3,F75&gt;=$B$5,2,F75&gt;$B$6,1),0),"")</f>
        <v/>
      </c>
      <c r="AD75" s="2" t="str" cm="1">
        <f t="array" ref="AD75">IF('NILAI CPL'!$B75&lt;&gt;"",IFERROR(_xlfn.IFS(G75&gt;=$B$3,4,G75&gt;=$B$4,3,G75&gt;=$B$5,2,G75&gt;$B$6,1),0),"")</f>
        <v/>
      </c>
      <c r="AE75" s="2" t="str" cm="1">
        <f t="array" ref="AE75">IF('NILAI CPL'!$B75&lt;&gt;"",IFERROR(_xlfn.IFS(H75&gt;=$B$3,4,H75&gt;=$B$4,3,H75&gt;=$B$5,2,H75&gt;$B$6,1),0),"")</f>
        <v/>
      </c>
      <c r="AF75" s="2" t="str" cm="1">
        <f t="array" ref="AF75">IF('NILAI CPL'!$B75&lt;&gt;"",IFERROR(_xlfn.IFS(I75&gt;=$B$3,4,I75&gt;=$B$4,3,I75&gt;=$B$5,2,I75&gt;$B$6,1),0),"")</f>
        <v/>
      </c>
      <c r="AG75" s="2" t="str" cm="1">
        <f t="array" ref="AG75">IF('NILAI CPL'!$B75&lt;&gt;"",IFERROR(_xlfn.IFS(J75&gt;=$B$3,4,J75&gt;=$B$4,3,J75&gt;=$B$5,2,J75&gt;$B$6,1),0),"")</f>
        <v/>
      </c>
      <c r="AH75" s="2" t="str" cm="1">
        <f t="array" ref="AH75">IF('NILAI CPL'!$B75&lt;&gt;"",IFERROR(_xlfn.IFS(K75&gt;=$B$3,4,K75&gt;=$B$4,3,K75&gt;=$B$5,2,K75&gt;$B$6,1),0),"")</f>
        <v/>
      </c>
      <c r="AI75" s="2" t="str" cm="1">
        <f t="array" ref="AI75">IF('NILAI CPL'!$B75&lt;&gt;"",IFERROR(_xlfn.IFS(L75&gt;=$B$3,4,L75&gt;=$B$4,3,L75&gt;=$B$5,2,L75&gt;$B$6,1),0),"")</f>
        <v/>
      </c>
      <c r="AJ75" s="2" t="str" cm="1">
        <f t="array" ref="AJ75">IF('NILAI CPL'!$B75&lt;&gt;"",IFERROR(_xlfn.IFS(M75&gt;=$B$3,4,M75&gt;=$B$4,3,M75&gt;=$B$5,2,M75&gt;$B$6,1),0),"")</f>
        <v/>
      </c>
      <c r="AK75" s="2" t="str" cm="1">
        <f t="array" ref="AK75">IF('NILAI CPL'!$B75&lt;&gt;"",IFERROR(_xlfn.IFS(N75&gt;=$B$3,4,N75&gt;=$B$4,3,N75&gt;=$B$5,2,N75&gt;$B$6,1),0),"")</f>
        <v/>
      </c>
      <c r="AL75" s="2" t="str" cm="1">
        <f t="array" ref="AL75">IF('NILAI CPL'!$B75&lt;&gt;"",IFERROR(_xlfn.IFS(O75&gt;=$B$3,4,O75&gt;=$B$4,3,O75&gt;=$B$5,2,O75&gt;$B$6,1),0),"")</f>
        <v/>
      </c>
      <c r="AM75" s="2" t="str" cm="1">
        <f t="array" ref="AM75">IF('NILAI CPL'!$B75&lt;&gt;"",IFERROR(_xlfn.IFS(P75&gt;=$B$3,4,P75&gt;=$B$4,3,P75&gt;=$B$5,2,P75&gt;$B$6,1),0),"")</f>
        <v/>
      </c>
      <c r="AN75" s="2" t="str" cm="1">
        <f t="array" ref="AN75">IF('NILAI CPL'!$B75&lt;&gt;"",IFERROR(_xlfn.IFS(Q75&gt;=$B$3,4,Q75&gt;=$B$4,3,Q75&gt;=$B$5,2,Q75&gt;$B$6,1),0),"")</f>
        <v/>
      </c>
      <c r="AO75" s="2" t="str" cm="1">
        <f t="array" ref="AO75">IF('NILAI CPL'!$B75&lt;&gt;"",IFERROR(_xlfn.IFS(R75&gt;=$B$3,4,R75&gt;=$B$4,3,R75&gt;=$B$5,2,R75&gt;$B$6,1),0),"")</f>
        <v/>
      </c>
      <c r="AP75" s="2" t="str" cm="1">
        <f t="array" ref="AP75">IF('NILAI CPL'!$B75&lt;&gt;"",IFERROR(_xlfn.IFS(S75&gt;=$B$3,4,S75&gt;=$B$4,3,S75&gt;=$B$5,2,S75&gt;$B$6,1),0),"")</f>
        <v/>
      </c>
      <c r="AQ75" s="2" t="str" cm="1">
        <f t="array" ref="AQ75">IF('NILAI CPL'!$B75&lt;&gt;"",IFERROR(_xlfn.IFS(T75&gt;=$B$3,4,T75&gt;=$B$4,3,T75&gt;=$B$5,2,T75&gt;$B$6,1),0),"")</f>
        <v/>
      </c>
      <c r="AR75" s="2" t="str" cm="1">
        <f t="array" ref="AR75">IF('NILAI CPL'!$B75&lt;&gt;"",IFERROR(_xlfn.IFS(U75&gt;=$B$3,4,U75&gt;=$B$4,3,U75&gt;=$B$5,2,U75&gt;$B$6,1),0),"")</f>
        <v/>
      </c>
      <c r="AS75" s="2" t="str" cm="1">
        <f t="array" ref="AS75">IF('NILAI CPL'!$B75&lt;&gt;"",IFERROR(_xlfn.IFS(V75&gt;=$B$3,4,V75&gt;=$B$4,3,V75&gt;=$B$5,2,V75&gt;$B$6,1),0),"")</f>
        <v/>
      </c>
      <c r="AT75" s="2" t="str" cm="1">
        <f t="array" ref="AT75">IF('NILAI CPL'!$B75&lt;&gt;"",IFERROR(_xlfn.IFS(W75&gt;=$B$3,4,W75&gt;=$B$4,3,W75&gt;=$B$5,2,W75&gt;$B$6,1),0),"")</f>
        <v/>
      </c>
      <c r="AU75" s="2" t="str" cm="1">
        <f t="array" ref="AU75">IF('NILAI CPL'!$B75&lt;&gt;"",IFERROR(_xlfn.IFS(X75&gt;=$B$3,4,X75&gt;=$B$4,3,X75&gt;=$B$5,2,X75&gt;$B$6,1),0),"")</f>
        <v/>
      </c>
      <c r="AV75" s="2" t="str" cm="1">
        <f t="array" ref="AV75">IF('NILAI CPL'!$B75&lt;&gt;"",IFERROR(_xlfn.IFS(Y75&gt;=$B$3,4,Y75&gt;=$B$4,3,Y75&gt;=$B$5,2,Y75&gt;$B$6,1),0),"")</f>
        <v/>
      </c>
      <c r="AW75" s="2" t="str" cm="1">
        <f t="array" ref="AW75">IF('NILAI CPL'!$B75&lt;&gt;"",IFERROR(_xlfn.IFS(Z75&gt;=$B$3,4,Z75&gt;=$B$4,3,Z75&gt;=$B$5,2,Z75&gt;$B$6,1),0),"")</f>
        <v/>
      </c>
      <c r="AY75" s="2" t="str">
        <f t="shared" si="0"/>
        <v/>
      </c>
      <c r="AZ75" s="2" t="str">
        <f t="shared" si="1"/>
        <v/>
      </c>
      <c r="BA75" s="2" t="str">
        <f t="shared" si="2"/>
        <v/>
      </c>
      <c r="BB75" s="2" t="str">
        <f t="shared" si="3"/>
        <v/>
      </c>
      <c r="BC75" s="2" t="str">
        <f t="shared" si="4"/>
        <v/>
      </c>
      <c r="BD75" s="2" t="str">
        <f t="shared" si="5"/>
        <v/>
      </c>
      <c r="BE75" s="2" t="str">
        <f t="shared" si="6"/>
        <v/>
      </c>
      <c r="BF75" s="2" t="str">
        <f t="shared" si="7"/>
        <v/>
      </c>
      <c r="BG75" s="2" t="str">
        <f t="shared" si="8"/>
        <v/>
      </c>
      <c r="BH75" s="2" t="str">
        <f t="shared" si="9"/>
        <v/>
      </c>
      <c r="BJ75" s="2" t="str" cm="1">
        <f t="array" ref="BJ75">IF('NILAI CPL'!$B75&lt;&gt;"",IFERROR(_xlfn.IFS(AY75&gt;=$B$3,4,AY75&gt;=$B$4,3,AY75&gt;=$B$5,2,AY75&gt;$B$6,1),0),"")</f>
        <v/>
      </c>
      <c r="BK75" s="2" t="str" cm="1">
        <f t="array" ref="BK75">IF('NILAI CPL'!$B75&lt;&gt;"",IFERROR(_xlfn.IFS(AZ75&gt;=$B$3,4,AZ75&gt;=$B$4,3,AZ75&gt;=$B$5,2,AZ75&gt;$B$6,1),0),"")</f>
        <v/>
      </c>
      <c r="BL75" s="2" t="str" cm="1">
        <f t="array" ref="BL75">IF('NILAI CPL'!$B75&lt;&gt;"",IFERROR(_xlfn.IFS(BA75&gt;=$B$3,4,BA75&gt;=$B$4,3,BA75&gt;=$B$5,2,BA75&gt;$B$6,1),0),"")</f>
        <v/>
      </c>
      <c r="BM75" s="2" t="str" cm="1">
        <f t="array" ref="BM75">IF('NILAI CPL'!$B75&lt;&gt;"",IFERROR(_xlfn.IFS(BB75&gt;=$B$3,4,BB75&gt;=$B$4,3,BB75&gt;=$B$5,2,BB75&gt;$B$6,1),0),"")</f>
        <v/>
      </c>
      <c r="BN75" s="2" t="str" cm="1">
        <f t="array" ref="BN75">IF('NILAI CPL'!$B75&lt;&gt;"",IFERROR(_xlfn.IFS(BC75&gt;=$B$3,4,BC75&gt;=$B$4,3,BC75&gt;=$B$5,2,BC75&gt;$B$6,1),0),"")</f>
        <v/>
      </c>
      <c r="BO75" s="2" t="str" cm="1">
        <f t="array" ref="BO75">IF('NILAI CPL'!$B75&lt;&gt;"",IFERROR(_xlfn.IFS(BD75&gt;=$B$3,4,BD75&gt;=$B$4,3,BD75&gt;=$B$5,2,BD75&gt;$B$6,1),0),"")</f>
        <v/>
      </c>
      <c r="BP75" s="2" t="str" cm="1">
        <f t="array" ref="BP75">IF('NILAI CPL'!$B75&lt;&gt;"",IFERROR(_xlfn.IFS(BE75&gt;=$B$3,4,BE75&gt;=$B$4,3,BE75&gt;=$B$5,2,BE75&gt;$B$6,1),0),"")</f>
        <v/>
      </c>
      <c r="BQ75" s="2" t="str" cm="1">
        <f t="array" ref="BQ75">IF('NILAI CPL'!$B75&lt;&gt;"",IFERROR(_xlfn.IFS(BF75&gt;=$B$3,4,BF75&gt;=$B$4,3,BF75&gt;=$B$5,2,BF75&gt;$B$6,1),0),"")</f>
        <v/>
      </c>
      <c r="BR75" s="2" t="str" cm="1">
        <f t="array" ref="BR75">IF('NILAI CPL'!$B75&lt;&gt;"",IFERROR(_xlfn.IFS(BG75&gt;=$B$3,4,BG75&gt;=$B$4,3,BG75&gt;=$B$5,2,BG75&gt;$B$6,1),0),"")</f>
        <v/>
      </c>
      <c r="BS75" s="2" t="str" cm="1">
        <f t="array" ref="BS75">IF('NILAI CPL'!$B75&lt;&gt;"",IFERROR(_xlfn.IFS(BH75&gt;=$B$3,4,BH75&gt;=$B$4,3,BH75&gt;=$B$5,2,BH75&gt;$B$6,1),0),"")</f>
        <v/>
      </c>
    </row>
    <row r="76" spans="1:71" x14ac:dyDescent="0.2">
      <c r="A76" s="2">
        <v>66</v>
      </c>
      <c r="B76" s="2" t="str">
        <f>IF(LEN(SUMMARY!B76)&gt;0, SUMMARY!B76, "")</f>
        <v/>
      </c>
      <c r="C76" s="2" t="str">
        <f>IF(LEN(SUMMARY!C76)&gt;0, SUMMARY!C76, "")</f>
        <v/>
      </c>
      <c r="E76" s="2" t="str" cm="1">
        <f t="array" ref="E76">IF('NILAI CPL'!$B76&lt;&gt;"",IFERROR(JumlahPI(ROW(),COLUMN()),0),"")</f>
        <v/>
      </c>
      <c r="F76" s="2" t="str" cm="1">
        <f t="array" ref="F76">IF('NILAI CPL'!$B76&lt;&gt;"",IFERROR(JumlahPI(ROW(),COLUMN()),0),"")</f>
        <v/>
      </c>
      <c r="G76" s="2" t="str" cm="1">
        <f t="array" ref="G76">IF('NILAI CPL'!$B76&lt;&gt;"",IFERROR(JumlahPI(ROW(),COLUMN()),0),"")</f>
        <v/>
      </c>
      <c r="H76" s="2" t="str" cm="1">
        <f t="array" ref="H76">IF('NILAI CPL'!$B76&lt;&gt;"",IFERROR(JumlahPI(ROW(),COLUMN()),0),"")</f>
        <v/>
      </c>
      <c r="I76" s="2" t="str" cm="1">
        <f t="array" ref="I76">IF('NILAI CPL'!$B76&lt;&gt;"",IFERROR(JumlahPI(ROW(),COLUMN()),0),"")</f>
        <v/>
      </c>
      <c r="J76" s="2" t="str" cm="1">
        <f t="array" ref="J76">IF('NILAI CPL'!$B76&lt;&gt;"",IFERROR(JumlahPI(ROW(),COLUMN()),0),"")</f>
        <v/>
      </c>
      <c r="K76" s="2" t="str" cm="1">
        <f t="array" ref="K76">IF('NILAI CPL'!$B76&lt;&gt;"",IFERROR(JumlahPI(ROW(),COLUMN()),0),"")</f>
        <v/>
      </c>
      <c r="L76" s="2" t="str" cm="1">
        <f t="array" ref="L76">IF('NILAI CPL'!$B76&lt;&gt;"",IFERROR(JumlahPI(ROW(),COLUMN()),0),"")</f>
        <v/>
      </c>
      <c r="M76" s="2" t="str" cm="1">
        <f t="array" ref="M76">IF('NILAI CPL'!$B76&lt;&gt;"",IFERROR(JumlahPI(ROW(),COLUMN()),0),"")</f>
        <v/>
      </c>
      <c r="N76" s="2" t="str" cm="1">
        <f t="array" ref="N76">IF('NILAI CPL'!$B76&lt;&gt;"",IFERROR(JumlahPI(ROW(),COLUMN()),0),"")</f>
        <v/>
      </c>
      <c r="O76" s="2" t="str" cm="1">
        <f t="array" ref="O76">IF('NILAI CPL'!$B76&lt;&gt;"",IFERROR(JumlahPI(ROW(),COLUMN()),0),"")</f>
        <v/>
      </c>
      <c r="P76" s="2" t="str" cm="1">
        <f t="array" ref="P76">IF('NILAI CPL'!$B76&lt;&gt;"",IFERROR(JumlahPI(ROW(),COLUMN()),0),"")</f>
        <v/>
      </c>
      <c r="Q76" s="2" t="str" cm="1">
        <f t="array" ref="Q76">IF('NILAI CPL'!$B76&lt;&gt;"",IFERROR(JumlahPI(ROW(),COLUMN()),0),"")</f>
        <v/>
      </c>
      <c r="R76" s="2" t="str" cm="1">
        <f t="array" ref="R76">IF('NILAI CPL'!$B76&lt;&gt;"",IFERROR(JumlahPI(ROW(),COLUMN()),0),"")</f>
        <v/>
      </c>
      <c r="S76" s="2" t="str" cm="1">
        <f t="array" ref="S76">IF('NILAI CPL'!$B76&lt;&gt;"",IFERROR(JumlahPI(ROW(),COLUMN()),0),"")</f>
        <v/>
      </c>
      <c r="T76" s="2" t="str" cm="1">
        <f t="array" ref="T76">IF('NILAI CPL'!$B76&lt;&gt;"",IFERROR(JumlahPI(ROW(),COLUMN()),0),"")</f>
        <v/>
      </c>
      <c r="U76" s="2" t="str" cm="1">
        <f t="array" ref="U76">IF('NILAI CPL'!$B76&lt;&gt;"",IFERROR(JumlahPI(ROW(),COLUMN()),0),"")</f>
        <v/>
      </c>
      <c r="V76" s="2" t="str" cm="1">
        <f t="array" ref="V76">IF('NILAI CPL'!$B76&lt;&gt;"",IFERROR(JumlahPI(ROW(),COLUMN()),0),"")</f>
        <v/>
      </c>
      <c r="W76" s="2" t="str" cm="1">
        <f t="array" ref="W76">IF('NILAI CPL'!$B76&lt;&gt;"",IFERROR(JumlahPI(ROW(),COLUMN()),0),"")</f>
        <v/>
      </c>
      <c r="X76" s="2" t="str" cm="1">
        <f t="array" ref="X76">IF('NILAI CPL'!$B76&lt;&gt;"",IFERROR(JumlahPI(ROW(),COLUMN()),0),"")</f>
        <v/>
      </c>
      <c r="Y76" s="2" t="str" cm="1">
        <f t="array" ref="Y76">IF('NILAI CPL'!$B76&lt;&gt;"",IFERROR(JumlahPI(ROW(),COLUMN()),0),"")</f>
        <v/>
      </c>
      <c r="Z76" s="2" t="str" cm="1">
        <f t="array" ref="Z76">IF('NILAI CPL'!$B76&lt;&gt;"",IFERROR(JumlahPI(ROW(),COLUMN()),0),"")</f>
        <v/>
      </c>
      <c r="AB76" s="2" t="str" cm="1">
        <f t="array" ref="AB76">IF('NILAI CPL'!$B76&lt;&gt;"",IFERROR(_xlfn.IFS(E76&gt;=$B$3,4,E76&gt;=$B$4,3,E76&gt;=$B$5,2,E76&gt;$B$6,1),0),"")</f>
        <v/>
      </c>
      <c r="AC76" s="2" t="str" cm="1">
        <f t="array" ref="AC76">IF('NILAI CPL'!$B76&lt;&gt;"",IFERROR(_xlfn.IFS(F76&gt;=$B$3,4,F76&gt;=$B$4,3,F76&gt;=$B$5,2,F76&gt;$B$6,1),0),"")</f>
        <v/>
      </c>
      <c r="AD76" s="2" t="str" cm="1">
        <f t="array" ref="AD76">IF('NILAI CPL'!$B76&lt;&gt;"",IFERROR(_xlfn.IFS(G76&gt;=$B$3,4,G76&gt;=$B$4,3,G76&gt;=$B$5,2,G76&gt;$B$6,1),0),"")</f>
        <v/>
      </c>
      <c r="AE76" s="2" t="str" cm="1">
        <f t="array" ref="AE76">IF('NILAI CPL'!$B76&lt;&gt;"",IFERROR(_xlfn.IFS(H76&gt;=$B$3,4,H76&gt;=$B$4,3,H76&gt;=$B$5,2,H76&gt;$B$6,1),0),"")</f>
        <v/>
      </c>
      <c r="AF76" s="2" t="str" cm="1">
        <f t="array" ref="AF76">IF('NILAI CPL'!$B76&lt;&gt;"",IFERROR(_xlfn.IFS(I76&gt;=$B$3,4,I76&gt;=$B$4,3,I76&gt;=$B$5,2,I76&gt;$B$6,1),0),"")</f>
        <v/>
      </c>
      <c r="AG76" s="2" t="str" cm="1">
        <f t="array" ref="AG76">IF('NILAI CPL'!$B76&lt;&gt;"",IFERROR(_xlfn.IFS(J76&gt;=$B$3,4,J76&gt;=$B$4,3,J76&gt;=$B$5,2,J76&gt;$B$6,1),0),"")</f>
        <v/>
      </c>
      <c r="AH76" s="2" t="str" cm="1">
        <f t="array" ref="AH76">IF('NILAI CPL'!$B76&lt;&gt;"",IFERROR(_xlfn.IFS(K76&gt;=$B$3,4,K76&gt;=$B$4,3,K76&gt;=$B$5,2,K76&gt;$B$6,1),0),"")</f>
        <v/>
      </c>
      <c r="AI76" s="2" t="str" cm="1">
        <f t="array" ref="AI76">IF('NILAI CPL'!$B76&lt;&gt;"",IFERROR(_xlfn.IFS(L76&gt;=$B$3,4,L76&gt;=$B$4,3,L76&gt;=$B$5,2,L76&gt;$B$6,1),0),"")</f>
        <v/>
      </c>
      <c r="AJ76" s="2" t="str" cm="1">
        <f t="array" ref="AJ76">IF('NILAI CPL'!$B76&lt;&gt;"",IFERROR(_xlfn.IFS(M76&gt;=$B$3,4,M76&gt;=$B$4,3,M76&gt;=$B$5,2,M76&gt;$B$6,1),0),"")</f>
        <v/>
      </c>
      <c r="AK76" s="2" t="str" cm="1">
        <f t="array" ref="AK76">IF('NILAI CPL'!$B76&lt;&gt;"",IFERROR(_xlfn.IFS(N76&gt;=$B$3,4,N76&gt;=$B$4,3,N76&gt;=$B$5,2,N76&gt;$B$6,1),0),"")</f>
        <v/>
      </c>
      <c r="AL76" s="2" t="str" cm="1">
        <f t="array" ref="AL76">IF('NILAI CPL'!$B76&lt;&gt;"",IFERROR(_xlfn.IFS(O76&gt;=$B$3,4,O76&gt;=$B$4,3,O76&gt;=$B$5,2,O76&gt;$B$6,1),0),"")</f>
        <v/>
      </c>
      <c r="AM76" s="2" t="str" cm="1">
        <f t="array" ref="AM76">IF('NILAI CPL'!$B76&lt;&gt;"",IFERROR(_xlfn.IFS(P76&gt;=$B$3,4,P76&gt;=$B$4,3,P76&gt;=$B$5,2,P76&gt;$B$6,1),0),"")</f>
        <v/>
      </c>
      <c r="AN76" s="2" t="str" cm="1">
        <f t="array" ref="AN76">IF('NILAI CPL'!$B76&lt;&gt;"",IFERROR(_xlfn.IFS(Q76&gt;=$B$3,4,Q76&gt;=$B$4,3,Q76&gt;=$B$5,2,Q76&gt;$B$6,1),0),"")</f>
        <v/>
      </c>
      <c r="AO76" s="2" t="str" cm="1">
        <f t="array" ref="AO76">IF('NILAI CPL'!$B76&lt;&gt;"",IFERROR(_xlfn.IFS(R76&gt;=$B$3,4,R76&gt;=$B$4,3,R76&gt;=$B$5,2,R76&gt;$B$6,1),0),"")</f>
        <v/>
      </c>
      <c r="AP76" s="2" t="str" cm="1">
        <f t="array" ref="AP76">IF('NILAI CPL'!$B76&lt;&gt;"",IFERROR(_xlfn.IFS(S76&gt;=$B$3,4,S76&gt;=$B$4,3,S76&gt;=$B$5,2,S76&gt;$B$6,1),0),"")</f>
        <v/>
      </c>
      <c r="AQ76" s="2" t="str" cm="1">
        <f t="array" ref="AQ76">IF('NILAI CPL'!$B76&lt;&gt;"",IFERROR(_xlfn.IFS(T76&gt;=$B$3,4,T76&gt;=$B$4,3,T76&gt;=$B$5,2,T76&gt;$B$6,1),0),"")</f>
        <v/>
      </c>
      <c r="AR76" s="2" t="str" cm="1">
        <f t="array" ref="AR76">IF('NILAI CPL'!$B76&lt;&gt;"",IFERROR(_xlfn.IFS(U76&gt;=$B$3,4,U76&gt;=$B$4,3,U76&gt;=$B$5,2,U76&gt;$B$6,1),0),"")</f>
        <v/>
      </c>
      <c r="AS76" s="2" t="str" cm="1">
        <f t="array" ref="AS76">IF('NILAI CPL'!$B76&lt;&gt;"",IFERROR(_xlfn.IFS(V76&gt;=$B$3,4,V76&gt;=$B$4,3,V76&gt;=$B$5,2,V76&gt;$B$6,1),0),"")</f>
        <v/>
      </c>
      <c r="AT76" s="2" t="str" cm="1">
        <f t="array" ref="AT76">IF('NILAI CPL'!$B76&lt;&gt;"",IFERROR(_xlfn.IFS(W76&gt;=$B$3,4,W76&gt;=$B$4,3,W76&gt;=$B$5,2,W76&gt;$B$6,1),0),"")</f>
        <v/>
      </c>
      <c r="AU76" s="2" t="str" cm="1">
        <f t="array" ref="AU76">IF('NILAI CPL'!$B76&lt;&gt;"",IFERROR(_xlfn.IFS(X76&gt;=$B$3,4,X76&gt;=$B$4,3,X76&gt;=$B$5,2,X76&gt;$B$6,1),0),"")</f>
        <v/>
      </c>
      <c r="AV76" s="2" t="str" cm="1">
        <f t="array" ref="AV76">IF('NILAI CPL'!$B76&lt;&gt;"",IFERROR(_xlfn.IFS(Y76&gt;=$B$3,4,Y76&gt;=$B$4,3,Y76&gt;=$B$5,2,Y76&gt;$B$6,1),0),"")</f>
        <v/>
      </c>
      <c r="AW76" s="2" t="str" cm="1">
        <f t="array" ref="AW76">IF('NILAI CPL'!$B76&lt;&gt;"",IFERROR(_xlfn.IFS(Z76&gt;=$B$3,4,Z76&gt;=$B$4,3,Z76&gt;=$B$5,2,Z76&gt;$B$6,1),0),"")</f>
        <v/>
      </c>
      <c r="AY76" s="2" t="str">
        <f t="shared" ref="AY76:AY90" si="10">IF($B76&lt;&gt;"",IFERROR(SUMPRODUCT(E76:F76,$E$9:$F$9)/SUM($E$9:$F$9),0),"")</f>
        <v/>
      </c>
      <c r="AZ76" s="2" t="str">
        <f t="shared" ref="AZ76:AZ90" si="11">IF($B76&lt;&gt;"",IFERROR(SUMPRODUCT(G76:J76,$G$9:$J$9)/SUM($G$9:$J$9),0),"")</f>
        <v/>
      </c>
      <c r="BA76" s="2" t="str">
        <f t="shared" ref="BA76:BA90" si="12">IF($B76&lt;&gt;"",IFERROR(SUMPRODUCT(K76:L76,$K$9:$L$9)/SUM($K$9:$L$9),0),"")</f>
        <v/>
      </c>
      <c r="BB76" s="2" t="str">
        <f t="shared" ref="BB76:BB90" si="13">IF($B76&lt;&gt;"",IFERROR(SUMPRODUCT(M76:N76,$M$9:$N$9)/SUM($M$9:$N$9),0),"")</f>
        <v/>
      </c>
      <c r="BC76" s="2" t="str">
        <f t="shared" ref="BC76:BC90" si="14">IF($B76&lt;&gt;"",IFERROR(SUMPRODUCT(O76:P76,$O$9:$P$9)/SUM($O$9:$P$9),0),"")</f>
        <v/>
      </c>
      <c r="BD76" s="2" t="str">
        <f t="shared" ref="BD76:BD90" si="15">IF($B76&lt;&gt;"",IFERROR(SUMPRODUCT(Q76:R76,$Q$9:$R$9)/SUM($Q$9:$R$9),0),"")</f>
        <v/>
      </c>
      <c r="BE76" s="2" t="str">
        <f t="shared" ref="BE76:BE90" si="16">IF($B76&lt;&gt;"",IFERROR(SUMPRODUCT(S76:T76,$S$9:$T$9)/SUM($S$9:$T$9),0),"")</f>
        <v/>
      </c>
      <c r="BF76" s="2" t="str">
        <f t="shared" ref="BF76:BF90" si="17">IF($B76&lt;&gt;"",IFERROR(SUMPRODUCT(U76:V76,$U$9:$V$9)/SUM($U$9:$V$9),0),"")</f>
        <v/>
      </c>
      <c r="BG76" s="2" t="str">
        <f t="shared" ref="BG76:BG90" si="18">IF($B76&lt;&gt;"",IFERROR(SUMPRODUCT(W76:X76,$W$9:$X$9)/SUM($W$9:$X$9),0),"")</f>
        <v/>
      </c>
      <c r="BH76" s="2" t="str">
        <f t="shared" ref="BH76:BH90" si="19">IF($B76&lt;&gt;"",IFERROR(SUMPRODUCT(Y76:Z76,$Y$9:$Z$9)/SUM($Y$9:$Z$9),0),"")</f>
        <v/>
      </c>
      <c r="BJ76" s="2" t="str" cm="1">
        <f t="array" ref="BJ76">IF('NILAI CPL'!$B76&lt;&gt;"",IFERROR(_xlfn.IFS(AY76&gt;=$B$3,4,AY76&gt;=$B$4,3,AY76&gt;=$B$5,2,AY76&gt;$B$6,1),0),"")</f>
        <v/>
      </c>
      <c r="BK76" s="2" t="str" cm="1">
        <f t="array" ref="BK76">IF('NILAI CPL'!$B76&lt;&gt;"",IFERROR(_xlfn.IFS(AZ76&gt;=$B$3,4,AZ76&gt;=$B$4,3,AZ76&gt;=$B$5,2,AZ76&gt;$B$6,1),0),"")</f>
        <v/>
      </c>
      <c r="BL76" s="2" t="str" cm="1">
        <f t="array" ref="BL76">IF('NILAI CPL'!$B76&lt;&gt;"",IFERROR(_xlfn.IFS(BA76&gt;=$B$3,4,BA76&gt;=$B$4,3,BA76&gt;=$B$5,2,BA76&gt;$B$6,1),0),"")</f>
        <v/>
      </c>
      <c r="BM76" s="2" t="str" cm="1">
        <f t="array" ref="BM76">IF('NILAI CPL'!$B76&lt;&gt;"",IFERROR(_xlfn.IFS(BB76&gt;=$B$3,4,BB76&gt;=$B$4,3,BB76&gt;=$B$5,2,BB76&gt;$B$6,1),0),"")</f>
        <v/>
      </c>
      <c r="BN76" s="2" t="str" cm="1">
        <f t="array" ref="BN76">IF('NILAI CPL'!$B76&lt;&gt;"",IFERROR(_xlfn.IFS(BC76&gt;=$B$3,4,BC76&gt;=$B$4,3,BC76&gt;=$B$5,2,BC76&gt;$B$6,1),0),"")</f>
        <v/>
      </c>
      <c r="BO76" s="2" t="str" cm="1">
        <f t="array" ref="BO76">IF('NILAI CPL'!$B76&lt;&gt;"",IFERROR(_xlfn.IFS(BD76&gt;=$B$3,4,BD76&gt;=$B$4,3,BD76&gt;=$B$5,2,BD76&gt;$B$6,1),0),"")</f>
        <v/>
      </c>
      <c r="BP76" s="2" t="str" cm="1">
        <f t="array" ref="BP76">IF('NILAI CPL'!$B76&lt;&gt;"",IFERROR(_xlfn.IFS(BE76&gt;=$B$3,4,BE76&gt;=$B$4,3,BE76&gt;=$B$5,2,BE76&gt;$B$6,1),0),"")</f>
        <v/>
      </c>
      <c r="BQ76" s="2" t="str" cm="1">
        <f t="array" ref="BQ76">IF('NILAI CPL'!$B76&lt;&gt;"",IFERROR(_xlfn.IFS(BF76&gt;=$B$3,4,BF76&gt;=$B$4,3,BF76&gt;=$B$5,2,BF76&gt;$B$6,1),0),"")</f>
        <v/>
      </c>
      <c r="BR76" s="2" t="str" cm="1">
        <f t="array" ref="BR76">IF('NILAI CPL'!$B76&lt;&gt;"",IFERROR(_xlfn.IFS(BG76&gt;=$B$3,4,BG76&gt;=$B$4,3,BG76&gt;=$B$5,2,BG76&gt;$B$6,1),0),"")</f>
        <v/>
      </c>
      <c r="BS76" s="2" t="str" cm="1">
        <f t="array" ref="BS76">IF('NILAI CPL'!$B76&lt;&gt;"",IFERROR(_xlfn.IFS(BH76&gt;=$B$3,4,BH76&gt;=$B$4,3,BH76&gt;=$B$5,2,BH76&gt;$B$6,1),0),"")</f>
        <v/>
      </c>
    </row>
    <row r="77" spans="1:71" x14ac:dyDescent="0.2">
      <c r="A77" s="2">
        <v>67</v>
      </c>
      <c r="B77" s="2" t="str">
        <f>IF(LEN(SUMMARY!B77)&gt;0, SUMMARY!B77, "")</f>
        <v/>
      </c>
      <c r="C77" s="2" t="str">
        <f>IF(LEN(SUMMARY!C77)&gt;0, SUMMARY!C77, "")</f>
        <v/>
      </c>
      <c r="E77" s="2" t="str" cm="1">
        <f t="array" ref="E77">IF('NILAI CPL'!$B77&lt;&gt;"",IFERROR(JumlahPI(ROW(),COLUMN()),0),"")</f>
        <v/>
      </c>
      <c r="F77" s="2" t="str" cm="1">
        <f t="array" ref="F77">IF('NILAI CPL'!$B77&lt;&gt;"",IFERROR(JumlahPI(ROW(),COLUMN()),0),"")</f>
        <v/>
      </c>
      <c r="G77" s="2" t="str" cm="1">
        <f t="array" ref="G77">IF('NILAI CPL'!$B77&lt;&gt;"",IFERROR(JumlahPI(ROW(),COLUMN()),0),"")</f>
        <v/>
      </c>
      <c r="H77" s="2" t="str" cm="1">
        <f t="array" ref="H77">IF('NILAI CPL'!$B77&lt;&gt;"",IFERROR(JumlahPI(ROW(),COLUMN()),0),"")</f>
        <v/>
      </c>
      <c r="I77" s="2" t="str" cm="1">
        <f t="array" ref="I77">IF('NILAI CPL'!$B77&lt;&gt;"",IFERROR(JumlahPI(ROW(),COLUMN()),0),"")</f>
        <v/>
      </c>
      <c r="J77" s="2" t="str" cm="1">
        <f t="array" ref="J77">IF('NILAI CPL'!$B77&lt;&gt;"",IFERROR(JumlahPI(ROW(),COLUMN()),0),"")</f>
        <v/>
      </c>
      <c r="K77" s="2" t="str" cm="1">
        <f t="array" ref="K77">IF('NILAI CPL'!$B77&lt;&gt;"",IFERROR(JumlahPI(ROW(),COLUMN()),0),"")</f>
        <v/>
      </c>
      <c r="L77" s="2" t="str" cm="1">
        <f t="array" ref="L77">IF('NILAI CPL'!$B77&lt;&gt;"",IFERROR(JumlahPI(ROW(),COLUMN()),0),"")</f>
        <v/>
      </c>
      <c r="M77" s="2" t="str" cm="1">
        <f t="array" ref="M77">IF('NILAI CPL'!$B77&lt;&gt;"",IFERROR(JumlahPI(ROW(),COLUMN()),0),"")</f>
        <v/>
      </c>
      <c r="N77" s="2" t="str" cm="1">
        <f t="array" ref="N77">IF('NILAI CPL'!$B77&lt;&gt;"",IFERROR(JumlahPI(ROW(),COLUMN()),0),"")</f>
        <v/>
      </c>
      <c r="O77" s="2" t="str" cm="1">
        <f t="array" ref="O77">IF('NILAI CPL'!$B77&lt;&gt;"",IFERROR(JumlahPI(ROW(),COLUMN()),0),"")</f>
        <v/>
      </c>
      <c r="P77" s="2" t="str" cm="1">
        <f t="array" ref="P77">IF('NILAI CPL'!$B77&lt;&gt;"",IFERROR(JumlahPI(ROW(),COLUMN()),0),"")</f>
        <v/>
      </c>
      <c r="Q77" s="2" t="str" cm="1">
        <f t="array" ref="Q77">IF('NILAI CPL'!$B77&lt;&gt;"",IFERROR(JumlahPI(ROW(),COLUMN()),0),"")</f>
        <v/>
      </c>
      <c r="R77" s="2" t="str" cm="1">
        <f t="array" ref="R77">IF('NILAI CPL'!$B77&lt;&gt;"",IFERROR(JumlahPI(ROW(),COLUMN()),0),"")</f>
        <v/>
      </c>
      <c r="S77" s="2" t="str" cm="1">
        <f t="array" ref="S77">IF('NILAI CPL'!$B77&lt;&gt;"",IFERROR(JumlahPI(ROW(),COLUMN()),0),"")</f>
        <v/>
      </c>
      <c r="T77" s="2" t="str" cm="1">
        <f t="array" ref="T77">IF('NILAI CPL'!$B77&lt;&gt;"",IFERROR(JumlahPI(ROW(),COLUMN()),0),"")</f>
        <v/>
      </c>
      <c r="U77" s="2" t="str" cm="1">
        <f t="array" ref="U77">IF('NILAI CPL'!$B77&lt;&gt;"",IFERROR(JumlahPI(ROW(),COLUMN()),0),"")</f>
        <v/>
      </c>
      <c r="V77" s="2" t="str" cm="1">
        <f t="array" ref="V77">IF('NILAI CPL'!$B77&lt;&gt;"",IFERROR(JumlahPI(ROW(),COLUMN()),0),"")</f>
        <v/>
      </c>
      <c r="W77" s="2" t="str" cm="1">
        <f t="array" ref="W77">IF('NILAI CPL'!$B77&lt;&gt;"",IFERROR(JumlahPI(ROW(),COLUMN()),0),"")</f>
        <v/>
      </c>
      <c r="X77" s="2" t="str" cm="1">
        <f t="array" ref="X77">IF('NILAI CPL'!$B77&lt;&gt;"",IFERROR(JumlahPI(ROW(),COLUMN()),0),"")</f>
        <v/>
      </c>
      <c r="Y77" s="2" t="str" cm="1">
        <f t="array" ref="Y77">IF('NILAI CPL'!$B77&lt;&gt;"",IFERROR(JumlahPI(ROW(),COLUMN()),0),"")</f>
        <v/>
      </c>
      <c r="Z77" s="2" t="str" cm="1">
        <f t="array" ref="Z77">IF('NILAI CPL'!$B77&lt;&gt;"",IFERROR(JumlahPI(ROW(),COLUMN()),0),"")</f>
        <v/>
      </c>
      <c r="AB77" s="2" t="str" cm="1">
        <f t="array" ref="AB77">IF('NILAI CPL'!$B77&lt;&gt;"",IFERROR(_xlfn.IFS(E77&gt;=$B$3,4,E77&gt;=$B$4,3,E77&gt;=$B$5,2,E77&gt;$B$6,1),0),"")</f>
        <v/>
      </c>
      <c r="AC77" s="2" t="str" cm="1">
        <f t="array" ref="AC77">IF('NILAI CPL'!$B77&lt;&gt;"",IFERROR(_xlfn.IFS(F77&gt;=$B$3,4,F77&gt;=$B$4,3,F77&gt;=$B$5,2,F77&gt;$B$6,1),0),"")</f>
        <v/>
      </c>
      <c r="AD77" s="2" t="str" cm="1">
        <f t="array" ref="AD77">IF('NILAI CPL'!$B77&lt;&gt;"",IFERROR(_xlfn.IFS(G77&gt;=$B$3,4,G77&gt;=$B$4,3,G77&gt;=$B$5,2,G77&gt;$B$6,1),0),"")</f>
        <v/>
      </c>
      <c r="AE77" s="2" t="str" cm="1">
        <f t="array" ref="AE77">IF('NILAI CPL'!$B77&lt;&gt;"",IFERROR(_xlfn.IFS(H77&gt;=$B$3,4,H77&gt;=$B$4,3,H77&gt;=$B$5,2,H77&gt;$B$6,1),0),"")</f>
        <v/>
      </c>
      <c r="AF77" s="2" t="str" cm="1">
        <f t="array" ref="AF77">IF('NILAI CPL'!$B77&lt;&gt;"",IFERROR(_xlfn.IFS(I77&gt;=$B$3,4,I77&gt;=$B$4,3,I77&gt;=$B$5,2,I77&gt;$B$6,1),0),"")</f>
        <v/>
      </c>
      <c r="AG77" s="2" t="str" cm="1">
        <f t="array" ref="AG77">IF('NILAI CPL'!$B77&lt;&gt;"",IFERROR(_xlfn.IFS(J77&gt;=$B$3,4,J77&gt;=$B$4,3,J77&gt;=$B$5,2,J77&gt;$B$6,1),0),"")</f>
        <v/>
      </c>
      <c r="AH77" s="2" t="str" cm="1">
        <f t="array" ref="AH77">IF('NILAI CPL'!$B77&lt;&gt;"",IFERROR(_xlfn.IFS(K77&gt;=$B$3,4,K77&gt;=$B$4,3,K77&gt;=$B$5,2,K77&gt;$B$6,1),0),"")</f>
        <v/>
      </c>
      <c r="AI77" s="2" t="str" cm="1">
        <f t="array" ref="AI77">IF('NILAI CPL'!$B77&lt;&gt;"",IFERROR(_xlfn.IFS(L77&gt;=$B$3,4,L77&gt;=$B$4,3,L77&gt;=$B$5,2,L77&gt;$B$6,1),0),"")</f>
        <v/>
      </c>
      <c r="AJ77" s="2" t="str" cm="1">
        <f t="array" ref="AJ77">IF('NILAI CPL'!$B77&lt;&gt;"",IFERROR(_xlfn.IFS(M77&gt;=$B$3,4,M77&gt;=$B$4,3,M77&gt;=$B$5,2,M77&gt;$B$6,1),0),"")</f>
        <v/>
      </c>
      <c r="AK77" s="2" t="str" cm="1">
        <f t="array" ref="AK77">IF('NILAI CPL'!$B77&lt;&gt;"",IFERROR(_xlfn.IFS(N77&gt;=$B$3,4,N77&gt;=$B$4,3,N77&gt;=$B$5,2,N77&gt;$B$6,1),0),"")</f>
        <v/>
      </c>
      <c r="AL77" s="2" t="str" cm="1">
        <f t="array" ref="AL77">IF('NILAI CPL'!$B77&lt;&gt;"",IFERROR(_xlfn.IFS(O77&gt;=$B$3,4,O77&gt;=$B$4,3,O77&gt;=$B$5,2,O77&gt;$B$6,1),0),"")</f>
        <v/>
      </c>
      <c r="AM77" s="2" t="str" cm="1">
        <f t="array" ref="AM77">IF('NILAI CPL'!$B77&lt;&gt;"",IFERROR(_xlfn.IFS(P77&gt;=$B$3,4,P77&gt;=$B$4,3,P77&gt;=$B$5,2,P77&gt;$B$6,1),0),"")</f>
        <v/>
      </c>
      <c r="AN77" s="2" t="str" cm="1">
        <f t="array" ref="AN77">IF('NILAI CPL'!$B77&lt;&gt;"",IFERROR(_xlfn.IFS(Q77&gt;=$B$3,4,Q77&gt;=$B$4,3,Q77&gt;=$B$5,2,Q77&gt;$B$6,1),0),"")</f>
        <v/>
      </c>
      <c r="AO77" s="2" t="str" cm="1">
        <f t="array" ref="AO77">IF('NILAI CPL'!$B77&lt;&gt;"",IFERROR(_xlfn.IFS(R77&gt;=$B$3,4,R77&gt;=$B$4,3,R77&gt;=$B$5,2,R77&gt;$B$6,1),0),"")</f>
        <v/>
      </c>
      <c r="AP77" s="2" t="str" cm="1">
        <f t="array" ref="AP77">IF('NILAI CPL'!$B77&lt;&gt;"",IFERROR(_xlfn.IFS(S77&gt;=$B$3,4,S77&gt;=$B$4,3,S77&gt;=$B$5,2,S77&gt;$B$6,1),0),"")</f>
        <v/>
      </c>
      <c r="AQ77" s="2" t="str" cm="1">
        <f t="array" ref="AQ77">IF('NILAI CPL'!$B77&lt;&gt;"",IFERROR(_xlfn.IFS(T77&gt;=$B$3,4,T77&gt;=$B$4,3,T77&gt;=$B$5,2,T77&gt;$B$6,1),0),"")</f>
        <v/>
      </c>
      <c r="AR77" s="2" t="str" cm="1">
        <f t="array" ref="AR77">IF('NILAI CPL'!$B77&lt;&gt;"",IFERROR(_xlfn.IFS(U77&gt;=$B$3,4,U77&gt;=$B$4,3,U77&gt;=$B$5,2,U77&gt;$B$6,1),0),"")</f>
        <v/>
      </c>
      <c r="AS77" s="2" t="str" cm="1">
        <f t="array" ref="AS77">IF('NILAI CPL'!$B77&lt;&gt;"",IFERROR(_xlfn.IFS(V77&gt;=$B$3,4,V77&gt;=$B$4,3,V77&gt;=$B$5,2,V77&gt;$B$6,1),0),"")</f>
        <v/>
      </c>
      <c r="AT77" s="2" t="str" cm="1">
        <f t="array" ref="AT77">IF('NILAI CPL'!$B77&lt;&gt;"",IFERROR(_xlfn.IFS(W77&gt;=$B$3,4,W77&gt;=$B$4,3,W77&gt;=$B$5,2,W77&gt;$B$6,1),0),"")</f>
        <v/>
      </c>
      <c r="AU77" s="2" t="str" cm="1">
        <f t="array" ref="AU77">IF('NILAI CPL'!$B77&lt;&gt;"",IFERROR(_xlfn.IFS(X77&gt;=$B$3,4,X77&gt;=$B$4,3,X77&gt;=$B$5,2,X77&gt;$B$6,1),0),"")</f>
        <v/>
      </c>
      <c r="AV77" s="2" t="str" cm="1">
        <f t="array" ref="AV77">IF('NILAI CPL'!$B77&lt;&gt;"",IFERROR(_xlfn.IFS(Y77&gt;=$B$3,4,Y77&gt;=$B$4,3,Y77&gt;=$B$5,2,Y77&gt;$B$6,1),0),"")</f>
        <v/>
      </c>
      <c r="AW77" s="2" t="str" cm="1">
        <f t="array" ref="AW77">IF('NILAI CPL'!$B77&lt;&gt;"",IFERROR(_xlfn.IFS(Z77&gt;=$B$3,4,Z77&gt;=$B$4,3,Z77&gt;=$B$5,2,Z77&gt;$B$6,1),0),"")</f>
        <v/>
      </c>
      <c r="AY77" s="2" t="str">
        <f t="shared" si="10"/>
        <v/>
      </c>
      <c r="AZ77" s="2" t="str">
        <f t="shared" si="11"/>
        <v/>
      </c>
      <c r="BA77" s="2" t="str">
        <f t="shared" si="12"/>
        <v/>
      </c>
      <c r="BB77" s="2" t="str">
        <f t="shared" si="13"/>
        <v/>
      </c>
      <c r="BC77" s="2" t="str">
        <f t="shared" si="14"/>
        <v/>
      </c>
      <c r="BD77" s="2" t="str">
        <f t="shared" si="15"/>
        <v/>
      </c>
      <c r="BE77" s="2" t="str">
        <f t="shared" si="16"/>
        <v/>
      </c>
      <c r="BF77" s="2" t="str">
        <f t="shared" si="17"/>
        <v/>
      </c>
      <c r="BG77" s="2" t="str">
        <f t="shared" si="18"/>
        <v/>
      </c>
      <c r="BH77" s="2" t="str">
        <f t="shared" si="19"/>
        <v/>
      </c>
      <c r="BJ77" s="2" t="str" cm="1">
        <f t="array" ref="BJ77">IF('NILAI CPL'!$B77&lt;&gt;"",IFERROR(_xlfn.IFS(AY77&gt;=$B$3,4,AY77&gt;=$B$4,3,AY77&gt;=$B$5,2,AY77&gt;$B$6,1),0),"")</f>
        <v/>
      </c>
      <c r="BK77" s="2" t="str" cm="1">
        <f t="array" ref="BK77">IF('NILAI CPL'!$B77&lt;&gt;"",IFERROR(_xlfn.IFS(AZ77&gt;=$B$3,4,AZ77&gt;=$B$4,3,AZ77&gt;=$B$5,2,AZ77&gt;$B$6,1),0),"")</f>
        <v/>
      </c>
      <c r="BL77" s="2" t="str" cm="1">
        <f t="array" ref="BL77">IF('NILAI CPL'!$B77&lt;&gt;"",IFERROR(_xlfn.IFS(BA77&gt;=$B$3,4,BA77&gt;=$B$4,3,BA77&gt;=$B$5,2,BA77&gt;$B$6,1),0),"")</f>
        <v/>
      </c>
      <c r="BM77" s="2" t="str" cm="1">
        <f t="array" ref="BM77">IF('NILAI CPL'!$B77&lt;&gt;"",IFERROR(_xlfn.IFS(BB77&gt;=$B$3,4,BB77&gt;=$B$4,3,BB77&gt;=$B$5,2,BB77&gt;$B$6,1),0),"")</f>
        <v/>
      </c>
      <c r="BN77" s="2" t="str" cm="1">
        <f t="array" ref="BN77">IF('NILAI CPL'!$B77&lt;&gt;"",IFERROR(_xlfn.IFS(BC77&gt;=$B$3,4,BC77&gt;=$B$4,3,BC77&gt;=$B$5,2,BC77&gt;$B$6,1),0),"")</f>
        <v/>
      </c>
      <c r="BO77" s="2" t="str" cm="1">
        <f t="array" ref="BO77">IF('NILAI CPL'!$B77&lt;&gt;"",IFERROR(_xlfn.IFS(BD77&gt;=$B$3,4,BD77&gt;=$B$4,3,BD77&gt;=$B$5,2,BD77&gt;$B$6,1),0),"")</f>
        <v/>
      </c>
      <c r="BP77" s="2" t="str" cm="1">
        <f t="array" ref="BP77">IF('NILAI CPL'!$B77&lt;&gt;"",IFERROR(_xlfn.IFS(BE77&gt;=$B$3,4,BE77&gt;=$B$4,3,BE77&gt;=$B$5,2,BE77&gt;$B$6,1),0),"")</f>
        <v/>
      </c>
      <c r="BQ77" s="2" t="str" cm="1">
        <f t="array" ref="BQ77">IF('NILAI CPL'!$B77&lt;&gt;"",IFERROR(_xlfn.IFS(BF77&gt;=$B$3,4,BF77&gt;=$B$4,3,BF77&gt;=$B$5,2,BF77&gt;$B$6,1),0),"")</f>
        <v/>
      </c>
      <c r="BR77" s="2" t="str" cm="1">
        <f t="array" ref="BR77">IF('NILAI CPL'!$B77&lt;&gt;"",IFERROR(_xlfn.IFS(BG77&gt;=$B$3,4,BG77&gt;=$B$4,3,BG77&gt;=$B$5,2,BG77&gt;$B$6,1),0),"")</f>
        <v/>
      </c>
      <c r="BS77" s="2" t="str" cm="1">
        <f t="array" ref="BS77">IF('NILAI CPL'!$B77&lt;&gt;"",IFERROR(_xlfn.IFS(BH77&gt;=$B$3,4,BH77&gt;=$B$4,3,BH77&gt;=$B$5,2,BH77&gt;$B$6,1),0),"")</f>
        <v/>
      </c>
    </row>
    <row r="78" spans="1:71" x14ac:dyDescent="0.2">
      <c r="A78" s="2">
        <v>68</v>
      </c>
      <c r="B78" s="2" t="str">
        <f>IF(LEN(SUMMARY!B78)&gt;0, SUMMARY!B78, "")</f>
        <v/>
      </c>
      <c r="C78" s="2" t="str">
        <f>IF(LEN(SUMMARY!C78)&gt;0, SUMMARY!C78, "")</f>
        <v/>
      </c>
      <c r="E78" s="2" t="str" cm="1">
        <f t="array" ref="E78">IF('NILAI CPL'!$B78&lt;&gt;"",IFERROR(JumlahPI(ROW(),COLUMN()),0),"")</f>
        <v/>
      </c>
      <c r="F78" s="2" t="str" cm="1">
        <f t="array" ref="F78">IF('NILAI CPL'!$B78&lt;&gt;"",IFERROR(JumlahPI(ROW(),COLUMN()),0),"")</f>
        <v/>
      </c>
      <c r="G78" s="2" t="str" cm="1">
        <f t="array" ref="G78">IF('NILAI CPL'!$B78&lt;&gt;"",IFERROR(JumlahPI(ROW(),COLUMN()),0),"")</f>
        <v/>
      </c>
      <c r="H78" s="2" t="str" cm="1">
        <f t="array" ref="H78">IF('NILAI CPL'!$B78&lt;&gt;"",IFERROR(JumlahPI(ROW(),COLUMN()),0),"")</f>
        <v/>
      </c>
      <c r="I78" s="2" t="str" cm="1">
        <f t="array" ref="I78">IF('NILAI CPL'!$B78&lt;&gt;"",IFERROR(JumlahPI(ROW(),COLUMN()),0),"")</f>
        <v/>
      </c>
      <c r="J78" s="2" t="str" cm="1">
        <f t="array" ref="J78">IF('NILAI CPL'!$B78&lt;&gt;"",IFERROR(JumlahPI(ROW(),COLUMN()),0),"")</f>
        <v/>
      </c>
      <c r="K78" s="2" t="str" cm="1">
        <f t="array" ref="K78">IF('NILAI CPL'!$B78&lt;&gt;"",IFERROR(JumlahPI(ROW(),COLUMN()),0),"")</f>
        <v/>
      </c>
      <c r="L78" s="2" t="str" cm="1">
        <f t="array" ref="L78">IF('NILAI CPL'!$B78&lt;&gt;"",IFERROR(JumlahPI(ROW(),COLUMN()),0),"")</f>
        <v/>
      </c>
      <c r="M78" s="2" t="str" cm="1">
        <f t="array" ref="M78">IF('NILAI CPL'!$B78&lt;&gt;"",IFERROR(JumlahPI(ROW(),COLUMN()),0),"")</f>
        <v/>
      </c>
      <c r="N78" s="2" t="str" cm="1">
        <f t="array" ref="N78">IF('NILAI CPL'!$B78&lt;&gt;"",IFERROR(JumlahPI(ROW(),COLUMN()),0),"")</f>
        <v/>
      </c>
      <c r="O78" s="2" t="str" cm="1">
        <f t="array" ref="O78">IF('NILAI CPL'!$B78&lt;&gt;"",IFERROR(JumlahPI(ROW(),COLUMN()),0),"")</f>
        <v/>
      </c>
      <c r="P78" s="2" t="str" cm="1">
        <f t="array" ref="P78">IF('NILAI CPL'!$B78&lt;&gt;"",IFERROR(JumlahPI(ROW(),COLUMN()),0),"")</f>
        <v/>
      </c>
      <c r="Q78" s="2" t="str" cm="1">
        <f t="array" ref="Q78">IF('NILAI CPL'!$B78&lt;&gt;"",IFERROR(JumlahPI(ROW(),COLUMN()),0),"")</f>
        <v/>
      </c>
      <c r="R78" s="2" t="str" cm="1">
        <f t="array" ref="R78">IF('NILAI CPL'!$B78&lt;&gt;"",IFERROR(JumlahPI(ROW(),COLUMN()),0),"")</f>
        <v/>
      </c>
      <c r="S78" s="2" t="str" cm="1">
        <f t="array" ref="S78">IF('NILAI CPL'!$B78&lt;&gt;"",IFERROR(JumlahPI(ROW(),COLUMN()),0),"")</f>
        <v/>
      </c>
      <c r="T78" s="2" t="str" cm="1">
        <f t="array" ref="T78">IF('NILAI CPL'!$B78&lt;&gt;"",IFERROR(JumlahPI(ROW(),COLUMN()),0),"")</f>
        <v/>
      </c>
      <c r="U78" s="2" t="str" cm="1">
        <f t="array" ref="U78">IF('NILAI CPL'!$B78&lt;&gt;"",IFERROR(JumlahPI(ROW(),COLUMN()),0),"")</f>
        <v/>
      </c>
      <c r="V78" s="2" t="str" cm="1">
        <f t="array" ref="V78">IF('NILAI CPL'!$B78&lt;&gt;"",IFERROR(JumlahPI(ROW(),COLUMN()),0),"")</f>
        <v/>
      </c>
      <c r="W78" s="2" t="str" cm="1">
        <f t="array" ref="W78">IF('NILAI CPL'!$B78&lt;&gt;"",IFERROR(JumlahPI(ROW(),COLUMN()),0),"")</f>
        <v/>
      </c>
      <c r="X78" s="2" t="str" cm="1">
        <f t="array" ref="X78">IF('NILAI CPL'!$B78&lt;&gt;"",IFERROR(JumlahPI(ROW(),COLUMN()),0),"")</f>
        <v/>
      </c>
      <c r="Y78" s="2" t="str" cm="1">
        <f t="array" ref="Y78">IF('NILAI CPL'!$B78&lt;&gt;"",IFERROR(JumlahPI(ROW(),COLUMN()),0),"")</f>
        <v/>
      </c>
      <c r="Z78" s="2" t="str" cm="1">
        <f t="array" ref="Z78">IF('NILAI CPL'!$B78&lt;&gt;"",IFERROR(JumlahPI(ROW(),COLUMN()),0),"")</f>
        <v/>
      </c>
      <c r="AB78" s="2" t="str" cm="1">
        <f t="array" ref="AB78">IF('NILAI CPL'!$B78&lt;&gt;"",IFERROR(_xlfn.IFS(E78&gt;=$B$3,4,E78&gt;=$B$4,3,E78&gt;=$B$5,2,E78&gt;$B$6,1),0),"")</f>
        <v/>
      </c>
      <c r="AC78" s="2" t="str" cm="1">
        <f t="array" ref="AC78">IF('NILAI CPL'!$B78&lt;&gt;"",IFERROR(_xlfn.IFS(F78&gt;=$B$3,4,F78&gt;=$B$4,3,F78&gt;=$B$5,2,F78&gt;$B$6,1),0),"")</f>
        <v/>
      </c>
      <c r="AD78" s="2" t="str" cm="1">
        <f t="array" ref="AD78">IF('NILAI CPL'!$B78&lt;&gt;"",IFERROR(_xlfn.IFS(G78&gt;=$B$3,4,G78&gt;=$B$4,3,G78&gt;=$B$5,2,G78&gt;$B$6,1),0),"")</f>
        <v/>
      </c>
      <c r="AE78" s="2" t="str" cm="1">
        <f t="array" ref="AE78">IF('NILAI CPL'!$B78&lt;&gt;"",IFERROR(_xlfn.IFS(H78&gt;=$B$3,4,H78&gt;=$B$4,3,H78&gt;=$B$5,2,H78&gt;$B$6,1),0),"")</f>
        <v/>
      </c>
      <c r="AF78" s="2" t="str" cm="1">
        <f t="array" ref="AF78">IF('NILAI CPL'!$B78&lt;&gt;"",IFERROR(_xlfn.IFS(I78&gt;=$B$3,4,I78&gt;=$B$4,3,I78&gt;=$B$5,2,I78&gt;$B$6,1),0),"")</f>
        <v/>
      </c>
      <c r="AG78" s="2" t="str" cm="1">
        <f t="array" ref="AG78">IF('NILAI CPL'!$B78&lt;&gt;"",IFERROR(_xlfn.IFS(J78&gt;=$B$3,4,J78&gt;=$B$4,3,J78&gt;=$B$5,2,J78&gt;$B$6,1),0),"")</f>
        <v/>
      </c>
      <c r="AH78" s="2" t="str" cm="1">
        <f t="array" ref="AH78">IF('NILAI CPL'!$B78&lt;&gt;"",IFERROR(_xlfn.IFS(K78&gt;=$B$3,4,K78&gt;=$B$4,3,K78&gt;=$B$5,2,K78&gt;$B$6,1),0),"")</f>
        <v/>
      </c>
      <c r="AI78" s="2" t="str" cm="1">
        <f t="array" ref="AI78">IF('NILAI CPL'!$B78&lt;&gt;"",IFERROR(_xlfn.IFS(L78&gt;=$B$3,4,L78&gt;=$B$4,3,L78&gt;=$B$5,2,L78&gt;$B$6,1),0),"")</f>
        <v/>
      </c>
      <c r="AJ78" s="2" t="str" cm="1">
        <f t="array" ref="AJ78">IF('NILAI CPL'!$B78&lt;&gt;"",IFERROR(_xlfn.IFS(M78&gt;=$B$3,4,M78&gt;=$B$4,3,M78&gt;=$B$5,2,M78&gt;$B$6,1),0),"")</f>
        <v/>
      </c>
      <c r="AK78" s="2" t="str" cm="1">
        <f t="array" ref="AK78">IF('NILAI CPL'!$B78&lt;&gt;"",IFERROR(_xlfn.IFS(N78&gt;=$B$3,4,N78&gt;=$B$4,3,N78&gt;=$B$5,2,N78&gt;$B$6,1),0),"")</f>
        <v/>
      </c>
      <c r="AL78" s="2" t="str" cm="1">
        <f t="array" ref="AL78">IF('NILAI CPL'!$B78&lt;&gt;"",IFERROR(_xlfn.IFS(O78&gt;=$B$3,4,O78&gt;=$B$4,3,O78&gt;=$B$5,2,O78&gt;$B$6,1),0),"")</f>
        <v/>
      </c>
      <c r="AM78" s="2" t="str" cm="1">
        <f t="array" ref="AM78">IF('NILAI CPL'!$B78&lt;&gt;"",IFERROR(_xlfn.IFS(P78&gt;=$B$3,4,P78&gt;=$B$4,3,P78&gt;=$B$5,2,P78&gt;$B$6,1),0),"")</f>
        <v/>
      </c>
      <c r="AN78" s="2" t="str" cm="1">
        <f t="array" ref="AN78">IF('NILAI CPL'!$B78&lt;&gt;"",IFERROR(_xlfn.IFS(Q78&gt;=$B$3,4,Q78&gt;=$B$4,3,Q78&gt;=$B$5,2,Q78&gt;$B$6,1),0),"")</f>
        <v/>
      </c>
      <c r="AO78" s="2" t="str" cm="1">
        <f t="array" ref="AO78">IF('NILAI CPL'!$B78&lt;&gt;"",IFERROR(_xlfn.IFS(R78&gt;=$B$3,4,R78&gt;=$B$4,3,R78&gt;=$B$5,2,R78&gt;$B$6,1),0),"")</f>
        <v/>
      </c>
      <c r="AP78" s="2" t="str" cm="1">
        <f t="array" ref="AP78">IF('NILAI CPL'!$B78&lt;&gt;"",IFERROR(_xlfn.IFS(S78&gt;=$B$3,4,S78&gt;=$B$4,3,S78&gt;=$B$5,2,S78&gt;$B$6,1),0),"")</f>
        <v/>
      </c>
      <c r="AQ78" s="2" t="str" cm="1">
        <f t="array" ref="AQ78">IF('NILAI CPL'!$B78&lt;&gt;"",IFERROR(_xlfn.IFS(T78&gt;=$B$3,4,T78&gt;=$B$4,3,T78&gt;=$B$5,2,T78&gt;$B$6,1),0),"")</f>
        <v/>
      </c>
      <c r="AR78" s="2" t="str" cm="1">
        <f t="array" ref="AR78">IF('NILAI CPL'!$B78&lt;&gt;"",IFERROR(_xlfn.IFS(U78&gt;=$B$3,4,U78&gt;=$B$4,3,U78&gt;=$B$5,2,U78&gt;$B$6,1),0),"")</f>
        <v/>
      </c>
      <c r="AS78" s="2" t="str" cm="1">
        <f t="array" ref="AS78">IF('NILAI CPL'!$B78&lt;&gt;"",IFERROR(_xlfn.IFS(V78&gt;=$B$3,4,V78&gt;=$B$4,3,V78&gt;=$B$5,2,V78&gt;$B$6,1),0),"")</f>
        <v/>
      </c>
      <c r="AT78" s="2" t="str" cm="1">
        <f t="array" ref="AT78">IF('NILAI CPL'!$B78&lt;&gt;"",IFERROR(_xlfn.IFS(W78&gt;=$B$3,4,W78&gt;=$B$4,3,W78&gt;=$B$5,2,W78&gt;$B$6,1),0),"")</f>
        <v/>
      </c>
      <c r="AU78" s="2" t="str" cm="1">
        <f t="array" ref="AU78">IF('NILAI CPL'!$B78&lt;&gt;"",IFERROR(_xlfn.IFS(X78&gt;=$B$3,4,X78&gt;=$B$4,3,X78&gt;=$B$5,2,X78&gt;$B$6,1),0),"")</f>
        <v/>
      </c>
      <c r="AV78" s="2" t="str" cm="1">
        <f t="array" ref="AV78">IF('NILAI CPL'!$B78&lt;&gt;"",IFERROR(_xlfn.IFS(Y78&gt;=$B$3,4,Y78&gt;=$B$4,3,Y78&gt;=$B$5,2,Y78&gt;$B$6,1),0),"")</f>
        <v/>
      </c>
      <c r="AW78" s="2" t="str" cm="1">
        <f t="array" ref="AW78">IF('NILAI CPL'!$B78&lt;&gt;"",IFERROR(_xlfn.IFS(Z78&gt;=$B$3,4,Z78&gt;=$B$4,3,Z78&gt;=$B$5,2,Z78&gt;$B$6,1),0),"")</f>
        <v/>
      </c>
      <c r="AY78" s="2" t="str">
        <f t="shared" si="10"/>
        <v/>
      </c>
      <c r="AZ78" s="2" t="str">
        <f t="shared" si="11"/>
        <v/>
      </c>
      <c r="BA78" s="2" t="str">
        <f t="shared" si="12"/>
        <v/>
      </c>
      <c r="BB78" s="2" t="str">
        <f t="shared" si="13"/>
        <v/>
      </c>
      <c r="BC78" s="2" t="str">
        <f t="shared" si="14"/>
        <v/>
      </c>
      <c r="BD78" s="2" t="str">
        <f t="shared" si="15"/>
        <v/>
      </c>
      <c r="BE78" s="2" t="str">
        <f t="shared" si="16"/>
        <v/>
      </c>
      <c r="BF78" s="2" t="str">
        <f t="shared" si="17"/>
        <v/>
      </c>
      <c r="BG78" s="2" t="str">
        <f t="shared" si="18"/>
        <v/>
      </c>
      <c r="BH78" s="2" t="str">
        <f t="shared" si="19"/>
        <v/>
      </c>
      <c r="BJ78" s="2" t="str" cm="1">
        <f t="array" ref="BJ78">IF('NILAI CPL'!$B78&lt;&gt;"",IFERROR(_xlfn.IFS(AY78&gt;=$B$3,4,AY78&gt;=$B$4,3,AY78&gt;=$B$5,2,AY78&gt;$B$6,1),0),"")</f>
        <v/>
      </c>
      <c r="BK78" s="2" t="str" cm="1">
        <f t="array" ref="BK78">IF('NILAI CPL'!$B78&lt;&gt;"",IFERROR(_xlfn.IFS(AZ78&gt;=$B$3,4,AZ78&gt;=$B$4,3,AZ78&gt;=$B$5,2,AZ78&gt;$B$6,1),0),"")</f>
        <v/>
      </c>
      <c r="BL78" s="2" t="str" cm="1">
        <f t="array" ref="BL78">IF('NILAI CPL'!$B78&lt;&gt;"",IFERROR(_xlfn.IFS(BA78&gt;=$B$3,4,BA78&gt;=$B$4,3,BA78&gt;=$B$5,2,BA78&gt;$B$6,1),0),"")</f>
        <v/>
      </c>
      <c r="BM78" s="2" t="str" cm="1">
        <f t="array" ref="BM78">IF('NILAI CPL'!$B78&lt;&gt;"",IFERROR(_xlfn.IFS(BB78&gt;=$B$3,4,BB78&gt;=$B$4,3,BB78&gt;=$B$5,2,BB78&gt;$B$6,1),0),"")</f>
        <v/>
      </c>
      <c r="BN78" s="2" t="str" cm="1">
        <f t="array" ref="BN78">IF('NILAI CPL'!$B78&lt;&gt;"",IFERROR(_xlfn.IFS(BC78&gt;=$B$3,4,BC78&gt;=$B$4,3,BC78&gt;=$B$5,2,BC78&gt;$B$6,1),0),"")</f>
        <v/>
      </c>
      <c r="BO78" s="2" t="str" cm="1">
        <f t="array" ref="BO78">IF('NILAI CPL'!$B78&lt;&gt;"",IFERROR(_xlfn.IFS(BD78&gt;=$B$3,4,BD78&gt;=$B$4,3,BD78&gt;=$B$5,2,BD78&gt;$B$6,1),0),"")</f>
        <v/>
      </c>
      <c r="BP78" s="2" t="str" cm="1">
        <f t="array" ref="BP78">IF('NILAI CPL'!$B78&lt;&gt;"",IFERROR(_xlfn.IFS(BE78&gt;=$B$3,4,BE78&gt;=$B$4,3,BE78&gt;=$B$5,2,BE78&gt;$B$6,1),0),"")</f>
        <v/>
      </c>
      <c r="BQ78" s="2" t="str" cm="1">
        <f t="array" ref="BQ78">IF('NILAI CPL'!$B78&lt;&gt;"",IFERROR(_xlfn.IFS(BF78&gt;=$B$3,4,BF78&gt;=$B$4,3,BF78&gt;=$B$5,2,BF78&gt;$B$6,1),0),"")</f>
        <v/>
      </c>
      <c r="BR78" s="2" t="str" cm="1">
        <f t="array" ref="BR78">IF('NILAI CPL'!$B78&lt;&gt;"",IFERROR(_xlfn.IFS(BG78&gt;=$B$3,4,BG78&gt;=$B$4,3,BG78&gt;=$B$5,2,BG78&gt;$B$6,1),0),"")</f>
        <v/>
      </c>
      <c r="BS78" s="2" t="str" cm="1">
        <f t="array" ref="BS78">IF('NILAI CPL'!$B78&lt;&gt;"",IFERROR(_xlfn.IFS(BH78&gt;=$B$3,4,BH78&gt;=$B$4,3,BH78&gt;=$B$5,2,BH78&gt;$B$6,1),0),"")</f>
        <v/>
      </c>
    </row>
    <row r="79" spans="1:71" x14ac:dyDescent="0.2">
      <c r="A79" s="2">
        <v>69</v>
      </c>
      <c r="B79" s="2" t="str">
        <f>IF(LEN(SUMMARY!B79)&gt;0, SUMMARY!B79, "")</f>
        <v/>
      </c>
      <c r="C79" s="2" t="str">
        <f>IF(LEN(SUMMARY!C79)&gt;0, SUMMARY!C79, "")</f>
        <v/>
      </c>
      <c r="E79" s="2" t="str" cm="1">
        <f t="array" ref="E79">IF('NILAI CPL'!$B79&lt;&gt;"",IFERROR(JumlahPI(ROW(),COLUMN()),0),"")</f>
        <v/>
      </c>
      <c r="F79" s="2" t="str" cm="1">
        <f t="array" ref="F79">IF('NILAI CPL'!$B79&lt;&gt;"",IFERROR(JumlahPI(ROW(),COLUMN()),0),"")</f>
        <v/>
      </c>
      <c r="G79" s="2" t="str" cm="1">
        <f t="array" ref="G79">IF('NILAI CPL'!$B79&lt;&gt;"",IFERROR(JumlahPI(ROW(),COLUMN()),0),"")</f>
        <v/>
      </c>
      <c r="H79" s="2" t="str" cm="1">
        <f t="array" ref="H79">IF('NILAI CPL'!$B79&lt;&gt;"",IFERROR(JumlahPI(ROW(),COLUMN()),0),"")</f>
        <v/>
      </c>
      <c r="I79" s="2" t="str" cm="1">
        <f t="array" ref="I79">IF('NILAI CPL'!$B79&lt;&gt;"",IFERROR(JumlahPI(ROW(),COLUMN()),0),"")</f>
        <v/>
      </c>
      <c r="J79" s="2" t="str" cm="1">
        <f t="array" ref="J79">IF('NILAI CPL'!$B79&lt;&gt;"",IFERROR(JumlahPI(ROW(),COLUMN()),0),"")</f>
        <v/>
      </c>
      <c r="K79" s="2" t="str" cm="1">
        <f t="array" ref="K79">IF('NILAI CPL'!$B79&lt;&gt;"",IFERROR(JumlahPI(ROW(),COLUMN()),0),"")</f>
        <v/>
      </c>
      <c r="L79" s="2" t="str" cm="1">
        <f t="array" ref="L79">IF('NILAI CPL'!$B79&lt;&gt;"",IFERROR(JumlahPI(ROW(),COLUMN()),0),"")</f>
        <v/>
      </c>
      <c r="M79" s="2" t="str" cm="1">
        <f t="array" ref="M79">IF('NILAI CPL'!$B79&lt;&gt;"",IFERROR(JumlahPI(ROW(),COLUMN()),0),"")</f>
        <v/>
      </c>
      <c r="N79" s="2" t="str" cm="1">
        <f t="array" ref="N79">IF('NILAI CPL'!$B79&lt;&gt;"",IFERROR(JumlahPI(ROW(),COLUMN()),0),"")</f>
        <v/>
      </c>
      <c r="O79" s="2" t="str" cm="1">
        <f t="array" ref="O79">IF('NILAI CPL'!$B79&lt;&gt;"",IFERROR(JumlahPI(ROW(),COLUMN()),0),"")</f>
        <v/>
      </c>
      <c r="P79" s="2" t="str" cm="1">
        <f t="array" ref="P79">IF('NILAI CPL'!$B79&lt;&gt;"",IFERROR(JumlahPI(ROW(),COLUMN()),0),"")</f>
        <v/>
      </c>
      <c r="Q79" s="2" t="str" cm="1">
        <f t="array" ref="Q79">IF('NILAI CPL'!$B79&lt;&gt;"",IFERROR(JumlahPI(ROW(),COLUMN()),0),"")</f>
        <v/>
      </c>
      <c r="R79" s="2" t="str" cm="1">
        <f t="array" ref="R79">IF('NILAI CPL'!$B79&lt;&gt;"",IFERROR(JumlahPI(ROW(),COLUMN()),0),"")</f>
        <v/>
      </c>
      <c r="S79" s="2" t="str" cm="1">
        <f t="array" ref="S79">IF('NILAI CPL'!$B79&lt;&gt;"",IFERROR(JumlahPI(ROW(),COLUMN()),0),"")</f>
        <v/>
      </c>
      <c r="T79" s="2" t="str" cm="1">
        <f t="array" ref="T79">IF('NILAI CPL'!$B79&lt;&gt;"",IFERROR(JumlahPI(ROW(),COLUMN()),0),"")</f>
        <v/>
      </c>
      <c r="U79" s="2" t="str" cm="1">
        <f t="array" ref="U79">IF('NILAI CPL'!$B79&lt;&gt;"",IFERROR(JumlahPI(ROW(),COLUMN()),0),"")</f>
        <v/>
      </c>
      <c r="V79" s="2" t="str" cm="1">
        <f t="array" ref="V79">IF('NILAI CPL'!$B79&lt;&gt;"",IFERROR(JumlahPI(ROW(),COLUMN()),0),"")</f>
        <v/>
      </c>
      <c r="W79" s="2" t="str" cm="1">
        <f t="array" ref="W79">IF('NILAI CPL'!$B79&lt;&gt;"",IFERROR(JumlahPI(ROW(),COLUMN()),0),"")</f>
        <v/>
      </c>
      <c r="X79" s="2" t="str" cm="1">
        <f t="array" ref="X79">IF('NILAI CPL'!$B79&lt;&gt;"",IFERROR(JumlahPI(ROW(),COLUMN()),0),"")</f>
        <v/>
      </c>
      <c r="Y79" s="2" t="str" cm="1">
        <f t="array" ref="Y79">IF('NILAI CPL'!$B79&lt;&gt;"",IFERROR(JumlahPI(ROW(),COLUMN()),0),"")</f>
        <v/>
      </c>
      <c r="Z79" s="2" t="str" cm="1">
        <f t="array" ref="Z79">IF('NILAI CPL'!$B79&lt;&gt;"",IFERROR(JumlahPI(ROW(),COLUMN()),0),"")</f>
        <v/>
      </c>
      <c r="AB79" s="2" t="str" cm="1">
        <f t="array" ref="AB79">IF('NILAI CPL'!$B79&lt;&gt;"",IFERROR(_xlfn.IFS(E79&gt;=$B$3,4,E79&gt;=$B$4,3,E79&gt;=$B$5,2,E79&gt;$B$6,1),0),"")</f>
        <v/>
      </c>
      <c r="AC79" s="2" t="str" cm="1">
        <f t="array" ref="AC79">IF('NILAI CPL'!$B79&lt;&gt;"",IFERROR(_xlfn.IFS(F79&gt;=$B$3,4,F79&gt;=$B$4,3,F79&gt;=$B$5,2,F79&gt;$B$6,1),0),"")</f>
        <v/>
      </c>
      <c r="AD79" s="2" t="str" cm="1">
        <f t="array" ref="AD79">IF('NILAI CPL'!$B79&lt;&gt;"",IFERROR(_xlfn.IFS(G79&gt;=$B$3,4,G79&gt;=$B$4,3,G79&gt;=$B$5,2,G79&gt;$B$6,1),0),"")</f>
        <v/>
      </c>
      <c r="AE79" s="2" t="str" cm="1">
        <f t="array" ref="AE79">IF('NILAI CPL'!$B79&lt;&gt;"",IFERROR(_xlfn.IFS(H79&gt;=$B$3,4,H79&gt;=$B$4,3,H79&gt;=$B$5,2,H79&gt;$B$6,1),0),"")</f>
        <v/>
      </c>
      <c r="AF79" s="2" t="str" cm="1">
        <f t="array" ref="AF79">IF('NILAI CPL'!$B79&lt;&gt;"",IFERROR(_xlfn.IFS(I79&gt;=$B$3,4,I79&gt;=$B$4,3,I79&gt;=$B$5,2,I79&gt;$B$6,1),0),"")</f>
        <v/>
      </c>
      <c r="AG79" s="2" t="str" cm="1">
        <f t="array" ref="AG79">IF('NILAI CPL'!$B79&lt;&gt;"",IFERROR(_xlfn.IFS(J79&gt;=$B$3,4,J79&gt;=$B$4,3,J79&gt;=$B$5,2,J79&gt;$B$6,1),0),"")</f>
        <v/>
      </c>
      <c r="AH79" s="2" t="str" cm="1">
        <f t="array" ref="AH79">IF('NILAI CPL'!$B79&lt;&gt;"",IFERROR(_xlfn.IFS(K79&gt;=$B$3,4,K79&gt;=$B$4,3,K79&gt;=$B$5,2,K79&gt;$B$6,1),0),"")</f>
        <v/>
      </c>
      <c r="AI79" s="2" t="str" cm="1">
        <f t="array" ref="AI79">IF('NILAI CPL'!$B79&lt;&gt;"",IFERROR(_xlfn.IFS(L79&gt;=$B$3,4,L79&gt;=$B$4,3,L79&gt;=$B$5,2,L79&gt;$B$6,1),0),"")</f>
        <v/>
      </c>
      <c r="AJ79" s="2" t="str" cm="1">
        <f t="array" ref="AJ79">IF('NILAI CPL'!$B79&lt;&gt;"",IFERROR(_xlfn.IFS(M79&gt;=$B$3,4,M79&gt;=$B$4,3,M79&gt;=$B$5,2,M79&gt;$B$6,1),0),"")</f>
        <v/>
      </c>
      <c r="AK79" s="2" t="str" cm="1">
        <f t="array" ref="AK79">IF('NILAI CPL'!$B79&lt;&gt;"",IFERROR(_xlfn.IFS(N79&gt;=$B$3,4,N79&gt;=$B$4,3,N79&gt;=$B$5,2,N79&gt;$B$6,1),0),"")</f>
        <v/>
      </c>
      <c r="AL79" s="2" t="str" cm="1">
        <f t="array" ref="AL79">IF('NILAI CPL'!$B79&lt;&gt;"",IFERROR(_xlfn.IFS(O79&gt;=$B$3,4,O79&gt;=$B$4,3,O79&gt;=$B$5,2,O79&gt;$B$6,1),0),"")</f>
        <v/>
      </c>
      <c r="AM79" s="2" t="str" cm="1">
        <f t="array" ref="AM79">IF('NILAI CPL'!$B79&lt;&gt;"",IFERROR(_xlfn.IFS(P79&gt;=$B$3,4,P79&gt;=$B$4,3,P79&gt;=$B$5,2,P79&gt;$B$6,1),0),"")</f>
        <v/>
      </c>
      <c r="AN79" s="2" t="str" cm="1">
        <f t="array" ref="AN79">IF('NILAI CPL'!$B79&lt;&gt;"",IFERROR(_xlfn.IFS(Q79&gt;=$B$3,4,Q79&gt;=$B$4,3,Q79&gt;=$B$5,2,Q79&gt;$B$6,1),0),"")</f>
        <v/>
      </c>
      <c r="AO79" s="2" t="str" cm="1">
        <f t="array" ref="AO79">IF('NILAI CPL'!$B79&lt;&gt;"",IFERROR(_xlfn.IFS(R79&gt;=$B$3,4,R79&gt;=$B$4,3,R79&gt;=$B$5,2,R79&gt;$B$6,1),0),"")</f>
        <v/>
      </c>
      <c r="AP79" s="2" t="str" cm="1">
        <f t="array" ref="AP79">IF('NILAI CPL'!$B79&lt;&gt;"",IFERROR(_xlfn.IFS(S79&gt;=$B$3,4,S79&gt;=$B$4,3,S79&gt;=$B$5,2,S79&gt;$B$6,1),0),"")</f>
        <v/>
      </c>
      <c r="AQ79" s="2" t="str" cm="1">
        <f t="array" ref="AQ79">IF('NILAI CPL'!$B79&lt;&gt;"",IFERROR(_xlfn.IFS(T79&gt;=$B$3,4,T79&gt;=$B$4,3,T79&gt;=$B$5,2,T79&gt;$B$6,1),0),"")</f>
        <v/>
      </c>
      <c r="AR79" s="2" t="str" cm="1">
        <f t="array" ref="AR79">IF('NILAI CPL'!$B79&lt;&gt;"",IFERROR(_xlfn.IFS(U79&gt;=$B$3,4,U79&gt;=$B$4,3,U79&gt;=$B$5,2,U79&gt;$B$6,1),0),"")</f>
        <v/>
      </c>
      <c r="AS79" s="2" t="str" cm="1">
        <f t="array" ref="AS79">IF('NILAI CPL'!$B79&lt;&gt;"",IFERROR(_xlfn.IFS(V79&gt;=$B$3,4,V79&gt;=$B$4,3,V79&gt;=$B$5,2,V79&gt;$B$6,1),0),"")</f>
        <v/>
      </c>
      <c r="AT79" s="2" t="str" cm="1">
        <f t="array" ref="AT79">IF('NILAI CPL'!$B79&lt;&gt;"",IFERROR(_xlfn.IFS(W79&gt;=$B$3,4,W79&gt;=$B$4,3,W79&gt;=$B$5,2,W79&gt;$B$6,1),0),"")</f>
        <v/>
      </c>
      <c r="AU79" s="2" t="str" cm="1">
        <f t="array" ref="AU79">IF('NILAI CPL'!$B79&lt;&gt;"",IFERROR(_xlfn.IFS(X79&gt;=$B$3,4,X79&gt;=$B$4,3,X79&gt;=$B$5,2,X79&gt;$B$6,1),0),"")</f>
        <v/>
      </c>
      <c r="AV79" s="2" t="str" cm="1">
        <f t="array" ref="AV79">IF('NILAI CPL'!$B79&lt;&gt;"",IFERROR(_xlfn.IFS(Y79&gt;=$B$3,4,Y79&gt;=$B$4,3,Y79&gt;=$B$5,2,Y79&gt;$B$6,1),0),"")</f>
        <v/>
      </c>
      <c r="AW79" s="2" t="str" cm="1">
        <f t="array" ref="AW79">IF('NILAI CPL'!$B79&lt;&gt;"",IFERROR(_xlfn.IFS(Z79&gt;=$B$3,4,Z79&gt;=$B$4,3,Z79&gt;=$B$5,2,Z79&gt;$B$6,1),0),"")</f>
        <v/>
      </c>
      <c r="AY79" s="2" t="str">
        <f t="shared" si="10"/>
        <v/>
      </c>
      <c r="AZ79" s="2" t="str">
        <f t="shared" si="11"/>
        <v/>
      </c>
      <c r="BA79" s="2" t="str">
        <f t="shared" si="12"/>
        <v/>
      </c>
      <c r="BB79" s="2" t="str">
        <f t="shared" si="13"/>
        <v/>
      </c>
      <c r="BC79" s="2" t="str">
        <f t="shared" si="14"/>
        <v/>
      </c>
      <c r="BD79" s="2" t="str">
        <f t="shared" si="15"/>
        <v/>
      </c>
      <c r="BE79" s="2" t="str">
        <f t="shared" si="16"/>
        <v/>
      </c>
      <c r="BF79" s="2" t="str">
        <f t="shared" si="17"/>
        <v/>
      </c>
      <c r="BG79" s="2" t="str">
        <f t="shared" si="18"/>
        <v/>
      </c>
      <c r="BH79" s="2" t="str">
        <f t="shared" si="19"/>
        <v/>
      </c>
      <c r="BJ79" s="2" t="str" cm="1">
        <f t="array" ref="BJ79">IF('NILAI CPL'!$B79&lt;&gt;"",IFERROR(_xlfn.IFS(AY79&gt;=$B$3,4,AY79&gt;=$B$4,3,AY79&gt;=$B$5,2,AY79&gt;$B$6,1),0),"")</f>
        <v/>
      </c>
      <c r="BK79" s="2" t="str" cm="1">
        <f t="array" ref="BK79">IF('NILAI CPL'!$B79&lt;&gt;"",IFERROR(_xlfn.IFS(AZ79&gt;=$B$3,4,AZ79&gt;=$B$4,3,AZ79&gt;=$B$5,2,AZ79&gt;$B$6,1),0),"")</f>
        <v/>
      </c>
      <c r="BL79" s="2" t="str" cm="1">
        <f t="array" ref="BL79">IF('NILAI CPL'!$B79&lt;&gt;"",IFERROR(_xlfn.IFS(BA79&gt;=$B$3,4,BA79&gt;=$B$4,3,BA79&gt;=$B$5,2,BA79&gt;$B$6,1),0),"")</f>
        <v/>
      </c>
      <c r="BM79" s="2" t="str" cm="1">
        <f t="array" ref="BM79">IF('NILAI CPL'!$B79&lt;&gt;"",IFERROR(_xlfn.IFS(BB79&gt;=$B$3,4,BB79&gt;=$B$4,3,BB79&gt;=$B$5,2,BB79&gt;$B$6,1),0),"")</f>
        <v/>
      </c>
      <c r="BN79" s="2" t="str" cm="1">
        <f t="array" ref="BN79">IF('NILAI CPL'!$B79&lt;&gt;"",IFERROR(_xlfn.IFS(BC79&gt;=$B$3,4,BC79&gt;=$B$4,3,BC79&gt;=$B$5,2,BC79&gt;$B$6,1),0),"")</f>
        <v/>
      </c>
      <c r="BO79" s="2" t="str" cm="1">
        <f t="array" ref="BO79">IF('NILAI CPL'!$B79&lt;&gt;"",IFERROR(_xlfn.IFS(BD79&gt;=$B$3,4,BD79&gt;=$B$4,3,BD79&gt;=$B$5,2,BD79&gt;$B$6,1),0),"")</f>
        <v/>
      </c>
      <c r="BP79" s="2" t="str" cm="1">
        <f t="array" ref="BP79">IF('NILAI CPL'!$B79&lt;&gt;"",IFERROR(_xlfn.IFS(BE79&gt;=$B$3,4,BE79&gt;=$B$4,3,BE79&gt;=$B$5,2,BE79&gt;$B$6,1),0),"")</f>
        <v/>
      </c>
      <c r="BQ79" s="2" t="str" cm="1">
        <f t="array" ref="BQ79">IF('NILAI CPL'!$B79&lt;&gt;"",IFERROR(_xlfn.IFS(BF79&gt;=$B$3,4,BF79&gt;=$B$4,3,BF79&gt;=$B$5,2,BF79&gt;$B$6,1),0),"")</f>
        <v/>
      </c>
      <c r="BR79" s="2" t="str" cm="1">
        <f t="array" ref="BR79">IF('NILAI CPL'!$B79&lt;&gt;"",IFERROR(_xlfn.IFS(BG79&gt;=$B$3,4,BG79&gt;=$B$4,3,BG79&gt;=$B$5,2,BG79&gt;$B$6,1),0),"")</f>
        <v/>
      </c>
      <c r="BS79" s="2" t="str" cm="1">
        <f t="array" ref="BS79">IF('NILAI CPL'!$B79&lt;&gt;"",IFERROR(_xlfn.IFS(BH79&gt;=$B$3,4,BH79&gt;=$B$4,3,BH79&gt;=$B$5,2,BH79&gt;$B$6,1),0),"")</f>
        <v/>
      </c>
    </row>
    <row r="80" spans="1:71" x14ac:dyDescent="0.2">
      <c r="A80" s="2">
        <v>70</v>
      </c>
      <c r="B80" s="2" t="str">
        <f>IF(LEN(SUMMARY!B80)&gt;0, SUMMARY!B80, "")</f>
        <v/>
      </c>
      <c r="C80" s="2" t="str">
        <f>IF(LEN(SUMMARY!C80)&gt;0, SUMMARY!C80, "")</f>
        <v/>
      </c>
      <c r="E80" s="2" t="str" cm="1">
        <f t="array" ref="E80">IF('NILAI CPL'!$B80&lt;&gt;"",IFERROR(JumlahPI(ROW(),COLUMN()),0),"")</f>
        <v/>
      </c>
      <c r="F80" s="2" t="str" cm="1">
        <f t="array" ref="F80">IF('NILAI CPL'!$B80&lt;&gt;"",IFERROR(JumlahPI(ROW(),COLUMN()),0),"")</f>
        <v/>
      </c>
      <c r="G80" s="2" t="str" cm="1">
        <f t="array" ref="G80">IF('NILAI CPL'!$B80&lt;&gt;"",IFERROR(JumlahPI(ROW(),COLUMN()),0),"")</f>
        <v/>
      </c>
      <c r="H80" s="2" t="str" cm="1">
        <f t="array" ref="H80">IF('NILAI CPL'!$B80&lt;&gt;"",IFERROR(JumlahPI(ROW(),COLUMN()),0),"")</f>
        <v/>
      </c>
      <c r="I80" s="2" t="str" cm="1">
        <f t="array" ref="I80">IF('NILAI CPL'!$B80&lt;&gt;"",IFERROR(JumlahPI(ROW(),COLUMN()),0),"")</f>
        <v/>
      </c>
      <c r="J80" s="2" t="str" cm="1">
        <f t="array" ref="J80">IF('NILAI CPL'!$B80&lt;&gt;"",IFERROR(JumlahPI(ROW(),COLUMN()),0),"")</f>
        <v/>
      </c>
      <c r="K80" s="2" t="str" cm="1">
        <f t="array" ref="K80">IF('NILAI CPL'!$B80&lt;&gt;"",IFERROR(JumlahPI(ROW(),COLUMN()),0),"")</f>
        <v/>
      </c>
      <c r="L80" s="2" t="str" cm="1">
        <f t="array" ref="L80">IF('NILAI CPL'!$B80&lt;&gt;"",IFERROR(JumlahPI(ROW(),COLUMN()),0),"")</f>
        <v/>
      </c>
      <c r="M80" s="2" t="str" cm="1">
        <f t="array" ref="M80">IF('NILAI CPL'!$B80&lt;&gt;"",IFERROR(JumlahPI(ROW(),COLUMN()),0),"")</f>
        <v/>
      </c>
      <c r="N80" s="2" t="str" cm="1">
        <f t="array" ref="N80">IF('NILAI CPL'!$B80&lt;&gt;"",IFERROR(JumlahPI(ROW(),COLUMN()),0),"")</f>
        <v/>
      </c>
      <c r="O80" s="2" t="str" cm="1">
        <f t="array" ref="O80">IF('NILAI CPL'!$B80&lt;&gt;"",IFERROR(JumlahPI(ROW(),COLUMN()),0),"")</f>
        <v/>
      </c>
      <c r="P80" s="2" t="str" cm="1">
        <f t="array" ref="P80">IF('NILAI CPL'!$B80&lt;&gt;"",IFERROR(JumlahPI(ROW(),COLUMN()),0),"")</f>
        <v/>
      </c>
      <c r="Q80" s="2" t="str" cm="1">
        <f t="array" ref="Q80">IF('NILAI CPL'!$B80&lt;&gt;"",IFERROR(JumlahPI(ROW(),COLUMN()),0),"")</f>
        <v/>
      </c>
      <c r="R80" s="2" t="str" cm="1">
        <f t="array" ref="R80">IF('NILAI CPL'!$B80&lt;&gt;"",IFERROR(JumlahPI(ROW(),COLUMN()),0),"")</f>
        <v/>
      </c>
      <c r="S80" s="2" t="str" cm="1">
        <f t="array" ref="S80">IF('NILAI CPL'!$B80&lt;&gt;"",IFERROR(JumlahPI(ROW(),COLUMN()),0),"")</f>
        <v/>
      </c>
      <c r="T80" s="2" t="str" cm="1">
        <f t="array" ref="T80">IF('NILAI CPL'!$B80&lt;&gt;"",IFERROR(JumlahPI(ROW(),COLUMN()),0),"")</f>
        <v/>
      </c>
      <c r="U80" s="2" t="str" cm="1">
        <f t="array" ref="U80">IF('NILAI CPL'!$B80&lt;&gt;"",IFERROR(JumlahPI(ROW(),COLUMN()),0),"")</f>
        <v/>
      </c>
      <c r="V80" s="2" t="str" cm="1">
        <f t="array" ref="V80">IF('NILAI CPL'!$B80&lt;&gt;"",IFERROR(JumlahPI(ROW(),COLUMN()),0),"")</f>
        <v/>
      </c>
      <c r="W80" s="2" t="str" cm="1">
        <f t="array" ref="W80">IF('NILAI CPL'!$B80&lt;&gt;"",IFERROR(JumlahPI(ROW(),COLUMN()),0),"")</f>
        <v/>
      </c>
      <c r="X80" s="2" t="str" cm="1">
        <f t="array" ref="X80">IF('NILAI CPL'!$B80&lt;&gt;"",IFERROR(JumlahPI(ROW(),COLUMN()),0),"")</f>
        <v/>
      </c>
      <c r="Y80" s="2" t="str" cm="1">
        <f t="array" ref="Y80">IF('NILAI CPL'!$B80&lt;&gt;"",IFERROR(JumlahPI(ROW(),COLUMN()),0),"")</f>
        <v/>
      </c>
      <c r="Z80" s="2" t="str" cm="1">
        <f t="array" ref="Z80">IF('NILAI CPL'!$B80&lt;&gt;"",IFERROR(JumlahPI(ROW(),COLUMN()),0),"")</f>
        <v/>
      </c>
      <c r="AB80" s="2" t="str" cm="1">
        <f t="array" ref="AB80">IF('NILAI CPL'!$B80&lt;&gt;"",IFERROR(_xlfn.IFS(E80&gt;=$B$3,4,E80&gt;=$B$4,3,E80&gt;=$B$5,2,E80&gt;$B$6,1),0),"")</f>
        <v/>
      </c>
      <c r="AC80" s="2" t="str" cm="1">
        <f t="array" ref="AC80">IF('NILAI CPL'!$B80&lt;&gt;"",IFERROR(_xlfn.IFS(F80&gt;=$B$3,4,F80&gt;=$B$4,3,F80&gt;=$B$5,2,F80&gt;$B$6,1),0),"")</f>
        <v/>
      </c>
      <c r="AD80" s="2" t="str" cm="1">
        <f t="array" ref="AD80">IF('NILAI CPL'!$B80&lt;&gt;"",IFERROR(_xlfn.IFS(G80&gt;=$B$3,4,G80&gt;=$B$4,3,G80&gt;=$B$5,2,G80&gt;$B$6,1),0),"")</f>
        <v/>
      </c>
      <c r="AE80" s="2" t="str" cm="1">
        <f t="array" ref="AE80">IF('NILAI CPL'!$B80&lt;&gt;"",IFERROR(_xlfn.IFS(H80&gt;=$B$3,4,H80&gt;=$B$4,3,H80&gt;=$B$5,2,H80&gt;$B$6,1),0),"")</f>
        <v/>
      </c>
      <c r="AF80" s="2" t="str" cm="1">
        <f t="array" ref="AF80">IF('NILAI CPL'!$B80&lt;&gt;"",IFERROR(_xlfn.IFS(I80&gt;=$B$3,4,I80&gt;=$B$4,3,I80&gt;=$B$5,2,I80&gt;$B$6,1),0),"")</f>
        <v/>
      </c>
      <c r="AG80" s="2" t="str" cm="1">
        <f t="array" ref="AG80">IF('NILAI CPL'!$B80&lt;&gt;"",IFERROR(_xlfn.IFS(J80&gt;=$B$3,4,J80&gt;=$B$4,3,J80&gt;=$B$5,2,J80&gt;$B$6,1),0),"")</f>
        <v/>
      </c>
      <c r="AH80" s="2" t="str" cm="1">
        <f t="array" ref="AH80">IF('NILAI CPL'!$B80&lt;&gt;"",IFERROR(_xlfn.IFS(K80&gt;=$B$3,4,K80&gt;=$B$4,3,K80&gt;=$B$5,2,K80&gt;$B$6,1),0),"")</f>
        <v/>
      </c>
      <c r="AI80" s="2" t="str" cm="1">
        <f t="array" ref="AI80">IF('NILAI CPL'!$B80&lt;&gt;"",IFERROR(_xlfn.IFS(L80&gt;=$B$3,4,L80&gt;=$B$4,3,L80&gt;=$B$5,2,L80&gt;$B$6,1),0),"")</f>
        <v/>
      </c>
      <c r="AJ80" s="2" t="str" cm="1">
        <f t="array" ref="AJ80">IF('NILAI CPL'!$B80&lt;&gt;"",IFERROR(_xlfn.IFS(M80&gt;=$B$3,4,M80&gt;=$B$4,3,M80&gt;=$B$5,2,M80&gt;$B$6,1),0),"")</f>
        <v/>
      </c>
      <c r="AK80" s="2" t="str" cm="1">
        <f t="array" ref="AK80">IF('NILAI CPL'!$B80&lt;&gt;"",IFERROR(_xlfn.IFS(N80&gt;=$B$3,4,N80&gt;=$B$4,3,N80&gt;=$B$5,2,N80&gt;$B$6,1),0),"")</f>
        <v/>
      </c>
      <c r="AL80" s="2" t="str" cm="1">
        <f t="array" ref="AL80">IF('NILAI CPL'!$B80&lt;&gt;"",IFERROR(_xlfn.IFS(O80&gt;=$B$3,4,O80&gt;=$B$4,3,O80&gt;=$B$5,2,O80&gt;$B$6,1),0),"")</f>
        <v/>
      </c>
      <c r="AM80" s="2" t="str" cm="1">
        <f t="array" ref="AM80">IF('NILAI CPL'!$B80&lt;&gt;"",IFERROR(_xlfn.IFS(P80&gt;=$B$3,4,P80&gt;=$B$4,3,P80&gt;=$B$5,2,P80&gt;$B$6,1),0),"")</f>
        <v/>
      </c>
      <c r="AN80" s="2" t="str" cm="1">
        <f t="array" ref="AN80">IF('NILAI CPL'!$B80&lt;&gt;"",IFERROR(_xlfn.IFS(Q80&gt;=$B$3,4,Q80&gt;=$B$4,3,Q80&gt;=$B$5,2,Q80&gt;$B$6,1),0),"")</f>
        <v/>
      </c>
      <c r="AO80" s="2" t="str" cm="1">
        <f t="array" ref="AO80">IF('NILAI CPL'!$B80&lt;&gt;"",IFERROR(_xlfn.IFS(R80&gt;=$B$3,4,R80&gt;=$B$4,3,R80&gt;=$B$5,2,R80&gt;$B$6,1),0),"")</f>
        <v/>
      </c>
      <c r="AP80" s="2" t="str" cm="1">
        <f t="array" ref="AP80">IF('NILAI CPL'!$B80&lt;&gt;"",IFERROR(_xlfn.IFS(S80&gt;=$B$3,4,S80&gt;=$B$4,3,S80&gt;=$B$5,2,S80&gt;$B$6,1),0),"")</f>
        <v/>
      </c>
      <c r="AQ80" s="2" t="str" cm="1">
        <f t="array" ref="AQ80">IF('NILAI CPL'!$B80&lt;&gt;"",IFERROR(_xlfn.IFS(T80&gt;=$B$3,4,T80&gt;=$B$4,3,T80&gt;=$B$5,2,T80&gt;$B$6,1),0),"")</f>
        <v/>
      </c>
      <c r="AR80" s="2" t="str" cm="1">
        <f t="array" ref="AR80">IF('NILAI CPL'!$B80&lt;&gt;"",IFERROR(_xlfn.IFS(U80&gt;=$B$3,4,U80&gt;=$B$4,3,U80&gt;=$B$5,2,U80&gt;$B$6,1),0),"")</f>
        <v/>
      </c>
      <c r="AS80" s="2" t="str" cm="1">
        <f t="array" ref="AS80">IF('NILAI CPL'!$B80&lt;&gt;"",IFERROR(_xlfn.IFS(V80&gt;=$B$3,4,V80&gt;=$B$4,3,V80&gt;=$B$5,2,V80&gt;$B$6,1),0),"")</f>
        <v/>
      </c>
      <c r="AT80" s="2" t="str" cm="1">
        <f t="array" ref="AT80">IF('NILAI CPL'!$B80&lt;&gt;"",IFERROR(_xlfn.IFS(W80&gt;=$B$3,4,W80&gt;=$B$4,3,W80&gt;=$B$5,2,W80&gt;$B$6,1),0),"")</f>
        <v/>
      </c>
      <c r="AU80" s="2" t="str" cm="1">
        <f t="array" ref="AU80">IF('NILAI CPL'!$B80&lt;&gt;"",IFERROR(_xlfn.IFS(X80&gt;=$B$3,4,X80&gt;=$B$4,3,X80&gt;=$B$5,2,X80&gt;$B$6,1),0),"")</f>
        <v/>
      </c>
      <c r="AV80" s="2" t="str" cm="1">
        <f t="array" ref="AV80">IF('NILAI CPL'!$B80&lt;&gt;"",IFERROR(_xlfn.IFS(Y80&gt;=$B$3,4,Y80&gt;=$B$4,3,Y80&gt;=$B$5,2,Y80&gt;$B$6,1),0),"")</f>
        <v/>
      </c>
      <c r="AW80" s="2" t="str" cm="1">
        <f t="array" ref="AW80">IF('NILAI CPL'!$B80&lt;&gt;"",IFERROR(_xlfn.IFS(Z80&gt;=$B$3,4,Z80&gt;=$B$4,3,Z80&gt;=$B$5,2,Z80&gt;$B$6,1),0),"")</f>
        <v/>
      </c>
      <c r="AY80" s="2" t="str">
        <f t="shared" si="10"/>
        <v/>
      </c>
      <c r="AZ80" s="2" t="str">
        <f t="shared" si="11"/>
        <v/>
      </c>
      <c r="BA80" s="2" t="str">
        <f t="shared" si="12"/>
        <v/>
      </c>
      <c r="BB80" s="2" t="str">
        <f t="shared" si="13"/>
        <v/>
      </c>
      <c r="BC80" s="2" t="str">
        <f t="shared" si="14"/>
        <v/>
      </c>
      <c r="BD80" s="2" t="str">
        <f t="shared" si="15"/>
        <v/>
      </c>
      <c r="BE80" s="2" t="str">
        <f t="shared" si="16"/>
        <v/>
      </c>
      <c r="BF80" s="2" t="str">
        <f t="shared" si="17"/>
        <v/>
      </c>
      <c r="BG80" s="2" t="str">
        <f t="shared" si="18"/>
        <v/>
      </c>
      <c r="BH80" s="2" t="str">
        <f t="shared" si="19"/>
        <v/>
      </c>
      <c r="BJ80" s="2" t="str" cm="1">
        <f t="array" ref="BJ80">IF('NILAI CPL'!$B80&lt;&gt;"",IFERROR(_xlfn.IFS(AY80&gt;=$B$3,4,AY80&gt;=$B$4,3,AY80&gt;=$B$5,2,AY80&gt;$B$6,1),0),"")</f>
        <v/>
      </c>
      <c r="BK80" s="2" t="str" cm="1">
        <f t="array" ref="BK80">IF('NILAI CPL'!$B80&lt;&gt;"",IFERROR(_xlfn.IFS(AZ80&gt;=$B$3,4,AZ80&gt;=$B$4,3,AZ80&gt;=$B$5,2,AZ80&gt;$B$6,1),0),"")</f>
        <v/>
      </c>
      <c r="BL80" s="2" t="str" cm="1">
        <f t="array" ref="BL80">IF('NILAI CPL'!$B80&lt;&gt;"",IFERROR(_xlfn.IFS(BA80&gt;=$B$3,4,BA80&gt;=$B$4,3,BA80&gt;=$B$5,2,BA80&gt;$B$6,1),0),"")</f>
        <v/>
      </c>
      <c r="BM80" s="2" t="str" cm="1">
        <f t="array" ref="BM80">IF('NILAI CPL'!$B80&lt;&gt;"",IFERROR(_xlfn.IFS(BB80&gt;=$B$3,4,BB80&gt;=$B$4,3,BB80&gt;=$B$5,2,BB80&gt;$B$6,1),0),"")</f>
        <v/>
      </c>
      <c r="BN80" s="2" t="str" cm="1">
        <f t="array" ref="BN80">IF('NILAI CPL'!$B80&lt;&gt;"",IFERROR(_xlfn.IFS(BC80&gt;=$B$3,4,BC80&gt;=$B$4,3,BC80&gt;=$B$5,2,BC80&gt;$B$6,1),0),"")</f>
        <v/>
      </c>
      <c r="BO80" s="2" t="str" cm="1">
        <f t="array" ref="BO80">IF('NILAI CPL'!$B80&lt;&gt;"",IFERROR(_xlfn.IFS(BD80&gt;=$B$3,4,BD80&gt;=$B$4,3,BD80&gt;=$B$5,2,BD80&gt;$B$6,1),0),"")</f>
        <v/>
      </c>
      <c r="BP80" s="2" t="str" cm="1">
        <f t="array" ref="BP80">IF('NILAI CPL'!$B80&lt;&gt;"",IFERROR(_xlfn.IFS(BE80&gt;=$B$3,4,BE80&gt;=$B$4,3,BE80&gt;=$B$5,2,BE80&gt;$B$6,1),0),"")</f>
        <v/>
      </c>
      <c r="BQ80" s="2" t="str" cm="1">
        <f t="array" ref="BQ80">IF('NILAI CPL'!$B80&lt;&gt;"",IFERROR(_xlfn.IFS(BF80&gt;=$B$3,4,BF80&gt;=$B$4,3,BF80&gt;=$B$5,2,BF80&gt;$B$6,1),0),"")</f>
        <v/>
      </c>
      <c r="BR80" s="2" t="str" cm="1">
        <f t="array" ref="BR80">IF('NILAI CPL'!$B80&lt;&gt;"",IFERROR(_xlfn.IFS(BG80&gt;=$B$3,4,BG80&gt;=$B$4,3,BG80&gt;=$B$5,2,BG80&gt;$B$6,1),0),"")</f>
        <v/>
      </c>
      <c r="BS80" s="2" t="str" cm="1">
        <f t="array" ref="BS80">IF('NILAI CPL'!$B80&lt;&gt;"",IFERROR(_xlfn.IFS(BH80&gt;=$B$3,4,BH80&gt;=$B$4,3,BH80&gt;=$B$5,2,BH80&gt;$B$6,1),0),"")</f>
        <v/>
      </c>
    </row>
    <row r="81" spans="1:71" x14ac:dyDescent="0.2">
      <c r="A81" s="2">
        <v>71</v>
      </c>
      <c r="B81" s="2" t="str">
        <f>IF(LEN(SUMMARY!B81)&gt;0, SUMMARY!B81, "")</f>
        <v/>
      </c>
      <c r="C81" s="2" t="str">
        <f>IF(LEN(SUMMARY!C81)&gt;0, SUMMARY!C81, "")</f>
        <v/>
      </c>
      <c r="E81" s="2" t="str" cm="1">
        <f t="array" ref="E81">IF('NILAI CPL'!$B81&lt;&gt;"",IFERROR(JumlahPI(ROW(),COLUMN()),0),"")</f>
        <v/>
      </c>
      <c r="F81" s="2" t="str" cm="1">
        <f t="array" ref="F81">IF('NILAI CPL'!$B81&lt;&gt;"",IFERROR(JumlahPI(ROW(),COLUMN()),0),"")</f>
        <v/>
      </c>
      <c r="G81" s="2" t="str" cm="1">
        <f t="array" ref="G81">IF('NILAI CPL'!$B81&lt;&gt;"",IFERROR(JumlahPI(ROW(),COLUMN()),0),"")</f>
        <v/>
      </c>
      <c r="H81" s="2" t="str" cm="1">
        <f t="array" ref="H81">IF('NILAI CPL'!$B81&lt;&gt;"",IFERROR(JumlahPI(ROW(),COLUMN()),0),"")</f>
        <v/>
      </c>
      <c r="I81" s="2" t="str" cm="1">
        <f t="array" ref="I81">IF('NILAI CPL'!$B81&lt;&gt;"",IFERROR(JumlahPI(ROW(),COLUMN()),0),"")</f>
        <v/>
      </c>
      <c r="J81" s="2" t="str" cm="1">
        <f t="array" ref="J81">IF('NILAI CPL'!$B81&lt;&gt;"",IFERROR(JumlahPI(ROW(),COLUMN()),0),"")</f>
        <v/>
      </c>
      <c r="K81" s="2" t="str" cm="1">
        <f t="array" ref="K81">IF('NILAI CPL'!$B81&lt;&gt;"",IFERROR(JumlahPI(ROW(),COLUMN()),0),"")</f>
        <v/>
      </c>
      <c r="L81" s="2" t="str" cm="1">
        <f t="array" ref="L81">IF('NILAI CPL'!$B81&lt;&gt;"",IFERROR(JumlahPI(ROW(),COLUMN()),0),"")</f>
        <v/>
      </c>
      <c r="M81" s="2" t="str" cm="1">
        <f t="array" ref="M81">IF('NILAI CPL'!$B81&lt;&gt;"",IFERROR(JumlahPI(ROW(),COLUMN()),0),"")</f>
        <v/>
      </c>
      <c r="N81" s="2" t="str" cm="1">
        <f t="array" ref="N81">IF('NILAI CPL'!$B81&lt;&gt;"",IFERROR(JumlahPI(ROW(),COLUMN()),0),"")</f>
        <v/>
      </c>
      <c r="O81" s="2" t="str" cm="1">
        <f t="array" ref="O81">IF('NILAI CPL'!$B81&lt;&gt;"",IFERROR(JumlahPI(ROW(),COLUMN()),0),"")</f>
        <v/>
      </c>
      <c r="P81" s="2" t="str" cm="1">
        <f t="array" ref="P81">IF('NILAI CPL'!$B81&lt;&gt;"",IFERROR(JumlahPI(ROW(),COLUMN()),0),"")</f>
        <v/>
      </c>
      <c r="Q81" s="2" t="str" cm="1">
        <f t="array" ref="Q81">IF('NILAI CPL'!$B81&lt;&gt;"",IFERROR(JumlahPI(ROW(),COLUMN()),0),"")</f>
        <v/>
      </c>
      <c r="R81" s="2" t="str" cm="1">
        <f t="array" ref="R81">IF('NILAI CPL'!$B81&lt;&gt;"",IFERROR(JumlahPI(ROW(),COLUMN()),0),"")</f>
        <v/>
      </c>
      <c r="S81" s="2" t="str" cm="1">
        <f t="array" ref="S81">IF('NILAI CPL'!$B81&lt;&gt;"",IFERROR(JumlahPI(ROW(),COLUMN()),0),"")</f>
        <v/>
      </c>
      <c r="T81" s="2" t="str" cm="1">
        <f t="array" ref="T81">IF('NILAI CPL'!$B81&lt;&gt;"",IFERROR(JumlahPI(ROW(),COLUMN()),0),"")</f>
        <v/>
      </c>
      <c r="U81" s="2" t="str" cm="1">
        <f t="array" ref="U81">IF('NILAI CPL'!$B81&lt;&gt;"",IFERROR(JumlahPI(ROW(),COLUMN()),0),"")</f>
        <v/>
      </c>
      <c r="V81" s="2" t="str" cm="1">
        <f t="array" ref="V81">IF('NILAI CPL'!$B81&lt;&gt;"",IFERROR(JumlahPI(ROW(),COLUMN()),0),"")</f>
        <v/>
      </c>
      <c r="W81" s="2" t="str" cm="1">
        <f t="array" ref="W81">IF('NILAI CPL'!$B81&lt;&gt;"",IFERROR(JumlahPI(ROW(),COLUMN()),0),"")</f>
        <v/>
      </c>
      <c r="X81" s="2" t="str" cm="1">
        <f t="array" ref="X81">IF('NILAI CPL'!$B81&lt;&gt;"",IFERROR(JumlahPI(ROW(),COLUMN()),0),"")</f>
        <v/>
      </c>
      <c r="Y81" s="2" t="str" cm="1">
        <f t="array" ref="Y81">IF('NILAI CPL'!$B81&lt;&gt;"",IFERROR(JumlahPI(ROW(),COLUMN()),0),"")</f>
        <v/>
      </c>
      <c r="Z81" s="2" t="str" cm="1">
        <f t="array" ref="Z81">IF('NILAI CPL'!$B81&lt;&gt;"",IFERROR(JumlahPI(ROW(),COLUMN()),0),"")</f>
        <v/>
      </c>
      <c r="AB81" s="2" t="str" cm="1">
        <f t="array" ref="AB81">IF('NILAI CPL'!$B81&lt;&gt;"",IFERROR(_xlfn.IFS(E81&gt;=$B$3,4,E81&gt;=$B$4,3,E81&gt;=$B$5,2,E81&gt;$B$6,1),0),"")</f>
        <v/>
      </c>
      <c r="AC81" s="2" t="str" cm="1">
        <f t="array" ref="AC81">IF('NILAI CPL'!$B81&lt;&gt;"",IFERROR(_xlfn.IFS(F81&gt;=$B$3,4,F81&gt;=$B$4,3,F81&gt;=$B$5,2,F81&gt;$B$6,1),0),"")</f>
        <v/>
      </c>
      <c r="AD81" s="2" t="str" cm="1">
        <f t="array" ref="AD81">IF('NILAI CPL'!$B81&lt;&gt;"",IFERROR(_xlfn.IFS(G81&gt;=$B$3,4,G81&gt;=$B$4,3,G81&gt;=$B$5,2,G81&gt;$B$6,1),0),"")</f>
        <v/>
      </c>
      <c r="AE81" s="2" t="str" cm="1">
        <f t="array" ref="AE81">IF('NILAI CPL'!$B81&lt;&gt;"",IFERROR(_xlfn.IFS(H81&gt;=$B$3,4,H81&gt;=$B$4,3,H81&gt;=$B$5,2,H81&gt;$B$6,1),0),"")</f>
        <v/>
      </c>
      <c r="AF81" s="2" t="str" cm="1">
        <f t="array" ref="AF81">IF('NILAI CPL'!$B81&lt;&gt;"",IFERROR(_xlfn.IFS(I81&gt;=$B$3,4,I81&gt;=$B$4,3,I81&gt;=$B$5,2,I81&gt;$B$6,1),0),"")</f>
        <v/>
      </c>
      <c r="AG81" s="2" t="str" cm="1">
        <f t="array" ref="AG81">IF('NILAI CPL'!$B81&lt;&gt;"",IFERROR(_xlfn.IFS(J81&gt;=$B$3,4,J81&gt;=$B$4,3,J81&gt;=$B$5,2,J81&gt;$B$6,1),0),"")</f>
        <v/>
      </c>
      <c r="AH81" s="2" t="str" cm="1">
        <f t="array" ref="AH81">IF('NILAI CPL'!$B81&lt;&gt;"",IFERROR(_xlfn.IFS(K81&gt;=$B$3,4,K81&gt;=$B$4,3,K81&gt;=$B$5,2,K81&gt;$B$6,1),0),"")</f>
        <v/>
      </c>
      <c r="AI81" s="2" t="str" cm="1">
        <f t="array" ref="AI81">IF('NILAI CPL'!$B81&lt;&gt;"",IFERROR(_xlfn.IFS(L81&gt;=$B$3,4,L81&gt;=$B$4,3,L81&gt;=$B$5,2,L81&gt;$B$6,1),0),"")</f>
        <v/>
      </c>
      <c r="AJ81" s="2" t="str" cm="1">
        <f t="array" ref="AJ81">IF('NILAI CPL'!$B81&lt;&gt;"",IFERROR(_xlfn.IFS(M81&gt;=$B$3,4,M81&gt;=$B$4,3,M81&gt;=$B$5,2,M81&gt;$B$6,1),0),"")</f>
        <v/>
      </c>
      <c r="AK81" s="2" t="str" cm="1">
        <f t="array" ref="AK81">IF('NILAI CPL'!$B81&lt;&gt;"",IFERROR(_xlfn.IFS(N81&gt;=$B$3,4,N81&gt;=$B$4,3,N81&gt;=$B$5,2,N81&gt;$B$6,1),0),"")</f>
        <v/>
      </c>
      <c r="AL81" s="2" t="str" cm="1">
        <f t="array" ref="AL81">IF('NILAI CPL'!$B81&lt;&gt;"",IFERROR(_xlfn.IFS(O81&gt;=$B$3,4,O81&gt;=$B$4,3,O81&gt;=$B$5,2,O81&gt;$B$6,1),0),"")</f>
        <v/>
      </c>
      <c r="AM81" s="2" t="str" cm="1">
        <f t="array" ref="AM81">IF('NILAI CPL'!$B81&lt;&gt;"",IFERROR(_xlfn.IFS(P81&gt;=$B$3,4,P81&gt;=$B$4,3,P81&gt;=$B$5,2,P81&gt;$B$6,1),0),"")</f>
        <v/>
      </c>
      <c r="AN81" s="2" t="str" cm="1">
        <f t="array" ref="AN81">IF('NILAI CPL'!$B81&lt;&gt;"",IFERROR(_xlfn.IFS(Q81&gt;=$B$3,4,Q81&gt;=$B$4,3,Q81&gt;=$B$5,2,Q81&gt;$B$6,1),0),"")</f>
        <v/>
      </c>
      <c r="AO81" s="2" t="str" cm="1">
        <f t="array" ref="AO81">IF('NILAI CPL'!$B81&lt;&gt;"",IFERROR(_xlfn.IFS(R81&gt;=$B$3,4,R81&gt;=$B$4,3,R81&gt;=$B$5,2,R81&gt;$B$6,1),0),"")</f>
        <v/>
      </c>
      <c r="AP81" s="2" t="str" cm="1">
        <f t="array" ref="AP81">IF('NILAI CPL'!$B81&lt;&gt;"",IFERROR(_xlfn.IFS(S81&gt;=$B$3,4,S81&gt;=$B$4,3,S81&gt;=$B$5,2,S81&gt;$B$6,1),0),"")</f>
        <v/>
      </c>
      <c r="AQ81" s="2" t="str" cm="1">
        <f t="array" ref="AQ81">IF('NILAI CPL'!$B81&lt;&gt;"",IFERROR(_xlfn.IFS(T81&gt;=$B$3,4,T81&gt;=$B$4,3,T81&gt;=$B$5,2,T81&gt;$B$6,1),0),"")</f>
        <v/>
      </c>
      <c r="AR81" s="2" t="str" cm="1">
        <f t="array" ref="AR81">IF('NILAI CPL'!$B81&lt;&gt;"",IFERROR(_xlfn.IFS(U81&gt;=$B$3,4,U81&gt;=$B$4,3,U81&gt;=$B$5,2,U81&gt;$B$6,1),0),"")</f>
        <v/>
      </c>
      <c r="AS81" s="2" t="str" cm="1">
        <f t="array" ref="AS81">IF('NILAI CPL'!$B81&lt;&gt;"",IFERROR(_xlfn.IFS(V81&gt;=$B$3,4,V81&gt;=$B$4,3,V81&gt;=$B$5,2,V81&gt;$B$6,1),0),"")</f>
        <v/>
      </c>
      <c r="AT81" s="2" t="str" cm="1">
        <f t="array" ref="AT81">IF('NILAI CPL'!$B81&lt;&gt;"",IFERROR(_xlfn.IFS(W81&gt;=$B$3,4,W81&gt;=$B$4,3,W81&gt;=$B$5,2,W81&gt;$B$6,1),0),"")</f>
        <v/>
      </c>
      <c r="AU81" s="2" t="str" cm="1">
        <f t="array" ref="AU81">IF('NILAI CPL'!$B81&lt;&gt;"",IFERROR(_xlfn.IFS(X81&gt;=$B$3,4,X81&gt;=$B$4,3,X81&gt;=$B$5,2,X81&gt;$B$6,1),0),"")</f>
        <v/>
      </c>
      <c r="AV81" s="2" t="str" cm="1">
        <f t="array" ref="AV81">IF('NILAI CPL'!$B81&lt;&gt;"",IFERROR(_xlfn.IFS(Y81&gt;=$B$3,4,Y81&gt;=$B$4,3,Y81&gt;=$B$5,2,Y81&gt;$B$6,1),0),"")</f>
        <v/>
      </c>
      <c r="AW81" s="2" t="str" cm="1">
        <f t="array" ref="AW81">IF('NILAI CPL'!$B81&lt;&gt;"",IFERROR(_xlfn.IFS(Z81&gt;=$B$3,4,Z81&gt;=$B$4,3,Z81&gt;=$B$5,2,Z81&gt;$B$6,1),0),"")</f>
        <v/>
      </c>
      <c r="AY81" s="2" t="str">
        <f t="shared" si="10"/>
        <v/>
      </c>
      <c r="AZ81" s="2" t="str">
        <f t="shared" si="11"/>
        <v/>
      </c>
      <c r="BA81" s="2" t="str">
        <f t="shared" si="12"/>
        <v/>
      </c>
      <c r="BB81" s="2" t="str">
        <f t="shared" si="13"/>
        <v/>
      </c>
      <c r="BC81" s="2" t="str">
        <f t="shared" si="14"/>
        <v/>
      </c>
      <c r="BD81" s="2" t="str">
        <f t="shared" si="15"/>
        <v/>
      </c>
      <c r="BE81" s="2" t="str">
        <f t="shared" si="16"/>
        <v/>
      </c>
      <c r="BF81" s="2" t="str">
        <f t="shared" si="17"/>
        <v/>
      </c>
      <c r="BG81" s="2" t="str">
        <f t="shared" si="18"/>
        <v/>
      </c>
      <c r="BH81" s="2" t="str">
        <f t="shared" si="19"/>
        <v/>
      </c>
      <c r="BJ81" s="2" t="str" cm="1">
        <f t="array" ref="BJ81">IF('NILAI CPL'!$B81&lt;&gt;"",IFERROR(_xlfn.IFS(AY81&gt;=$B$3,4,AY81&gt;=$B$4,3,AY81&gt;=$B$5,2,AY81&gt;$B$6,1),0),"")</f>
        <v/>
      </c>
      <c r="BK81" s="2" t="str" cm="1">
        <f t="array" ref="BK81">IF('NILAI CPL'!$B81&lt;&gt;"",IFERROR(_xlfn.IFS(AZ81&gt;=$B$3,4,AZ81&gt;=$B$4,3,AZ81&gt;=$B$5,2,AZ81&gt;$B$6,1),0),"")</f>
        <v/>
      </c>
      <c r="BL81" s="2" t="str" cm="1">
        <f t="array" ref="BL81">IF('NILAI CPL'!$B81&lt;&gt;"",IFERROR(_xlfn.IFS(BA81&gt;=$B$3,4,BA81&gt;=$B$4,3,BA81&gt;=$B$5,2,BA81&gt;$B$6,1),0),"")</f>
        <v/>
      </c>
      <c r="BM81" s="2" t="str" cm="1">
        <f t="array" ref="BM81">IF('NILAI CPL'!$B81&lt;&gt;"",IFERROR(_xlfn.IFS(BB81&gt;=$B$3,4,BB81&gt;=$B$4,3,BB81&gt;=$B$5,2,BB81&gt;$B$6,1),0),"")</f>
        <v/>
      </c>
      <c r="BN81" s="2" t="str" cm="1">
        <f t="array" ref="BN81">IF('NILAI CPL'!$B81&lt;&gt;"",IFERROR(_xlfn.IFS(BC81&gt;=$B$3,4,BC81&gt;=$B$4,3,BC81&gt;=$B$5,2,BC81&gt;$B$6,1),0),"")</f>
        <v/>
      </c>
      <c r="BO81" s="2" t="str" cm="1">
        <f t="array" ref="BO81">IF('NILAI CPL'!$B81&lt;&gt;"",IFERROR(_xlfn.IFS(BD81&gt;=$B$3,4,BD81&gt;=$B$4,3,BD81&gt;=$B$5,2,BD81&gt;$B$6,1),0),"")</f>
        <v/>
      </c>
      <c r="BP81" s="2" t="str" cm="1">
        <f t="array" ref="BP81">IF('NILAI CPL'!$B81&lt;&gt;"",IFERROR(_xlfn.IFS(BE81&gt;=$B$3,4,BE81&gt;=$B$4,3,BE81&gt;=$B$5,2,BE81&gt;$B$6,1),0),"")</f>
        <v/>
      </c>
      <c r="BQ81" s="2" t="str" cm="1">
        <f t="array" ref="BQ81">IF('NILAI CPL'!$B81&lt;&gt;"",IFERROR(_xlfn.IFS(BF81&gt;=$B$3,4,BF81&gt;=$B$4,3,BF81&gt;=$B$5,2,BF81&gt;$B$6,1),0),"")</f>
        <v/>
      </c>
      <c r="BR81" s="2" t="str" cm="1">
        <f t="array" ref="BR81">IF('NILAI CPL'!$B81&lt;&gt;"",IFERROR(_xlfn.IFS(BG81&gt;=$B$3,4,BG81&gt;=$B$4,3,BG81&gt;=$B$5,2,BG81&gt;$B$6,1),0),"")</f>
        <v/>
      </c>
      <c r="BS81" s="2" t="str" cm="1">
        <f t="array" ref="BS81">IF('NILAI CPL'!$B81&lt;&gt;"",IFERROR(_xlfn.IFS(BH81&gt;=$B$3,4,BH81&gt;=$B$4,3,BH81&gt;=$B$5,2,BH81&gt;$B$6,1),0),"")</f>
        <v/>
      </c>
    </row>
    <row r="82" spans="1:71" x14ac:dyDescent="0.2">
      <c r="A82" s="2">
        <v>72</v>
      </c>
      <c r="B82" s="2" t="str">
        <f>IF(LEN(SUMMARY!B82)&gt;0, SUMMARY!B82, "")</f>
        <v/>
      </c>
      <c r="C82" s="2" t="str">
        <f>IF(LEN(SUMMARY!C82)&gt;0, SUMMARY!C82, "")</f>
        <v/>
      </c>
      <c r="E82" s="2" t="str" cm="1">
        <f t="array" ref="E82">IF('NILAI CPL'!$B82&lt;&gt;"",IFERROR(JumlahPI(ROW(),COLUMN()),0),"")</f>
        <v/>
      </c>
      <c r="F82" s="2" t="str" cm="1">
        <f t="array" ref="F82">IF('NILAI CPL'!$B82&lt;&gt;"",IFERROR(JumlahPI(ROW(),COLUMN()),0),"")</f>
        <v/>
      </c>
      <c r="G82" s="2" t="str" cm="1">
        <f t="array" ref="G82">IF('NILAI CPL'!$B82&lt;&gt;"",IFERROR(JumlahPI(ROW(),COLUMN()),0),"")</f>
        <v/>
      </c>
      <c r="H82" s="2" t="str" cm="1">
        <f t="array" ref="H82">IF('NILAI CPL'!$B82&lt;&gt;"",IFERROR(JumlahPI(ROW(),COLUMN()),0),"")</f>
        <v/>
      </c>
      <c r="I82" s="2" t="str" cm="1">
        <f t="array" ref="I82">IF('NILAI CPL'!$B82&lt;&gt;"",IFERROR(JumlahPI(ROW(),COLUMN()),0),"")</f>
        <v/>
      </c>
      <c r="J82" s="2" t="str" cm="1">
        <f t="array" ref="J82">IF('NILAI CPL'!$B82&lt;&gt;"",IFERROR(JumlahPI(ROW(),COLUMN()),0),"")</f>
        <v/>
      </c>
      <c r="K82" s="2" t="str" cm="1">
        <f t="array" ref="K82">IF('NILAI CPL'!$B82&lt;&gt;"",IFERROR(JumlahPI(ROW(),COLUMN()),0),"")</f>
        <v/>
      </c>
      <c r="L82" s="2" t="str" cm="1">
        <f t="array" ref="L82">IF('NILAI CPL'!$B82&lt;&gt;"",IFERROR(JumlahPI(ROW(),COLUMN()),0),"")</f>
        <v/>
      </c>
      <c r="M82" s="2" t="str" cm="1">
        <f t="array" ref="M82">IF('NILAI CPL'!$B82&lt;&gt;"",IFERROR(JumlahPI(ROW(),COLUMN()),0),"")</f>
        <v/>
      </c>
      <c r="N82" s="2" t="str" cm="1">
        <f t="array" ref="N82">IF('NILAI CPL'!$B82&lt;&gt;"",IFERROR(JumlahPI(ROW(),COLUMN()),0),"")</f>
        <v/>
      </c>
      <c r="O82" s="2" t="str" cm="1">
        <f t="array" ref="O82">IF('NILAI CPL'!$B82&lt;&gt;"",IFERROR(JumlahPI(ROW(),COLUMN()),0),"")</f>
        <v/>
      </c>
      <c r="P82" s="2" t="str" cm="1">
        <f t="array" ref="P82">IF('NILAI CPL'!$B82&lt;&gt;"",IFERROR(JumlahPI(ROW(),COLUMN()),0),"")</f>
        <v/>
      </c>
      <c r="Q82" s="2" t="str" cm="1">
        <f t="array" ref="Q82">IF('NILAI CPL'!$B82&lt;&gt;"",IFERROR(JumlahPI(ROW(),COLUMN()),0),"")</f>
        <v/>
      </c>
      <c r="R82" s="2" t="str" cm="1">
        <f t="array" ref="R82">IF('NILAI CPL'!$B82&lt;&gt;"",IFERROR(JumlahPI(ROW(),COLUMN()),0),"")</f>
        <v/>
      </c>
      <c r="S82" s="2" t="str" cm="1">
        <f t="array" ref="S82">IF('NILAI CPL'!$B82&lt;&gt;"",IFERROR(JumlahPI(ROW(),COLUMN()),0),"")</f>
        <v/>
      </c>
      <c r="T82" s="2" t="str" cm="1">
        <f t="array" ref="T82">IF('NILAI CPL'!$B82&lt;&gt;"",IFERROR(JumlahPI(ROW(),COLUMN()),0),"")</f>
        <v/>
      </c>
      <c r="U82" s="2" t="str" cm="1">
        <f t="array" ref="U82">IF('NILAI CPL'!$B82&lt;&gt;"",IFERROR(JumlahPI(ROW(),COLUMN()),0),"")</f>
        <v/>
      </c>
      <c r="V82" s="2" t="str" cm="1">
        <f t="array" ref="V82">IF('NILAI CPL'!$B82&lt;&gt;"",IFERROR(JumlahPI(ROW(),COLUMN()),0),"")</f>
        <v/>
      </c>
      <c r="W82" s="2" t="str" cm="1">
        <f t="array" ref="W82">IF('NILAI CPL'!$B82&lt;&gt;"",IFERROR(JumlahPI(ROW(),COLUMN()),0),"")</f>
        <v/>
      </c>
      <c r="X82" s="2" t="str" cm="1">
        <f t="array" ref="X82">IF('NILAI CPL'!$B82&lt;&gt;"",IFERROR(JumlahPI(ROW(),COLUMN()),0),"")</f>
        <v/>
      </c>
      <c r="Y82" s="2" t="str" cm="1">
        <f t="array" ref="Y82">IF('NILAI CPL'!$B82&lt;&gt;"",IFERROR(JumlahPI(ROW(),COLUMN()),0),"")</f>
        <v/>
      </c>
      <c r="Z82" s="2" t="str" cm="1">
        <f t="array" ref="Z82">IF('NILAI CPL'!$B82&lt;&gt;"",IFERROR(JumlahPI(ROW(),COLUMN()),0),"")</f>
        <v/>
      </c>
      <c r="AB82" s="2" t="str" cm="1">
        <f t="array" ref="AB82">IF('NILAI CPL'!$B82&lt;&gt;"",IFERROR(_xlfn.IFS(E82&gt;=$B$3,4,E82&gt;=$B$4,3,E82&gt;=$B$5,2,E82&gt;$B$6,1),0),"")</f>
        <v/>
      </c>
      <c r="AC82" s="2" t="str" cm="1">
        <f t="array" ref="AC82">IF('NILAI CPL'!$B82&lt;&gt;"",IFERROR(_xlfn.IFS(F82&gt;=$B$3,4,F82&gt;=$B$4,3,F82&gt;=$B$5,2,F82&gt;$B$6,1),0),"")</f>
        <v/>
      </c>
      <c r="AD82" s="2" t="str" cm="1">
        <f t="array" ref="AD82">IF('NILAI CPL'!$B82&lt;&gt;"",IFERROR(_xlfn.IFS(G82&gt;=$B$3,4,G82&gt;=$B$4,3,G82&gt;=$B$5,2,G82&gt;$B$6,1),0),"")</f>
        <v/>
      </c>
      <c r="AE82" s="2" t="str" cm="1">
        <f t="array" ref="AE82">IF('NILAI CPL'!$B82&lt;&gt;"",IFERROR(_xlfn.IFS(H82&gt;=$B$3,4,H82&gt;=$B$4,3,H82&gt;=$B$5,2,H82&gt;$B$6,1),0),"")</f>
        <v/>
      </c>
      <c r="AF82" s="2" t="str" cm="1">
        <f t="array" ref="AF82">IF('NILAI CPL'!$B82&lt;&gt;"",IFERROR(_xlfn.IFS(I82&gt;=$B$3,4,I82&gt;=$B$4,3,I82&gt;=$B$5,2,I82&gt;$B$6,1),0),"")</f>
        <v/>
      </c>
      <c r="AG82" s="2" t="str" cm="1">
        <f t="array" ref="AG82">IF('NILAI CPL'!$B82&lt;&gt;"",IFERROR(_xlfn.IFS(J82&gt;=$B$3,4,J82&gt;=$B$4,3,J82&gt;=$B$5,2,J82&gt;$B$6,1),0),"")</f>
        <v/>
      </c>
      <c r="AH82" s="2" t="str" cm="1">
        <f t="array" ref="AH82">IF('NILAI CPL'!$B82&lt;&gt;"",IFERROR(_xlfn.IFS(K82&gt;=$B$3,4,K82&gt;=$B$4,3,K82&gt;=$B$5,2,K82&gt;$B$6,1),0),"")</f>
        <v/>
      </c>
      <c r="AI82" s="2" t="str" cm="1">
        <f t="array" ref="AI82">IF('NILAI CPL'!$B82&lt;&gt;"",IFERROR(_xlfn.IFS(L82&gt;=$B$3,4,L82&gt;=$B$4,3,L82&gt;=$B$5,2,L82&gt;$B$6,1),0),"")</f>
        <v/>
      </c>
      <c r="AJ82" s="2" t="str" cm="1">
        <f t="array" ref="AJ82">IF('NILAI CPL'!$B82&lt;&gt;"",IFERROR(_xlfn.IFS(M82&gt;=$B$3,4,M82&gt;=$B$4,3,M82&gt;=$B$5,2,M82&gt;$B$6,1),0),"")</f>
        <v/>
      </c>
      <c r="AK82" s="2" t="str" cm="1">
        <f t="array" ref="AK82">IF('NILAI CPL'!$B82&lt;&gt;"",IFERROR(_xlfn.IFS(N82&gt;=$B$3,4,N82&gt;=$B$4,3,N82&gt;=$B$5,2,N82&gt;$B$6,1),0),"")</f>
        <v/>
      </c>
      <c r="AL82" s="2" t="str" cm="1">
        <f t="array" ref="AL82">IF('NILAI CPL'!$B82&lt;&gt;"",IFERROR(_xlfn.IFS(O82&gt;=$B$3,4,O82&gt;=$B$4,3,O82&gt;=$B$5,2,O82&gt;$B$6,1),0),"")</f>
        <v/>
      </c>
      <c r="AM82" s="2" t="str" cm="1">
        <f t="array" ref="AM82">IF('NILAI CPL'!$B82&lt;&gt;"",IFERROR(_xlfn.IFS(P82&gt;=$B$3,4,P82&gt;=$B$4,3,P82&gt;=$B$5,2,P82&gt;$B$6,1),0),"")</f>
        <v/>
      </c>
      <c r="AN82" s="2" t="str" cm="1">
        <f t="array" ref="AN82">IF('NILAI CPL'!$B82&lt;&gt;"",IFERROR(_xlfn.IFS(Q82&gt;=$B$3,4,Q82&gt;=$B$4,3,Q82&gt;=$B$5,2,Q82&gt;$B$6,1),0),"")</f>
        <v/>
      </c>
      <c r="AO82" s="2" t="str" cm="1">
        <f t="array" ref="AO82">IF('NILAI CPL'!$B82&lt;&gt;"",IFERROR(_xlfn.IFS(R82&gt;=$B$3,4,R82&gt;=$B$4,3,R82&gt;=$B$5,2,R82&gt;$B$6,1),0),"")</f>
        <v/>
      </c>
      <c r="AP82" s="2" t="str" cm="1">
        <f t="array" ref="AP82">IF('NILAI CPL'!$B82&lt;&gt;"",IFERROR(_xlfn.IFS(S82&gt;=$B$3,4,S82&gt;=$B$4,3,S82&gt;=$B$5,2,S82&gt;$B$6,1),0),"")</f>
        <v/>
      </c>
      <c r="AQ82" s="2" t="str" cm="1">
        <f t="array" ref="AQ82">IF('NILAI CPL'!$B82&lt;&gt;"",IFERROR(_xlfn.IFS(T82&gt;=$B$3,4,T82&gt;=$B$4,3,T82&gt;=$B$5,2,T82&gt;$B$6,1),0),"")</f>
        <v/>
      </c>
      <c r="AR82" s="2" t="str" cm="1">
        <f t="array" ref="AR82">IF('NILAI CPL'!$B82&lt;&gt;"",IFERROR(_xlfn.IFS(U82&gt;=$B$3,4,U82&gt;=$B$4,3,U82&gt;=$B$5,2,U82&gt;$B$6,1),0),"")</f>
        <v/>
      </c>
      <c r="AS82" s="2" t="str" cm="1">
        <f t="array" ref="AS82">IF('NILAI CPL'!$B82&lt;&gt;"",IFERROR(_xlfn.IFS(V82&gt;=$B$3,4,V82&gt;=$B$4,3,V82&gt;=$B$5,2,V82&gt;$B$6,1),0),"")</f>
        <v/>
      </c>
      <c r="AT82" s="2" t="str" cm="1">
        <f t="array" ref="AT82">IF('NILAI CPL'!$B82&lt;&gt;"",IFERROR(_xlfn.IFS(W82&gt;=$B$3,4,W82&gt;=$B$4,3,W82&gt;=$B$5,2,W82&gt;$B$6,1),0),"")</f>
        <v/>
      </c>
      <c r="AU82" s="2" t="str" cm="1">
        <f t="array" ref="AU82">IF('NILAI CPL'!$B82&lt;&gt;"",IFERROR(_xlfn.IFS(X82&gt;=$B$3,4,X82&gt;=$B$4,3,X82&gt;=$B$5,2,X82&gt;$B$6,1),0),"")</f>
        <v/>
      </c>
      <c r="AV82" s="2" t="str" cm="1">
        <f t="array" ref="AV82">IF('NILAI CPL'!$B82&lt;&gt;"",IFERROR(_xlfn.IFS(Y82&gt;=$B$3,4,Y82&gt;=$B$4,3,Y82&gt;=$B$5,2,Y82&gt;$B$6,1),0),"")</f>
        <v/>
      </c>
      <c r="AW82" s="2" t="str" cm="1">
        <f t="array" ref="AW82">IF('NILAI CPL'!$B82&lt;&gt;"",IFERROR(_xlfn.IFS(Z82&gt;=$B$3,4,Z82&gt;=$B$4,3,Z82&gt;=$B$5,2,Z82&gt;$B$6,1),0),"")</f>
        <v/>
      </c>
      <c r="AY82" s="2" t="str">
        <f t="shared" si="10"/>
        <v/>
      </c>
      <c r="AZ82" s="2" t="str">
        <f t="shared" si="11"/>
        <v/>
      </c>
      <c r="BA82" s="2" t="str">
        <f t="shared" si="12"/>
        <v/>
      </c>
      <c r="BB82" s="2" t="str">
        <f t="shared" si="13"/>
        <v/>
      </c>
      <c r="BC82" s="2" t="str">
        <f t="shared" si="14"/>
        <v/>
      </c>
      <c r="BD82" s="2" t="str">
        <f t="shared" si="15"/>
        <v/>
      </c>
      <c r="BE82" s="2" t="str">
        <f t="shared" si="16"/>
        <v/>
      </c>
      <c r="BF82" s="2" t="str">
        <f t="shared" si="17"/>
        <v/>
      </c>
      <c r="BG82" s="2" t="str">
        <f t="shared" si="18"/>
        <v/>
      </c>
      <c r="BH82" s="2" t="str">
        <f t="shared" si="19"/>
        <v/>
      </c>
      <c r="BJ82" s="2" t="str" cm="1">
        <f t="array" ref="BJ82">IF('NILAI CPL'!$B82&lt;&gt;"",IFERROR(_xlfn.IFS(AY82&gt;=$B$3,4,AY82&gt;=$B$4,3,AY82&gt;=$B$5,2,AY82&gt;$B$6,1),0),"")</f>
        <v/>
      </c>
      <c r="BK82" s="2" t="str" cm="1">
        <f t="array" ref="BK82">IF('NILAI CPL'!$B82&lt;&gt;"",IFERROR(_xlfn.IFS(AZ82&gt;=$B$3,4,AZ82&gt;=$B$4,3,AZ82&gt;=$B$5,2,AZ82&gt;$B$6,1),0),"")</f>
        <v/>
      </c>
      <c r="BL82" s="2" t="str" cm="1">
        <f t="array" ref="BL82">IF('NILAI CPL'!$B82&lt;&gt;"",IFERROR(_xlfn.IFS(BA82&gt;=$B$3,4,BA82&gt;=$B$4,3,BA82&gt;=$B$5,2,BA82&gt;$B$6,1),0),"")</f>
        <v/>
      </c>
      <c r="BM82" s="2" t="str" cm="1">
        <f t="array" ref="BM82">IF('NILAI CPL'!$B82&lt;&gt;"",IFERROR(_xlfn.IFS(BB82&gt;=$B$3,4,BB82&gt;=$B$4,3,BB82&gt;=$B$5,2,BB82&gt;$B$6,1),0),"")</f>
        <v/>
      </c>
      <c r="BN82" s="2" t="str" cm="1">
        <f t="array" ref="BN82">IF('NILAI CPL'!$B82&lt;&gt;"",IFERROR(_xlfn.IFS(BC82&gt;=$B$3,4,BC82&gt;=$B$4,3,BC82&gt;=$B$5,2,BC82&gt;$B$6,1),0),"")</f>
        <v/>
      </c>
      <c r="BO82" s="2" t="str" cm="1">
        <f t="array" ref="BO82">IF('NILAI CPL'!$B82&lt;&gt;"",IFERROR(_xlfn.IFS(BD82&gt;=$B$3,4,BD82&gt;=$B$4,3,BD82&gt;=$B$5,2,BD82&gt;$B$6,1),0),"")</f>
        <v/>
      </c>
      <c r="BP82" s="2" t="str" cm="1">
        <f t="array" ref="BP82">IF('NILAI CPL'!$B82&lt;&gt;"",IFERROR(_xlfn.IFS(BE82&gt;=$B$3,4,BE82&gt;=$B$4,3,BE82&gt;=$B$5,2,BE82&gt;$B$6,1),0),"")</f>
        <v/>
      </c>
      <c r="BQ82" s="2" t="str" cm="1">
        <f t="array" ref="BQ82">IF('NILAI CPL'!$B82&lt;&gt;"",IFERROR(_xlfn.IFS(BF82&gt;=$B$3,4,BF82&gt;=$B$4,3,BF82&gt;=$B$5,2,BF82&gt;$B$6,1),0),"")</f>
        <v/>
      </c>
      <c r="BR82" s="2" t="str" cm="1">
        <f t="array" ref="BR82">IF('NILAI CPL'!$B82&lt;&gt;"",IFERROR(_xlfn.IFS(BG82&gt;=$B$3,4,BG82&gt;=$B$4,3,BG82&gt;=$B$5,2,BG82&gt;$B$6,1),0),"")</f>
        <v/>
      </c>
      <c r="BS82" s="2" t="str" cm="1">
        <f t="array" ref="BS82">IF('NILAI CPL'!$B82&lt;&gt;"",IFERROR(_xlfn.IFS(BH82&gt;=$B$3,4,BH82&gt;=$B$4,3,BH82&gt;=$B$5,2,BH82&gt;$B$6,1),0),"")</f>
        <v/>
      </c>
    </row>
    <row r="83" spans="1:71" x14ac:dyDescent="0.2">
      <c r="A83" s="2">
        <v>73</v>
      </c>
      <c r="B83" s="2" t="str">
        <f>IF(LEN(SUMMARY!B83)&gt;0, SUMMARY!B83, "")</f>
        <v/>
      </c>
      <c r="C83" s="2" t="str">
        <f>IF(LEN(SUMMARY!C83)&gt;0, SUMMARY!C83, "")</f>
        <v/>
      </c>
      <c r="E83" s="2" t="str" cm="1">
        <f t="array" ref="E83">IF('NILAI CPL'!$B83&lt;&gt;"",IFERROR(JumlahPI(ROW(),COLUMN()),0),"")</f>
        <v/>
      </c>
      <c r="F83" s="2" t="str" cm="1">
        <f t="array" ref="F83">IF('NILAI CPL'!$B83&lt;&gt;"",IFERROR(JumlahPI(ROW(),COLUMN()),0),"")</f>
        <v/>
      </c>
      <c r="G83" s="2" t="str" cm="1">
        <f t="array" ref="G83">IF('NILAI CPL'!$B83&lt;&gt;"",IFERROR(JumlahPI(ROW(),COLUMN()),0),"")</f>
        <v/>
      </c>
      <c r="H83" s="2" t="str" cm="1">
        <f t="array" ref="H83">IF('NILAI CPL'!$B83&lt;&gt;"",IFERROR(JumlahPI(ROW(),COLUMN()),0),"")</f>
        <v/>
      </c>
      <c r="I83" s="2" t="str" cm="1">
        <f t="array" ref="I83">IF('NILAI CPL'!$B83&lt;&gt;"",IFERROR(JumlahPI(ROW(),COLUMN()),0),"")</f>
        <v/>
      </c>
      <c r="J83" s="2" t="str" cm="1">
        <f t="array" ref="J83">IF('NILAI CPL'!$B83&lt;&gt;"",IFERROR(JumlahPI(ROW(),COLUMN()),0),"")</f>
        <v/>
      </c>
      <c r="K83" s="2" t="str" cm="1">
        <f t="array" ref="K83">IF('NILAI CPL'!$B83&lt;&gt;"",IFERROR(JumlahPI(ROW(),COLUMN()),0),"")</f>
        <v/>
      </c>
      <c r="L83" s="2" t="str" cm="1">
        <f t="array" ref="L83">IF('NILAI CPL'!$B83&lt;&gt;"",IFERROR(JumlahPI(ROW(),COLUMN()),0),"")</f>
        <v/>
      </c>
      <c r="M83" s="2" t="str" cm="1">
        <f t="array" ref="M83">IF('NILAI CPL'!$B83&lt;&gt;"",IFERROR(JumlahPI(ROW(),COLUMN()),0),"")</f>
        <v/>
      </c>
      <c r="N83" s="2" t="str" cm="1">
        <f t="array" ref="N83">IF('NILAI CPL'!$B83&lt;&gt;"",IFERROR(JumlahPI(ROW(),COLUMN()),0),"")</f>
        <v/>
      </c>
      <c r="O83" s="2" t="str" cm="1">
        <f t="array" ref="O83">IF('NILAI CPL'!$B83&lt;&gt;"",IFERROR(JumlahPI(ROW(),COLUMN()),0),"")</f>
        <v/>
      </c>
      <c r="P83" s="2" t="str" cm="1">
        <f t="array" ref="P83">IF('NILAI CPL'!$B83&lt;&gt;"",IFERROR(JumlahPI(ROW(),COLUMN()),0),"")</f>
        <v/>
      </c>
      <c r="Q83" s="2" t="str" cm="1">
        <f t="array" ref="Q83">IF('NILAI CPL'!$B83&lt;&gt;"",IFERROR(JumlahPI(ROW(),COLUMN()),0),"")</f>
        <v/>
      </c>
      <c r="R83" s="2" t="str" cm="1">
        <f t="array" ref="R83">IF('NILAI CPL'!$B83&lt;&gt;"",IFERROR(JumlahPI(ROW(),COLUMN()),0),"")</f>
        <v/>
      </c>
      <c r="S83" s="2" t="str" cm="1">
        <f t="array" ref="S83">IF('NILAI CPL'!$B83&lt;&gt;"",IFERROR(JumlahPI(ROW(),COLUMN()),0),"")</f>
        <v/>
      </c>
      <c r="T83" s="2" t="str" cm="1">
        <f t="array" ref="T83">IF('NILAI CPL'!$B83&lt;&gt;"",IFERROR(JumlahPI(ROW(),COLUMN()),0),"")</f>
        <v/>
      </c>
      <c r="U83" s="2" t="str" cm="1">
        <f t="array" ref="U83">IF('NILAI CPL'!$B83&lt;&gt;"",IFERROR(JumlahPI(ROW(),COLUMN()),0),"")</f>
        <v/>
      </c>
      <c r="V83" s="2" t="str" cm="1">
        <f t="array" ref="V83">IF('NILAI CPL'!$B83&lt;&gt;"",IFERROR(JumlahPI(ROW(),COLUMN()),0),"")</f>
        <v/>
      </c>
      <c r="W83" s="2" t="str" cm="1">
        <f t="array" ref="W83">IF('NILAI CPL'!$B83&lt;&gt;"",IFERROR(JumlahPI(ROW(),COLUMN()),0),"")</f>
        <v/>
      </c>
      <c r="X83" s="2" t="str" cm="1">
        <f t="array" ref="X83">IF('NILAI CPL'!$B83&lt;&gt;"",IFERROR(JumlahPI(ROW(),COLUMN()),0),"")</f>
        <v/>
      </c>
      <c r="Y83" s="2" t="str" cm="1">
        <f t="array" ref="Y83">IF('NILAI CPL'!$B83&lt;&gt;"",IFERROR(JumlahPI(ROW(),COLUMN()),0),"")</f>
        <v/>
      </c>
      <c r="Z83" s="2" t="str" cm="1">
        <f t="array" ref="Z83">IF('NILAI CPL'!$B83&lt;&gt;"",IFERROR(JumlahPI(ROW(),COLUMN()),0),"")</f>
        <v/>
      </c>
      <c r="AB83" s="2" t="str" cm="1">
        <f t="array" ref="AB83">IF('NILAI CPL'!$B83&lt;&gt;"",IFERROR(_xlfn.IFS(E83&gt;=$B$3,4,E83&gt;=$B$4,3,E83&gt;=$B$5,2,E83&gt;$B$6,1),0),"")</f>
        <v/>
      </c>
      <c r="AC83" s="2" t="str" cm="1">
        <f t="array" ref="AC83">IF('NILAI CPL'!$B83&lt;&gt;"",IFERROR(_xlfn.IFS(F83&gt;=$B$3,4,F83&gt;=$B$4,3,F83&gt;=$B$5,2,F83&gt;$B$6,1),0),"")</f>
        <v/>
      </c>
      <c r="AD83" s="2" t="str" cm="1">
        <f t="array" ref="AD83">IF('NILAI CPL'!$B83&lt;&gt;"",IFERROR(_xlfn.IFS(G83&gt;=$B$3,4,G83&gt;=$B$4,3,G83&gt;=$B$5,2,G83&gt;$B$6,1),0),"")</f>
        <v/>
      </c>
      <c r="AE83" s="2" t="str" cm="1">
        <f t="array" ref="AE83">IF('NILAI CPL'!$B83&lt;&gt;"",IFERROR(_xlfn.IFS(H83&gt;=$B$3,4,H83&gt;=$B$4,3,H83&gt;=$B$5,2,H83&gt;$B$6,1),0),"")</f>
        <v/>
      </c>
      <c r="AF83" s="2" t="str" cm="1">
        <f t="array" ref="AF83">IF('NILAI CPL'!$B83&lt;&gt;"",IFERROR(_xlfn.IFS(I83&gt;=$B$3,4,I83&gt;=$B$4,3,I83&gt;=$B$5,2,I83&gt;$B$6,1),0),"")</f>
        <v/>
      </c>
      <c r="AG83" s="2" t="str" cm="1">
        <f t="array" ref="AG83">IF('NILAI CPL'!$B83&lt;&gt;"",IFERROR(_xlfn.IFS(J83&gt;=$B$3,4,J83&gt;=$B$4,3,J83&gt;=$B$5,2,J83&gt;$B$6,1),0),"")</f>
        <v/>
      </c>
      <c r="AH83" s="2" t="str" cm="1">
        <f t="array" ref="AH83">IF('NILAI CPL'!$B83&lt;&gt;"",IFERROR(_xlfn.IFS(K83&gt;=$B$3,4,K83&gt;=$B$4,3,K83&gt;=$B$5,2,K83&gt;$B$6,1),0),"")</f>
        <v/>
      </c>
      <c r="AI83" s="2" t="str" cm="1">
        <f t="array" ref="AI83">IF('NILAI CPL'!$B83&lt;&gt;"",IFERROR(_xlfn.IFS(L83&gt;=$B$3,4,L83&gt;=$B$4,3,L83&gt;=$B$5,2,L83&gt;$B$6,1),0),"")</f>
        <v/>
      </c>
      <c r="AJ83" s="2" t="str" cm="1">
        <f t="array" ref="AJ83">IF('NILAI CPL'!$B83&lt;&gt;"",IFERROR(_xlfn.IFS(M83&gt;=$B$3,4,M83&gt;=$B$4,3,M83&gt;=$B$5,2,M83&gt;$B$6,1),0),"")</f>
        <v/>
      </c>
      <c r="AK83" s="2" t="str" cm="1">
        <f t="array" ref="AK83">IF('NILAI CPL'!$B83&lt;&gt;"",IFERROR(_xlfn.IFS(N83&gt;=$B$3,4,N83&gt;=$B$4,3,N83&gt;=$B$5,2,N83&gt;$B$6,1),0),"")</f>
        <v/>
      </c>
      <c r="AL83" s="2" t="str" cm="1">
        <f t="array" ref="AL83">IF('NILAI CPL'!$B83&lt;&gt;"",IFERROR(_xlfn.IFS(O83&gt;=$B$3,4,O83&gt;=$B$4,3,O83&gt;=$B$5,2,O83&gt;$B$6,1),0),"")</f>
        <v/>
      </c>
      <c r="AM83" s="2" t="str" cm="1">
        <f t="array" ref="AM83">IF('NILAI CPL'!$B83&lt;&gt;"",IFERROR(_xlfn.IFS(P83&gt;=$B$3,4,P83&gt;=$B$4,3,P83&gt;=$B$5,2,P83&gt;$B$6,1),0),"")</f>
        <v/>
      </c>
      <c r="AN83" s="2" t="str" cm="1">
        <f t="array" ref="AN83">IF('NILAI CPL'!$B83&lt;&gt;"",IFERROR(_xlfn.IFS(Q83&gt;=$B$3,4,Q83&gt;=$B$4,3,Q83&gt;=$B$5,2,Q83&gt;$B$6,1),0),"")</f>
        <v/>
      </c>
      <c r="AO83" s="2" t="str" cm="1">
        <f t="array" ref="AO83">IF('NILAI CPL'!$B83&lt;&gt;"",IFERROR(_xlfn.IFS(R83&gt;=$B$3,4,R83&gt;=$B$4,3,R83&gt;=$B$5,2,R83&gt;$B$6,1),0),"")</f>
        <v/>
      </c>
      <c r="AP83" s="2" t="str" cm="1">
        <f t="array" ref="AP83">IF('NILAI CPL'!$B83&lt;&gt;"",IFERROR(_xlfn.IFS(S83&gt;=$B$3,4,S83&gt;=$B$4,3,S83&gt;=$B$5,2,S83&gt;$B$6,1),0),"")</f>
        <v/>
      </c>
      <c r="AQ83" s="2" t="str" cm="1">
        <f t="array" ref="AQ83">IF('NILAI CPL'!$B83&lt;&gt;"",IFERROR(_xlfn.IFS(T83&gt;=$B$3,4,T83&gt;=$B$4,3,T83&gt;=$B$5,2,T83&gt;$B$6,1),0),"")</f>
        <v/>
      </c>
      <c r="AR83" s="2" t="str" cm="1">
        <f t="array" ref="AR83">IF('NILAI CPL'!$B83&lt;&gt;"",IFERROR(_xlfn.IFS(U83&gt;=$B$3,4,U83&gt;=$B$4,3,U83&gt;=$B$5,2,U83&gt;$B$6,1),0),"")</f>
        <v/>
      </c>
      <c r="AS83" s="2" t="str" cm="1">
        <f t="array" ref="AS83">IF('NILAI CPL'!$B83&lt;&gt;"",IFERROR(_xlfn.IFS(V83&gt;=$B$3,4,V83&gt;=$B$4,3,V83&gt;=$B$5,2,V83&gt;$B$6,1),0),"")</f>
        <v/>
      </c>
      <c r="AT83" s="2" t="str" cm="1">
        <f t="array" ref="AT83">IF('NILAI CPL'!$B83&lt;&gt;"",IFERROR(_xlfn.IFS(W83&gt;=$B$3,4,W83&gt;=$B$4,3,W83&gt;=$B$5,2,W83&gt;$B$6,1),0),"")</f>
        <v/>
      </c>
      <c r="AU83" s="2" t="str" cm="1">
        <f t="array" ref="AU83">IF('NILAI CPL'!$B83&lt;&gt;"",IFERROR(_xlfn.IFS(X83&gt;=$B$3,4,X83&gt;=$B$4,3,X83&gt;=$B$5,2,X83&gt;$B$6,1),0),"")</f>
        <v/>
      </c>
      <c r="AV83" s="2" t="str" cm="1">
        <f t="array" ref="AV83">IF('NILAI CPL'!$B83&lt;&gt;"",IFERROR(_xlfn.IFS(Y83&gt;=$B$3,4,Y83&gt;=$B$4,3,Y83&gt;=$B$5,2,Y83&gt;$B$6,1),0),"")</f>
        <v/>
      </c>
      <c r="AW83" s="2" t="str" cm="1">
        <f t="array" ref="AW83">IF('NILAI CPL'!$B83&lt;&gt;"",IFERROR(_xlfn.IFS(Z83&gt;=$B$3,4,Z83&gt;=$B$4,3,Z83&gt;=$B$5,2,Z83&gt;$B$6,1),0),"")</f>
        <v/>
      </c>
      <c r="AY83" s="2" t="str">
        <f t="shared" si="10"/>
        <v/>
      </c>
      <c r="AZ83" s="2" t="str">
        <f t="shared" si="11"/>
        <v/>
      </c>
      <c r="BA83" s="2" t="str">
        <f t="shared" si="12"/>
        <v/>
      </c>
      <c r="BB83" s="2" t="str">
        <f t="shared" si="13"/>
        <v/>
      </c>
      <c r="BC83" s="2" t="str">
        <f t="shared" si="14"/>
        <v/>
      </c>
      <c r="BD83" s="2" t="str">
        <f t="shared" si="15"/>
        <v/>
      </c>
      <c r="BE83" s="2" t="str">
        <f t="shared" si="16"/>
        <v/>
      </c>
      <c r="BF83" s="2" t="str">
        <f t="shared" si="17"/>
        <v/>
      </c>
      <c r="BG83" s="2" t="str">
        <f t="shared" si="18"/>
        <v/>
      </c>
      <c r="BH83" s="2" t="str">
        <f t="shared" si="19"/>
        <v/>
      </c>
      <c r="BJ83" s="2" t="str" cm="1">
        <f t="array" ref="BJ83">IF('NILAI CPL'!$B83&lt;&gt;"",IFERROR(_xlfn.IFS(AY83&gt;=$B$3,4,AY83&gt;=$B$4,3,AY83&gt;=$B$5,2,AY83&gt;$B$6,1),0),"")</f>
        <v/>
      </c>
      <c r="BK83" s="2" t="str" cm="1">
        <f t="array" ref="BK83">IF('NILAI CPL'!$B83&lt;&gt;"",IFERROR(_xlfn.IFS(AZ83&gt;=$B$3,4,AZ83&gt;=$B$4,3,AZ83&gt;=$B$5,2,AZ83&gt;$B$6,1),0),"")</f>
        <v/>
      </c>
      <c r="BL83" s="2" t="str" cm="1">
        <f t="array" ref="BL83">IF('NILAI CPL'!$B83&lt;&gt;"",IFERROR(_xlfn.IFS(BA83&gt;=$B$3,4,BA83&gt;=$B$4,3,BA83&gt;=$B$5,2,BA83&gt;$B$6,1),0),"")</f>
        <v/>
      </c>
      <c r="BM83" s="2" t="str" cm="1">
        <f t="array" ref="BM83">IF('NILAI CPL'!$B83&lt;&gt;"",IFERROR(_xlfn.IFS(BB83&gt;=$B$3,4,BB83&gt;=$B$4,3,BB83&gt;=$B$5,2,BB83&gt;$B$6,1),0),"")</f>
        <v/>
      </c>
      <c r="BN83" s="2" t="str" cm="1">
        <f t="array" ref="BN83">IF('NILAI CPL'!$B83&lt;&gt;"",IFERROR(_xlfn.IFS(BC83&gt;=$B$3,4,BC83&gt;=$B$4,3,BC83&gt;=$B$5,2,BC83&gt;$B$6,1),0),"")</f>
        <v/>
      </c>
      <c r="BO83" s="2" t="str" cm="1">
        <f t="array" ref="BO83">IF('NILAI CPL'!$B83&lt;&gt;"",IFERROR(_xlfn.IFS(BD83&gt;=$B$3,4,BD83&gt;=$B$4,3,BD83&gt;=$B$5,2,BD83&gt;$B$6,1),0),"")</f>
        <v/>
      </c>
      <c r="BP83" s="2" t="str" cm="1">
        <f t="array" ref="BP83">IF('NILAI CPL'!$B83&lt;&gt;"",IFERROR(_xlfn.IFS(BE83&gt;=$B$3,4,BE83&gt;=$B$4,3,BE83&gt;=$B$5,2,BE83&gt;$B$6,1),0),"")</f>
        <v/>
      </c>
      <c r="BQ83" s="2" t="str" cm="1">
        <f t="array" ref="BQ83">IF('NILAI CPL'!$B83&lt;&gt;"",IFERROR(_xlfn.IFS(BF83&gt;=$B$3,4,BF83&gt;=$B$4,3,BF83&gt;=$B$5,2,BF83&gt;$B$6,1),0),"")</f>
        <v/>
      </c>
      <c r="BR83" s="2" t="str" cm="1">
        <f t="array" ref="BR83">IF('NILAI CPL'!$B83&lt;&gt;"",IFERROR(_xlfn.IFS(BG83&gt;=$B$3,4,BG83&gt;=$B$4,3,BG83&gt;=$B$5,2,BG83&gt;$B$6,1),0),"")</f>
        <v/>
      </c>
      <c r="BS83" s="2" t="str" cm="1">
        <f t="array" ref="BS83">IF('NILAI CPL'!$B83&lt;&gt;"",IFERROR(_xlfn.IFS(BH83&gt;=$B$3,4,BH83&gt;=$B$4,3,BH83&gt;=$B$5,2,BH83&gt;$B$6,1),0),"")</f>
        <v/>
      </c>
    </row>
    <row r="84" spans="1:71" x14ac:dyDescent="0.2">
      <c r="A84" s="2">
        <v>74</v>
      </c>
      <c r="B84" s="2" t="str">
        <f>IF(LEN(SUMMARY!B84)&gt;0, SUMMARY!B84, "")</f>
        <v/>
      </c>
      <c r="C84" s="2" t="str">
        <f>IF(LEN(SUMMARY!C84)&gt;0, SUMMARY!C84, "")</f>
        <v/>
      </c>
      <c r="E84" s="2" t="str" cm="1">
        <f t="array" ref="E84">IF('NILAI CPL'!$B84&lt;&gt;"",IFERROR(JumlahPI(ROW(),COLUMN()),0),"")</f>
        <v/>
      </c>
      <c r="F84" s="2" t="str" cm="1">
        <f t="array" ref="F84">IF('NILAI CPL'!$B84&lt;&gt;"",IFERROR(JumlahPI(ROW(),COLUMN()),0),"")</f>
        <v/>
      </c>
      <c r="G84" s="2" t="str" cm="1">
        <f t="array" ref="G84">IF('NILAI CPL'!$B84&lt;&gt;"",IFERROR(JumlahPI(ROW(),COLUMN()),0),"")</f>
        <v/>
      </c>
      <c r="H84" s="2" t="str" cm="1">
        <f t="array" ref="H84">IF('NILAI CPL'!$B84&lt;&gt;"",IFERROR(JumlahPI(ROW(),COLUMN()),0),"")</f>
        <v/>
      </c>
      <c r="I84" s="2" t="str" cm="1">
        <f t="array" ref="I84">IF('NILAI CPL'!$B84&lt;&gt;"",IFERROR(JumlahPI(ROW(),COLUMN()),0),"")</f>
        <v/>
      </c>
      <c r="J84" s="2" t="str" cm="1">
        <f t="array" ref="J84">IF('NILAI CPL'!$B84&lt;&gt;"",IFERROR(JumlahPI(ROW(),COLUMN()),0),"")</f>
        <v/>
      </c>
      <c r="K84" s="2" t="str" cm="1">
        <f t="array" ref="K84">IF('NILAI CPL'!$B84&lt;&gt;"",IFERROR(JumlahPI(ROW(),COLUMN()),0),"")</f>
        <v/>
      </c>
      <c r="L84" s="2" t="str" cm="1">
        <f t="array" ref="L84">IF('NILAI CPL'!$B84&lt;&gt;"",IFERROR(JumlahPI(ROW(),COLUMN()),0),"")</f>
        <v/>
      </c>
      <c r="M84" s="2" t="str" cm="1">
        <f t="array" ref="M84">IF('NILAI CPL'!$B84&lt;&gt;"",IFERROR(JumlahPI(ROW(),COLUMN()),0),"")</f>
        <v/>
      </c>
      <c r="N84" s="2" t="str" cm="1">
        <f t="array" ref="N84">IF('NILAI CPL'!$B84&lt;&gt;"",IFERROR(JumlahPI(ROW(),COLUMN()),0),"")</f>
        <v/>
      </c>
      <c r="O84" s="2" t="str" cm="1">
        <f t="array" ref="O84">IF('NILAI CPL'!$B84&lt;&gt;"",IFERROR(JumlahPI(ROW(),COLUMN()),0),"")</f>
        <v/>
      </c>
      <c r="P84" s="2" t="str" cm="1">
        <f t="array" ref="P84">IF('NILAI CPL'!$B84&lt;&gt;"",IFERROR(JumlahPI(ROW(),COLUMN()),0),"")</f>
        <v/>
      </c>
      <c r="Q84" s="2" t="str" cm="1">
        <f t="array" ref="Q84">IF('NILAI CPL'!$B84&lt;&gt;"",IFERROR(JumlahPI(ROW(),COLUMN()),0),"")</f>
        <v/>
      </c>
      <c r="R84" s="2" t="str" cm="1">
        <f t="array" ref="R84">IF('NILAI CPL'!$B84&lt;&gt;"",IFERROR(JumlahPI(ROW(),COLUMN()),0),"")</f>
        <v/>
      </c>
      <c r="S84" s="2" t="str" cm="1">
        <f t="array" ref="S84">IF('NILAI CPL'!$B84&lt;&gt;"",IFERROR(JumlahPI(ROW(),COLUMN()),0),"")</f>
        <v/>
      </c>
      <c r="T84" s="2" t="str" cm="1">
        <f t="array" ref="T84">IF('NILAI CPL'!$B84&lt;&gt;"",IFERROR(JumlahPI(ROW(),COLUMN()),0),"")</f>
        <v/>
      </c>
      <c r="U84" s="2" t="str" cm="1">
        <f t="array" ref="U84">IF('NILAI CPL'!$B84&lt;&gt;"",IFERROR(JumlahPI(ROW(),COLUMN()),0),"")</f>
        <v/>
      </c>
      <c r="V84" s="2" t="str" cm="1">
        <f t="array" ref="V84">IF('NILAI CPL'!$B84&lt;&gt;"",IFERROR(JumlahPI(ROW(),COLUMN()),0),"")</f>
        <v/>
      </c>
      <c r="W84" s="2" t="str" cm="1">
        <f t="array" ref="W84">IF('NILAI CPL'!$B84&lt;&gt;"",IFERROR(JumlahPI(ROW(),COLUMN()),0),"")</f>
        <v/>
      </c>
      <c r="X84" s="2" t="str" cm="1">
        <f t="array" ref="X84">IF('NILAI CPL'!$B84&lt;&gt;"",IFERROR(JumlahPI(ROW(),COLUMN()),0),"")</f>
        <v/>
      </c>
      <c r="Y84" s="2" t="str" cm="1">
        <f t="array" ref="Y84">IF('NILAI CPL'!$B84&lt;&gt;"",IFERROR(JumlahPI(ROW(),COLUMN()),0),"")</f>
        <v/>
      </c>
      <c r="Z84" s="2" t="str" cm="1">
        <f t="array" ref="Z84">IF('NILAI CPL'!$B84&lt;&gt;"",IFERROR(JumlahPI(ROW(),COLUMN()),0),"")</f>
        <v/>
      </c>
      <c r="AB84" s="2" t="str" cm="1">
        <f t="array" ref="AB84">IF('NILAI CPL'!$B84&lt;&gt;"",IFERROR(_xlfn.IFS(E84&gt;=$B$3,4,E84&gt;=$B$4,3,E84&gt;=$B$5,2,E84&gt;$B$6,1),0),"")</f>
        <v/>
      </c>
      <c r="AC84" s="2" t="str" cm="1">
        <f t="array" ref="AC84">IF('NILAI CPL'!$B84&lt;&gt;"",IFERROR(_xlfn.IFS(F84&gt;=$B$3,4,F84&gt;=$B$4,3,F84&gt;=$B$5,2,F84&gt;$B$6,1),0),"")</f>
        <v/>
      </c>
      <c r="AD84" s="2" t="str" cm="1">
        <f t="array" ref="AD84">IF('NILAI CPL'!$B84&lt;&gt;"",IFERROR(_xlfn.IFS(G84&gt;=$B$3,4,G84&gt;=$B$4,3,G84&gt;=$B$5,2,G84&gt;$B$6,1),0),"")</f>
        <v/>
      </c>
      <c r="AE84" s="2" t="str" cm="1">
        <f t="array" ref="AE84">IF('NILAI CPL'!$B84&lt;&gt;"",IFERROR(_xlfn.IFS(H84&gt;=$B$3,4,H84&gt;=$B$4,3,H84&gt;=$B$5,2,H84&gt;$B$6,1),0),"")</f>
        <v/>
      </c>
      <c r="AF84" s="2" t="str" cm="1">
        <f t="array" ref="AF84">IF('NILAI CPL'!$B84&lt;&gt;"",IFERROR(_xlfn.IFS(I84&gt;=$B$3,4,I84&gt;=$B$4,3,I84&gt;=$B$5,2,I84&gt;$B$6,1),0),"")</f>
        <v/>
      </c>
      <c r="AG84" s="2" t="str" cm="1">
        <f t="array" ref="AG84">IF('NILAI CPL'!$B84&lt;&gt;"",IFERROR(_xlfn.IFS(J84&gt;=$B$3,4,J84&gt;=$B$4,3,J84&gt;=$B$5,2,J84&gt;$B$6,1),0),"")</f>
        <v/>
      </c>
      <c r="AH84" s="2" t="str" cm="1">
        <f t="array" ref="AH84">IF('NILAI CPL'!$B84&lt;&gt;"",IFERROR(_xlfn.IFS(K84&gt;=$B$3,4,K84&gt;=$B$4,3,K84&gt;=$B$5,2,K84&gt;$B$6,1),0),"")</f>
        <v/>
      </c>
      <c r="AI84" s="2" t="str" cm="1">
        <f t="array" ref="AI84">IF('NILAI CPL'!$B84&lt;&gt;"",IFERROR(_xlfn.IFS(L84&gt;=$B$3,4,L84&gt;=$B$4,3,L84&gt;=$B$5,2,L84&gt;$B$6,1),0),"")</f>
        <v/>
      </c>
      <c r="AJ84" s="2" t="str" cm="1">
        <f t="array" ref="AJ84">IF('NILAI CPL'!$B84&lt;&gt;"",IFERROR(_xlfn.IFS(M84&gt;=$B$3,4,M84&gt;=$B$4,3,M84&gt;=$B$5,2,M84&gt;$B$6,1),0),"")</f>
        <v/>
      </c>
      <c r="AK84" s="2" t="str" cm="1">
        <f t="array" ref="AK84">IF('NILAI CPL'!$B84&lt;&gt;"",IFERROR(_xlfn.IFS(N84&gt;=$B$3,4,N84&gt;=$B$4,3,N84&gt;=$B$5,2,N84&gt;$B$6,1),0),"")</f>
        <v/>
      </c>
      <c r="AL84" s="2" t="str" cm="1">
        <f t="array" ref="AL84">IF('NILAI CPL'!$B84&lt;&gt;"",IFERROR(_xlfn.IFS(O84&gt;=$B$3,4,O84&gt;=$B$4,3,O84&gt;=$B$5,2,O84&gt;$B$6,1),0),"")</f>
        <v/>
      </c>
      <c r="AM84" s="2" t="str" cm="1">
        <f t="array" ref="AM84">IF('NILAI CPL'!$B84&lt;&gt;"",IFERROR(_xlfn.IFS(P84&gt;=$B$3,4,P84&gt;=$B$4,3,P84&gt;=$B$5,2,P84&gt;$B$6,1),0),"")</f>
        <v/>
      </c>
      <c r="AN84" s="2" t="str" cm="1">
        <f t="array" ref="AN84">IF('NILAI CPL'!$B84&lt;&gt;"",IFERROR(_xlfn.IFS(Q84&gt;=$B$3,4,Q84&gt;=$B$4,3,Q84&gt;=$B$5,2,Q84&gt;$B$6,1),0),"")</f>
        <v/>
      </c>
      <c r="AO84" s="2" t="str" cm="1">
        <f t="array" ref="AO84">IF('NILAI CPL'!$B84&lt;&gt;"",IFERROR(_xlfn.IFS(R84&gt;=$B$3,4,R84&gt;=$B$4,3,R84&gt;=$B$5,2,R84&gt;$B$6,1),0),"")</f>
        <v/>
      </c>
      <c r="AP84" s="2" t="str" cm="1">
        <f t="array" ref="AP84">IF('NILAI CPL'!$B84&lt;&gt;"",IFERROR(_xlfn.IFS(S84&gt;=$B$3,4,S84&gt;=$B$4,3,S84&gt;=$B$5,2,S84&gt;$B$6,1),0),"")</f>
        <v/>
      </c>
      <c r="AQ84" s="2" t="str" cm="1">
        <f t="array" ref="AQ84">IF('NILAI CPL'!$B84&lt;&gt;"",IFERROR(_xlfn.IFS(T84&gt;=$B$3,4,T84&gt;=$B$4,3,T84&gt;=$B$5,2,T84&gt;$B$6,1),0),"")</f>
        <v/>
      </c>
      <c r="AR84" s="2" t="str" cm="1">
        <f t="array" ref="AR84">IF('NILAI CPL'!$B84&lt;&gt;"",IFERROR(_xlfn.IFS(U84&gt;=$B$3,4,U84&gt;=$B$4,3,U84&gt;=$B$5,2,U84&gt;$B$6,1),0),"")</f>
        <v/>
      </c>
      <c r="AS84" s="2" t="str" cm="1">
        <f t="array" ref="AS84">IF('NILAI CPL'!$B84&lt;&gt;"",IFERROR(_xlfn.IFS(V84&gt;=$B$3,4,V84&gt;=$B$4,3,V84&gt;=$B$5,2,V84&gt;$B$6,1),0),"")</f>
        <v/>
      </c>
      <c r="AT84" s="2" t="str" cm="1">
        <f t="array" ref="AT84">IF('NILAI CPL'!$B84&lt;&gt;"",IFERROR(_xlfn.IFS(W84&gt;=$B$3,4,W84&gt;=$B$4,3,W84&gt;=$B$5,2,W84&gt;$B$6,1),0),"")</f>
        <v/>
      </c>
      <c r="AU84" s="2" t="str" cm="1">
        <f t="array" ref="AU84">IF('NILAI CPL'!$B84&lt;&gt;"",IFERROR(_xlfn.IFS(X84&gt;=$B$3,4,X84&gt;=$B$4,3,X84&gt;=$B$5,2,X84&gt;$B$6,1),0),"")</f>
        <v/>
      </c>
      <c r="AV84" s="2" t="str" cm="1">
        <f t="array" ref="AV84">IF('NILAI CPL'!$B84&lt;&gt;"",IFERROR(_xlfn.IFS(Y84&gt;=$B$3,4,Y84&gt;=$B$4,3,Y84&gt;=$B$5,2,Y84&gt;$B$6,1),0),"")</f>
        <v/>
      </c>
      <c r="AW84" s="2" t="str" cm="1">
        <f t="array" ref="AW84">IF('NILAI CPL'!$B84&lt;&gt;"",IFERROR(_xlfn.IFS(Z84&gt;=$B$3,4,Z84&gt;=$B$4,3,Z84&gt;=$B$5,2,Z84&gt;$B$6,1),0),"")</f>
        <v/>
      </c>
      <c r="AY84" s="2" t="str">
        <f t="shared" si="10"/>
        <v/>
      </c>
      <c r="AZ84" s="2" t="str">
        <f t="shared" si="11"/>
        <v/>
      </c>
      <c r="BA84" s="2" t="str">
        <f t="shared" si="12"/>
        <v/>
      </c>
      <c r="BB84" s="2" t="str">
        <f t="shared" si="13"/>
        <v/>
      </c>
      <c r="BC84" s="2" t="str">
        <f t="shared" si="14"/>
        <v/>
      </c>
      <c r="BD84" s="2" t="str">
        <f t="shared" si="15"/>
        <v/>
      </c>
      <c r="BE84" s="2" t="str">
        <f t="shared" si="16"/>
        <v/>
      </c>
      <c r="BF84" s="2" t="str">
        <f t="shared" si="17"/>
        <v/>
      </c>
      <c r="BG84" s="2" t="str">
        <f t="shared" si="18"/>
        <v/>
      </c>
      <c r="BH84" s="2" t="str">
        <f t="shared" si="19"/>
        <v/>
      </c>
      <c r="BJ84" s="2" t="str" cm="1">
        <f t="array" ref="BJ84">IF('NILAI CPL'!$B84&lt;&gt;"",IFERROR(_xlfn.IFS(AY84&gt;=$B$3,4,AY84&gt;=$B$4,3,AY84&gt;=$B$5,2,AY84&gt;$B$6,1),0),"")</f>
        <v/>
      </c>
      <c r="BK84" s="2" t="str" cm="1">
        <f t="array" ref="BK84">IF('NILAI CPL'!$B84&lt;&gt;"",IFERROR(_xlfn.IFS(AZ84&gt;=$B$3,4,AZ84&gt;=$B$4,3,AZ84&gt;=$B$5,2,AZ84&gt;$B$6,1),0),"")</f>
        <v/>
      </c>
      <c r="BL84" s="2" t="str" cm="1">
        <f t="array" ref="BL84">IF('NILAI CPL'!$B84&lt;&gt;"",IFERROR(_xlfn.IFS(BA84&gt;=$B$3,4,BA84&gt;=$B$4,3,BA84&gt;=$B$5,2,BA84&gt;$B$6,1),0),"")</f>
        <v/>
      </c>
      <c r="BM84" s="2" t="str" cm="1">
        <f t="array" ref="BM84">IF('NILAI CPL'!$B84&lt;&gt;"",IFERROR(_xlfn.IFS(BB84&gt;=$B$3,4,BB84&gt;=$B$4,3,BB84&gt;=$B$5,2,BB84&gt;$B$6,1),0),"")</f>
        <v/>
      </c>
      <c r="BN84" s="2" t="str" cm="1">
        <f t="array" ref="BN84">IF('NILAI CPL'!$B84&lt;&gt;"",IFERROR(_xlfn.IFS(BC84&gt;=$B$3,4,BC84&gt;=$B$4,3,BC84&gt;=$B$5,2,BC84&gt;$B$6,1),0),"")</f>
        <v/>
      </c>
      <c r="BO84" s="2" t="str" cm="1">
        <f t="array" ref="BO84">IF('NILAI CPL'!$B84&lt;&gt;"",IFERROR(_xlfn.IFS(BD84&gt;=$B$3,4,BD84&gt;=$B$4,3,BD84&gt;=$B$5,2,BD84&gt;$B$6,1),0),"")</f>
        <v/>
      </c>
      <c r="BP84" s="2" t="str" cm="1">
        <f t="array" ref="BP84">IF('NILAI CPL'!$B84&lt;&gt;"",IFERROR(_xlfn.IFS(BE84&gt;=$B$3,4,BE84&gt;=$B$4,3,BE84&gt;=$B$5,2,BE84&gt;$B$6,1),0),"")</f>
        <v/>
      </c>
      <c r="BQ84" s="2" t="str" cm="1">
        <f t="array" ref="BQ84">IF('NILAI CPL'!$B84&lt;&gt;"",IFERROR(_xlfn.IFS(BF84&gt;=$B$3,4,BF84&gt;=$B$4,3,BF84&gt;=$B$5,2,BF84&gt;$B$6,1),0),"")</f>
        <v/>
      </c>
      <c r="BR84" s="2" t="str" cm="1">
        <f t="array" ref="BR84">IF('NILAI CPL'!$B84&lt;&gt;"",IFERROR(_xlfn.IFS(BG84&gt;=$B$3,4,BG84&gt;=$B$4,3,BG84&gt;=$B$5,2,BG84&gt;$B$6,1),0),"")</f>
        <v/>
      </c>
      <c r="BS84" s="2" t="str" cm="1">
        <f t="array" ref="BS84">IF('NILAI CPL'!$B84&lt;&gt;"",IFERROR(_xlfn.IFS(BH84&gt;=$B$3,4,BH84&gt;=$B$4,3,BH84&gt;=$B$5,2,BH84&gt;$B$6,1),0),"")</f>
        <v/>
      </c>
    </row>
    <row r="85" spans="1:71" x14ac:dyDescent="0.2">
      <c r="A85" s="2">
        <v>75</v>
      </c>
      <c r="B85" s="2" t="str">
        <f>IF(LEN(SUMMARY!B85)&gt;0, SUMMARY!B85, "")</f>
        <v/>
      </c>
      <c r="C85" s="2" t="str">
        <f>IF(LEN(SUMMARY!C85)&gt;0, SUMMARY!C85, "")</f>
        <v/>
      </c>
      <c r="E85" s="2" t="str" cm="1">
        <f t="array" ref="E85">IF('NILAI CPL'!$B85&lt;&gt;"",IFERROR(JumlahPI(ROW(),COLUMN()),0),"")</f>
        <v/>
      </c>
      <c r="F85" s="2" t="str" cm="1">
        <f t="array" ref="F85">IF('NILAI CPL'!$B85&lt;&gt;"",IFERROR(JumlahPI(ROW(),COLUMN()),0),"")</f>
        <v/>
      </c>
      <c r="G85" s="2" t="str" cm="1">
        <f t="array" ref="G85">IF('NILAI CPL'!$B85&lt;&gt;"",IFERROR(JumlahPI(ROW(),COLUMN()),0),"")</f>
        <v/>
      </c>
      <c r="H85" s="2" t="str" cm="1">
        <f t="array" ref="H85">IF('NILAI CPL'!$B85&lt;&gt;"",IFERROR(JumlahPI(ROW(),COLUMN()),0),"")</f>
        <v/>
      </c>
      <c r="I85" s="2" t="str" cm="1">
        <f t="array" ref="I85">IF('NILAI CPL'!$B85&lt;&gt;"",IFERROR(JumlahPI(ROW(),COLUMN()),0),"")</f>
        <v/>
      </c>
      <c r="J85" s="2" t="str" cm="1">
        <f t="array" ref="J85">IF('NILAI CPL'!$B85&lt;&gt;"",IFERROR(JumlahPI(ROW(),COLUMN()),0),"")</f>
        <v/>
      </c>
      <c r="K85" s="2" t="str" cm="1">
        <f t="array" ref="K85">IF('NILAI CPL'!$B85&lt;&gt;"",IFERROR(JumlahPI(ROW(),COLUMN()),0),"")</f>
        <v/>
      </c>
      <c r="L85" s="2" t="str" cm="1">
        <f t="array" ref="L85">IF('NILAI CPL'!$B85&lt;&gt;"",IFERROR(JumlahPI(ROW(),COLUMN()),0),"")</f>
        <v/>
      </c>
      <c r="M85" s="2" t="str" cm="1">
        <f t="array" ref="M85">IF('NILAI CPL'!$B85&lt;&gt;"",IFERROR(JumlahPI(ROW(),COLUMN()),0),"")</f>
        <v/>
      </c>
      <c r="N85" s="2" t="str" cm="1">
        <f t="array" ref="N85">IF('NILAI CPL'!$B85&lt;&gt;"",IFERROR(JumlahPI(ROW(),COLUMN()),0),"")</f>
        <v/>
      </c>
      <c r="O85" s="2" t="str" cm="1">
        <f t="array" ref="O85">IF('NILAI CPL'!$B85&lt;&gt;"",IFERROR(JumlahPI(ROW(),COLUMN()),0),"")</f>
        <v/>
      </c>
      <c r="P85" s="2" t="str" cm="1">
        <f t="array" ref="P85">IF('NILAI CPL'!$B85&lt;&gt;"",IFERROR(JumlahPI(ROW(),COLUMN()),0),"")</f>
        <v/>
      </c>
      <c r="Q85" s="2" t="str" cm="1">
        <f t="array" ref="Q85">IF('NILAI CPL'!$B85&lt;&gt;"",IFERROR(JumlahPI(ROW(),COLUMN()),0),"")</f>
        <v/>
      </c>
      <c r="R85" s="2" t="str" cm="1">
        <f t="array" ref="R85">IF('NILAI CPL'!$B85&lt;&gt;"",IFERROR(JumlahPI(ROW(),COLUMN()),0),"")</f>
        <v/>
      </c>
      <c r="S85" s="2" t="str" cm="1">
        <f t="array" ref="S85">IF('NILAI CPL'!$B85&lt;&gt;"",IFERROR(JumlahPI(ROW(),COLUMN()),0),"")</f>
        <v/>
      </c>
      <c r="T85" s="2" t="str" cm="1">
        <f t="array" ref="T85">IF('NILAI CPL'!$B85&lt;&gt;"",IFERROR(JumlahPI(ROW(),COLUMN()),0),"")</f>
        <v/>
      </c>
      <c r="U85" s="2" t="str" cm="1">
        <f t="array" ref="U85">IF('NILAI CPL'!$B85&lt;&gt;"",IFERROR(JumlahPI(ROW(),COLUMN()),0),"")</f>
        <v/>
      </c>
      <c r="V85" s="2" t="str" cm="1">
        <f t="array" ref="V85">IF('NILAI CPL'!$B85&lt;&gt;"",IFERROR(JumlahPI(ROW(),COLUMN()),0),"")</f>
        <v/>
      </c>
      <c r="W85" s="2" t="str" cm="1">
        <f t="array" ref="W85">IF('NILAI CPL'!$B85&lt;&gt;"",IFERROR(JumlahPI(ROW(),COLUMN()),0),"")</f>
        <v/>
      </c>
      <c r="X85" s="2" t="str" cm="1">
        <f t="array" ref="X85">IF('NILAI CPL'!$B85&lt;&gt;"",IFERROR(JumlahPI(ROW(),COLUMN()),0),"")</f>
        <v/>
      </c>
      <c r="Y85" s="2" t="str" cm="1">
        <f t="array" ref="Y85">IF('NILAI CPL'!$B85&lt;&gt;"",IFERROR(JumlahPI(ROW(),COLUMN()),0),"")</f>
        <v/>
      </c>
      <c r="Z85" s="2" t="str" cm="1">
        <f t="array" ref="Z85">IF('NILAI CPL'!$B85&lt;&gt;"",IFERROR(JumlahPI(ROW(),COLUMN()),0),"")</f>
        <v/>
      </c>
      <c r="AB85" s="2" t="str" cm="1">
        <f t="array" ref="AB85">IF('NILAI CPL'!$B85&lt;&gt;"",IFERROR(_xlfn.IFS(E85&gt;=$B$3,4,E85&gt;=$B$4,3,E85&gt;=$B$5,2,E85&gt;$B$6,1),0),"")</f>
        <v/>
      </c>
      <c r="AC85" s="2" t="str" cm="1">
        <f t="array" ref="AC85">IF('NILAI CPL'!$B85&lt;&gt;"",IFERROR(_xlfn.IFS(F85&gt;=$B$3,4,F85&gt;=$B$4,3,F85&gt;=$B$5,2,F85&gt;$B$6,1),0),"")</f>
        <v/>
      </c>
      <c r="AD85" s="2" t="str" cm="1">
        <f t="array" ref="AD85">IF('NILAI CPL'!$B85&lt;&gt;"",IFERROR(_xlfn.IFS(G85&gt;=$B$3,4,G85&gt;=$B$4,3,G85&gt;=$B$5,2,G85&gt;$B$6,1),0),"")</f>
        <v/>
      </c>
      <c r="AE85" s="2" t="str" cm="1">
        <f t="array" ref="AE85">IF('NILAI CPL'!$B85&lt;&gt;"",IFERROR(_xlfn.IFS(H85&gt;=$B$3,4,H85&gt;=$B$4,3,H85&gt;=$B$5,2,H85&gt;$B$6,1),0),"")</f>
        <v/>
      </c>
      <c r="AF85" s="2" t="str" cm="1">
        <f t="array" ref="AF85">IF('NILAI CPL'!$B85&lt;&gt;"",IFERROR(_xlfn.IFS(I85&gt;=$B$3,4,I85&gt;=$B$4,3,I85&gt;=$B$5,2,I85&gt;$B$6,1),0),"")</f>
        <v/>
      </c>
      <c r="AG85" s="2" t="str" cm="1">
        <f t="array" ref="AG85">IF('NILAI CPL'!$B85&lt;&gt;"",IFERROR(_xlfn.IFS(J85&gt;=$B$3,4,J85&gt;=$B$4,3,J85&gt;=$B$5,2,J85&gt;$B$6,1),0),"")</f>
        <v/>
      </c>
      <c r="AH85" s="2" t="str" cm="1">
        <f t="array" ref="AH85">IF('NILAI CPL'!$B85&lt;&gt;"",IFERROR(_xlfn.IFS(K85&gt;=$B$3,4,K85&gt;=$B$4,3,K85&gt;=$B$5,2,K85&gt;$B$6,1),0),"")</f>
        <v/>
      </c>
      <c r="AI85" s="2" t="str" cm="1">
        <f t="array" ref="AI85">IF('NILAI CPL'!$B85&lt;&gt;"",IFERROR(_xlfn.IFS(L85&gt;=$B$3,4,L85&gt;=$B$4,3,L85&gt;=$B$5,2,L85&gt;$B$6,1),0),"")</f>
        <v/>
      </c>
      <c r="AJ85" s="2" t="str" cm="1">
        <f t="array" ref="AJ85">IF('NILAI CPL'!$B85&lt;&gt;"",IFERROR(_xlfn.IFS(M85&gt;=$B$3,4,M85&gt;=$B$4,3,M85&gt;=$B$5,2,M85&gt;$B$6,1),0),"")</f>
        <v/>
      </c>
      <c r="AK85" s="2" t="str" cm="1">
        <f t="array" ref="AK85">IF('NILAI CPL'!$B85&lt;&gt;"",IFERROR(_xlfn.IFS(N85&gt;=$B$3,4,N85&gt;=$B$4,3,N85&gt;=$B$5,2,N85&gt;$B$6,1),0),"")</f>
        <v/>
      </c>
      <c r="AL85" s="2" t="str" cm="1">
        <f t="array" ref="AL85">IF('NILAI CPL'!$B85&lt;&gt;"",IFERROR(_xlfn.IFS(O85&gt;=$B$3,4,O85&gt;=$B$4,3,O85&gt;=$B$5,2,O85&gt;$B$6,1),0),"")</f>
        <v/>
      </c>
      <c r="AM85" s="2" t="str" cm="1">
        <f t="array" ref="AM85">IF('NILAI CPL'!$B85&lt;&gt;"",IFERROR(_xlfn.IFS(P85&gt;=$B$3,4,P85&gt;=$B$4,3,P85&gt;=$B$5,2,P85&gt;$B$6,1),0),"")</f>
        <v/>
      </c>
      <c r="AN85" s="2" t="str" cm="1">
        <f t="array" ref="AN85">IF('NILAI CPL'!$B85&lt;&gt;"",IFERROR(_xlfn.IFS(Q85&gt;=$B$3,4,Q85&gt;=$B$4,3,Q85&gt;=$B$5,2,Q85&gt;$B$6,1),0),"")</f>
        <v/>
      </c>
      <c r="AO85" s="2" t="str" cm="1">
        <f t="array" ref="AO85">IF('NILAI CPL'!$B85&lt;&gt;"",IFERROR(_xlfn.IFS(R85&gt;=$B$3,4,R85&gt;=$B$4,3,R85&gt;=$B$5,2,R85&gt;$B$6,1),0),"")</f>
        <v/>
      </c>
      <c r="AP85" s="2" t="str" cm="1">
        <f t="array" ref="AP85">IF('NILAI CPL'!$B85&lt;&gt;"",IFERROR(_xlfn.IFS(S85&gt;=$B$3,4,S85&gt;=$B$4,3,S85&gt;=$B$5,2,S85&gt;$B$6,1),0),"")</f>
        <v/>
      </c>
      <c r="AQ85" s="2" t="str" cm="1">
        <f t="array" ref="AQ85">IF('NILAI CPL'!$B85&lt;&gt;"",IFERROR(_xlfn.IFS(T85&gt;=$B$3,4,T85&gt;=$B$4,3,T85&gt;=$B$5,2,T85&gt;$B$6,1),0),"")</f>
        <v/>
      </c>
      <c r="AR85" s="2" t="str" cm="1">
        <f t="array" ref="AR85">IF('NILAI CPL'!$B85&lt;&gt;"",IFERROR(_xlfn.IFS(U85&gt;=$B$3,4,U85&gt;=$B$4,3,U85&gt;=$B$5,2,U85&gt;$B$6,1),0),"")</f>
        <v/>
      </c>
      <c r="AS85" s="2" t="str" cm="1">
        <f t="array" ref="AS85">IF('NILAI CPL'!$B85&lt;&gt;"",IFERROR(_xlfn.IFS(V85&gt;=$B$3,4,V85&gt;=$B$4,3,V85&gt;=$B$5,2,V85&gt;$B$6,1),0),"")</f>
        <v/>
      </c>
      <c r="AT85" s="2" t="str" cm="1">
        <f t="array" ref="AT85">IF('NILAI CPL'!$B85&lt;&gt;"",IFERROR(_xlfn.IFS(W85&gt;=$B$3,4,W85&gt;=$B$4,3,W85&gt;=$B$5,2,W85&gt;$B$6,1),0),"")</f>
        <v/>
      </c>
      <c r="AU85" s="2" t="str" cm="1">
        <f t="array" ref="AU85">IF('NILAI CPL'!$B85&lt;&gt;"",IFERROR(_xlfn.IFS(X85&gt;=$B$3,4,X85&gt;=$B$4,3,X85&gt;=$B$5,2,X85&gt;$B$6,1),0),"")</f>
        <v/>
      </c>
      <c r="AV85" s="2" t="str" cm="1">
        <f t="array" ref="AV85">IF('NILAI CPL'!$B85&lt;&gt;"",IFERROR(_xlfn.IFS(Y85&gt;=$B$3,4,Y85&gt;=$B$4,3,Y85&gt;=$B$5,2,Y85&gt;$B$6,1),0),"")</f>
        <v/>
      </c>
      <c r="AW85" s="2" t="str" cm="1">
        <f t="array" ref="AW85">IF('NILAI CPL'!$B85&lt;&gt;"",IFERROR(_xlfn.IFS(Z85&gt;=$B$3,4,Z85&gt;=$B$4,3,Z85&gt;=$B$5,2,Z85&gt;$B$6,1),0),"")</f>
        <v/>
      </c>
      <c r="AY85" s="2" t="str">
        <f t="shared" si="10"/>
        <v/>
      </c>
      <c r="AZ85" s="2" t="str">
        <f t="shared" si="11"/>
        <v/>
      </c>
      <c r="BA85" s="2" t="str">
        <f t="shared" si="12"/>
        <v/>
      </c>
      <c r="BB85" s="2" t="str">
        <f t="shared" si="13"/>
        <v/>
      </c>
      <c r="BC85" s="2" t="str">
        <f t="shared" si="14"/>
        <v/>
      </c>
      <c r="BD85" s="2" t="str">
        <f t="shared" si="15"/>
        <v/>
      </c>
      <c r="BE85" s="2" t="str">
        <f t="shared" si="16"/>
        <v/>
      </c>
      <c r="BF85" s="2" t="str">
        <f t="shared" si="17"/>
        <v/>
      </c>
      <c r="BG85" s="2" t="str">
        <f t="shared" si="18"/>
        <v/>
      </c>
      <c r="BH85" s="2" t="str">
        <f t="shared" si="19"/>
        <v/>
      </c>
      <c r="BJ85" s="2" t="str" cm="1">
        <f t="array" ref="BJ85">IF('NILAI CPL'!$B85&lt;&gt;"",IFERROR(_xlfn.IFS(AY85&gt;=$B$3,4,AY85&gt;=$B$4,3,AY85&gt;=$B$5,2,AY85&gt;$B$6,1),0),"")</f>
        <v/>
      </c>
      <c r="BK85" s="2" t="str" cm="1">
        <f t="array" ref="BK85">IF('NILAI CPL'!$B85&lt;&gt;"",IFERROR(_xlfn.IFS(AZ85&gt;=$B$3,4,AZ85&gt;=$B$4,3,AZ85&gt;=$B$5,2,AZ85&gt;$B$6,1),0),"")</f>
        <v/>
      </c>
      <c r="BL85" s="2" t="str" cm="1">
        <f t="array" ref="BL85">IF('NILAI CPL'!$B85&lt;&gt;"",IFERROR(_xlfn.IFS(BA85&gt;=$B$3,4,BA85&gt;=$B$4,3,BA85&gt;=$B$5,2,BA85&gt;$B$6,1),0),"")</f>
        <v/>
      </c>
      <c r="BM85" s="2" t="str" cm="1">
        <f t="array" ref="BM85">IF('NILAI CPL'!$B85&lt;&gt;"",IFERROR(_xlfn.IFS(BB85&gt;=$B$3,4,BB85&gt;=$B$4,3,BB85&gt;=$B$5,2,BB85&gt;$B$6,1),0),"")</f>
        <v/>
      </c>
      <c r="BN85" s="2" t="str" cm="1">
        <f t="array" ref="BN85">IF('NILAI CPL'!$B85&lt;&gt;"",IFERROR(_xlfn.IFS(BC85&gt;=$B$3,4,BC85&gt;=$B$4,3,BC85&gt;=$B$5,2,BC85&gt;$B$6,1),0),"")</f>
        <v/>
      </c>
      <c r="BO85" s="2" t="str" cm="1">
        <f t="array" ref="BO85">IF('NILAI CPL'!$B85&lt;&gt;"",IFERROR(_xlfn.IFS(BD85&gt;=$B$3,4,BD85&gt;=$B$4,3,BD85&gt;=$B$5,2,BD85&gt;$B$6,1),0),"")</f>
        <v/>
      </c>
      <c r="BP85" s="2" t="str" cm="1">
        <f t="array" ref="BP85">IF('NILAI CPL'!$B85&lt;&gt;"",IFERROR(_xlfn.IFS(BE85&gt;=$B$3,4,BE85&gt;=$B$4,3,BE85&gt;=$B$5,2,BE85&gt;$B$6,1),0),"")</f>
        <v/>
      </c>
      <c r="BQ85" s="2" t="str" cm="1">
        <f t="array" ref="BQ85">IF('NILAI CPL'!$B85&lt;&gt;"",IFERROR(_xlfn.IFS(BF85&gt;=$B$3,4,BF85&gt;=$B$4,3,BF85&gt;=$B$5,2,BF85&gt;$B$6,1),0),"")</f>
        <v/>
      </c>
      <c r="BR85" s="2" t="str" cm="1">
        <f t="array" ref="BR85">IF('NILAI CPL'!$B85&lt;&gt;"",IFERROR(_xlfn.IFS(BG85&gt;=$B$3,4,BG85&gt;=$B$4,3,BG85&gt;=$B$5,2,BG85&gt;$B$6,1),0),"")</f>
        <v/>
      </c>
      <c r="BS85" s="2" t="str" cm="1">
        <f t="array" ref="BS85">IF('NILAI CPL'!$B85&lt;&gt;"",IFERROR(_xlfn.IFS(BH85&gt;=$B$3,4,BH85&gt;=$B$4,3,BH85&gt;=$B$5,2,BH85&gt;$B$6,1),0),"")</f>
        <v/>
      </c>
    </row>
    <row r="86" spans="1:71" x14ac:dyDescent="0.2">
      <c r="A86" s="2">
        <v>76</v>
      </c>
      <c r="B86" s="2" t="str">
        <f>IF(LEN(SUMMARY!B86)&gt;0, SUMMARY!B86, "")</f>
        <v/>
      </c>
      <c r="C86" s="2" t="str">
        <f>IF(LEN(SUMMARY!C86)&gt;0, SUMMARY!C86, "")</f>
        <v/>
      </c>
      <c r="E86" s="2" t="str" cm="1">
        <f t="array" ref="E86">IF('NILAI CPL'!$B86&lt;&gt;"",IFERROR(JumlahPI(ROW(),COLUMN()),0),"")</f>
        <v/>
      </c>
      <c r="F86" s="2" t="str" cm="1">
        <f t="array" ref="F86">IF('NILAI CPL'!$B86&lt;&gt;"",IFERROR(JumlahPI(ROW(),COLUMN()),0),"")</f>
        <v/>
      </c>
      <c r="G86" s="2" t="str" cm="1">
        <f t="array" ref="G86">IF('NILAI CPL'!$B86&lt;&gt;"",IFERROR(JumlahPI(ROW(),COLUMN()),0),"")</f>
        <v/>
      </c>
      <c r="H86" s="2" t="str" cm="1">
        <f t="array" ref="H86">IF('NILAI CPL'!$B86&lt;&gt;"",IFERROR(JumlahPI(ROW(),COLUMN()),0),"")</f>
        <v/>
      </c>
      <c r="I86" s="2" t="str" cm="1">
        <f t="array" ref="I86">IF('NILAI CPL'!$B86&lt;&gt;"",IFERROR(JumlahPI(ROW(),COLUMN()),0),"")</f>
        <v/>
      </c>
      <c r="J86" s="2" t="str" cm="1">
        <f t="array" ref="J86">IF('NILAI CPL'!$B86&lt;&gt;"",IFERROR(JumlahPI(ROW(),COLUMN()),0),"")</f>
        <v/>
      </c>
      <c r="K86" s="2" t="str" cm="1">
        <f t="array" ref="K86">IF('NILAI CPL'!$B86&lt;&gt;"",IFERROR(JumlahPI(ROW(),COLUMN()),0),"")</f>
        <v/>
      </c>
      <c r="L86" s="2" t="str" cm="1">
        <f t="array" ref="L86">IF('NILAI CPL'!$B86&lt;&gt;"",IFERROR(JumlahPI(ROW(),COLUMN()),0),"")</f>
        <v/>
      </c>
      <c r="M86" s="2" t="str" cm="1">
        <f t="array" ref="M86">IF('NILAI CPL'!$B86&lt;&gt;"",IFERROR(JumlahPI(ROW(),COLUMN()),0),"")</f>
        <v/>
      </c>
      <c r="N86" s="2" t="str" cm="1">
        <f t="array" ref="N86">IF('NILAI CPL'!$B86&lt;&gt;"",IFERROR(JumlahPI(ROW(),COLUMN()),0),"")</f>
        <v/>
      </c>
      <c r="O86" s="2" t="str" cm="1">
        <f t="array" ref="O86">IF('NILAI CPL'!$B86&lt;&gt;"",IFERROR(JumlahPI(ROW(),COLUMN()),0),"")</f>
        <v/>
      </c>
      <c r="P86" s="2" t="str" cm="1">
        <f t="array" ref="P86">IF('NILAI CPL'!$B86&lt;&gt;"",IFERROR(JumlahPI(ROW(),COLUMN()),0),"")</f>
        <v/>
      </c>
      <c r="Q86" s="2" t="str" cm="1">
        <f t="array" ref="Q86">IF('NILAI CPL'!$B86&lt;&gt;"",IFERROR(JumlahPI(ROW(),COLUMN()),0),"")</f>
        <v/>
      </c>
      <c r="R86" s="2" t="str" cm="1">
        <f t="array" ref="R86">IF('NILAI CPL'!$B86&lt;&gt;"",IFERROR(JumlahPI(ROW(),COLUMN()),0),"")</f>
        <v/>
      </c>
      <c r="S86" s="2" t="str" cm="1">
        <f t="array" ref="S86">IF('NILAI CPL'!$B86&lt;&gt;"",IFERROR(JumlahPI(ROW(),COLUMN()),0),"")</f>
        <v/>
      </c>
      <c r="T86" s="2" t="str" cm="1">
        <f t="array" ref="T86">IF('NILAI CPL'!$B86&lt;&gt;"",IFERROR(JumlahPI(ROW(),COLUMN()),0),"")</f>
        <v/>
      </c>
      <c r="U86" s="2" t="str" cm="1">
        <f t="array" ref="U86">IF('NILAI CPL'!$B86&lt;&gt;"",IFERROR(JumlahPI(ROW(),COLUMN()),0),"")</f>
        <v/>
      </c>
      <c r="V86" s="2" t="str" cm="1">
        <f t="array" ref="V86">IF('NILAI CPL'!$B86&lt;&gt;"",IFERROR(JumlahPI(ROW(),COLUMN()),0),"")</f>
        <v/>
      </c>
      <c r="W86" s="2" t="str" cm="1">
        <f t="array" ref="W86">IF('NILAI CPL'!$B86&lt;&gt;"",IFERROR(JumlahPI(ROW(),COLUMN()),0),"")</f>
        <v/>
      </c>
      <c r="X86" s="2" t="str" cm="1">
        <f t="array" ref="X86">IF('NILAI CPL'!$B86&lt;&gt;"",IFERROR(JumlahPI(ROW(),COLUMN()),0),"")</f>
        <v/>
      </c>
      <c r="Y86" s="2" t="str" cm="1">
        <f t="array" ref="Y86">IF('NILAI CPL'!$B86&lt;&gt;"",IFERROR(JumlahPI(ROW(),COLUMN()),0),"")</f>
        <v/>
      </c>
      <c r="Z86" s="2" t="str" cm="1">
        <f t="array" ref="Z86">IF('NILAI CPL'!$B86&lt;&gt;"",IFERROR(JumlahPI(ROW(),COLUMN()),0),"")</f>
        <v/>
      </c>
      <c r="AB86" s="2" t="str" cm="1">
        <f t="array" ref="AB86">IF('NILAI CPL'!$B86&lt;&gt;"",IFERROR(_xlfn.IFS(E86&gt;=$B$3,4,E86&gt;=$B$4,3,E86&gt;=$B$5,2,E86&gt;$B$6,1),0),"")</f>
        <v/>
      </c>
      <c r="AC86" s="2" t="str" cm="1">
        <f t="array" ref="AC86">IF('NILAI CPL'!$B86&lt;&gt;"",IFERROR(_xlfn.IFS(F86&gt;=$B$3,4,F86&gt;=$B$4,3,F86&gt;=$B$5,2,F86&gt;$B$6,1),0),"")</f>
        <v/>
      </c>
      <c r="AD86" s="2" t="str" cm="1">
        <f t="array" ref="AD86">IF('NILAI CPL'!$B86&lt;&gt;"",IFERROR(_xlfn.IFS(G86&gt;=$B$3,4,G86&gt;=$B$4,3,G86&gt;=$B$5,2,G86&gt;$B$6,1),0),"")</f>
        <v/>
      </c>
      <c r="AE86" s="2" t="str" cm="1">
        <f t="array" ref="AE86">IF('NILAI CPL'!$B86&lt;&gt;"",IFERROR(_xlfn.IFS(H86&gt;=$B$3,4,H86&gt;=$B$4,3,H86&gt;=$B$5,2,H86&gt;$B$6,1),0),"")</f>
        <v/>
      </c>
      <c r="AF86" s="2" t="str" cm="1">
        <f t="array" ref="AF86">IF('NILAI CPL'!$B86&lt;&gt;"",IFERROR(_xlfn.IFS(I86&gt;=$B$3,4,I86&gt;=$B$4,3,I86&gt;=$B$5,2,I86&gt;$B$6,1),0),"")</f>
        <v/>
      </c>
      <c r="AG86" s="2" t="str" cm="1">
        <f t="array" ref="AG86">IF('NILAI CPL'!$B86&lt;&gt;"",IFERROR(_xlfn.IFS(J86&gt;=$B$3,4,J86&gt;=$B$4,3,J86&gt;=$B$5,2,J86&gt;$B$6,1),0),"")</f>
        <v/>
      </c>
      <c r="AH86" s="2" t="str" cm="1">
        <f t="array" ref="AH86">IF('NILAI CPL'!$B86&lt;&gt;"",IFERROR(_xlfn.IFS(K86&gt;=$B$3,4,K86&gt;=$B$4,3,K86&gt;=$B$5,2,K86&gt;$B$6,1),0),"")</f>
        <v/>
      </c>
      <c r="AI86" s="2" t="str" cm="1">
        <f t="array" ref="AI86">IF('NILAI CPL'!$B86&lt;&gt;"",IFERROR(_xlfn.IFS(L86&gt;=$B$3,4,L86&gt;=$B$4,3,L86&gt;=$B$5,2,L86&gt;$B$6,1),0),"")</f>
        <v/>
      </c>
      <c r="AJ86" s="2" t="str" cm="1">
        <f t="array" ref="AJ86">IF('NILAI CPL'!$B86&lt;&gt;"",IFERROR(_xlfn.IFS(M86&gt;=$B$3,4,M86&gt;=$B$4,3,M86&gt;=$B$5,2,M86&gt;$B$6,1),0),"")</f>
        <v/>
      </c>
      <c r="AK86" s="2" t="str" cm="1">
        <f t="array" ref="AK86">IF('NILAI CPL'!$B86&lt;&gt;"",IFERROR(_xlfn.IFS(N86&gt;=$B$3,4,N86&gt;=$B$4,3,N86&gt;=$B$5,2,N86&gt;$B$6,1),0),"")</f>
        <v/>
      </c>
      <c r="AL86" s="2" t="str" cm="1">
        <f t="array" ref="AL86">IF('NILAI CPL'!$B86&lt;&gt;"",IFERROR(_xlfn.IFS(O86&gt;=$B$3,4,O86&gt;=$B$4,3,O86&gt;=$B$5,2,O86&gt;$B$6,1),0),"")</f>
        <v/>
      </c>
      <c r="AM86" s="2" t="str" cm="1">
        <f t="array" ref="AM86">IF('NILAI CPL'!$B86&lt;&gt;"",IFERROR(_xlfn.IFS(P86&gt;=$B$3,4,P86&gt;=$B$4,3,P86&gt;=$B$5,2,P86&gt;$B$6,1),0),"")</f>
        <v/>
      </c>
      <c r="AN86" s="2" t="str" cm="1">
        <f t="array" ref="AN86">IF('NILAI CPL'!$B86&lt;&gt;"",IFERROR(_xlfn.IFS(Q86&gt;=$B$3,4,Q86&gt;=$B$4,3,Q86&gt;=$B$5,2,Q86&gt;$B$6,1),0),"")</f>
        <v/>
      </c>
      <c r="AO86" s="2" t="str" cm="1">
        <f t="array" ref="AO86">IF('NILAI CPL'!$B86&lt;&gt;"",IFERROR(_xlfn.IFS(R86&gt;=$B$3,4,R86&gt;=$B$4,3,R86&gt;=$B$5,2,R86&gt;$B$6,1),0),"")</f>
        <v/>
      </c>
      <c r="AP86" s="2" t="str" cm="1">
        <f t="array" ref="AP86">IF('NILAI CPL'!$B86&lt;&gt;"",IFERROR(_xlfn.IFS(S86&gt;=$B$3,4,S86&gt;=$B$4,3,S86&gt;=$B$5,2,S86&gt;$B$6,1),0),"")</f>
        <v/>
      </c>
      <c r="AQ86" s="2" t="str" cm="1">
        <f t="array" ref="AQ86">IF('NILAI CPL'!$B86&lt;&gt;"",IFERROR(_xlfn.IFS(T86&gt;=$B$3,4,T86&gt;=$B$4,3,T86&gt;=$B$5,2,T86&gt;$B$6,1),0),"")</f>
        <v/>
      </c>
      <c r="AR86" s="2" t="str" cm="1">
        <f t="array" ref="AR86">IF('NILAI CPL'!$B86&lt;&gt;"",IFERROR(_xlfn.IFS(U86&gt;=$B$3,4,U86&gt;=$B$4,3,U86&gt;=$B$5,2,U86&gt;$B$6,1),0),"")</f>
        <v/>
      </c>
      <c r="AS86" s="2" t="str" cm="1">
        <f t="array" ref="AS86">IF('NILAI CPL'!$B86&lt;&gt;"",IFERROR(_xlfn.IFS(V86&gt;=$B$3,4,V86&gt;=$B$4,3,V86&gt;=$B$5,2,V86&gt;$B$6,1),0),"")</f>
        <v/>
      </c>
      <c r="AT86" s="2" t="str" cm="1">
        <f t="array" ref="AT86">IF('NILAI CPL'!$B86&lt;&gt;"",IFERROR(_xlfn.IFS(W86&gt;=$B$3,4,W86&gt;=$B$4,3,W86&gt;=$B$5,2,W86&gt;$B$6,1),0),"")</f>
        <v/>
      </c>
      <c r="AU86" s="2" t="str" cm="1">
        <f t="array" ref="AU86">IF('NILAI CPL'!$B86&lt;&gt;"",IFERROR(_xlfn.IFS(X86&gt;=$B$3,4,X86&gt;=$B$4,3,X86&gt;=$B$5,2,X86&gt;$B$6,1),0),"")</f>
        <v/>
      </c>
      <c r="AV86" s="2" t="str" cm="1">
        <f t="array" ref="AV86">IF('NILAI CPL'!$B86&lt;&gt;"",IFERROR(_xlfn.IFS(Y86&gt;=$B$3,4,Y86&gt;=$B$4,3,Y86&gt;=$B$5,2,Y86&gt;$B$6,1),0),"")</f>
        <v/>
      </c>
      <c r="AW86" s="2" t="str" cm="1">
        <f t="array" ref="AW86">IF('NILAI CPL'!$B86&lt;&gt;"",IFERROR(_xlfn.IFS(Z86&gt;=$B$3,4,Z86&gt;=$B$4,3,Z86&gt;=$B$5,2,Z86&gt;$B$6,1),0),"")</f>
        <v/>
      </c>
      <c r="AY86" s="2" t="str">
        <f t="shared" si="10"/>
        <v/>
      </c>
      <c r="AZ86" s="2" t="str">
        <f t="shared" si="11"/>
        <v/>
      </c>
      <c r="BA86" s="2" t="str">
        <f t="shared" si="12"/>
        <v/>
      </c>
      <c r="BB86" s="2" t="str">
        <f t="shared" si="13"/>
        <v/>
      </c>
      <c r="BC86" s="2" t="str">
        <f t="shared" si="14"/>
        <v/>
      </c>
      <c r="BD86" s="2" t="str">
        <f t="shared" si="15"/>
        <v/>
      </c>
      <c r="BE86" s="2" t="str">
        <f t="shared" si="16"/>
        <v/>
      </c>
      <c r="BF86" s="2" t="str">
        <f t="shared" si="17"/>
        <v/>
      </c>
      <c r="BG86" s="2" t="str">
        <f t="shared" si="18"/>
        <v/>
      </c>
      <c r="BH86" s="2" t="str">
        <f t="shared" si="19"/>
        <v/>
      </c>
      <c r="BJ86" s="2" t="str" cm="1">
        <f t="array" ref="BJ86">IF('NILAI CPL'!$B86&lt;&gt;"",IFERROR(_xlfn.IFS(AY86&gt;=$B$3,4,AY86&gt;=$B$4,3,AY86&gt;=$B$5,2,AY86&gt;$B$6,1),0),"")</f>
        <v/>
      </c>
      <c r="BK86" s="2" t="str" cm="1">
        <f t="array" ref="BK86">IF('NILAI CPL'!$B86&lt;&gt;"",IFERROR(_xlfn.IFS(AZ86&gt;=$B$3,4,AZ86&gt;=$B$4,3,AZ86&gt;=$B$5,2,AZ86&gt;$B$6,1),0),"")</f>
        <v/>
      </c>
      <c r="BL86" s="2" t="str" cm="1">
        <f t="array" ref="BL86">IF('NILAI CPL'!$B86&lt;&gt;"",IFERROR(_xlfn.IFS(BA86&gt;=$B$3,4,BA86&gt;=$B$4,3,BA86&gt;=$B$5,2,BA86&gt;$B$6,1),0),"")</f>
        <v/>
      </c>
      <c r="BM86" s="2" t="str" cm="1">
        <f t="array" ref="BM86">IF('NILAI CPL'!$B86&lt;&gt;"",IFERROR(_xlfn.IFS(BB86&gt;=$B$3,4,BB86&gt;=$B$4,3,BB86&gt;=$B$5,2,BB86&gt;$B$6,1),0),"")</f>
        <v/>
      </c>
      <c r="BN86" s="2" t="str" cm="1">
        <f t="array" ref="BN86">IF('NILAI CPL'!$B86&lt;&gt;"",IFERROR(_xlfn.IFS(BC86&gt;=$B$3,4,BC86&gt;=$B$4,3,BC86&gt;=$B$5,2,BC86&gt;$B$6,1),0),"")</f>
        <v/>
      </c>
      <c r="BO86" s="2" t="str" cm="1">
        <f t="array" ref="BO86">IF('NILAI CPL'!$B86&lt;&gt;"",IFERROR(_xlfn.IFS(BD86&gt;=$B$3,4,BD86&gt;=$B$4,3,BD86&gt;=$B$5,2,BD86&gt;$B$6,1),0),"")</f>
        <v/>
      </c>
      <c r="BP86" s="2" t="str" cm="1">
        <f t="array" ref="BP86">IF('NILAI CPL'!$B86&lt;&gt;"",IFERROR(_xlfn.IFS(BE86&gt;=$B$3,4,BE86&gt;=$B$4,3,BE86&gt;=$B$5,2,BE86&gt;$B$6,1),0),"")</f>
        <v/>
      </c>
      <c r="BQ86" s="2" t="str" cm="1">
        <f t="array" ref="BQ86">IF('NILAI CPL'!$B86&lt;&gt;"",IFERROR(_xlfn.IFS(BF86&gt;=$B$3,4,BF86&gt;=$B$4,3,BF86&gt;=$B$5,2,BF86&gt;$B$6,1),0),"")</f>
        <v/>
      </c>
      <c r="BR86" s="2" t="str" cm="1">
        <f t="array" ref="BR86">IF('NILAI CPL'!$B86&lt;&gt;"",IFERROR(_xlfn.IFS(BG86&gt;=$B$3,4,BG86&gt;=$B$4,3,BG86&gt;=$B$5,2,BG86&gt;$B$6,1),0),"")</f>
        <v/>
      </c>
      <c r="BS86" s="2" t="str" cm="1">
        <f t="array" ref="BS86">IF('NILAI CPL'!$B86&lt;&gt;"",IFERROR(_xlfn.IFS(BH86&gt;=$B$3,4,BH86&gt;=$B$4,3,BH86&gt;=$B$5,2,BH86&gt;$B$6,1),0),"")</f>
        <v/>
      </c>
    </row>
    <row r="87" spans="1:71" x14ac:dyDescent="0.2">
      <c r="A87" s="2">
        <v>77</v>
      </c>
      <c r="B87" s="2" t="str">
        <f>IF(LEN(SUMMARY!B87)&gt;0, SUMMARY!B87, "")</f>
        <v/>
      </c>
      <c r="C87" s="2" t="str">
        <f>IF(LEN(SUMMARY!C87)&gt;0, SUMMARY!C87, "")</f>
        <v/>
      </c>
      <c r="E87" s="2" t="str" cm="1">
        <f t="array" ref="E87">IF('NILAI CPL'!$B87&lt;&gt;"",IFERROR(JumlahPI(ROW(),COLUMN()),0),"")</f>
        <v/>
      </c>
      <c r="F87" s="2" t="str" cm="1">
        <f t="array" ref="F87">IF('NILAI CPL'!$B87&lt;&gt;"",IFERROR(JumlahPI(ROW(),COLUMN()),0),"")</f>
        <v/>
      </c>
      <c r="G87" s="2" t="str" cm="1">
        <f t="array" ref="G87">IF('NILAI CPL'!$B87&lt;&gt;"",IFERROR(JumlahPI(ROW(),COLUMN()),0),"")</f>
        <v/>
      </c>
      <c r="H87" s="2" t="str" cm="1">
        <f t="array" ref="H87">IF('NILAI CPL'!$B87&lt;&gt;"",IFERROR(JumlahPI(ROW(),COLUMN()),0),"")</f>
        <v/>
      </c>
      <c r="I87" s="2" t="str" cm="1">
        <f t="array" ref="I87">IF('NILAI CPL'!$B87&lt;&gt;"",IFERROR(JumlahPI(ROW(),COLUMN()),0),"")</f>
        <v/>
      </c>
      <c r="J87" s="2" t="str" cm="1">
        <f t="array" ref="J87">IF('NILAI CPL'!$B87&lt;&gt;"",IFERROR(JumlahPI(ROW(),COLUMN()),0),"")</f>
        <v/>
      </c>
      <c r="K87" s="2" t="str" cm="1">
        <f t="array" ref="K87">IF('NILAI CPL'!$B87&lt;&gt;"",IFERROR(JumlahPI(ROW(),COLUMN()),0),"")</f>
        <v/>
      </c>
      <c r="L87" s="2" t="str" cm="1">
        <f t="array" ref="L87">IF('NILAI CPL'!$B87&lt;&gt;"",IFERROR(JumlahPI(ROW(),COLUMN()),0),"")</f>
        <v/>
      </c>
      <c r="M87" s="2" t="str" cm="1">
        <f t="array" ref="M87">IF('NILAI CPL'!$B87&lt;&gt;"",IFERROR(JumlahPI(ROW(),COLUMN()),0),"")</f>
        <v/>
      </c>
      <c r="N87" s="2" t="str" cm="1">
        <f t="array" ref="N87">IF('NILAI CPL'!$B87&lt;&gt;"",IFERROR(JumlahPI(ROW(),COLUMN()),0),"")</f>
        <v/>
      </c>
      <c r="O87" s="2" t="str" cm="1">
        <f t="array" ref="O87">IF('NILAI CPL'!$B87&lt;&gt;"",IFERROR(JumlahPI(ROW(),COLUMN()),0),"")</f>
        <v/>
      </c>
      <c r="P87" s="2" t="str" cm="1">
        <f t="array" ref="P87">IF('NILAI CPL'!$B87&lt;&gt;"",IFERROR(JumlahPI(ROW(),COLUMN()),0),"")</f>
        <v/>
      </c>
      <c r="Q87" s="2" t="str" cm="1">
        <f t="array" ref="Q87">IF('NILAI CPL'!$B87&lt;&gt;"",IFERROR(JumlahPI(ROW(),COLUMN()),0),"")</f>
        <v/>
      </c>
      <c r="R87" s="2" t="str" cm="1">
        <f t="array" ref="R87">IF('NILAI CPL'!$B87&lt;&gt;"",IFERROR(JumlahPI(ROW(),COLUMN()),0),"")</f>
        <v/>
      </c>
      <c r="S87" s="2" t="str" cm="1">
        <f t="array" ref="S87">IF('NILAI CPL'!$B87&lt;&gt;"",IFERROR(JumlahPI(ROW(),COLUMN()),0),"")</f>
        <v/>
      </c>
      <c r="T87" s="2" t="str" cm="1">
        <f t="array" ref="T87">IF('NILAI CPL'!$B87&lt;&gt;"",IFERROR(JumlahPI(ROW(),COLUMN()),0),"")</f>
        <v/>
      </c>
      <c r="U87" s="2" t="str" cm="1">
        <f t="array" ref="U87">IF('NILAI CPL'!$B87&lt;&gt;"",IFERROR(JumlahPI(ROW(),COLUMN()),0),"")</f>
        <v/>
      </c>
      <c r="V87" s="2" t="str" cm="1">
        <f t="array" ref="V87">IF('NILAI CPL'!$B87&lt;&gt;"",IFERROR(JumlahPI(ROW(),COLUMN()),0),"")</f>
        <v/>
      </c>
      <c r="W87" s="2" t="str" cm="1">
        <f t="array" ref="W87">IF('NILAI CPL'!$B87&lt;&gt;"",IFERROR(JumlahPI(ROW(),COLUMN()),0),"")</f>
        <v/>
      </c>
      <c r="X87" s="2" t="str" cm="1">
        <f t="array" ref="X87">IF('NILAI CPL'!$B87&lt;&gt;"",IFERROR(JumlahPI(ROW(),COLUMN()),0),"")</f>
        <v/>
      </c>
      <c r="Y87" s="2" t="str" cm="1">
        <f t="array" ref="Y87">IF('NILAI CPL'!$B87&lt;&gt;"",IFERROR(JumlahPI(ROW(),COLUMN()),0),"")</f>
        <v/>
      </c>
      <c r="Z87" s="2" t="str" cm="1">
        <f t="array" ref="Z87">IF('NILAI CPL'!$B87&lt;&gt;"",IFERROR(JumlahPI(ROW(),COLUMN()),0),"")</f>
        <v/>
      </c>
      <c r="AB87" s="2" t="str" cm="1">
        <f t="array" ref="AB87">IF('NILAI CPL'!$B87&lt;&gt;"",IFERROR(_xlfn.IFS(E87&gt;=$B$3,4,E87&gt;=$B$4,3,E87&gt;=$B$5,2,E87&gt;$B$6,1),0),"")</f>
        <v/>
      </c>
      <c r="AC87" s="2" t="str" cm="1">
        <f t="array" ref="AC87">IF('NILAI CPL'!$B87&lt;&gt;"",IFERROR(_xlfn.IFS(F87&gt;=$B$3,4,F87&gt;=$B$4,3,F87&gt;=$B$5,2,F87&gt;$B$6,1),0),"")</f>
        <v/>
      </c>
      <c r="AD87" s="2" t="str" cm="1">
        <f t="array" ref="AD87">IF('NILAI CPL'!$B87&lt;&gt;"",IFERROR(_xlfn.IFS(G87&gt;=$B$3,4,G87&gt;=$B$4,3,G87&gt;=$B$5,2,G87&gt;$B$6,1),0),"")</f>
        <v/>
      </c>
      <c r="AE87" s="2" t="str" cm="1">
        <f t="array" ref="AE87">IF('NILAI CPL'!$B87&lt;&gt;"",IFERROR(_xlfn.IFS(H87&gt;=$B$3,4,H87&gt;=$B$4,3,H87&gt;=$B$5,2,H87&gt;$B$6,1),0),"")</f>
        <v/>
      </c>
      <c r="AF87" s="2" t="str" cm="1">
        <f t="array" ref="AF87">IF('NILAI CPL'!$B87&lt;&gt;"",IFERROR(_xlfn.IFS(I87&gt;=$B$3,4,I87&gt;=$B$4,3,I87&gt;=$B$5,2,I87&gt;$B$6,1),0),"")</f>
        <v/>
      </c>
      <c r="AG87" s="2" t="str" cm="1">
        <f t="array" ref="AG87">IF('NILAI CPL'!$B87&lt;&gt;"",IFERROR(_xlfn.IFS(J87&gt;=$B$3,4,J87&gt;=$B$4,3,J87&gt;=$B$5,2,J87&gt;$B$6,1),0),"")</f>
        <v/>
      </c>
      <c r="AH87" s="2" t="str" cm="1">
        <f t="array" ref="AH87">IF('NILAI CPL'!$B87&lt;&gt;"",IFERROR(_xlfn.IFS(K87&gt;=$B$3,4,K87&gt;=$B$4,3,K87&gt;=$B$5,2,K87&gt;$B$6,1),0),"")</f>
        <v/>
      </c>
      <c r="AI87" s="2" t="str" cm="1">
        <f t="array" ref="AI87">IF('NILAI CPL'!$B87&lt;&gt;"",IFERROR(_xlfn.IFS(L87&gt;=$B$3,4,L87&gt;=$B$4,3,L87&gt;=$B$5,2,L87&gt;$B$6,1),0),"")</f>
        <v/>
      </c>
      <c r="AJ87" s="2" t="str" cm="1">
        <f t="array" ref="AJ87">IF('NILAI CPL'!$B87&lt;&gt;"",IFERROR(_xlfn.IFS(M87&gt;=$B$3,4,M87&gt;=$B$4,3,M87&gt;=$B$5,2,M87&gt;$B$6,1),0),"")</f>
        <v/>
      </c>
      <c r="AK87" s="2" t="str" cm="1">
        <f t="array" ref="AK87">IF('NILAI CPL'!$B87&lt;&gt;"",IFERROR(_xlfn.IFS(N87&gt;=$B$3,4,N87&gt;=$B$4,3,N87&gt;=$B$5,2,N87&gt;$B$6,1),0),"")</f>
        <v/>
      </c>
      <c r="AL87" s="2" t="str" cm="1">
        <f t="array" ref="AL87">IF('NILAI CPL'!$B87&lt;&gt;"",IFERROR(_xlfn.IFS(O87&gt;=$B$3,4,O87&gt;=$B$4,3,O87&gt;=$B$5,2,O87&gt;$B$6,1),0),"")</f>
        <v/>
      </c>
      <c r="AM87" s="2" t="str" cm="1">
        <f t="array" ref="AM87">IF('NILAI CPL'!$B87&lt;&gt;"",IFERROR(_xlfn.IFS(P87&gt;=$B$3,4,P87&gt;=$B$4,3,P87&gt;=$B$5,2,P87&gt;$B$6,1),0),"")</f>
        <v/>
      </c>
      <c r="AN87" s="2" t="str" cm="1">
        <f t="array" ref="AN87">IF('NILAI CPL'!$B87&lt;&gt;"",IFERROR(_xlfn.IFS(Q87&gt;=$B$3,4,Q87&gt;=$B$4,3,Q87&gt;=$B$5,2,Q87&gt;$B$6,1),0),"")</f>
        <v/>
      </c>
      <c r="AO87" s="2" t="str" cm="1">
        <f t="array" ref="AO87">IF('NILAI CPL'!$B87&lt;&gt;"",IFERROR(_xlfn.IFS(R87&gt;=$B$3,4,R87&gt;=$B$4,3,R87&gt;=$B$5,2,R87&gt;$B$6,1),0),"")</f>
        <v/>
      </c>
      <c r="AP87" s="2" t="str" cm="1">
        <f t="array" ref="AP87">IF('NILAI CPL'!$B87&lt;&gt;"",IFERROR(_xlfn.IFS(S87&gt;=$B$3,4,S87&gt;=$B$4,3,S87&gt;=$B$5,2,S87&gt;$B$6,1),0),"")</f>
        <v/>
      </c>
      <c r="AQ87" s="2" t="str" cm="1">
        <f t="array" ref="AQ87">IF('NILAI CPL'!$B87&lt;&gt;"",IFERROR(_xlfn.IFS(T87&gt;=$B$3,4,T87&gt;=$B$4,3,T87&gt;=$B$5,2,T87&gt;$B$6,1),0),"")</f>
        <v/>
      </c>
      <c r="AR87" s="2" t="str" cm="1">
        <f t="array" ref="AR87">IF('NILAI CPL'!$B87&lt;&gt;"",IFERROR(_xlfn.IFS(U87&gt;=$B$3,4,U87&gt;=$B$4,3,U87&gt;=$B$5,2,U87&gt;$B$6,1),0),"")</f>
        <v/>
      </c>
      <c r="AS87" s="2" t="str" cm="1">
        <f t="array" ref="AS87">IF('NILAI CPL'!$B87&lt;&gt;"",IFERROR(_xlfn.IFS(V87&gt;=$B$3,4,V87&gt;=$B$4,3,V87&gt;=$B$5,2,V87&gt;$B$6,1),0),"")</f>
        <v/>
      </c>
      <c r="AT87" s="2" t="str" cm="1">
        <f t="array" ref="AT87">IF('NILAI CPL'!$B87&lt;&gt;"",IFERROR(_xlfn.IFS(W87&gt;=$B$3,4,W87&gt;=$B$4,3,W87&gt;=$B$5,2,W87&gt;$B$6,1),0),"")</f>
        <v/>
      </c>
      <c r="AU87" s="2" t="str" cm="1">
        <f t="array" ref="AU87">IF('NILAI CPL'!$B87&lt;&gt;"",IFERROR(_xlfn.IFS(X87&gt;=$B$3,4,X87&gt;=$B$4,3,X87&gt;=$B$5,2,X87&gt;$B$6,1),0),"")</f>
        <v/>
      </c>
      <c r="AV87" s="2" t="str" cm="1">
        <f t="array" ref="AV87">IF('NILAI CPL'!$B87&lt;&gt;"",IFERROR(_xlfn.IFS(Y87&gt;=$B$3,4,Y87&gt;=$B$4,3,Y87&gt;=$B$5,2,Y87&gt;$B$6,1),0),"")</f>
        <v/>
      </c>
      <c r="AW87" s="2" t="str" cm="1">
        <f t="array" ref="AW87">IF('NILAI CPL'!$B87&lt;&gt;"",IFERROR(_xlfn.IFS(Z87&gt;=$B$3,4,Z87&gt;=$B$4,3,Z87&gt;=$B$5,2,Z87&gt;$B$6,1),0),"")</f>
        <v/>
      </c>
      <c r="AY87" s="2" t="str">
        <f t="shared" si="10"/>
        <v/>
      </c>
      <c r="AZ87" s="2" t="str">
        <f t="shared" si="11"/>
        <v/>
      </c>
      <c r="BA87" s="2" t="str">
        <f t="shared" si="12"/>
        <v/>
      </c>
      <c r="BB87" s="2" t="str">
        <f t="shared" si="13"/>
        <v/>
      </c>
      <c r="BC87" s="2" t="str">
        <f t="shared" si="14"/>
        <v/>
      </c>
      <c r="BD87" s="2" t="str">
        <f t="shared" si="15"/>
        <v/>
      </c>
      <c r="BE87" s="2" t="str">
        <f t="shared" si="16"/>
        <v/>
      </c>
      <c r="BF87" s="2" t="str">
        <f t="shared" si="17"/>
        <v/>
      </c>
      <c r="BG87" s="2" t="str">
        <f t="shared" si="18"/>
        <v/>
      </c>
      <c r="BH87" s="2" t="str">
        <f t="shared" si="19"/>
        <v/>
      </c>
      <c r="BJ87" s="2" t="str" cm="1">
        <f t="array" ref="BJ87">IF('NILAI CPL'!$B87&lt;&gt;"",IFERROR(_xlfn.IFS(AY87&gt;=$B$3,4,AY87&gt;=$B$4,3,AY87&gt;=$B$5,2,AY87&gt;$B$6,1),0),"")</f>
        <v/>
      </c>
      <c r="BK87" s="2" t="str" cm="1">
        <f t="array" ref="BK87">IF('NILAI CPL'!$B87&lt;&gt;"",IFERROR(_xlfn.IFS(AZ87&gt;=$B$3,4,AZ87&gt;=$B$4,3,AZ87&gt;=$B$5,2,AZ87&gt;$B$6,1),0),"")</f>
        <v/>
      </c>
      <c r="BL87" s="2" t="str" cm="1">
        <f t="array" ref="BL87">IF('NILAI CPL'!$B87&lt;&gt;"",IFERROR(_xlfn.IFS(BA87&gt;=$B$3,4,BA87&gt;=$B$4,3,BA87&gt;=$B$5,2,BA87&gt;$B$6,1),0),"")</f>
        <v/>
      </c>
      <c r="BM87" s="2" t="str" cm="1">
        <f t="array" ref="BM87">IF('NILAI CPL'!$B87&lt;&gt;"",IFERROR(_xlfn.IFS(BB87&gt;=$B$3,4,BB87&gt;=$B$4,3,BB87&gt;=$B$5,2,BB87&gt;$B$6,1),0),"")</f>
        <v/>
      </c>
      <c r="BN87" s="2" t="str" cm="1">
        <f t="array" ref="BN87">IF('NILAI CPL'!$B87&lt;&gt;"",IFERROR(_xlfn.IFS(BC87&gt;=$B$3,4,BC87&gt;=$B$4,3,BC87&gt;=$B$5,2,BC87&gt;$B$6,1),0),"")</f>
        <v/>
      </c>
      <c r="BO87" s="2" t="str" cm="1">
        <f t="array" ref="BO87">IF('NILAI CPL'!$B87&lt;&gt;"",IFERROR(_xlfn.IFS(BD87&gt;=$B$3,4,BD87&gt;=$B$4,3,BD87&gt;=$B$5,2,BD87&gt;$B$6,1),0),"")</f>
        <v/>
      </c>
      <c r="BP87" s="2" t="str" cm="1">
        <f t="array" ref="BP87">IF('NILAI CPL'!$B87&lt;&gt;"",IFERROR(_xlfn.IFS(BE87&gt;=$B$3,4,BE87&gt;=$B$4,3,BE87&gt;=$B$5,2,BE87&gt;$B$6,1),0),"")</f>
        <v/>
      </c>
      <c r="BQ87" s="2" t="str" cm="1">
        <f t="array" ref="BQ87">IF('NILAI CPL'!$B87&lt;&gt;"",IFERROR(_xlfn.IFS(BF87&gt;=$B$3,4,BF87&gt;=$B$4,3,BF87&gt;=$B$5,2,BF87&gt;$B$6,1),0),"")</f>
        <v/>
      </c>
      <c r="BR87" s="2" t="str" cm="1">
        <f t="array" ref="BR87">IF('NILAI CPL'!$B87&lt;&gt;"",IFERROR(_xlfn.IFS(BG87&gt;=$B$3,4,BG87&gt;=$B$4,3,BG87&gt;=$B$5,2,BG87&gt;$B$6,1),0),"")</f>
        <v/>
      </c>
      <c r="BS87" s="2" t="str" cm="1">
        <f t="array" ref="BS87">IF('NILAI CPL'!$B87&lt;&gt;"",IFERROR(_xlfn.IFS(BH87&gt;=$B$3,4,BH87&gt;=$B$4,3,BH87&gt;=$B$5,2,BH87&gt;$B$6,1),0),"")</f>
        <v/>
      </c>
    </row>
    <row r="88" spans="1:71" x14ac:dyDescent="0.2">
      <c r="A88" s="2">
        <v>78</v>
      </c>
      <c r="B88" s="2" t="str">
        <f>IF(LEN(SUMMARY!B88)&gt;0, SUMMARY!B88, "")</f>
        <v/>
      </c>
      <c r="C88" s="2" t="str">
        <f>IF(LEN(SUMMARY!C88)&gt;0, SUMMARY!C88, "")</f>
        <v/>
      </c>
      <c r="E88" s="2" t="str" cm="1">
        <f t="array" ref="E88">IF('NILAI CPL'!$B88&lt;&gt;"",IFERROR(JumlahPI(ROW(),COLUMN()),0),"")</f>
        <v/>
      </c>
      <c r="F88" s="2" t="str" cm="1">
        <f t="array" ref="F88">IF('NILAI CPL'!$B88&lt;&gt;"",IFERROR(JumlahPI(ROW(),COLUMN()),0),"")</f>
        <v/>
      </c>
      <c r="G88" s="2" t="str" cm="1">
        <f t="array" ref="G88">IF('NILAI CPL'!$B88&lt;&gt;"",IFERROR(JumlahPI(ROW(),COLUMN()),0),"")</f>
        <v/>
      </c>
      <c r="H88" s="2" t="str" cm="1">
        <f t="array" ref="H88">IF('NILAI CPL'!$B88&lt;&gt;"",IFERROR(JumlahPI(ROW(),COLUMN()),0),"")</f>
        <v/>
      </c>
      <c r="I88" s="2" t="str" cm="1">
        <f t="array" ref="I88">IF('NILAI CPL'!$B88&lt;&gt;"",IFERROR(JumlahPI(ROW(),COLUMN()),0),"")</f>
        <v/>
      </c>
      <c r="J88" s="2" t="str" cm="1">
        <f t="array" ref="J88">IF('NILAI CPL'!$B88&lt;&gt;"",IFERROR(JumlahPI(ROW(),COLUMN()),0),"")</f>
        <v/>
      </c>
      <c r="K88" s="2" t="str" cm="1">
        <f t="array" ref="K88">IF('NILAI CPL'!$B88&lt;&gt;"",IFERROR(JumlahPI(ROW(),COLUMN()),0),"")</f>
        <v/>
      </c>
      <c r="L88" s="2" t="str" cm="1">
        <f t="array" ref="L88">IF('NILAI CPL'!$B88&lt;&gt;"",IFERROR(JumlahPI(ROW(),COLUMN()),0),"")</f>
        <v/>
      </c>
      <c r="M88" s="2" t="str" cm="1">
        <f t="array" ref="M88">IF('NILAI CPL'!$B88&lt;&gt;"",IFERROR(JumlahPI(ROW(),COLUMN()),0),"")</f>
        <v/>
      </c>
      <c r="N88" s="2" t="str" cm="1">
        <f t="array" ref="N88">IF('NILAI CPL'!$B88&lt;&gt;"",IFERROR(JumlahPI(ROW(),COLUMN()),0),"")</f>
        <v/>
      </c>
      <c r="O88" s="2" t="str" cm="1">
        <f t="array" ref="O88">IF('NILAI CPL'!$B88&lt;&gt;"",IFERROR(JumlahPI(ROW(),COLUMN()),0),"")</f>
        <v/>
      </c>
      <c r="P88" s="2" t="str" cm="1">
        <f t="array" ref="P88">IF('NILAI CPL'!$B88&lt;&gt;"",IFERROR(JumlahPI(ROW(),COLUMN()),0),"")</f>
        <v/>
      </c>
      <c r="Q88" s="2" t="str" cm="1">
        <f t="array" ref="Q88">IF('NILAI CPL'!$B88&lt;&gt;"",IFERROR(JumlahPI(ROW(),COLUMN()),0),"")</f>
        <v/>
      </c>
      <c r="R88" s="2" t="str" cm="1">
        <f t="array" ref="R88">IF('NILAI CPL'!$B88&lt;&gt;"",IFERROR(JumlahPI(ROW(),COLUMN()),0),"")</f>
        <v/>
      </c>
      <c r="S88" s="2" t="str" cm="1">
        <f t="array" ref="S88">IF('NILAI CPL'!$B88&lt;&gt;"",IFERROR(JumlahPI(ROW(),COLUMN()),0),"")</f>
        <v/>
      </c>
      <c r="T88" s="2" t="str" cm="1">
        <f t="array" ref="T88">IF('NILAI CPL'!$B88&lt;&gt;"",IFERROR(JumlahPI(ROW(),COLUMN()),0),"")</f>
        <v/>
      </c>
      <c r="U88" s="2" t="str" cm="1">
        <f t="array" ref="U88">IF('NILAI CPL'!$B88&lt;&gt;"",IFERROR(JumlahPI(ROW(),COLUMN()),0),"")</f>
        <v/>
      </c>
      <c r="V88" s="2" t="str" cm="1">
        <f t="array" ref="V88">IF('NILAI CPL'!$B88&lt;&gt;"",IFERROR(JumlahPI(ROW(),COLUMN()),0),"")</f>
        <v/>
      </c>
      <c r="W88" s="2" t="str" cm="1">
        <f t="array" ref="W88">IF('NILAI CPL'!$B88&lt;&gt;"",IFERROR(JumlahPI(ROW(),COLUMN()),0),"")</f>
        <v/>
      </c>
      <c r="X88" s="2" t="str" cm="1">
        <f t="array" ref="X88">IF('NILAI CPL'!$B88&lt;&gt;"",IFERROR(JumlahPI(ROW(),COLUMN()),0),"")</f>
        <v/>
      </c>
      <c r="Y88" s="2" t="str" cm="1">
        <f t="array" ref="Y88">IF('NILAI CPL'!$B88&lt;&gt;"",IFERROR(JumlahPI(ROW(),COLUMN()),0),"")</f>
        <v/>
      </c>
      <c r="Z88" s="2" t="str" cm="1">
        <f t="array" ref="Z88">IF('NILAI CPL'!$B88&lt;&gt;"",IFERROR(JumlahPI(ROW(),COLUMN()),0),"")</f>
        <v/>
      </c>
      <c r="AB88" s="2" t="str" cm="1">
        <f t="array" ref="AB88">IF('NILAI CPL'!$B88&lt;&gt;"",IFERROR(_xlfn.IFS(E88&gt;=$B$3,4,E88&gt;=$B$4,3,E88&gt;=$B$5,2,E88&gt;$B$6,1),0),"")</f>
        <v/>
      </c>
      <c r="AC88" s="2" t="str" cm="1">
        <f t="array" ref="AC88">IF('NILAI CPL'!$B88&lt;&gt;"",IFERROR(_xlfn.IFS(F88&gt;=$B$3,4,F88&gt;=$B$4,3,F88&gt;=$B$5,2,F88&gt;$B$6,1),0),"")</f>
        <v/>
      </c>
      <c r="AD88" s="2" t="str" cm="1">
        <f t="array" ref="AD88">IF('NILAI CPL'!$B88&lt;&gt;"",IFERROR(_xlfn.IFS(G88&gt;=$B$3,4,G88&gt;=$B$4,3,G88&gt;=$B$5,2,G88&gt;$B$6,1),0),"")</f>
        <v/>
      </c>
      <c r="AE88" s="2" t="str" cm="1">
        <f t="array" ref="AE88">IF('NILAI CPL'!$B88&lt;&gt;"",IFERROR(_xlfn.IFS(H88&gt;=$B$3,4,H88&gt;=$B$4,3,H88&gt;=$B$5,2,H88&gt;$B$6,1),0),"")</f>
        <v/>
      </c>
      <c r="AF88" s="2" t="str" cm="1">
        <f t="array" ref="AF88">IF('NILAI CPL'!$B88&lt;&gt;"",IFERROR(_xlfn.IFS(I88&gt;=$B$3,4,I88&gt;=$B$4,3,I88&gt;=$B$5,2,I88&gt;$B$6,1),0),"")</f>
        <v/>
      </c>
      <c r="AG88" s="2" t="str" cm="1">
        <f t="array" ref="AG88">IF('NILAI CPL'!$B88&lt;&gt;"",IFERROR(_xlfn.IFS(J88&gt;=$B$3,4,J88&gt;=$B$4,3,J88&gt;=$B$5,2,J88&gt;$B$6,1),0),"")</f>
        <v/>
      </c>
      <c r="AH88" s="2" t="str" cm="1">
        <f t="array" ref="AH88">IF('NILAI CPL'!$B88&lt;&gt;"",IFERROR(_xlfn.IFS(K88&gt;=$B$3,4,K88&gt;=$B$4,3,K88&gt;=$B$5,2,K88&gt;$B$6,1),0),"")</f>
        <v/>
      </c>
      <c r="AI88" s="2" t="str" cm="1">
        <f t="array" ref="AI88">IF('NILAI CPL'!$B88&lt;&gt;"",IFERROR(_xlfn.IFS(L88&gt;=$B$3,4,L88&gt;=$B$4,3,L88&gt;=$B$5,2,L88&gt;$B$6,1),0),"")</f>
        <v/>
      </c>
      <c r="AJ88" s="2" t="str" cm="1">
        <f t="array" ref="AJ88">IF('NILAI CPL'!$B88&lt;&gt;"",IFERROR(_xlfn.IFS(M88&gt;=$B$3,4,M88&gt;=$B$4,3,M88&gt;=$B$5,2,M88&gt;$B$6,1),0),"")</f>
        <v/>
      </c>
      <c r="AK88" s="2" t="str" cm="1">
        <f t="array" ref="AK88">IF('NILAI CPL'!$B88&lt;&gt;"",IFERROR(_xlfn.IFS(N88&gt;=$B$3,4,N88&gt;=$B$4,3,N88&gt;=$B$5,2,N88&gt;$B$6,1),0),"")</f>
        <v/>
      </c>
      <c r="AL88" s="2" t="str" cm="1">
        <f t="array" ref="AL88">IF('NILAI CPL'!$B88&lt;&gt;"",IFERROR(_xlfn.IFS(O88&gt;=$B$3,4,O88&gt;=$B$4,3,O88&gt;=$B$5,2,O88&gt;$B$6,1),0),"")</f>
        <v/>
      </c>
      <c r="AM88" s="2" t="str" cm="1">
        <f t="array" ref="AM88">IF('NILAI CPL'!$B88&lt;&gt;"",IFERROR(_xlfn.IFS(P88&gt;=$B$3,4,P88&gt;=$B$4,3,P88&gt;=$B$5,2,P88&gt;$B$6,1),0),"")</f>
        <v/>
      </c>
      <c r="AN88" s="2" t="str" cm="1">
        <f t="array" ref="AN88">IF('NILAI CPL'!$B88&lt;&gt;"",IFERROR(_xlfn.IFS(Q88&gt;=$B$3,4,Q88&gt;=$B$4,3,Q88&gt;=$B$5,2,Q88&gt;$B$6,1),0),"")</f>
        <v/>
      </c>
      <c r="AO88" s="2" t="str" cm="1">
        <f t="array" ref="AO88">IF('NILAI CPL'!$B88&lt;&gt;"",IFERROR(_xlfn.IFS(R88&gt;=$B$3,4,R88&gt;=$B$4,3,R88&gt;=$B$5,2,R88&gt;$B$6,1),0),"")</f>
        <v/>
      </c>
      <c r="AP88" s="2" t="str" cm="1">
        <f t="array" ref="AP88">IF('NILAI CPL'!$B88&lt;&gt;"",IFERROR(_xlfn.IFS(S88&gt;=$B$3,4,S88&gt;=$B$4,3,S88&gt;=$B$5,2,S88&gt;$B$6,1),0),"")</f>
        <v/>
      </c>
      <c r="AQ88" s="2" t="str" cm="1">
        <f t="array" ref="AQ88">IF('NILAI CPL'!$B88&lt;&gt;"",IFERROR(_xlfn.IFS(T88&gt;=$B$3,4,T88&gt;=$B$4,3,T88&gt;=$B$5,2,T88&gt;$B$6,1),0),"")</f>
        <v/>
      </c>
      <c r="AR88" s="2" t="str" cm="1">
        <f t="array" ref="AR88">IF('NILAI CPL'!$B88&lt;&gt;"",IFERROR(_xlfn.IFS(U88&gt;=$B$3,4,U88&gt;=$B$4,3,U88&gt;=$B$5,2,U88&gt;$B$6,1),0),"")</f>
        <v/>
      </c>
      <c r="AS88" s="2" t="str" cm="1">
        <f t="array" ref="AS88">IF('NILAI CPL'!$B88&lt;&gt;"",IFERROR(_xlfn.IFS(V88&gt;=$B$3,4,V88&gt;=$B$4,3,V88&gt;=$B$5,2,V88&gt;$B$6,1),0),"")</f>
        <v/>
      </c>
      <c r="AT88" s="2" t="str" cm="1">
        <f t="array" ref="AT88">IF('NILAI CPL'!$B88&lt;&gt;"",IFERROR(_xlfn.IFS(W88&gt;=$B$3,4,W88&gt;=$B$4,3,W88&gt;=$B$5,2,W88&gt;$B$6,1),0),"")</f>
        <v/>
      </c>
      <c r="AU88" s="2" t="str" cm="1">
        <f t="array" ref="AU88">IF('NILAI CPL'!$B88&lt;&gt;"",IFERROR(_xlfn.IFS(X88&gt;=$B$3,4,X88&gt;=$B$4,3,X88&gt;=$B$5,2,X88&gt;$B$6,1),0),"")</f>
        <v/>
      </c>
      <c r="AV88" s="2" t="str" cm="1">
        <f t="array" ref="AV88">IF('NILAI CPL'!$B88&lt;&gt;"",IFERROR(_xlfn.IFS(Y88&gt;=$B$3,4,Y88&gt;=$B$4,3,Y88&gt;=$B$5,2,Y88&gt;$B$6,1),0),"")</f>
        <v/>
      </c>
      <c r="AW88" s="2" t="str" cm="1">
        <f t="array" ref="AW88">IF('NILAI CPL'!$B88&lt;&gt;"",IFERROR(_xlfn.IFS(Z88&gt;=$B$3,4,Z88&gt;=$B$4,3,Z88&gt;=$B$5,2,Z88&gt;$B$6,1),0),"")</f>
        <v/>
      </c>
      <c r="AY88" s="2" t="str">
        <f t="shared" si="10"/>
        <v/>
      </c>
      <c r="AZ88" s="2" t="str">
        <f t="shared" si="11"/>
        <v/>
      </c>
      <c r="BA88" s="2" t="str">
        <f t="shared" si="12"/>
        <v/>
      </c>
      <c r="BB88" s="2" t="str">
        <f t="shared" si="13"/>
        <v/>
      </c>
      <c r="BC88" s="2" t="str">
        <f t="shared" si="14"/>
        <v/>
      </c>
      <c r="BD88" s="2" t="str">
        <f t="shared" si="15"/>
        <v/>
      </c>
      <c r="BE88" s="2" t="str">
        <f t="shared" si="16"/>
        <v/>
      </c>
      <c r="BF88" s="2" t="str">
        <f t="shared" si="17"/>
        <v/>
      </c>
      <c r="BG88" s="2" t="str">
        <f t="shared" si="18"/>
        <v/>
      </c>
      <c r="BH88" s="2" t="str">
        <f t="shared" si="19"/>
        <v/>
      </c>
      <c r="BJ88" s="2" t="str" cm="1">
        <f t="array" ref="BJ88">IF('NILAI CPL'!$B88&lt;&gt;"",IFERROR(_xlfn.IFS(AY88&gt;=$B$3,4,AY88&gt;=$B$4,3,AY88&gt;=$B$5,2,AY88&gt;$B$6,1),0),"")</f>
        <v/>
      </c>
      <c r="BK88" s="2" t="str" cm="1">
        <f t="array" ref="BK88">IF('NILAI CPL'!$B88&lt;&gt;"",IFERROR(_xlfn.IFS(AZ88&gt;=$B$3,4,AZ88&gt;=$B$4,3,AZ88&gt;=$B$5,2,AZ88&gt;$B$6,1),0),"")</f>
        <v/>
      </c>
      <c r="BL88" s="2" t="str" cm="1">
        <f t="array" ref="BL88">IF('NILAI CPL'!$B88&lt;&gt;"",IFERROR(_xlfn.IFS(BA88&gt;=$B$3,4,BA88&gt;=$B$4,3,BA88&gt;=$B$5,2,BA88&gt;$B$6,1),0),"")</f>
        <v/>
      </c>
      <c r="BM88" s="2" t="str" cm="1">
        <f t="array" ref="BM88">IF('NILAI CPL'!$B88&lt;&gt;"",IFERROR(_xlfn.IFS(BB88&gt;=$B$3,4,BB88&gt;=$B$4,3,BB88&gt;=$B$5,2,BB88&gt;$B$6,1),0),"")</f>
        <v/>
      </c>
      <c r="BN88" s="2" t="str" cm="1">
        <f t="array" ref="BN88">IF('NILAI CPL'!$B88&lt;&gt;"",IFERROR(_xlfn.IFS(BC88&gt;=$B$3,4,BC88&gt;=$B$4,3,BC88&gt;=$B$5,2,BC88&gt;$B$6,1),0),"")</f>
        <v/>
      </c>
      <c r="BO88" s="2" t="str" cm="1">
        <f t="array" ref="BO88">IF('NILAI CPL'!$B88&lt;&gt;"",IFERROR(_xlfn.IFS(BD88&gt;=$B$3,4,BD88&gt;=$B$4,3,BD88&gt;=$B$5,2,BD88&gt;$B$6,1),0),"")</f>
        <v/>
      </c>
      <c r="BP88" s="2" t="str" cm="1">
        <f t="array" ref="BP88">IF('NILAI CPL'!$B88&lt;&gt;"",IFERROR(_xlfn.IFS(BE88&gt;=$B$3,4,BE88&gt;=$B$4,3,BE88&gt;=$B$5,2,BE88&gt;$B$6,1),0),"")</f>
        <v/>
      </c>
      <c r="BQ88" s="2" t="str" cm="1">
        <f t="array" ref="BQ88">IF('NILAI CPL'!$B88&lt;&gt;"",IFERROR(_xlfn.IFS(BF88&gt;=$B$3,4,BF88&gt;=$B$4,3,BF88&gt;=$B$5,2,BF88&gt;$B$6,1),0),"")</f>
        <v/>
      </c>
      <c r="BR88" s="2" t="str" cm="1">
        <f t="array" ref="BR88">IF('NILAI CPL'!$B88&lt;&gt;"",IFERROR(_xlfn.IFS(BG88&gt;=$B$3,4,BG88&gt;=$B$4,3,BG88&gt;=$B$5,2,BG88&gt;$B$6,1),0),"")</f>
        <v/>
      </c>
      <c r="BS88" s="2" t="str" cm="1">
        <f t="array" ref="BS88">IF('NILAI CPL'!$B88&lt;&gt;"",IFERROR(_xlfn.IFS(BH88&gt;=$B$3,4,BH88&gt;=$B$4,3,BH88&gt;=$B$5,2,BH88&gt;$B$6,1),0),"")</f>
        <v/>
      </c>
    </row>
    <row r="89" spans="1:71" x14ac:dyDescent="0.2">
      <c r="A89" s="2">
        <v>79</v>
      </c>
      <c r="B89" s="2" t="str">
        <f>IF(LEN(SUMMARY!B89)&gt;0, SUMMARY!B89, "")</f>
        <v/>
      </c>
      <c r="C89" s="2" t="str">
        <f>IF(LEN(SUMMARY!C89)&gt;0, SUMMARY!C89, "")</f>
        <v/>
      </c>
      <c r="E89" s="2" t="str" cm="1">
        <f t="array" ref="E89">IF('NILAI CPL'!$B89&lt;&gt;"",IFERROR(JumlahPI(ROW(),COLUMN()),0),"")</f>
        <v/>
      </c>
      <c r="F89" s="2" t="str" cm="1">
        <f t="array" ref="F89">IF('NILAI CPL'!$B89&lt;&gt;"",IFERROR(JumlahPI(ROW(),COLUMN()),0),"")</f>
        <v/>
      </c>
      <c r="G89" s="2" t="str" cm="1">
        <f t="array" ref="G89">IF('NILAI CPL'!$B89&lt;&gt;"",IFERROR(JumlahPI(ROW(),COLUMN()),0),"")</f>
        <v/>
      </c>
      <c r="H89" s="2" t="str" cm="1">
        <f t="array" ref="H89">IF('NILAI CPL'!$B89&lt;&gt;"",IFERROR(JumlahPI(ROW(),COLUMN()),0),"")</f>
        <v/>
      </c>
      <c r="I89" s="2" t="str" cm="1">
        <f t="array" ref="I89">IF('NILAI CPL'!$B89&lt;&gt;"",IFERROR(JumlahPI(ROW(),COLUMN()),0),"")</f>
        <v/>
      </c>
      <c r="J89" s="2" t="str" cm="1">
        <f t="array" ref="J89">IF('NILAI CPL'!$B89&lt;&gt;"",IFERROR(JumlahPI(ROW(),COLUMN()),0),"")</f>
        <v/>
      </c>
      <c r="K89" s="2" t="str" cm="1">
        <f t="array" ref="K89">IF('NILAI CPL'!$B89&lt;&gt;"",IFERROR(JumlahPI(ROW(),COLUMN()),0),"")</f>
        <v/>
      </c>
      <c r="L89" s="2" t="str" cm="1">
        <f t="array" ref="L89">IF('NILAI CPL'!$B89&lt;&gt;"",IFERROR(JumlahPI(ROW(),COLUMN()),0),"")</f>
        <v/>
      </c>
      <c r="M89" s="2" t="str" cm="1">
        <f t="array" ref="M89">IF('NILAI CPL'!$B89&lt;&gt;"",IFERROR(JumlahPI(ROW(),COLUMN()),0),"")</f>
        <v/>
      </c>
      <c r="N89" s="2" t="str" cm="1">
        <f t="array" ref="N89">IF('NILAI CPL'!$B89&lt;&gt;"",IFERROR(JumlahPI(ROW(),COLUMN()),0),"")</f>
        <v/>
      </c>
      <c r="O89" s="2" t="str" cm="1">
        <f t="array" ref="O89">IF('NILAI CPL'!$B89&lt;&gt;"",IFERROR(JumlahPI(ROW(),COLUMN()),0),"")</f>
        <v/>
      </c>
      <c r="P89" s="2" t="str" cm="1">
        <f t="array" ref="P89">IF('NILAI CPL'!$B89&lt;&gt;"",IFERROR(JumlahPI(ROW(),COLUMN()),0),"")</f>
        <v/>
      </c>
      <c r="Q89" s="2" t="str" cm="1">
        <f t="array" ref="Q89">IF('NILAI CPL'!$B89&lt;&gt;"",IFERROR(JumlahPI(ROW(),COLUMN()),0),"")</f>
        <v/>
      </c>
      <c r="R89" s="2" t="str" cm="1">
        <f t="array" ref="R89">IF('NILAI CPL'!$B89&lt;&gt;"",IFERROR(JumlahPI(ROW(),COLUMN()),0),"")</f>
        <v/>
      </c>
      <c r="S89" s="2" t="str" cm="1">
        <f t="array" ref="S89">IF('NILAI CPL'!$B89&lt;&gt;"",IFERROR(JumlahPI(ROW(),COLUMN()),0),"")</f>
        <v/>
      </c>
      <c r="T89" s="2" t="str" cm="1">
        <f t="array" ref="T89">IF('NILAI CPL'!$B89&lt;&gt;"",IFERROR(JumlahPI(ROW(),COLUMN()),0),"")</f>
        <v/>
      </c>
      <c r="U89" s="2" t="str" cm="1">
        <f t="array" ref="U89">IF('NILAI CPL'!$B89&lt;&gt;"",IFERROR(JumlahPI(ROW(),COLUMN()),0),"")</f>
        <v/>
      </c>
      <c r="V89" s="2" t="str" cm="1">
        <f t="array" ref="V89">IF('NILAI CPL'!$B89&lt;&gt;"",IFERROR(JumlahPI(ROW(),COLUMN()),0),"")</f>
        <v/>
      </c>
      <c r="W89" s="2" t="str" cm="1">
        <f t="array" ref="W89">IF('NILAI CPL'!$B89&lt;&gt;"",IFERROR(JumlahPI(ROW(),COLUMN()),0),"")</f>
        <v/>
      </c>
      <c r="X89" s="2" t="str" cm="1">
        <f t="array" ref="X89">IF('NILAI CPL'!$B89&lt;&gt;"",IFERROR(JumlahPI(ROW(),COLUMN()),0),"")</f>
        <v/>
      </c>
      <c r="Y89" s="2" t="str" cm="1">
        <f t="array" ref="Y89">IF('NILAI CPL'!$B89&lt;&gt;"",IFERROR(JumlahPI(ROW(),COLUMN()),0),"")</f>
        <v/>
      </c>
      <c r="Z89" s="2" t="str" cm="1">
        <f t="array" ref="Z89">IF('NILAI CPL'!$B89&lt;&gt;"",IFERROR(JumlahPI(ROW(),COLUMN()),0),"")</f>
        <v/>
      </c>
      <c r="AB89" s="2" t="str" cm="1">
        <f t="array" ref="AB89">IF('NILAI CPL'!$B89&lt;&gt;"",IFERROR(_xlfn.IFS(E89&gt;=$B$3,4,E89&gt;=$B$4,3,E89&gt;=$B$5,2,E89&gt;$B$6,1),0),"")</f>
        <v/>
      </c>
      <c r="AC89" s="2" t="str" cm="1">
        <f t="array" ref="AC89">IF('NILAI CPL'!$B89&lt;&gt;"",IFERROR(_xlfn.IFS(F89&gt;=$B$3,4,F89&gt;=$B$4,3,F89&gt;=$B$5,2,F89&gt;$B$6,1),0),"")</f>
        <v/>
      </c>
      <c r="AD89" s="2" t="str" cm="1">
        <f t="array" ref="AD89">IF('NILAI CPL'!$B89&lt;&gt;"",IFERROR(_xlfn.IFS(G89&gt;=$B$3,4,G89&gt;=$B$4,3,G89&gt;=$B$5,2,G89&gt;$B$6,1),0),"")</f>
        <v/>
      </c>
      <c r="AE89" s="2" t="str" cm="1">
        <f t="array" ref="AE89">IF('NILAI CPL'!$B89&lt;&gt;"",IFERROR(_xlfn.IFS(H89&gt;=$B$3,4,H89&gt;=$B$4,3,H89&gt;=$B$5,2,H89&gt;$B$6,1),0),"")</f>
        <v/>
      </c>
      <c r="AF89" s="2" t="str" cm="1">
        <f t="array" ref="AF89">IF('NILAI CPL'!$B89&lt;&gt;"",IFERROR(_xlfn.IFS(I89&gt;=$B$3,4,I89&gt;=$B$4,3,I89&gt;=$B$5,2,I89&gt;$B$6,1),0),"")</f>
        <v/>
      </c>
      <c r="AG89" s="2" t="str" cm="1">
        <f t="array" ref="AG89">IF('NILAI CPL'!$B89&lt;&gt;"",IFERROR(_xlfn.IFS(J89&gt;=$B$3,4,J89&gt;=$B$4,3,J89&gt;=$B$5,2,J89&gt;$B$6,1),0),"")</f>
        <v/>
      </c>
      <c r="AH89" s="2" t="str" cm="1">
        <f t="array" ref="AH89">IF('NILAI CPL'!$B89&lt;&gt;"",IFERROR(_xlfn.IFS(K89&gt;=$B$3,4,K89&gt;=$B$4,3,K89&gt;=$B$5,2,K89&gt;$B$6,1),0),"")</f>
        <v/>
      </c>
      <c r="AI89" s="2" t="str" cm="1">
        <f t="array" ref="AI89">IF('NILAI CPL'!$B89&lt;&gt;"",IFERROR(_xlfn.IFS(L89&gt;=$B$3,4,L89&gt;=$B$4,3,L89&gt;=$B$5,2,L89&gt;$B$6,1),0),"")</f>
        <v/>
      </c>
      <c r="AJ89" s="2" t="str" cm="1">
        <f t="array" ref="AJ89">IF('NILAI CPL'!$B89&lt;&gt;"",IFERROR(_xlfn.IFS(M89&gt;=$B$3,4,M89&gt;=$B$4,3,M89&gt;=$B$5,2,M89&gt;$B$6,1),0),"")</f>
        <v/>
      </c>
      <c r="AK89" s="2" t="str" cm="1">
        <f t="array" ref="AK89">IF('NILAI CPL'!$B89&lt;&gt;"",IFERROR(_xlfn.IFS(N89&gt;=$B$3,4,N89&gt;=$B$4,3,N89&gt;=$B$5,2,N89&gt;$B$6,1),0),"")</f>
        <v/>
      </c>
      <c r="AL89" s="2" t="str" cm="1">
        <f t="array" ref="AL89">IF('NILAI CPL'!$B89&lt;&gt;"",IFERROR(_xlfn.IFS(O89&gt;=$B$3,4,O89&gt;=$B$4,3,O89&gt;=$B$5,2,O89&gt;$B$6,1),0),"")</f>
        <v/>
      </c>
      <c r="AM89" s="2" t="str" cm="1">
        <f t="array" ref="AM89">IF('NILAI CPL'!$B89&lt;&gt;"",IFERROR(_xlfn.IFS(P89&gt;=$B$3,4,P89&gt;=$B$4,3,P89&gt;=$B$5,2,P89&gt;$B$6,1),0),"")</f>
        <v/>
      </c>
      <c r="AN89" s="2" t="str" cm="1">
        <f t="array" ref="AN89">IF('NILAI CPL'!$B89&lt;&gt;"",IFERROR(_xlfn.IFS(Q89&gt;=$B$3,4,Q89&gt;=$B$4,3,Q89&gt;=$B$5,2,Q89&gt;$B$6,1),0),"")</f>
        <v/>
      </c>
      <c r="AO89" s="2" t="str" cm="1">
        <f t="array" ref="AO89">IF('NILAI CPL'!$B89&lt;&gt;"",IFERROR(_xlfn.IFS(R89&gt;=$B$3,4,R89&gt;=$B$4,3,R89&gt;=$B$5,2,R89&gt;$B$6,1),0),"")</f>
        <v/>
      </c>
      <c r="AP89" s="2" t="str" cm="1">
        <f t="array" ref="AP89">IF('NILAI CPL'!$B89&lt;&gt;"",IFERROR(_xlfn.IFS(S89&gt;=$B$3,4,S89&gt;=$B$4,3,S89&gt;=$B$5,2,S89&gt;$B$6,1),0),"")</f>
        <v/>
      </c>
      <c r="AQ89" s="2" t="str" cm="1">
        <f t="array" ref="AQ89">IF('NILAI CPL'!$B89&lt;&gt;"",IFERROR(_xlfn.IFS(T89&gt;=$B$3,4,T89&gt;=$B$4,3,T89&gt;=$B$5,2,T89&gt;$B$6,1),0),"")</f>
        <v/>
      </c>
      <c r="AR89" s="2" t="str" cm="1">
        <f t="array" ref="AR89">IF('NILAI CPL'!$B89&lt;&gt;"",IFERROR(_xlfn.IFS(U89&gt;=$B$3,4,U89&gt;=$B$4,3,U89&gt;=$B$5,2,U89&gt;$B$6,1),0),"")</f>
        <v/>
      </c>
      <c r="AS89" s="2" t="str" cm="1">
        <f t="array" ref="AS89">IF('NILAI CPL'!$B89&lt;&gt;"",IFERROR(_xlfn.IFS(V89&gt;=$B$3,4,V89&gt;=$B$4,3,V89&gt;=$B$5,2,V89&gt;$B$6,1),0),"")</f>
        <v/>
      </c>
      <c r="AT89" s="2" t="str" cm="1">
        <f t="array" ref="AT89">IF('NILAI CPL'!$B89&lt;&gt;"",IFERROR(_xlfn.IFS(W89&gt;=$B$3,4,W89&gt;=$B$4,3,W89&gt;=$B$5,2,W89&gt;$B$6,1),0),"")</f>
        <v/>
      </c>
      <c r="AU89" s="2" t="str" cm="1">
        <f t="array" ref="AU89">IF('NILAI CPL'!$B89&lt;&gt;"",IFERROR(_xlfn.IFS(X89&gt;=$B$3,4,X89&gt;=$B$4,3,X89&gt;=$B$5,2,X89&gt;$B$6,1),0),"")</f>
        <v/>
      </c>
      <c r="AV89" s="2" t="str" cm="1">
        <f t="array" ref="AV89">IF('NILAI CPL'!$B89&lt;&gt;"",IFERROR(_xlfn.IFS(Y89&gt;=$B$3,4,Y89&gt;=$B$4,3,Y89&gt;=$B$5,2,Y89&gt;$B$6,1),0),"")</f>
        <v/>
      </c>
      <c r="AW89" s="2" t="str" cm="1">
        <f t="array" ref="AW89">IF('NILAI CPL'!$B89&lt;&gt;"",IFERROR(_xlfn.IFS(Z89&gt;=$B$3,4,Z89&gt;=$B$4,3,Z89&gt;=$B$5,2,Z89&gt;$B$6,1),0),"")</f>
        <v/>
      </c>
      <c r="AY89" s="2" t="str">
        <f t="shared" si="10"/>
        <v/>
      </c>
      <c r="AZ89" s="2" t="str">
        <f t="shared" si="11"/>
        <v/>
      </c>
      <c r="BA89" s="2" t="str">
        <f t="shared" si="12"/>
        <v/>
      </c>
      <c r="BB89" s="2" t="str">
        <f t="shared" si="13"/>
        <v/>
      </c>
      <c r="BC89" s="2" t="str">
        <f t="shared" si="14"/>
        <v/>
      </c>
      <c r="BD89" s="2" t="str">
        <f t="shared" si="15"/>
        <v/>
      </c>
      <c r="BE89" s="2" t="str">
        <f t="shared" si="16"/>
        <v/>
      </c>
      <c r="BF89" s="2" t="str">
        <f t="shared" si="17"/>
        <v/>
      </c>
      <c r="BG89" s="2" t="str">
        <f t="shared" si="18"/>
        <v/>
      </c>
      <c r="BH89" s="2" t="str">
        <f t="shared" si="19"/>
        <v/>
      </c>
      <c r="BJ89" s="2" t="str" cm="1">
        <f t="array" ref="BJ89">IF('NILAI CPL'!$B89&lt;&gt;"",IFERROR(_xlfn.IFS(AY89&gt;=$B$3,4,AY89&gt;=$B$4,3,AY89&gt;=$B$5,2,AY89&gt;$B$6,1),0),"")</f>
        <v/>
      </c>
      <c r="BK89" s="2" t="str" cm="1">
        <f t="array" ref="BK89">IF('NILAI CPL'!$B89&lt;&gt;"",IFERROR(_xlfn.IFS(AZ89&gt;=$B$3,4,AZ89&gt;=$B$4,3,AZ89&gt;=$B$5,2,AZ89&gt;$B$6,1),0),"")</f>
        <v/>
      </c>
      <c r="BL89" s="2" t="str" cm="1">
        <f t="array" ref="BL89">IF('NILAI CPL'!$B89&lt;&gt;"",IFERROR(_xlfn.IFS(BA89&gt;=$B$3,4,BA89&gt;=$B$4,3,BA89&gt;=$B$5,2,BA89&gt;$B$6,1),0),"")</f>
        <v/>
      </c>
      <c r="BM89" s="2" t="str" cm="1">
        <f t="array" ref="BM89">IF('NILAI CPL'!$B89&lt;&gt;"",IFERROR(_xlfn.IFS(BB89&gt;=$B$3,4,BB89&gt;=$B$4,3,BB89&gt;=$B$5,2,BB89&gt;$B$6,1),0),"")</f>
        <v/>
      </c>
      <c r="BN89" s="2" t="str" cm="1">
        <f t="array" ref="BN89">IF('NILAI CPL'!$B89&lt;&gt;"",IFERROR(_xlfn.IFS(BC89&gt;=$B$3,4,BC89&gt;=$B$4,3,BC89&gt;=$B$5,2,BC89&gt;$B$6,1),0),"")</f>
        <v/>
      </c>
      <c r="BO89" s="2" t="str" cm="1">
        <f t="array" ref="BO89">IF('NILAI CPL'!$B89&lt;&gt;"",IFERROR(_xlfn.IFS(BD89&gt;=$B$3,4,BD89&gt;=$B$4,3,BD89&gt;=$B$5,2,BD89&gt;$B$6,1),0),"")</f>
        <v/>
      </c>
      <c r="BP89" s="2" t="str" cm="1">
        <f t="array" ref="BP89">IF('NILAI CPL'!$B89&lt;&gt;"",IFERROR(_xlfn.IFS(BE89&gt;=$B$3,4,BE89&gt;=$B$4,3,BE89&gt;=$B$5,2,BE89&gt;$B$6,1),0),"")</f>
        <v/>
      </c>
      <c r="BQ89" s="2" t="str" cm="1">
        <f t="array" ref="BQ89">IF('NILAI CPL'!$B89&lt;&gt;"",IFERROR(_xlfn.IFS(BF89&gt;=$B$3,4,BF89&gt;=$B$4,3,BF89&gt;=$B$5,2,BF89&gt;$B$6,1),0),"")</f>
        <v/>
      </c>
      <c r="BR89" s="2" t="str" cm="1">
        <f t="array" ref="BR89">IF('NILAI CPL'!$B89&lt;&gt;"",IFERROR(_xlfn.IFS(BG89&gt;=$B$3,4,BG89&gt;=$B$4,3,BG89&gt;=$B$5,2,BG89&gt;$B$6,1),0),"")</f>
        <v/>
      </c>
      <c r="BS89" s="2" t="str" cm="1">
        <f t="array" ref="BS89">IF('NILAI CPL'!$B89&lt;&gt;"",IFERROR(_xlfn.IFS(BH89&gt;=$B$3,4,BH89&gt;=$B$4,3,BH89&gt;=$B$5,2,BH89&gt;$B$6,1),0),"")</f>
        <v/>
      </c>
    </row>
    <row r="90" spans="1:71" x14ac:dyDescent="0.2">
      <c r="A90" s="2">
        <v>80</v>
      </c>
      <c r="B90" s="2" t="str">
        <f>IF(LEN(SUMMARY!B90)&gt;0, SUMMARY!B90, "")</f>
        <v/>
      </c>
      <c r="C90" s="2" t="str">
        <f>IF(LEN(SUMMARY!C90)&gt;0, SUMMARY!C90, "")</f>
        <v/>
      </c>
      <c r="E90" s="2" t="str" cm="1">
        <f t="array" ref="E90">IF('NILAI CPL'!$B90&lt;&gt;"",IFERROR(JumlahPI(ROW(),COLUMN()),0),"")</f>
        <v/>
      </c>
      <c r="F90" s="2" t="str" cm="1">
        <f t="array" ref="F90">IF('NILAI CPL'!$B90&lt;&gt;"",IFERROR(JumlahPI(ROW(),COLUMN()),0),"")</f>
        <v/>
      </c>
      <c r="G90" s="2" t="str" cm="1">
        <f t="array" ref="G90">IF('NILAI CPL'!$B90&lt;&gt;"",IFERROR(JumlahPI(ROW(),COLUMN()),0),"")</f>
        <v/>
      </c>
      <c r="H90" s="2" t="str" cm="1">
        <f t="array" ref="H90">IF('NILAI CPL'!$B90&lt;&gt;"",IFERROR(JumlahPI(ROW(),COLUMN()),0),"")</f>
        <v/>
      </c>
      <c r="I90" s="2" t="str" cm="1">
        <f t="array" ref="I90">IF('NILAI CPL'!$B90&lt;&gt;"",IFERROR(JumlahPI(ROW(),COLUMN()),0),"")</f>
        <v/>
      </c>
      <c r="J90" s="2" t="str" cm="1">
        <f t="array" ref="J90">IF('NILAI CPL'!$B90&lt;&gt;"",IFERROR(JumlahPI(ROW(),COLUMN()),0),"")</f>
        <v/>
      </c>
      <c r="K90" s="2" t="str" cm="1">
        <f t="array" ref="K90">IF('NILAI CPL'!$B90&lt;&gt;"",IFERROR(JumlahPI(ROW(),COLUMN()),0),"")</f>
        <v/>
      </c>
      <c r="L90" s="2" t="str" cm="1">
        <f t="array" ref="L90">IF('NILAI CPL'!$B90&lt;&gt;"",IFERROR(JumlahPI(ROW(),COLUMN()),0),"")</f>
        <v/>
      </c>
      <c r="M90" s="2" t="str" cm="1">
        <f t="array" ref="M90">IF('NILAI CPL'!$B90&lt;&gt;"",IFERROR(JumlahPI(ROW(),COLUMN()),0),"")</f>
        <v/>
      </c>
      <c r="N90" s="2" t="str" cm="1">
        <f t="array" ref="N90">IF('NILAI CPL'!$B90&lt;&gt;"",IFERROR(JumlahPI(ROW(),COLUMN()),0),"")</f>
        <v/>
      </c>
      <c r="O90" s="2" t="str" cm="1">
        <f t="array" ref="O90">IF('NILAI CPL'!$B90&lt;&gt;"",IFERROR(JumlahPI(ROW(),COLUMN()),0),"")</f>
        <v/>
      </c>
      <c r="P90" s="2" t="str" cm="1">
        <f t="array" ref="P90">IF('NILAI CPL'!$B90&lt;&gt;"",IFERROR(JumlahPI(ROW(),COLUMN()),0),"")</f>
        <v/>
      </c>
      <c r="Q90" s="2" t="str" cm="1">
        <f t="array" ref="Q90">IF('NILAI CPL'!$B90&lt;&gt;"",IFERROR(JumlahPI(ROW(),COLUMN()),0),"")</f>
        <v/>
      </c>
      <c r="R90" s="2" t="str" cm="1">
        <f t="array" ref="R90">IF('NILAI CPL'!$B90&lt;&gt;"",IFERROR(JumlahPI(ROW(),COLUMN()),0),"")</f>
        <v/>
      </c>
      <c r="S90" s="2" t="str" cm="1">
        <f t="array" ref="S90">IF('NILAI CPL'!$B90&lt;&gt;"",IFERROR(JumlahPI(ROW(),COLUMN()),0),"")</f>
        <v/>
      </c>
      <c r="T90" s="2" t="str" cm="1">
        <f t="array" ref="T90">IF('NILAI CPL'!$B90&lt;&gt;"",IFERROR(JumlahPI(ROW(),COLUMN()),0),"")</f>
        <v/>
      </c>
      <c r="U90" s="2" t="str" cm="1">
        <f t="array" ref="U90">IF('NILAI CPL'!$B90&lt;&gt;"",IFERROR(JumlahPI(ROW(),COLUMN()),0),"")</f>
        <v/>
      </c>
      <c r="V90" s="2" t="str" cm="1">
        <f t="array" ref="V90">IF('NILAI CPL'!$B90&lt;&gt;"",IFERROR(JumlahPI(ROW(),COLUMN()),0),"")</f>
        <v/>
      </c>
      <c r="W90" s="2" t="str" cm="1">
        <f t="array" ref="W90">IF('NILAI CPL'!$B90&lt;&gt;"",IFERROR(JumlahPI(ROW(),COLUMN()),0),"")</f>
        <v/>
      </c>
      <c r="X90" s="2" t="str" cm="1">
        <f t="array" ref="X90">IF('NILAI CPL'!$B90&lt;&gt;"",IFERROR(JumlahPI(ROW(),COLUMN()),0),"")</f>
        <v/>
      </c>
      <c r="Y90" s="2" t="str" cm="1">
        <f t="array" ref="Y90">IF('NILAI CPL'!$B90&lt;&gt;"",IFERROR(JumlahPI(ROW(),COLUMN()),0),"")</f>
        <v/>
      </c>
      <c r="Z90" s="2" t="str" cm="1">
        <f t="array" ref="Z90">IF('NILAI CPL'!$B90&lt;&gt;"",IFERROR(JumlahPI(ROW(),COLUMN()),0),"")</f>
        <v/>
      </c>
      <c r="AB90" s="2" t="str" cm="1">
        <f t="array" ref="AB90">IF('NILAI CPL'!$B90&lt;&gt;"",IFERROR(_xlfn.IFS(E90&gt;=$B$3,4,E90&gt;=$B$4,3,E90&gt;=$B$5,2,E90&gt;$B$6,1),0),"")</f>
        <v/>
      </c>
      <c r="AC90" s="2" t="str" cm="1">
        <f t="array" ref="AC90">IF('NILAI CPL'!$B90&lt;&gt;"",IFERROR(_xlfn.IFS(F90&gt;=$B$3,4,F90&gt;=$B$4,3,F90&gt;=$B$5,2,F90&gt;$B$6,1),0),"")</f>
        <v/>
      </c>
      <c r="AD90" s="2" t="str" cm="1">
        <f t="array" ref="AD90">IF('NILAI CPL'!$B90&lt;&gt;"",IFERROR(_xlfn.IFS(G90&gt;=$B$3,4,G90&gt;=$B$4,3,G90&gt;=$B$5,2,G90&gt;$B$6,1),0),"")</f>
        <v/>
      </c>
      <c r="AE90" s="2" t="str" cm="1">
        <f t="array" ref="AE90">IF('NILAI CPL'!$B90&lt;&gt;"",IFERROR(_xlfn.IFS(H90&gt;=$B$3,4,H90&gt;=$B$4,3,H90&gt;=$B$5,2,H90&gt;$B$6,1),0),"")</f>
        <v/>
      </c>
      <c r="AF90" s="2" t="str" cm="1">
        <f t="array" ref="AF90">IF('NILAI CPL'!$B90&lt;&gt;"",IFERROR(_xlfn.IFS(I90&gt;=$B$3,4,I90&gt;=$B$4,3,I90&gt;=$B$5,2,I90&gt;$B$6,1),0),"")</f>
        <v/>
      </c>
      <c r="AG90" s="2" t="str" cm="1">
        <f t="array" ref="AG90">IF('NILAI CPL'!$B90&lt;&gt;"",IFERROR(_xlfn.IFS(J90&gt;=$B$3,4,J90&gt;=$B$4,3,J90&gt;=$B$5,2,J90&gt;$B$6,1),0),"")</f>
        <v/>
      </c>
      <c r="AH90" s="2" t="str" cm="1">
        <f t="array" ref="AH90">IF('NILAI CPL'!$B90&lt;&gt;"",IFERROR(_xlfn.IFS(K90&gt;=$B$3,4,K90&gt;=$B$4,3,K90&gt;=$B$5,2,K90&gt;$B$6,1),0),"")</f>
        <v/>
      </c>
      <c r="AI90" s="2" t="str" cm="1">
        <f t="array" ref="AI90">IF('NILAI CPL'!$B90&lt;&gt;"",IFERROR(_xlfn.IFS(L90&gt;=$B$3,4,L90&gt;=$B$4,3,L90&gt;=$B$5,2,L90&gt;$B$6,1),0),"")</f>
        <v/>
      </c>
      <c r="AJ90" s="2" t="str" cm="1">
        <f t="array" ref="AJ90">IF('NILAI CPL'!$B90&lt;&gt;"",IFERROR(_xlfn.IFS(M90&gt;=$B$3,4,M90&gt;=$B$4,3,M90&gt;=$B$5,2,M90&gt;$B$6,1),0),"")</f>
        <v/>
      </c>
      <c r="AK90" s="2" t="str" cm="1">
        <f t="array" ref="AK90">IF('NILAI CPL'!$B90&lt;&gt;"",IFERROR(_xlfn.IFS(N90&gt;=$B$3,4,N90&gt;=$B$4,3,N90&gt;=$B$5,2,N90&gt;$B$6,1),0),"")</f>
        <v/>
      </c>
      <c r="AL90" s="2" t="str" cm="1">
        <f t="array" ref="AL90">IF('NILAI CPL'!$B90&lt;&gt;"",IFERROR(_xlfn.IFS(O90&gt;=$B$3,4,O90&gt;=$B$4,3,O90&gt;=$B$5,2,O90&gt;$B$6,1),0),"")</f>
        <v/>
      </c>
      <c r="AM90" s="2" t="str" cm="1">
        <f t="array" ref="AM90">IF('NILAI CPL'!$B90&lt;&gt;"",IFERROR(_xlfn.IFS(P90&gt;=$B$3,4,P90&gt;=$B$4,3,P90&gt;=$B$5,2,P90&gt;$B$6,1),0),"")</f>
        <v/>
      </c>
      <c r="AN90" s="2" t="str" cm="1">
        <f t="array" ref="AN90">IF('NILAI CPL'!$B90&lt;&gt;"",IFERROR(_xlfn.IFS(Q90&gt;=$B$3,4,Q90&gt;=$B$4,3,Q90&gt;=$B$5,2,Q90&gt;$B$6,1),0),"")</f>
        <v/>
      </c>
      <c r="AO90" s="2" t="str" cm="1">
        <f t="array" ref="AO90">IF('NILAI CPL'!$B90&lt;&gt;"",IFERROR(_xlfn.IFS(R90&gt;=$B$3,4,R90&gt;=$B$4,3,R90&gt;=$B$5,2,R90&gt;$B$6,1),0),"")</f>
        <v/>
      </c>
      <c r="AP90" s="2" t="str" cm="1">
        <f t="array" ref="AP90">IF('NILAI CPL'!$B90&lt;&gt;"",IFERROR(_xlfn.IFS(S90&gt;=$B$3,4,S90&gt;=$B$4,3,S90&gt;=$B$5,2,S90&gt;$B$6,1),0),"")</f>
        <v/>
      </c>
      <c r="AQ90" s="2" t="str" cm="1">
        <f t="array" ref="AQ90">IF('NILAI CPL'!$B90&lt;&gt;"",IFERROR(_xlfn.IFS(T90&gt;=$B$3,4,T90&gt;=$B$4,3,T90&gt;=$B$5,2,T90&gt;$B$6,1),0),"")</f>
        <v/>
      </c>
      <c r="AR90" s="2" t="str" cm="1">
        <f t="array" ref="AR90">IF('NILAI CPL'!$B90&lt;&gt;"",IFERROR(_xlfn.IFS(U90&gt;=$B$3,4,U90&gt;=$B$4,3,U90&gt;=$B$5,2,U90&gt;$B$6,1),0),"")</f>
        <v/>
      </c>
      <c r="AS90" s="2" t="str" cm="1">
        <f t="array" ref="AS90">IF('NILAI CPL'!$B90&lt;&gt;"",IFERROR(_xlfn.IFS(V90&gt;=$B$3,4,V90&gt;=$B$4,3,V90&gt;=$B$5,2,V90&gt;$B$6,1),0),"")</f>
        <v/>
      </c>
      <c r="AT90" s="2" t="str" cm="1">
        <f t="array" ref="AT90">IF('NILAI CPL'!$B90&lt;&gt;"",IFERROR(_xlfn.IFS(W90&gt;=$B$3,4,W90&gt;=$B$4,3,W90&gt;=$B$5,2,W90&gt;$B$6,1),0),"")</f>
        <v/>
      </c>
      <c r="AU90" s="2" t="str" cm="1">
        <f t="array" ref="AU90">IF('NILAI CPL'!$B90&lt;&gt;"",IFERROR(_xlfn.IFS(X90&gt;=$B$3,4,X90&gt;=$B$4,3,X90&gt;=$B$5,2,X90&gt;$B$6,1),0),"")</f>
        <v/>
      </c>
      <c r="AV90" s="2" t="str" cm="1">
        <f t="array" ref="AV90">IF('NILAI CPL'!$B90&lt;&gt;"",IFERROR(_xlfn.IFS(Y90&gt;=$B$3,4,Y90&gt;=$B$4,3,Y90&gt;=$B$5,2,Y90&gt;$B$6,1),0),"")</f>
        <v/>
      </c>
      <c r="AW90" s="2" t="str" cm="1">
        <f t="array" ref="AW90">IF('NILAI CPL'!$B90&lt;&gt;"",IFERROR(_xlfn.IFS(Z90&gt;=$B$3,4,Z90&gt;=$B$4,3,Z90&gt;=$B$5,2,Z90&gt;$B$6,1),0),"")</f>
        <v/>
      </c>
      <c r="AY90" s="2" t="str">
        <f t="shared" si="10"/>
        <v/>
      </c>
      <c r="AZ90" s="2" t="str">
        <f t="shared" si="11"/>
        <v/>
      </c>
      <c r="BA90" s="2" t="str">
        <f t="shared" si="12"/>
        <v/>
      </c>
      <c r="BB90" s="2" t="str">
        <f t="shared" si="13"/>
        <v/>
      </c>
      <c r="BC90" s="2" t="str">
        <f t="shared" si="14"/>
        <v/>
      </c>
      <c r="BD90" s="2" t="str">
        <f t="shared" si="15"/>
        <v/>
      </c>
      <c r="BE90" s="2" t="str">
        <f t="shared" si="16"/>
        <v/>
      </c>
      <c r="BF90" s="2" t="str">
        <f t="shared" si="17"/>
        <v/>
      </c>
      <c r="BG90" s="2" t="str">
        <f t="shared" si="18"/>
        <v/>
      </c>
      <c r="BH90" s="2" t="str">
        <f t="shared" si="19"/>
        <v/>
      </c>
      <c r="BJ90" s="2" t="str" cm="1">
        <f t="array" ref="BJ90">IF('NILAI CPL'!$B90&lt;&gt;"",IFERROR(_xlfn.IFS(AY90&gt;=$B$3,4,AY90&gt;=$B$4,3,AY90&gt;=$B$5,2,AY90&gt;$B$6,1),0),"")</f>
        <v/>
      </c>
      <c r="BK90" s="2" t="str" cm="1">
        <f t="array" ref="BK90">IF('NILAI CPL'!$B90&lt;&gt;"",IFERROR(_xlfn.IFS(AZ90&gt;=$B$3,4,AZ90&gt;=$B$4,3,AZ90&gt;=$B$5,2,AZ90&gt;$B$6,1),0),"")</f>
        <v/>
      </c>
      <c r="BL90" s="2" t="str" cm="1">
        <f t="array" ref="BL90">IF('NILAI CPL'!$B90&lt;&gt;"",IFERROR(_xlfn.IFS(BA90&gt;=$B$3,4,BA90&gt;=$B$4,3,BA90&gt;=$B$5,2,BA90&gt;$B$6,1),0),"")</f>
        <v/>
      </c>
      <c r="BM90" s="2" t="str" cm="1">
        <f t="array" ref="BM90">IF('NILAI CPL'!$B90&lt;&gt;"",IFERROR(_xlfn.IFS(BB90&gt;=$B$3,4,BB90&gt;=$B$4,3,BB90&gt;=$B$5,2,BB90&gt;$B$6,1),0),"")</f>
        <v/>
      </c>
      <c r="BN90" s="2" t="str" cm="1">
        <f t="array" ref="BN90">IF('NILAI CPL'!$B90&lt;&gt;"",IFERROR(_xlfn.IFS(BC90&gt;=$B$3,4,BC90&gt;=$B$4,3,BC90&gt;=$B$5,2,BC90&gt;$B$6,1),0),"")</f>
        <v/>
      </c>
      <c r="BO90" s="2" t="str" cm="1">
        <f t="array" ref="BO90">IF('NILAI CPL'!$B90&lt;&gt;"",IFERROR(_xlfn.IFS(BD90&gt;=$B$3,4,BD90&gt;=$B$4,3,BD90&gt;=$B$5,2,BD90&gt;$B$6,1),0),"")</f>
        <v/>
      </c>
      <c r="BP90" s="2" t="str" cm="1">
        <f t="array" ref="BP90">IF('NILAI CPL'!$B90&lt;&gt;"",IFERROR(_xlfn.IFS(BE90&gt;=$B$3,4,BE90&gt;=$B$4,3,BE90&gt;=$B$5,2,BE90&gt;$B$6,1),0),"")</f>
        <v/>
      </c>
      <c r="BQ90" s="2" t="str" cm="1">
        <f t="array" ref="BQ90">IF('NILAI CPL'!$B90&lt;&gt;"",IFERROR(_xlfn.IFS(BF90&gt;=$B$3,4,BF90&gt;=$B$4,3,BF90&gt;=$B$5,2,BF90&gt;$B$6,1),0),"")</f>
        <v/>
      </c>
      <c r="BR90" s="2" t="str" cm="1">
        <f t="array" ref="BR90">IF('NILAI CPL'!$B90&lt;&gt;"",IFERROR(_xlfn.IFS(BG90&gt;=$B$3,4,BG90&gt;=$B$4,3,BG90&gt;=$B$5,2,BG90&gt;$B$6,1),0),"")</f>
        <v/>
      </c>
      <c r="BS90" s="2" t="str" cm="1">
        <f t="array" ref="BS90">IF('NILAI CPL'!$B90&lt;&gt;"",IFERROR(_xlfn.IFS(BH90&gt;=$B$3,4,BH90&gt;=$B$4,3,BH90&gt;=$B$5,2,BH90&gt;$B$6,1),0),"")</f>
        <v/>
      </c>
    </row>
  </sheetData>
  <mergeCells count="20">
    <mergeCell ref="S8:T8"/>
    <mergeCell ref="U8:V8"/>
    <mergeCell ref="W8:X8"/>
    <mergeCell ref="Y8:Z8"/>
    <mergeCell ref="E8:F8"/>
    <mergeCell ref="G8:J8"/>
    <mergeCell ref="K8:L8"/>
    <mergeCell ref="M8:N8"/>
    <mergeCell ref="O8:P8"/>
    <mergeCell ref="Q8:R8"/>
    <mergeCell ref="AB9:AC9"/>
    <mergeCell ref="AD9:AG9"/>
    <mergeCell ref="AH9:AI9"/>
    <mergeCell ref="AJ9:AK9"/>
    <mergeCell ref="AL9:AM9"/>
    <mergeCell ref="AN9:AO9"/>
    <mergeCell ref="AP9:AQ9"/>
    <mergeCell ref="AR9:AS9"/>
    <mergeCell ref="AT9:AU9"/>
    <mergeCell ref="AV9:AW9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47B35-0302-5C49-8517-95602FFCABF1}">
  <sheetPr codeName="Sheet2"/>
  <dimension ref="A2:S90"/>
  <sheetViews>
    <sheetView showGridLines="0" zoomScale="92" workbookViewId="0">
      <selection activeCell="R11" sqref="R11"/>
    </sheetView>
  </sheetViews>
  <sheetFormatPr baseColWidth="10" defaultRowHeight="16" x14ac:dyDescent="0.2"/>
  <cols>
    <col min="1" max="2" width="10.83203125" style="6"/>
    <col min="3" max="3" width="22.83203125" style="6" bestFit="1" customWidth="1"/>
    <col min="4" max="16" width="10.83203125" style="6"/>
    <col min="17" max="17" width="13.1640625" style="6" bestFit="1" customWidth="1"/>
    <col min="18" max="16384" width="10.83203125" style="6"/>
  </cols>
  <sheetData>
    <row r="2" spans="1:19" x14ac:dyDescent="0.2">
      <c r="D2" s="3" t="s">
        <v>3</v>
      </c>
      <c r="E2" s="11" t="s">
        <v>81</v>
      </c>
      <c r="F2" s="11" t="s">
        <v>82</v>
      </c>
      <c r="G2" s="11" t="s">
        <v>83</v>
      </c>
      <c r="H2" s="11" t="s">
        <v>84</v>
      </c>
      <c r="I2" s="11" t="s">
        <v>85</v>
      </c>
      <c r="J2" s="11" t="s">
        <v>86</v>
      </c>
      <c r="K2" s="11" t="s">
        <v>87</v>
      </c>
    </row>
    <row r="3" spans="1:19" x14ac:dyDescent="0.2">
      <c r="D3" s="3" t="s">
        <v>65</v>
      </c>
      <c r="E3" s="27">
        <v>90</v>
      </c>
      <c r="F3" s="27">
        <v>75</v>
      </c>
      <c r="G3" s="27">
        <v>70</v>
      </c>
      <c r="H3" s="27">
        <v>65</v>
      </c>
      <c r="I3" s="27">
        <v>50</v>
      </c>
      <c r="J3" s="27">
        <v>55</v>
      </c>
      <c r="K3" s="27">
        <v>0</v>
      </c>
    </row>
    <row r="7" spans="1:19" ht="17" x14ac:dyDescent="0.2">
      <c r="D7" s="3" t="s">
        <v>66</v>
      </c>
      <c r="E7" s="18" t="str" cm="1">
        <f t="array" aca="1" ref="E7" ca="1">GetSheetName(COLUMN())</f>
        <v>TUGAS 1</v>
      </c>
      <c r="F7" s="18" t="str" cm="1">
        <f t="array" aca="1" ref="F7" ca="1">GetSheetName(COLUMN())</f>
        <v>TUGAS 2</v>
      </c>
      <c r="G7" s="18" t="str" cm="1">
        <f t="array" aca="1" ref="G7" ca="1">GetSheetName(COLUMN())</f>
        <v>TUBES</v>
      </c>
      <c r="H7" s="18" t="str" cm="1">
        <f t="array" aca="1" ref="H7" ca="1">GetSheetName(COLUMN())</f>
        <v>UJIAN 1</v>
      </c>
      <c r="I7" s="18" t="str" cm="1">
        <f t="array" aca="1" ref="I7" ca="1">GetSheetName(COLUMN())</f>
        <v>UJIAN 2</v>
      </c>
      <c r="J7" s="18" t="str" cm="1">
        <f t="array" aca="1" ref="J7" ca="1">GetSheetName(COLUMN())</f>
        <v/>
      </c>
      <c r="K7" s="18" t="str" cm="1">
        <f t="array" aca="1" ref="K7" ca="1">GetSheetName(COLUMN())</f>
        <v/>
      </c>
      <c r="L7" s="18" t="str" cm="1">
        <f t="array" aca="1" ref="L7" ca="1">GetSheetName(COLUMN())</f>
        <v/>
      </c>
      <c r="M7" s="18" t="str" cm="1">
        <f t="array" aca="1" ref="M7" ca="1">GetSheetName(COLUMN())</f>
        <v/>
      </c>
      <c r="N7" s="18" t="str" cm="1">
        <f t="array" aca="1" ref="N7" ca="1">GetSheetName(COLUMN())</f>
        <v/>
      </c>
      <c r="O7" s="18" t="str" cm="1">
        <f t="array" aca="1" ref="O7" ca="1">GetSheetName(COLUMN())</f>
        <v/>
      </c>
      <c r="P7" s="18" t="str" cm="1">
        <f t="array" aca="1" ref="P7" ca="1">GetSheetName(COLUMN())</f>
        <v/>
      </c>
      <c r="Q7" s="18" t="s">
        <v>108</v>
      </c>
      <c r="R7" s="21" t="s">
        <v>2</v>
      </c>
      <c r="S7" s="43" t="s">
        <v>3</v>
      </c>
    </row>
    <row r="8" spans="1:19" x14ac:dyDescent="0.2">
      <c r="D8" s="3" t="s">
        <v>63</v>
      </c>
      <c r="E8" s="19">
        <f ca="1">IFERROR(ROUNDUP(STDEV(E11:E90),2),0)</f>
        <v>0</v>
      </c>
      <c r="F8" s="19">
        <f t="shared" ref="F8:R8" ca="1" si="0">IFERROR(ROUNDUP(STDEV(F11:F90),2),0)</f>
        <v>0</v>
      </c>
      <c r="G8" s="19">
        <f t="shared" ca="1" si="0"/>
        <v>0</v>
      </c>
      <c r="H8" s="19">
        <f t="shared" ca="1" si="0"/>
        <v>0</v>
      </c>
      <c r="I8" s="19">
        <f t="shared" ca="1" si="0"/>
        <v>0</v>
      </c>
      <c r="J8" s="19">
        <f t="shared" ca="1" si="0"/>
        <v>0</v>
      </c>
      <c r="K8" s="19">
        <f t="shared" ca="1" si="0"/>
        <v>0</v>
      </c>
      <c r="L8" s="19">
        <f t="shared" ca="1" si="0"/>
        <v>0</v>
      </c>
      <c r="M8" s="19">
        <f t="shared" ca="1" si="0"/>
        <v>0</v>
      </c>
      <c r="N8" s="19">
        <f t="shared" ca="1" si="0"/>
        <v>0</v>
      </c>
      <c r="O8" s="19">
        <f t="shared" ca="1" si="0"/>
        <v>0</v>
      </c>
      <c r="P8" s="19">
        <f t="shared" ca="1" si="0"/>
        <v>0</v>
      </c>
      <c r="Q8" s="19">
        <f t="shared" si="0"/>
        <v>0</v>
      </c>
      <c r="R8" s="19">
        <f t="shared" si="0"/>
        <v>0</v>
      </c>
      <c r="S8" s="44"/>
    </row>
    <row r="9" spans="1:19" x14ac:dyDescent="0.2">
      <c r="D9" s="3" t="s">
        <v>62</v>
      </c>
      <c r="E9" s="20">
        <f ca="1">IFERROR(ROUNDUP(AVERAGE(E11:E90),2),0)</f>
        <v>0</v>
      </c>
      <c r="F9" s="20">
        <f t="shared" ref="F9:R9" ca="1" si="1">IFERROR(ROUNDUP(AVERAGE(F11:F90),2),0)</f>
        <v>0</v>
      </c>
      <c r="G9" s="20">
        <f t="shared" ca="1" si="1"/>
        <v>0</v>
      </c>
      <c r="H9" s="20">
        <f t="shared" ca="1" si="1"/>
        <v>0</v>
      </c>
      <c r="I9" s="20">
        <f t="shared" ca="1" si="1"/>
        <v>0</v>
      </c>
      <c r="J9" s="20">
        <f t="shared" ca="1" si="1"/>
        <v>0</v>
      </c>
      <c r="K9" s="20">
        <f t="shared" ca="1" si="1"/>
        <v>0</v>
      </c>
      <c r="L9" s="20">
        <f t="shared" ca="1" si="1"/>
        <v>0</v>
      </c>
      <c r="M9" s="20">
        <f t="shared" ca="1" si="1"/>
        <v>0</v>
      </c>
      <c r="N9" s="20">
        <f t="shared" ca="1" si="1"/>
        <v>0</v>
      </c>
      <c r="O9" s="20">
        <f t="shared" ca="1" si="1"/>
        <v>0</v>
      </c>
      <c r="P9" s="20">
        <f t="shared" ca="1" si="1"/>
        <v>0</v>
      </c>
      <c r="Q9" s="20">
        <f t="shared" si="1"/>
        <v>0</v>
      </c>
      <c r="R9" s="20">
        <f t="shared" si="1"/>
        <v>0</v>
      </c>
      <c r="S9" s="44"/>
    </row>
    <row r="10" spans="1:19" x14ac:dyDescent="0.2">
      <c r="A10" s="11" t="s">
        <v>5</v>
      </c>
      <c r="B10" s="11" t="s">
        <v>0</v>
      </c>
      <c r="C10" s="11" t="s">
        <v>1</v>
      </c>
      <c r="D10" s="3" t="s">
        <v>61</v>
      </c>
      <c r="E10" s="17" cm="1">
        <f t="array" aca="1" ref="E10" ca="1">GetSheetValue(COLUMN(),"B2")</f>
        <v>1</v>
      </c>
      <c r="F10" s="17" cm="1">
        <f t="array" aca="1" ref="F10" ca="1">GetSheetValue(COLUMN(),"B2")</f>
        <v>1</v>
      </c>
      <c r="G10" s="17" cm="1">
        <f t="array" aca="1" ref="G10" ca="1">GetSheetValue(COLUMN(),"B2")</f>
        <v>1</v>
      </c>
      <c r="H10" s="17" cm="1">
        <f t="array" aca="1" ref="H10" ca="1">GetSheetValue(COLUMN(),"B2")</f>
        <v>1</v>
      </c>
      <c r="I10" s="17" cm="1">
        <f t="array" aca="1" ref="I10" ca="1">GetSheetValue(COLUMN(),"B2")</f>
        <v>1</v>
      </c>
      <c r="J10" s="17" t="str" cm="1">
        <f t="array" aca="1" ref="J10" ca="1">GetSheetValue(COLUMN(),"B2")</f>
        <v/>
      </c>
      <c r="K10" s="17" t="str" cm="1">
        <f t="array" aca="1" ref="K10" ca="1">GetSheetValue(COLUMN(),"B2")</f>
        <v/>
      </c>
      <c r="L10" s="17" t="str" cm="1">
        <f t="array" aca="1" ref="L10" ca="1">GetSheetValue(COLUMN(),"B2")</f>
        <v/>
      </c>
      <c r="M10" s="17" t="str" cm="1">
        <f t="array" aca="1" ref="M10" ca="1">GetSheetValue(COLUMN(),"B2")</f>
        <v/>
      </c>
      <c r="N10" s="17" t="str" cm="1">
        <f t="array" aca="1" ref="N10" ca="1">GetSheetValue(COLUMN(),"B2")</f>
        <v/>
      </c>
      <c r="O10" s="17" t="str" cm="1">
        <f t="array" aca="1" ref="O10" ca="1">GetSheetValue(COLUMN(),"B2")</f>
        <v/>
      </c>
      <c r="P10" s="17" t="str" cm="1">
        <f t="array" aca="1" ref="P10" ca="1">GetSheetValue(COLUMN(),"B2")</f>
        <v/>
      </c>
      <c r="Q10" s="24"/>
      <c r="R10" s="24"/>
      <c r="S10" s="45"/>
    </row>
    <row r="11" spans="1:19" x14ac:dyDescent="0.2">
      <c r="A11" s="2">
        <v>1</v>
      </c>
      <c r="B11" s="2" t="str">
        <f>IF(LEN(SUMMARY!B11)&gt;0, SUMMARY!B11, "")</f>
        <v/>
      </c>
      <c r="C11" s="2" t="str">
        <f>IF(LEN(SUMMARY!C11)&gt;0, SUMMARY!C11, "")</f>
        <v/>
      </c>
      <c r="E11" s="2" t="str" cm="1">
        <f t="array" aca="1" ref="E11" ca="1">GetSheetValue(COLUMN(), "Q" &amp; ROW())</f>
        <v/>
      </c>
      <c r="F11" s="2" t="str" cm="1">
        <f t="array" aca="1" ref="F11" ca="1">GetSheetValue(COLUMN(), "Q" &amp; ROW())</f>
        <v/>
      </c>
      <c r="G11" s="2" t="str" cm="1">
        <f t="array" aca="1" ref="G11" ca="1">GetSheetValue(COLUMN(), "Q" &amp; ROW())</f>
        <v/>
      </c>
      <c r="H11" s="2" t="str" cm="1">
        <f t="array" aca="1" ref="H11" ca="1">GetSheetValue(COLUMN(), "Q" &amp; ROW())</f>
        <v/>
      </c>
      <c r="I11" s="2" t="str" cm="1">
        <f t="array" aca="1" ref="I11" ca="1">GetSheetValue(COLUMN(), "Q" &amp; ROW())</f>
        <v/>
      </c>
      <c r="J11" s="2" t="str" cm="1">
        <f t="array" aca="1" ref="J11" ca="1">GetSheetValue(COLUMN(), "Q" &amp; ROW())</f>
        <v/>
      </c>
      <c r="K11" s="2" t="str" cm="1">
        <f t="array" aca="1" ref="K11" ca="1">GetSheetValue(COLUMN(), "Q" &amp; ROW())</f>
        <v/>
      </c>
      <c r="L11" s="2" t="str" cm="1">
        <f t="array" aca="1" ref="L11" ca="1">GetSheetValue(COLUMN(), "Q" &amp; ROW())</f>
        <v/>
      </c>
      <c r="M11" s="2" t="str" cm="1">
        <f t="array" aca="1" ref="M11" ca="1">GetSheetValue(COLUMN(), "Q" &amp; ROW())</f>
        <v/>
      </c>
      <c r="N11" s="2" t="str" cm="1">
        <f t="array" aca="1" ref="N11" ca="1">GetSheetValue(COLUMN(), "Q" &amp; ROW())</f>
        <v/>
      </c>
      <c r="O11" s="2" t="str" cm="1">
        <f t="array" aca="1" ref="O11" ca="1">GetSheetValue(COLUMN(), "Q" &amp; ROW())</f>
        <v/>
      </c>
      <c r="P11" s="2" t="str" cm="1">
        <f t="array" aca="1" ref="P11" ca="1">GetSheetValue(COLUMN(), "Q" &amp; ROW())</f>
        <v/>
      </c>
      <c r="Q11" s="25">
        <v>0</v>
      </c>
      <c r="R11" s="2" t="str">
        <f>IF(B11&lt;&gt;"",IFERROR(ROUNDUP(SUMPRODUCT($E$10:$P$10,E11:P11)/SUM($E$10:$P$10),2),0)+Q11,"")</f>
        <v/>
      </c>
      <c r="S11" s="2" t="str">
        <f>IF(B11&lt;&gt;"",_xlfn.XLOOKUP(R11,$E$3:$K$3,$E$2:$K$2,"E",-1),"")</f>
        <v/>
      </c>
    </row>
    <row r="12" spans="1:19" x14ac:dyDescent="0.2">
      <c r="A12" s="2">
        <v>2</v>
      </c>
      <c r="B12" s="2" t="str">
        <f>IF(LEN(SUMMARY!B12)&gt;0, SUMMARY!B12, "")</f>
        <v/>
      </c>
      <c r="C12" s="2" t="str">
        <f>IF(LEN(SUMMARY!C12)&gt;0, SUMMARY!C12, "")</f>
        <v/>
      </c>
      <c r="E12" s="2" t="str" cm="1">
        <f t="array" aca="1" ref="E12" ca="1">GetSheetValue(COLUMN(), "Q" &amp; ROW())</f>
        <v/>
      </c>
      <c r="F12" s="2" t="str" cm="1">
        <f t="array" aca="1" ref="F12" ca="1">GetSheetValue(COLUMN(), "Q" &amp; ROW())</f>
        <v/>
      </c>
      <c r="G12" s="2" t="str" cm="1">
        <f t="array" aca="1" ref="G12" ca="1">GetSheetValue(COLUMN(), "Q" &amp; ROW())</f>
        <v/>
      </c>
      <c r="H12" s="2" t="str" cm="1">
        <f t="array" aca="1" ref="H12" ca="1">GetSheetValue(COLUMN(), "Q" &amp; ROW())</f>
        <v/>
      </c>
      <c r="I12" s="2" t="str" cm="1">
        <f t="array" aca="1" ref="I12" ca="1">GetSheetValue(COLUMN(), "Q" &amp; ROW())</f>
        <v/>
      </c>
      <c r="J12" s="2" t="str" cm="1">
        <f t="array" aca="1" ref="J12" ca="1">GetSheetValue(COLUMN(), "Q" &amp; ROW())</f>
        <v/>
      </c>
      <c r="K12" s="2" t="str" cm="1">
        <f t="array" aca="1" ref="K12" ca="1">GetSheetValue(COLUMN(), "Q" &amp; ROW())</f>
        <v/>
      </c>
      <c r="L12" s="2" t="str" cm="1">
        <f t="array" aca="1" ref="L12" ca="1">GetSheetValue(COLUMN(), "Q" &amp; ROW())</f>
        <v/>
      </c>
      <c r="M12" s="2" t="str" cm="1">
        <f t="array" aca="1" ref="M12" ca="1">GetSheetValue(COLUMN(), "Q" &amp; ROW())</f>
        <v/>
      </c>
      <c r="N12" s="2" t="str" cm="1">
        <f t="array" aca="1" ref="N12" ca="1">GetSheetValue(COLUMN(), "Q" &amp; ROW())</f>
        <v/>
      </c>
      <c r="O12" s="2" t="str" cm="1">
        <f t="array" aca="1" ref="O12" ca="1">GetSheetValue(COLUMN(), "Q" &amp; ROW())</f>
        <v/>
      </c>
      <c r="P12" s="2" t="str" cm="1">
        <f t="array" aca="1" ref="P12" ca="1">GetSheetValue(COLUMN(), "Q" &amp; ROW())</f>
        <v/>
      </c>
      <c r="Q12" s="25">
        <v>0</v>
      </c>
      <c r="R12" s="2" t="str">
        <f t="shared" ref="R12:R75" si="2">IF(B12&lt;&gt;"",IFERROR(ROUNDUP(SUMPRODUCT($E$10:$P$10,E12:P12)/SUM($E$10:$P$10),2),0)+Q12,"")</f>
        <v/>
      </c>
      <c r="S12" s="2" t="str">
        <f t="shared" ref="S12:S75" si="3">IF(B12&lt;&gt;"",_xlfn.XLOOKUP(R12,$E$3:$K$3,$E$2:$K$2,"E",-1),"")</f>
        <v/>
      </c>
    </row>
    <row r="13" spans="1:19" x14ac:dyDescent="0.2">
      <c r="A13" s="2">
        <v>3</v>
      </c>
      <c r="B13" s="2" t="str">
        <f>IF(LEN(SUMMARY!B13)&gt;0, SUMMARY!B13, "")</f>
        <v/>
      </c>
      <c r="C13" s="2" t="str">
        <f>IF(LEN(SUMMARY!C13)&gt;0, SUMMARY!C13, "")</f>
        <v/>
      </c>
      <c r="E13" s="2" t="str" cm="1">
        <f t="array" aca="1" ref="E13" ca="1">GetSheetValue(COLUMN(), "Q" &amp; ROW())</f>
        <v/>
      </c>
      <c r="F13" s="2" t="str" cm="1">
        <f t="array" aca="1" ref="F13" ca="1">GetSheetValue(COLUMN(), "Q" &amp; ROW())</f>
        <v/>
      </c>
      <c r="G13" s="2" t="str" cm="1">
        <f t="array" aca="1" ref="G13" ca="1">GetSheetValue(COLUMN(), "Q" &amp; ROW())</f>
        <v/>
      </c>
      <c r="H13" s="2" t="str" cm="1">
        <f t="array" aca="1" ref="H13" ca="1">GetSheetValue(COLUMN(), "Q" &amp; ROW())</f>
        <v/>
      </c>
      <c r="I13" s="2" t="str" cm="1">
        <f t="array" aca="1" ref="I13" ca="1">GetSheetValue(COLUMN(), "Q" &amp; ROW())</f>
        <v/>
      </c>
      <c r="J13" s="2" t="str" cm="1">
        <f t="array" aca="1" ref="J13" ca="1">GetSheetValue(COLUMN(), "Q" &amp; ROW())</f>
        <v/>
      </c>
      <c r="K13" s="2" t="str" cm="1">
        <f t="array" aca="1" ref="K13" ca="1">GetSheetValue(COLUMN(), "Q" &amp; ROW())</f>
        <v/>
      </c>
      <c r="L13" s="2" t="str" cm="1">
        <f t="array" aca="1" ref="L13" ca="1">GetSheetValue(COLUMN(), "Q" &amp; ROW())</f>
        <v/>
      </c>
      <c r="M13" s="2" t="str" cm="1">
        <f t="array" aca="1" ref="M13" ca="1">GetSheetValue(COLUMN(), "Q" &amp; ROW())</f>
        <v/>
      </c>
      <c r="N13" s="2" t="str" cm="1">
        <f t="array" aca="1" ref="N13" ca="1">GetSheetValue(COLUMN(), "Q" &amp; ROW())</f>
        <v/>
      </c>
      <c r="O13" s="2" t="str" cm="1">
        <f t="array" aca="1" ref="O13" ca="1">GetSheetValue(COLUMN(), "Q" &amp; ROW())</f>
        <v/>
      </c>
      <c r="P13" s="2" t="str" cm="1">
        <f t="array" aca="1" ref="P13" ca="1">GetSheetValue(COLUMN(), "Q" &amp; ROW())</f>
        <v/>
      </c>
      <c r="Q13" s="25">
        <v>0</v>
      </c>
      <c r="R13" s="2" t="str">
        <f t="shared" si="2"/>
        <v/>
      </c>
      <c r="S13" s="2" t="str">
        <f t="shared" si="3"/>
        <v/>
      </c>
    </row>
    <row r="14" spans="1:19" x14ac:dyDescent="0.2">
      <c r="A14" s="2">
        <v>4</v>
      </c>
      <c r="B14" s="2" t="str">
        <f>IF(LEN(SUMMARY!B14)&gt;0, SUMMARY!B14, "")</f>
        <v/>
      </c>
      <c r="C14" s="2" t="str">
        <f>IF(LEN(SUMMARY!C14)&gt;0, SUMMARY!C14, "")</f>
        <v/>
      </c>
      <c r="E14" s="2" t="str" cm="1">
        <f t="array" aca="1" ref="E14" ca="1">GetSheetValue(COLUMN(), "Q" &amp; ROW())</f>
        <v/>
      </c>
      <c r="F14" s="2" t="str" cm="1">
        <f t="array" aca="1" ref="F14" ca="1">GetSheetValue(COLUMN(), "Q" &amp; ROW())</f>
        <v/>
      </c>
      <c r="G14" s="2" t="str" cm="1">
        <f t="array" aca="1" ref="G14" ca="1">GetSheetValue(COLUMN(), "Q" &amp; ROW())</f>
        <v/>
      </c>
      <c r="H14" s="2" t="str" cm="1">
        <f t="array" aca="1" ref="H14" ca="1">GetSheetValue(COLUMN(), "Q" &amp; ROW())</f>
        <v/>
      </c>
      <c r="I14" s="2" t="str" cm="1">
        <f t="array" aca="1" ref="I14" ca="1">GetSheetValue(COLUMN(), "Q" &amp; ROW())</f>
        <v/>
      </c>
      <c r="J14" s="2" t="str" cm="1">
        <f t="array" aca="1" ref="J14" ca="1">GetSheetValue(COLUMN(), "Q" &amp; ROW())</f>
        <v/>
      </c>
      <c r="K14" s="2" t="str" cm="1">
        <f t="array" aca="1" ref="K14" ca="1">GetSheetValue(COLUMN(), "Q" &amp; ROW())</f>
        <v/>
      </c>
      <c r="L14" s="2" t="str" cm="1">
        <f t="array" aca="1" ref="L14" ca="1">GetSheetValue(COLUMN(), "Q" &amp; ROW())</f>
        <v/>
      </c>
      <c r="M14" s="2" t="str" cm="1">
        <f t="array" aca="1" ref="M14" ca="1">GetSheetValue(COLUMN(), "Q" &amp; ROW())</f>
        <v/>
      </c>
      <c r="N14" s="2" t="str" cm="1">
        <f t="array" aca="1" ref="N14" ca="1">GetSheetValue(COLUMN(), "Q" &amp; ROW())</f>
        <v/>
      </c>
      <c r="O14" s="2" t="str" cm="1">
        <f t="array" aca="1" ref="O14" ca="1">GetSheetValue(COLUMN(), "Q" &amp; ROW())</f>
        <v/>
      </c>
      <c r="P14" s="2" t="str" cm="1">
        <f t="array" aca="1" ref="P14" ca="1">GetSheetValue(COLUMN(), "Q" &amp; ROW())</f>
        <v/>
      </c>
      <c r="Q14" s="25">
        <v>0</v>
      </c>
      <c r="R14" s="2" t="str">
        <f t="shared" si="2"/>
        <v/>
      </c>
      <c r="S14" s="2" t="str">
        <f t="shared" si="3"/>
        <v/>
      </c>
    </row>
    <row r="15" spans="1:19" x14ac:dyDescent="0.2">
      <c r="A15" s="2">
        <v>5</v>
      </c>
      <c r="B15" s="2" t="str">
        <f>IF(LEN(SUMMARY!B15)&gt;0, SUMMARY!B15, "")</f>
        <v/>
      </c>
      <c r="C15" s="2" t="str">
        <f>IF(LEN(SUMMARY!C15)&gt;0, SUMMARY!C15, "")</f>
        <v/>
      </c>
      <c r="E15" s="2" t="str" cm="1">
        <f t="array" aca="1" ref="E15" ca="1">GetSheetValue(COLUMN(), "Q" &amp; ROW())</f>
        <v/>
      </c>
      <c r="F15" s="2" t="str" cm="1">
        <f t="array" aca="1" ref="F15" ca="1">GetSheetValue(COLUMN(), "Q" &amp; ROW())</f>
        <v/>
      </c>
      <c r="G15" s="2" t="str" cm="1">
        <f t="array" aca="1" ref="G15" ca="1">GetSheetValue(COLUMN(), "Q" &amp; ROW())</f>
        <v/>
      </c>
      <c r="H15" s="2" t="str" cm="1">
        <f t="array" aca="1" ref="H15" ca="1">GetSheetValue(COLUMN(), "Q" &amp; ROW())</f>
        <v/>
      </c>
      <c r="I15" s="2" t="str" cm="1">
        <f t="array" aca="1" ref="I15" ca="1">GetSheetValue(COLUMN(), "Q" &amp; ROW())</f>
        <v/>
      </c>
      <c r="J15" s="2" t="str" cm="1">
        <f t="array" aca="1" ref="J15" ca="1">GetSheetValue(COLUMN(), "Q" &amp; ROW())</f>
        <v/>
      </c>
      <c r="K15" s="2" t="str" cm="1">
        <f t="array" aca="1" ref="K15" ca="1">GetSheetValue(COLUMN(), "Q" &amp; ROW())</f>
        <v/>
      </c>
      <c r="L15" s="2" t="str" cm="1">
        <f t="array" aca="1" ref="L15" ca="1">GetSheetValue(COLUMN(), "Q" &amp; ROW())</f>
        <v/>
      </c>
      <c r="M15" s="2" t="str" cm="1">
        <f t="array" aca="1" ref="M15" ca="1">GetSheetValue(COLUMN(), "Q" &amp; ROW())</f>
        <v/>
      </c>
      <c r="N15" s="2" t="str" cm="1">
        <f t="array" aca="1" ref="N15" ca="1">GetSheetValue(COLUMN(), "Q" &amp; ROW())</f>
        <v/>
      </c>
      <c r="O15" s="2" t="str" cm="1">
        <f t="array" aca="1" ref="O15" ca="1">GetSheetValue(COLUMN(), "Q" &amp; ROW())</f>
        <v/>
      </c>
      <c r="P15" s="2" t="str" cm="1">
        <f t="array" aca="1" ref="P15" ca="1">GetSheetValue(COLUMN(), "Q" &amp; ROW())</f>
        <v/>
      </c>
      <c r="Q15" s="25">
        <v>0</v>
      </c>
      <c r="R15" s="2" t="str">
        <f t="shared" si="2"/>
        <v/>
      </c>
      <c r="S15" s="2" t="str">
        <f t="shared" si="3"/>
        <v/>
      </c>
    </row>
    <row r="16" spans="1:19" x14ac:dyDescent="0.2">
      <c r="A16" s="2">
        <v>6</v>
      </c>
      <c r="B16" s="2" t="str">
        <f>IF(LEN(SUMMARY!B16)&gt;0, SUMMARY!B16, "")</f>
        <v/>
      </c>
      <c r="C16" s="2" t="str">
        <f>IF(LEN(SUMMARY!C16)&gt;0, SUMMARY!C16, "")</f>
        <v/>
      </c>
      <c r="E16" s="2" t="str" cm="1">
        <f t="array" aca="1" ref="E16" ca="1">GetSheetValue(COLUMN(), "Q" &amp; ROW())</f>
        <v/>
      </c>
      <c r="F16" s="2" t="str" cm="1">
        <f t="array" aca="1" ref="F16" ca="1">GetSheetValue(COLUMN(), "Q" &amp; ROW())</f>
        <v/>
      </c>
      <c r="G16" s="2" t="str" cm="1">
        <f t="array" aca="1" ref="G16" ca="1">GetSheetValue(COLUMN(), "Q" &amp; ROW())</f>
        <v/>
      </c>
      <c r="H16" s="2" t="str" cm="1">
        <f t="array" aca="1" ref="H16" ca="1">GetSheetValue(COLUMN(), "Q" &amp; ROW())</f>
        <v/>
      </c>
      <c r="I16" s="2" t="str" cm="1">
        <f t="array" aca="1" ref="I16" ca="1">GetSheetValue(COLUMN(), "Q" &amp; ROW())</f>
        <v/>
      </c>
      <c r="J16" s="2" t="str" cm="1">
        <f t="array" aca="1" ref="J16" ca="1">GetSheetValue(COLUMN(), "Q" &amp; ROW())</f>
        <v/>
      </c>
      <c r="K16" s="2" t="str" cm="1">
        <f t="array" aca="1" ref="K16" ca="1">GetSheetValue(COLUMN(), "Q" &amp; ROW())</f>
        <v/>
      </c>
      <c r="L16" s="2" t="str" cm="1">
        <f t="array" aca="1" ref="L16" ca="1">GetSheetValue(COLUMN(), "Q" &amp; ROW())</f>
        <v/>
      </c>
      <c r="M16" s="2" t="str" cm="1">
        <f t="array" aca="1" ref="M16" ca="1">GetSheetValue(COLUMN(), "Q" &amp; ROW())</f>
        <v/>
      </c>
      <c r="N16" s="2" t="str" cm="1">
        <f t="array" aca="1" ref="N16" ca="1">GetSheetValue(COLUMN(), "Q" &amp; ROW())</f>
        <v/>
      </c>
      <c r="O16" s="2" t="str" cm="1">
        <f t="array" aca="1" ref="O16" ca="1">GetSheetValue(COLUMN(), "Q" &amp; ROW())</f>
        <v/>
      </c>
      <c r="P16" s="2" t="str" cm="1">
        <f t="array" aca="1" ref="P16" ca="1">GetSheetValue(COLUMN(), "Q" &amp; ROW())</f>
        <v/>
      </c>
      <c r="Q16" s="25">
        <v>0</v>
      </c>
      <c r="R16" s="2" t="str">
        <f t="shared" si="2"/>
        <v/>
      </c>
      <c r="S16" s="2" t="str">
        <f t="shared" si="3"/>
        <v/>
      </c>
    </row>
    <row r="17" spans="1:19" x14ac:dyDescent="0.2">
      <c r="A17" s="2">
        <v>7</v>
      </c>
      <c r="B17" s="2" t="str">
        <f>IF(LEN(SUMMARY!B17)&gt;0, SUMMARY!B17, "")</f>
        <v/>
      </c>
      <c r="C17" s="2" t="str">
        <f>IF(LEN(SUMMARY!C17)&gt;0, SUMMARY!C17, "")</f>
        <v/>
      </c>
      <c r="E17" s="2" t="str" cm="1">
        <f t="array" aca="1" ref="E17" ca="1">GetSheetValue(COLUMN(), "Q" &amp; ROW())</f>
        <v/>
      </c>
      <c r="F17" s="2" t="str" cm="1">
        <f t="array" aca="1" ref="F17" ca="1">GetSheetValue(COLUMN(), "Q" &amp; ROW())</f>
        <v/>
      </c>
      <c r="G17" s="2" t="str" cm="1">
        <f t="array" aca="1" ref="G17" ca="1">GetSheetValue(COLUMN(), "Q" &amp; ROW())</f>
        <v/>
      </c>
      <c r="H17" s="2" t="str" cm="1">
        <f t="array" aca="1" ref="H17" ca="1">GetSheetValue(COLUMN(), "Q" &amp; ROW())</f>
        <v/>
      </c>
      <c r="I17" s="2" t="str" cm="1">
        <f t="array" aca="1" ref="I17" ca="1">GetSheetValue(COLUMN(), "Q" &amp; ROW())</f>
        <v/>
      </c>
      <c r="J17" s="2" t="str" cm="1">
        <f t="array" aca="1" ref="J17" ca="1">GetSheetValue(COLUMN(), "Q" &amp; ROW())</f>
        <v/>
      </c>
      <c r="K17" s="2" t="str" cm="1">
        <f t="array" aca="1" ref="K17" ca="1">GetSheetValue(COLUMN(), "Q" &amp; ROW())</f>
        <v/>
      </c>
      <c r="L17" s="2" t="str" cm="1">
        <f t="array" aca="1" ref="L17" ca="1">GetSheetValue(COLUMN(), "Q" &amp; ROW())</f>
        <v/>
      </c>
      <c r="M17" s="2" t="str" cm="1">
        <f t="array" aca="1" ref="M17" ca="1">GetSheetValue(COLUMN(), "Q" &amp; ROW())</f>
        <v/>
      </c>
      <c r="N17" s="2" t="str" cm="1">
        <f t="array" aca="1" ref="N17" ca="1">GetSheetValue(COLUMN(), "Q" &amp; ROW())</f>
        <v/>
      </c>
      <c r="O17" s="2" t="str" cm="1">
        <f t="array" aca="1" ref="O17" ca="1">GetSheetValue(COLUMN(), "Q" &amp; ROW())</f>
        <v/>
      </c>
      <c r="P17" s="2" t="str" cm="1">
        <f t="array" aca="1" ref="P17" ca="1">GetSheetValue(COLUMN(), "Q" &amp; ROW())</f>
        <v/>
      </c>
      <c r="Q17" s="25">
        <v>0</v>
      </c>
      <c r="R17" s="2" t="str">
        <f t="shared" si="2"/>
        <v/>
      </c>
      <c r="S17" s="2" t="str">
        <f t="shared" si="3"/>
        <v/>
      </c>
    </row>
    <row r="18" spans="1:19" x14ac:dyDescent="0.2">
      <c r="A18" s="2">
        <v>8</v>
      </c>
      <c r="B18" s="2" t="str">
        <f>IF(LEN(SUMMARY!B18)&gt;0, SUMMARY!B18, "")</f>
        <v/>
      </c>
      <c r="C18" s="2" t="str">
        <f>IF(LEN(SUMMARY!C18)&gt;0, SUMMARY!C18, "")</f>
        <v/>
      </c>
      <c r="E18" s="2" t="str" cm="1">
        <f t="array" aca="1" ref="E18" ca="1">GetSheetValue(COLUMN(), "Q" &amp; ROW())</f>
        <v/>
      </c>
      <c r="F18" s="2" t="str" cm="1">
        <f t="array" aca="1" ref="F18" ca="1">GetSheetValue(COLUMN(), "Q" &amp; ROW())</f>
        <v/>
      </c>
      <c r="G18" s="2" t="str" cm="1">
        <f t="array" aca="1" ref="G18" ca="1">GetSheetValue(COLUMN(), "Q" &amp; ROW())</f>
        <v/>
      </c>
      <c r="H18" s="2" t="str" cm="1">
        <f t="array" aca="1" ref="H18" ca="1">GetSheetValue(COLUMN(), "Q" &amp; ROW())</f>
        <v/>
      </c>
      <c r="I18" s="2" t="str" cm="1">
        <f t="array" aca="1" ref="I18" ca="1">GetSheetValue(COLUMN(), "Q" &amp; ROW())</f>
        <v/>
      </c>
      <c r="J18" s="2" t="str" cm="1">
        <f t="array" aca="1" ref="J18" ca="1">GetSheetValue(COLUMN(), "Q" &amp; ROW())</f>
        <v/>
      </c>
      <c r="K18" s="2" t="str" cm="1">
        <f t="array" aca="1" ref="K18" ca="1">GetSheetValue(COLUMN(), "Q" &amp; ROW())</f>
        <v/>
      </c>
      <c r="L18" s="2" t="str" cm="1">
        <f t="array" aca="1" ref="L18" ca="1">GetSheetValue(COLUMN(), "Q" &amp; ROW())</f>
        <v/>
      </c>
      <c r="M18" s="2" t="str" cm="1">
        <f t="array" aca="1" ref="M18" ca="1">GetSheetValue(COLUMN(), "Q" &amp; ROW())</f>
        <v/>
      </c>
      <c r="N18" s="2" t="str" cm="1">
        <f t="array" aca="1" ref="N18" ca="1">GetSheetValue(COLUMN(), "Q" &amp; ROW())</f>
        <v/>
      </c>
      <c r="O18" s="2" t="str" cm="1">
        <f t="array" aca="1" ref="O18" ca="1">GetSheetValue(COLUMN(), "Q" &amp; ROW())</f>
        <v/>
      </c>
      <c r="P18" s="2" t="str" cm="1">
        <f t="array" aca="1" ref="P18" ca="1">GetSheetValue(COLUMN(), "Q" &amp; ROW())</f>
        <v/>
      </c>
      <c r="Q18" s="25">
        <v>0</v>
      </c>
      <c r="R18" s="2" t="str">
        <f t="shared" si="2"/>
        <v/>
      </c>
      <c r="S18" s="2" t="str">
        <f t="shared" si="3"/>
        <v/>
      </c>
    </row>
    <row r="19" spans="1:19" x14ac:dyDescent="0.2">
      <c r="A19" s="2">
        <v>9</v>
      </c>
      <c r="B19" s="2" t="str">
        <f>IF(LEN(SUMMARY!B19)&gt;0, SUMMARY!B19, "")</f>
        <v/>
      </c>
      <c r="C19" s="2" t="str">
        <f>IF(LEN(SUMMARY!C19)&gt;0, SUMMARY!C19, "")</f>
        <v/>
      </c>
      <c r="E19" s="2" t="str" cm="1">
        <f t="array" aca="1" ref="E19" ca="1">GetSheetValue(COLUMN(), "Q" &amp; ROW())</f>
        <v/>
      </c>
      <c r="F19" s="2" t="str" cm="1">
        <f t="array" aca="1" ref="F19" ca="1">GetSheetValue(COLUMN(), "Q" &amp; ROW())</f>
        <v/>
      </c>
      <c r="G19" s="2" t="str" cm="1">
        <f t="array" aca="1" ref="G19" ca="1">GetSheetValue(COLUMN(), "Q" &amp; ROW())</f>
        <v/>
      </c>
      <c r="H19" s="2" t="str" cm="1">
        <f t="array" aca="1" ref="H19" ca="1">GetSheetValue(COLUMN(), "Q" &amp; ROW())</f>
        <v/>
      </c>
      <c r="I19" s="2" t="str" cm="1">
        <f t="array" aca="1" ref="I19" ca="1">GetSheetValue(COLUMN(), "Q" &amp; ROW())</f>
        <v/>
      </c>
      <c r="J19" s="2" t="str" cm="1">
        <f t="array" aca="1" ref="J19" ca="1">GetSheetValue(COLUMN(), "Q" &amp; ROW())</f>
        <v/>
      </c>
      <c r="K19" s="2" t="str" cm="1">
        <f t="array" aca="1" ref="K19" ca="1">GetSheetValue(COLUMN(), "Q" &amp; ROW())</f>
        <v/>
      </c>
      <c r="L19" s="2" t="str" cm="1">
        <f t="array" aca="1" ref="L19" ca="1">GetSheetValue(COLUMN(), "Q" &amp; ROW())</f>
        <v/>
      </c>
      <c r="M19" s="2" t="str" cm="1">
        <f t="array" aca="1" ref="M19" ca="1">GetSheetValue(COLUMN(), "Q" &amp; ROW())</f>
        <v/>
      </c>
      <c r="N19" s="2" t="str" cm="1">
        <f t="array" aca="1" ref="N19" ca="1">GetSheetValue(COLUMN(), "Q" &amp; ROW())</f>
        <v/>
      </c>
      <c r="O19" s="2" t="str" cm="1">
        <f t="array" aca="1" ref="O19" ca="1">GetSheetValue(COLUMN(), "Q" &amp; ROW())</f>
        <v/>
      </c>
      <c r="P19" s="2" t="str" cm="1">
        <f t="array" aca="1" ref="P19" ca="1">GetSheetValue(COLUMN(), "Q" &amp; ROW())</f>
        <v/>
      </c>
      <c r="Q19" s="25">
        <v>0</v>
      </c>
      <c r="R19" s="2" t="str">
        <f t="shared" si="2"/>
        <v/>
      </c>
      <c r="S19" s="2" t="str">
        <f t="shared" si="3"/>
        <v/>
      </c>
    </row>
    <row r="20" spans="1:19" x14ac:dyDescent="0.2">
      <c r="A20" s="2">
        <v>10</v>
      </c>
      <c r="B20" s="2" t="str">
        <f>IF(LEN(SUMMARY!B20)&gt;0, SUMMARY!B20, "")</f>
        <v/>
      </c>
      <c r="C20" s="2" t="str">
        <f>IF(LEN(SUMMARY!C20)&gt;0, SUMMARY!C20, "")</f>
        <v/>
      </c>
      <c r="E20" s="2" t="str" cm="1">
        <f t="array" aca="1" ref="E20" ca="1">GetSheetValue(COLUMN(), "Q" &amp; ROW())</f>
        <v/>
      </c>
      <c r="F20" s="2" t="str" cm="1">
        <f t="array" aca="1" ref="F20" ca="1">GetSheetValue(COLUMN(), "Q" &amp; ROW())</f>
        <v/>
      </c>
      <c r="G20" s="2" t="str" cm="1">
        <f t="array" aca="1" ref="G20" ca="1">GetSheetValue(COLUMN(), "Q" &amp; ROW())</f>
        <v/>
      </c>
      <c r="H20" s="2" t="str" cm="1">
        <f t="array" aca="1" ref="H20" ca="1">GetSheetValue(COLUMN(), "Q" &amp; ROW())</f>
        <v/>
      </c>
      <c r="I20" s="2" t="str" cm="1">
        <f t="array" aca="1" ref="I20" ca="1">GetSheetValue(COLUMN(), "Q" &amp; ROW())</f>
        <v/>
      </c>
      <c r="J20" s="2" t="str" cm="1">
        <f t="array" aca="1" ref="J20" ca="1">GetSheetValue(COLUMN(), "Q" &amp; ROW())</f>
        <v/>
      </c>
      <c r="K20" s="2" t="str" cm="1">
        <f t="array" aca="1" ref="K20" ca="1">GetSheetValue(COLUMN(), "Q" &amp; ROW())</f>
        <v/>
      </c>
      <c r="L20" s="2" t="str" cm="1">
        <f t="array" aca="1" ref="L20" ca="1">GetSheetValue(COLUMN(), "Q" &amp; ROW())</f>
        <v/>
      </c>
      <c r="M20" s="2" t="str" cm="1">
        <f t="array" aca="1" ref="M20" ca="1">GetSheetValue(COLUMN(), "Q" &amp; ROW())</f>
        <v/>
      </c>
      <c r="N20" s="2" t="str" cm="1">
        <f t="array" aca="1" ref="N20" ca="1">GetSheetValue(COLUMN(), "Q" &amp; ROW())</f>
        <v/>
      </c>
      <c r="O20" s="2" t="str" cm="1">
        <f t="array" aca="1" ref="O20" ca="1">GetSheetValue(COLUMN(), "Q" &amp; ROW())</f>
        <v/>
      </c>
      <c r="P20" s="2" t="str" cm="1">
        <f t="array" aca="1" ref="P20" ca="1">GetSheetValue(COLUMN(), "Q" &amp; ROW())</f>
        <v/>
      </c>
      <c r="Q20" s="25">
        <v>0</v>
      </c>
      <c r="R20" s="2" t="str">
        <f t="shared" si="2"/>
        <v/>
      </c>
      <c r="S20" s="2" t="str">
        <f t="shared" si="3"/>
        <v/>
      </c>
    </row>
    <row r="21" spans="1:19" x14ac:dyDescent="0.2">
      <c r="A21" s="2">
        <v>11</v>
      </c>
      <c r="B21" s="2" t="str">
        <f>IF(LEN(SUMMARY!B21)&gt;0, SUMMARY!B21, "")</f>
        <v/>
      </c>
      <c r="C21" s="2" t="str">
        <f>IF(LEN(SUMMARY!C21)&gt;0, SUMMARY!C21, "")</f>
        <v/>
      </c>
      <c r="E21" s="2" t="str" cm="1">
        <f t="array" aca="1" ref="E21" ca="1">GetSheetValue(COLUMN(), "Q" &amp; ROW())</f>
        <v/>
      </c>
      <c r="F21" s="2" t="str" cm="1">
        <f t="array" aca="1" ref="F21" ca="1">GetSheetValue(COLUMN(), "Q" &amp; ROW())</f>
        <v/>
      </c>
      <c r="G21" s="2" t="str" cm="1">
        <f t="array" aca="1" ref="G21" ca="1">GetSheetValue(COLUMN(), "Q" &amp; ROW())</f>
        <v/>
      </c>
      <c r="H21" s="2" t="str" cm="1">
        <f t="array" aca="1" ref="H21" ca="1">GetSheetValue(COLUMN(), "Q" &amp; ROW())</f>
        <v/>
      </c>
      <c r="I21" s="2" t="str" cm="1">
        <f t="array" aca="1" ref="I21" ca="1">GetSheetValue(COLUMN(), "Q" &amp; ROW())</f>
        <v/>
      </c>
      <c r="J21" s="2" t="str" cm="1">
        <f t="array" aca="1" ref="J21" ca="1">GetSheetValue(COLUMN(), "Q" &amp; ROW())</f>
        <v/>
      </c>
      <c r="K21" s="2" t="str" cm="1">
        <f t="array" aca="1" ref="K21" ca="1">GetSheetValue(COLUMN(), "Q" &amp; ROW())</f>
        <v/>
      </c>
      <c r="L21" s="2" t="str" cm="1">
        <f t="array" aca="1" ref="L21" ca="1">GetSheetValue(COLUMN(), "Q" &amp; ROW())</f>
        <v/>
      </c>
      <c r="M21" s="2" t="str" cm="1">
        <f t="array" aca="1" ref="M21" ca="1">GetSheetValue(COLUMN(), "Q" &amp; ROW())</f>
        <v/>
      </c>
      <c r="N21" s="2" t="str" cm="1">
        <f t="array" aca="1" ref="N21" ca="1">GetSheetValue(COLUMN(), "Q" &amp; ROW())</f>
        <v/>
      </c>
      <c r="O21" s="2" t="str" cm="1">
        <f t="array" aca="1" ref="O21" ca="1">GetSheetValue(COLUMN(), "Q" &amp; ROW())</f>
        <v/>
      </c>
      <c r="P21" s="2" t="str" cm="1">
        <f t="array" aca="1" ref="P21" ca="1">GetSheetValue(COLUMN(), "Q" &amp; ROW())</f>
        <v/>
      </c>
      <c r="Q21" s="25">
        <v>0</v>
      </c>
      <c r="R21" s="2" t="str">
        <f t="shared" si="2"/>
        <v/>
      </c>
      <c r="S21" s="2" t="str">
        <f t="shared" si="3"/>
        <v/>
      </c>
    </row>
    <row r="22" spans="1:19" x14ac:dyDescent="0.2">
      <c r="A22" s="2">
        <v>12</v>
      </c>
      <c r="B22" s="2" t="str">
        <f>IF(LEN(SUMMARY!B22)&gt;0, SUMMARY!B22, "")</f>
        <v/>
      </c>
      <c r="C22" s="2" t="str">
        <f>IF(LEN(SUMMARY!C22)&gt;0, SUMMARY!C22, "")</f>
        <v/>
      </c>
      <c r="E22" s="2" t="str" cm="1">
        <f t="array" aca="1" ref="E22" ca="1">GetSheetValue(COLUMN(), "Q" &amp; ROW())</f>
        <v/>
      </c>
      <c r="F22" s="2" t="str" cm="1">
        <f t="array" aca="1" ref="F22" ca="1">GetSheetValue(COLUMN(), "Q" &amp; ROW())</f>
        <v/>
      </c>
      <c r="G22" s="2" t="str" cm="1">
        <f t="array" aca="1" ref="G22" ca="1">GetSheetValue(COLUMN(), "Q" &amp; ROW())</f>
        <v/>
      </c>
      <c r="H22" s="2" t="str" cm="1">
        <f t="array" aca="1" ref="H22" ca="1">GetSheetValue(COLUMN(), "Q" &amp; ROW())</f>
        <v/>
      </c>
      <c r="I22" s="2" t="str" cm="1">
        <f t="array" aca="1" ref="I22" ca="1">GetSheetValue(COLUMN(), "Q" &amp; ROW())</f>
        <v/>
      </c>
      <c r="J22" s="2" t="str" cm="1">
        <f t="array" aca="1" ref="J22" ca="1">GetSheetValue(COLUMN(), "Q" &amp; ROW())</f>
        <v/>
      </c>
      <c r="K22" s="2" t="str" cm="1">
        <f t="array" aca="1" ref="K22" ca="1">GetSheetValue(COLUMN(), "Q" &amp; ROW())</f>
        <v/>
      </c>
      <c r="L22" s="2" t="str" cm="1">
        <f t="array" aca="1" ref="L22" ca="1">GetSheetValue(COLUMN(), "Q" &amp; ROW())</f>
        <v/>
      </c>
      <c r="M22" s="2" t="str" cm="1">
        <f t="array" aca="1" ref="M22" ca="1">GetSheetValue(COLUMN(), "Q" &amp; ROW())</f>
        <v/>
      </c>
      <c r="N22" s="2" t="str" cm="1">
        <f t="array" aca="1" ref="N22" ca="1">GetSheetValue(COLUMN(), "Q" &amp; ROW())</f>
        <v/>
      </c>
      <c r="O22" s="2" t="str" cm="1">
        <f t="array" aca="1" ref="O22" ca="1">GetSheetValue(COLUMN(), "Q" &amp; ROW())</f>
        <v/>
      </c>
      <c r="P22" s="2" t="str" cm="1">
        <f t="array" aca="1" ref="P22" ca="1">GetSheetValue(COLUMN(), "Q" &amp; ROW())</f>
        <v/>
      </c>
      <c r="Q22" s="25">
        <v>0</v>
      </c>
      <c r="R22" s="2" t="str">
        <f t="shared" si="2"/>
        <v/>
      </c>
      <c r="S22" s="2" t="str">
        <f t="shared" si="3"/>
        <v/>
      </c>
    </row>
    <row r="23" spans="1:19" x14ac:dyDescent="0.2">
      <c r="A23" s="2">
        <v>13</v>
      </c>
      <c r="B23" s="2" t="str">
        <f>IF(LEN(SUMMARY!B23)&gt;0, SUMMARY!B23, "")</f>
        <v/>
      </c>
      <c r="C23" s="2" t="str">
        <f>IF(LEN(SUMMARY!C23)&gt;0, SUMMARY!C23, "")</f>
        <v/>
      </c>
      <c r="E23" s="2" t="str" cm="1">
        <f t="array" aca="1" ref="E23" ca="1">GetSheetValue(COLUMN(), "Q" &amp; ROW())</f>
        <v/>
      </c>
      <c r="F23" s="2" t="str" cm="1">
        <f t="array" aca="1" ref="F23" ca="1">GetSheetValue(COLUMN(), "Q" &amp; ROW())</f>
        <v/>
      </c>
      <c r="G23" s="2" t="str" cm="1">
        <f t="array" aca="1" ref="G23" ca="1">GetSheetValue(COLUMN(), "Q" &amp; ROW())</f>
        <v/>
      </c>
      <c r="H23" s="2" t="str" cm="1">
        <f t="array" aca="1" ref="H23" ca="1">GetSheetValue(COLUMN(), "Q" &amp; ROW())</f>
        <v/>
      </c>
      <c r="I23" s="2" t="str" cm="1">
        <f t="array" aca="1" ref="I23" ca="1">GetSheetValue(COLUMN(), "Q" &amp; ROW())</f>
        <v/>
      </c>
      <c r="J23" s="2" t="str" cm="1">
        <f t="array" aca="1" ref="J23" ca="1">GetSheetValue(COLUMN(), "Q" &amp; ROW())</f>
        <v/>
      </c>
      <c r="K23" s="2" t="str" cm="1">
        <f t="array" aca="1" ref="K23" ca="1">GetSheetValue(COLUMN(), "Q" &amp; ROW())</f>
        <v/>
      </c>
      <c r="L23" s="2" t="str" cm="1">
        <f t="array" aca="1" ref="L23" ca="1">GetSheetValue(COLUMN(), "Q" &amp; ROW())</f>
        <v/>
      </c>
      <c r="M23" s="2" t="str" cm="1">
        <f t="array" aca="1" ref="M23" ca="1">GetSheetValue(COLUMN(), "Q" &amp; ROW())</f>
        <v/>
      </c>
      <c r="N23" s="2" t="str" cm="1">
        <f t="array" aca="1" ref="N23" ca="1">GetSheetValue(COLUMN(), "Q" &amp; ROW())</f>
        <v/>
      </c>
      <c r="O23" s="2" t="str" cm="1">
        <f t="array" aca="1" ref="O23" ca="1">GetSheetValue(COLUMN(), "Q" &amp; ROW())</f>
        <v/>
      </c>
      <c r="P23" s="2" t="str" cm="1">
        <f t="array" aca="1" ref="P23" ca="1">GetSheetValue(COLUMN(), "Q" &amp; ROW())</f>
        <v/>
      </c>
      <c r="Q23" s="25">
        <v>0</v>
      </c>
      <c r="R23" s="2" t="str">
        <f t="shared" si="2"/>
        <v/>
      </c>
      <c r="S23" s="2" t="str">
        <f t="shared" si="3"/>
        <v/>
      </c>
    </row>
    <row r="24" spans="1:19" x14ac:dyDescent="0.2">
      <c r="A24" s="2">
        <v>14</v>
      </c>
      <c r="B24" s="2" t="str">
        <f>IF(LEN(SUMMARY!B24)&gt;0, SUMMARY!B24, "")</f>
        <v/>
      </c>
      <c r="C24" s="2" t="str">
        <f>IF(LEN(SUMMARY!C24)&gt;0, SUMMARY!C24, "")</f>
        <v/>
      </c>
      <c r="E24" s="2" t="str" cm="1">
        <f t="array" aca="1" ref="E24" ca="1">GetSheetValue(COLUMN(), "Q" &amp; ROW())</f>
        <v/>
      </c>
      <c r="F24" s="2" t="str" cm="1">
        <f t="array" aca="1" ref="F24" ca="1">GetSheetValue(COLUMN(), "Q" &amp; ROW())</f>
        <v/>
      </c>
      <c r="G24" s="2" t="str" cm="1">
        <f t="array" aca="1" ref="G24" ca="1">GetSheetValue(COLUMN(), "Q" &amp; ROW())</f>
        <v/>
      </c>
      <c r="H24" s="2" t="str" cm="1">
        <f t="array" aca="1" ref="H24" ca="1">GetSheetValue(COLUMN(), "Q" &amp; ROW())</f>
        <v/>
      </c>
      <c r="I24" s="2" t="str" cm="1">
        <f t="array" aca="1" ref="I24" ca="1">GetSheetValue(COLUMN(), "Q" &amp; ROW())</f>
        <v/>
      </c>
      <c r="J24" s="2" t="str" cm="1">
        <f t="array" aca="1" ref="J24" ca="1">GetSheetValue(COLUMN(), "Q" &amp; ROW())</f>
        <v/>
      </c>
      <c r="K24" s="2" t="str" cm="1">
        <f t="array" aca="1" ref="K24" ca="1">GetSheetValue(COLUMN(), "Q" &amp; ROW())</f>
        <v/>
      </c>
      <c r="L24" s="2" t="str" cm="1">
        <f t="array" aca="1" ref="L24" ca="1">GetSheetValue(COLUMN(), "Q" &amp; ROW())</f>
        <v/>
      </c>
      <c r="M24" s="2" t="str" cm="1">
        <f t="array" aca="1" ref="M24" ca="1">GetSheetValue(COLUMN(), "Q" &amp; ROW())</f>
        <v/>
      </c>
      <c r="N24" s="2" t="str" cm="1">
        <f t="array" aca="1" ref="N24" ca="1">GetSheetValue(COLUMN(), "Q" &amp; ROW())</f>
        <v/>
      </c>
      <c r="O24" s="2" t="str" cm="1">
        <f t="array" aca="1" ref="O24" ca="1">GetSheetValue(COLUMN(), "Q" &amp; ROW())</f>
        <v/>
      </c>
      <c r="P24" s="2" t="str" cm="1">
        <f t="array" aca="1" ref="P24" ca="1">GetSheetValue(COLUMN(), "Q" &amp; ROW())</f>
        <v/>
      </c>
      <c r="Q24" s="25">
        <v>0</v>
      </c>
      <c r="R24" s="2" t="str">
        <f t="shared" si="2"/>
        <v/>
      </c>
      <c r="S24" s="2" t="str">
        <f t="shared" si="3"/>
        <v/>
      </c>
    </row>
    <row r="25" spans="1:19" x14ac:dyDescent="0.2">
      <c r="A25" s="2">
        <v>15</v>
      </c>
      <c r="B25" s="2" t="str">
        <f>IF(LEN(SUMMARY!B25)&gt;0, SUMMARY!B25, "")</f>
        <v/>
      </c>
      <c r="C25" s="2" t="str">
        <f>IF(LEN(SUMMARY!C25)&gt;0, SUMMARY!C25, "")</f>
        <v/>
      </c>
      <c r="E25" s="2" t="str" cm="1">
        <f t="array" aca="1" ref="E25" ca="1">GetSheetValue(COLUMN(), "Q" &amp; ROW())</f>
        <v/>
      </c>
      <c r="F25" s="2" t="str" cm="1">
        <f t="array" aca="1" ref="F25" ca="1">GetSheetValue(COLUMN(), "Q" &amp; ROW())</f>
        <v/>
      </c>
      <c r="G25" s="2" t="str" cm="1">
        <f t="array" aca="1" ref="G25" ca="1">GetSheetValue(COLUMN(), "Q" &amp; ROW())</f>
        <v/>
      </c>
      <c r="H25" s="2" t="str" cm="1">
        <f t="array" aca="1" ref="H25" ca="1">GetSheetValue(COLUMN(), "Q" &amp; ROW())</f>
        <v/>
      </c>
      <c r="I25" s="2" t="str" cm="1">
        <f t="array" aca="1" ref="I25" ca="1">GetSheetValue(COLUMN(), "Q" &amp; ROW())</f>
        <v/>
      </c>
      <c r="J25" s="2" t="str" cm="1">
        <f t="array" aca="1" ref="J25" ca="1">GetSheetValue(COLUMN(), "Q" &amp; ROW())</f>
        <v/>
      </c>
      <c r="K25" s="2" t="str" cm="1">
        <f t="array" aca="1" ref="K25" ca="1">GetSheetValue(COLUMN(), "Q" &amp; ROW())</f>
        <v/>
      </c>
      <c r="L25" s="2" t="str" cm="1">
        <f t="array" aca="1" ref="L25" ca="1">GetSheetValue(COLUMN(), "Q" &amp; ROW())</f>
        <v/>
      </c>
      <c r="M25" s="2" t="str" cm="1">
        <f t="array" aca="1" ref="M25" ca="1">GetSheetValue(COLUMN(), "Q" &amp; ROW())</f>
        <v/>
      </c>
      <c r="N25" s="2" t="str" cm="1">
        <f t="array" aca="1" ref="N25" ca="1">GetSheetValue(COLUMN(), "Q" &amp; ROW())</f>
        <v/>
      </c>
      <c r="O25" s="2" t="str" cm="1">
        <f t="array" aca="1" ref="O25" ca="1">GetSheetValue(COLUMN(), "Q" &amp; ROW())</f>
        <v/>
      </c>
      <c r="P25" s="2" t="str" cm="1">
        <f t="array" aca="1" ref="P25" ca="1">GetSheetValue(COLUMN(), "Q" &amp; ROW())</f>
        <v/>
      </c>
      <c r="Q25" s="25">
        <v>0</v>
      </c>
      <c r="R25" s="2" t="str">
        <f t="shared" si="2"/>
        <v/>
      </c>
      <c r="S25" s="2" t="str">
        <f t="shared" si="3"/>
        <v/>
      </c>
    </row>
    <row r="26" spans="1:19" x14ac:dyDescent="0.2">
      <c r="A26" s="2">
        <v>16</v>
      </c>
      <c r="B26" s="2" t="str">
        <f>IF(LEN(SUMMARY!B26)&gt;0, SUMMARY!B26, "")</f>
        <v/>
      </c>
      <c r="C26" s="2" t="str">
        <f>IF(LEN(SUMMARY!C26)&gt;0, SUMMARY!C26, "")</f>
        <v/>
      </c>
      <c r="E26" s="2" t="str" cm="1">
        <f t="array" aca="1" ref="E26" ca="1">GetSheetValue(COLUMN(), "Q" &amp; ROW())</f>
        <v/>
      </c>
      <c r="F26" s="2" t="str" cm="1">
        <f t="array" aca="1" ref="F26" ca="1">GetSheetValue(COLUMN(), "Q" &amp; ROW())</f>
        <v/>
      </c>
      <c r="G26" s="2" t="str" cm="1">
        <f t="array" aca="1" ref="G26" ca="1">GetSheetValue(COLUMN(), "Q" &amp; ROW())</f>
        <v/>
      </c>
      <c r="H26" s="2" t="str" cm="1">
        <f t="array" aca="1" ref="H26" ca="1">GetSheetValue(COLUMN(), "Q" &amp; ROW())</f>
        <v/>
      </c>
      <c r="I26" s="2" t="str" cm="1">
        <f t="array" aca="1" ref="I26" ca="1">GetSheetValue(COLUMN(), "Q" &amp; ROW())</f>
        <v/>
      </c>
      <c r="J26" s="2" t="str" cm="1">
        <f t="array" aca="1" ref="J26" ca="1">GetSheetValue(COLUMN(), "Q" &amp; ROW())</f>
        <v/>
      </c>
      <c r="K26" s="2" t="str" cm="1">
        <f t="array" aca="1" ref="K26" ca="1">GetSheetValue(COLUMN(), "Q" &amp; ROW())</f>
        <v/>
      </c>
      <c r="L26" s="2" t="str" cm="1">
        <f t="array" aca="1" ref="L26" ca="1">GetSheetValue(COLUMN(), "Q" &amp; ROW())</f>
        <v/>
      </c>
      <c r="M26" s="2" t="str" cm="1">
        <f t="array" aca="1" ref="M26" ca="1">GetSheetValue(COLUMN(), "Q" &amp; ROW())</f>
        <v/>
      </c>
      <c r="N26" s="2" t="str" cm="1">
        <f t="array" aca="1" ref="N26" ca="1">GetSheetValue(COLUMN(), "Q" &amp; ROW())</f>
        <v/>
      </c>
      <c r="O26" s="2" t="str" cm="1">
        <f t="array" aca="1" ref="O26" ca="1">GetSheetValue(COLUMN(), "Q" &amp; ROW())</f>
        <v/>
      </c>
      <c r="P26" s="2" t="str" cm="1">
        <f t="array" aca="1" ref="P26" ca="1">GetSheetValue(COLUMN(), "Q" &amp; ROW())</f>
        <v/>
      </c>
      <c r="Q26" s="25">
        <v>0</v>
      </c>
      <c r="R26" s="2" t="str">
        <f t="shared" si="2"/>
        <v/>
      </c>
      <c r="S26" s="2" t="str">
        <f t="shared" si="3"/>
        <v/>
      </c>
    </row>
    <row r="27" spans="1:19" x14ac:dyDescent="0.2">
      <c r="A27" s="2">
        <v>17</v>
      </c>
      <c r="B27" s="2" t="str">
        <f>IF(LEN(SUMMARY!B27)&gt;0, SUMMARY!B27, "")</f>
        <v/>
      </c>
      <c r="C27" s="2" t="str">
        <f>IF(LEN(SUMMARY!C27)&gt;0, SUMMARY!C27, "")</f>
        <v/>
      </c>
      <c r="E27" s="2" t="str" cm="1">
        <f t="array" aca="1" ref="E27" ca="1">GetSheetValue(COLUMN(), "Q" &amp; ROW())</f>
        <v/>
      </c>
      <c r="F27" s="2" t="str" cm="1">
        <f t="array" aca="1" ref="F27" ca="1">GetSheetValue(COLUMN(), "Q" &amp; ROW())</f>
        <v/>
      </c>
      <c r="G27" s="2" t="str" cm="1">
        <f t="array" aca="1" ref="G27" ca="1">GetSheetValue(COLUMN(), "Q" &amp; ROW())</f>
        <v/>
      </c>
      <c r="H27" s="2" t="str" cm="1">
        <f t="array" aca="1" ref="H27" ca="1">GetSheetValue(COLUMN(), "Q" &amp; ROW())</f>
        <v/>
      </c>
      <c r="I27" s="2" t="str" cm="1">
        <f t="array" aca="1" ref="I27" ca="1">GetSheetValue(COLUMN(), "Q" &amp; ROW())</f>
        <v/>
      </c>
      <c r="J27" s="2" t="str" cm="1">
        <f t="array" aca="1" ref="J27" ca="1">GetSheetValue(COLUMN(), "Q" &amp; ROW())</f>
        <v/>
      </c>
      <c r="K27" s="2" t="str" cm="1">
        <f t="array" aca="1" ref="K27" ca="1">GetSheetValue(COLUMN(), "Q" &amp; ROW())</f>
        <v/>
      </c>
      <c r="L27" s="2" t="str" cm="1">
        <f t="array" aca="1" ref="L27" ca="1">GetSheetValue(COLUMN(), "Q" &amp; ROW())</f>
        <v/>
      </c>
      <c r="M27" s="2" t="str" cm="1">
        <f t="array" aca="1" ref="M27" ca="1">GetSheetValue(COLUMN(), "Q" &amp; ROW())</f>
        <v/>
      </c>
      <c r="N27" s="2" t="str" cm="1">
        <f t="array" aca="1" ref="N27" ca="1">GetSheetValue(COLUMN(), "Q" &amp; ROW())</f>
        <v/>
      </c>
      <c r="O27" s="2" t="str" cm="1">
        <f t="array" aca="1" ref="O27" ca="1">GetSheetValue(COLUMN(), "Q" &amp; ROW())</f>
        <v/>
      </c>
      <c r="P27" s="2" t="str" cm="1">
        <f t="array" aca="1" ref="P27" ca="1">GetSheetValue(COLUMN(), "Q" &amp; ROW())</f>
        <v/>
      </c>
      <c r="Q27" s="25">
        <v>0</v>
      </c>
      <c r="R27" s="2" t="str">
        <f t="shared" si="2"/>
        <v/>
      </c>
      <c r="S27" s="2" t="str">
        <f t="shared" si="3"/>
        <v/>
      </c>
    </row>
    <row r="28" spans="1:19" x14ac:dyDescent="0.2">
      <c r="A28" s="2">
        <v>18</v>
      </c>
      <c r="B28" s="2" t="str">
        <f>IF(LEN(SUMMARY!B28)&gt;0, SUMMARY!B28, "")</f>
        <v/>
      </c>
      <c r="C28" s="2" t="str">
        <f>IF(LEN(SUMMARY!C28)&gt;0, SUMMARY!C28, "")</f>
        <v/>
      </c>
      <c r="E28" s="2" t="str" cm="1">
        <f t="array" aca="1" ref="E28" ca="1">GetSheetValue(COLUMN(), "Q" &amp; ROW())</f>
        <v/>
      </c>
      <c r="F28" s="2" t="str" cm="1">
        <f t="array" aca="1" ref="F28" ca="1">GetSheetValue(COLUMN(), "Q" &amp; ROW())</f>
        <v/>
      </c>
      <c r="G28" s="2" t="str" cm="1">
        <f t="array" aca="1" ref="G28" ca="1">GetSheetValue(COLUMN(), "Q" &amp; ROW())</f>
        <v/>
      </c>
      <c r="H28" s="2" t="str" cm="1">
        <f t="array" aca="1" ref="H28" ca="1">GetSheetValue(COLUMN(), "Q" &amp; ROW())</f>
        <v/>
      </c>
      <c r="I28" s="2" t="str" cm="1">
        <f t="array" aca="1" ref="I28" ca="1">GetSheetValue(COLUMN(), "Q" &amp; ROW())</f>
        <v/>
      </c>
      <c r="J28" s="2" t="str" cm="1">
        <f t="array" aca="1" ref="J28" ca="1">GetSheetValue(COLUMN(), "Q" &amp; ROW())</f>
        <v/>
      </c>
      <c r="K28" s="2" t="str" cm="1">
        <f t="array" aca="1" ref="K28" ca="1">GetSheetValue(COLUMN(), "Q" &amp; ROW())</f>
        <v/>
      </c>
      <c r="L28" s="2" t="str" cm="1">
        <f t="array" aca="1" ref="L28" ca="1">GetSheetValue(COLUMN(), "Q" &amp; ROW())</f>
        <v/>
      </c>
      <c r="M28" s="2" t="str" cm="1">
        <f t="array" aca="1" ref="M28" ca="1">GetSheetValue(COLUMN(), "Q" &amp; ROW())</f>
        <v/>
      </c>
      <c r="N28" s="2" t="str" cm="1">
        <f t="array" aca="1" ref="N28" ca="1">GetSheetValue(COLUMN(), "Q" &amp; ROW())</f>
        <v/>
      </c>
      <c r="O28" s="2" t="str" cm="1">
        <f t="array" aca="1" ref="O28" ca="1">GetSheetValue(COLUMN(), "Q" &amp; ROW())</f>
        <v/>
      </c>
      <c r="P28" s="2" t="str" cm="1">
        <f t="array" aca="1" ref="P28" ca="1">GetSheetValue(COLUMN(), "Q" &amp; ROW())</f>
        <v/>
      </c>
      <c r="Q28" s="25">
        <v>0</v>
      </c>
      <c r="R28" s="2" t="str">
        <f t="shared" si="2"/>
        <v/>
      </c>
      <c r="S28" s="2" t="str">
        <f t="shared" si="3"/>
        <v/>
      </c>
    </row>
    <row r="29" spans="1:19" x14ac:dyDescent="0.2">
      <c r="A29" s="2">
        <v>19</v>
      </c>
      <c r="B29" s="2" t="str">
        <f>IF(LEN(SUMMARY!B29)&gt;0, SUMMARY!B29, "")</f>
        <v/>
      </c>
      <c r="C29" s="2" t="str">
        <f>IF(LEN(SUMMARY!C29)&gt;0, SUMMARY!C29, "")</f>
        <v/>
      </c>
      <c r="E29" s="2" t="str" cm="1">
        <f t="array" aca="1" ref="E29" ca="1">GetSheetValue(COLUMN(), "Q" &amp; ROW())</f>
        <v/>
      </c>
      <c r="F29" s="2" t="str" cm="1">
        <f t="array" aca="1" ref="F29" ca="1">GetSheetValue(COLUMN(), "Q" &amp; ROW())</f>
        <v/>
      </c>
      <c r="G29" s="2" t="str" cm="1">
        <f t="array" aca="1" ref="G29" ca="1">GetSheetValue(COLUMN(), "Q" &amp; ROW())</f>
        <v/>
      </c>
      <c r="H29" s="2" t="str" cm="1">
        <f t="array" aca="1" ref="H29" ca="1">GetSheetValue(COLUMN(), "Q" &amp; ROW())</f>
        <v/>
      </c>
      <c r="I29" s="2" t="str" cm="1">
        <f t="array" aca="1" ref="I29" ca="1">GetSheetValue(COLUMN(), "Q" &amp; ROW())</f>
        <v/>
      </c>
      <c r="J29" s="2" t="str" cm="1">
        <f t="array" aca="1" ref="J29" ca="1">GetSheetValue(COLUMN(), "Q" &amp; ROW())</f>
        <v/>
      </c>
      <c r="K29" s="2" t="str" cm="1">
        <f t="array" aca="1" ref="K29" ca="1">GetSheetValue(COLUMN(), "Q" &amp; ROW())</f>
        <v/>
      </c>
      <c r="L29" s="2" t="str" cm="1">
        <f t="array" aca="1" ref="L29" ca="1">GetSheetValue(COLUMN(), "Q" &amp; ROW())</f>
        <v/>
      </c>
      <c r="M29" s="2" t="str" cm="1">
        <f t="array" aca="1" ref="M29" ca="1">GetSheetValue(COLUMN(), "Q" &amp; ROW())</f>
        <v/>
      </c>
      <c r="N29" s="2" t="str" cm="1">
        <f t="array" aca="1" ref="N29" ca="1">GetSheetValue(COLUMN(), "Q" &amp; ROW())</f>
        <v/>
      </c>
      <c r="O29" s="2" t="str" cm="1">
        <f t="array" aca="1" ref="O29" ca="1">GetSheetValue(COLUMN(), "Q" &amp; ROW())</f>
        <v/>
      </c>
      <c r="P29" s="2" t="str" cm="1">
        <f t="array" aca="1" ref="P29" ca="1">GetSheetValue(COLUMN(), "Q" &amp; ROW())</f>
        <v/>
      </c>
      <c r="Q29" s="25">
        <v>0</v>
      </c>
      <c r="R29" s="2" t="str">
        <f t="shared" si="2"/>
        <v/>
      </c>
      <c r="S29" s="2" t="str">
        <f t="shared" si="3"/>
        <v/>
      </c>
    </row>
    <row r="30" spans="1:19" x14ac:dyDescent="0.2">
      <c r="A30" s="2">
        <v>20</v>
      </c>
      <c r="B30" s="2" t="str">
        <f>IF(LEN(SUMMARY!B30)&gt;0, SUMMARY!B30, "")</f>
        <v/>
      </c>
      <c r="C30" s="2" t="str">
        <f>IF(LEN(SUMMARY!C30)&gt;0, SUMMARY!C30, "")</f>
        <v/>
      </c>
      <c r="E30" s="2" t="str" cm="1">
        <f t="array" aca="1" ref="E30" ca="1">GetSheetValue(COLUMN(), "Q" &amp; ROW())</f>
        <v/>
      </c>
      <c r="F30" s="2" t="str" cm="1">
        <f t="array" aca="1" ref="F30" ca="1">GetSheetValue(COLUMN(), "Q" &amp; ROW())</f>
        <v/>
      </c>
      <c r="G30" s="2" t="str" cm="1">
        <f t="array" aca="1" ref="G30" ca="1">GetSheetValue(COLUMN(), "Q" &amp; ROW())</f>
        <v/>
      </c>
      <c r="H30" s="2" t="str" cm="1">
        <f t="array" aca="1" ref="H30" ca="1">GetSheetValue(COLUMN(), "Q" &amp; ROW())</f>
        <v/>
      </c>
      <c r="I30" s="2" t="str" cm="1">
        <f t="array" aca="1" ref="I30" ca="1">GetSheetValue(COLUMN(), "Q" &amp; ROW())</f>
        <v/>
      </c>
      <c r="J30" s="2" t="str" cm="1">
        <f t="array" aca="1" ref="J30" ca="1">GetSheetValue(COLUMN(), "Q" &amp; ROW())</f>
        <v/>
      </c>
      <c r="K30" s="2" t="str" cm="1">
        <f t="array" aca="1" ref="K30" ca="1">GetSheetValue(COLUMN(), "Q" &amp; ROW())</f>
        <v/>
      </c>
      <c r="L30" s="2" t="str" cm="1">
        <f t="array" aca="1" ref="L30" ca="1">GetSheetValue(COLUMN(), "Q" &amp; ROW())</f>
        <v/>
      </c>
      <c r="M30" s="2" t="str" cm="1">
        <f t="array" aca="1" ref="M30" ca="1">GetSheetValue(COLUMN(), "Q" &amp; ROW())</f>
        <v/>
      </c>
      <c r="N30" s="2" t="str" cm="1">
        <f t="array" aca="1" ref="N30" ca="1">GetSheetValue(COLUMN(), "Q" &amp; ROW())</f>
        <v/>
      </c>
      <c r="O30" s="2" t="str" cm="1">
        <f t="array" aca="1" ref="O30" ca="1">GetSheetValue(COLUMN(), "Q" &amp; ROW())</f>
        <v/>
      </c>
      <c r="P30" s="2" t="str" cm="1">
        <f t="array" aca="1" ref="P30" ca="1">GetSheetValue(COLUMN(), "Q" &amp; ROW())</f>
        <v/>
      </c>
      <c r="Q30" s="25">
        <v>0</v>
      </c>
      <c r="R30" s="2" t="str">
        <f t="shared" si="2"/>
        <v/>
      </c>
      <c r="S30" s="2" t="str">
        <f t="shared" si="3"/>
        <v/>
      </c>
    </row>
    <row r="31" spans="1:19" x14ac:dyDescent="0.2">
      <c r="A31" s="2">
        <v>21</v>
      </c>
      <c r="B31" s="2" t="str">
        <f>IF(LEN(SUMMARY!B31)&gt;0, SUMMARY!B31, "")</f>
        <v/>
      </c>
      <c r="C31" s="2" t="str">
        <f>IF(LEN(SUMMARY!C31)&gt;0, SUMMARY!C31, "")</f>
        <v/>
      </c>
      <c r="E31" s="2" t="str" cm="1">
        <f t="array" aca="1" ref="E31" ca="1">GetSheetValue(COLUMN(), "Q" &amp; ROW())</f>
        <v/>
      </c>
      <c r="F31" s="2" t="str" cm="1">
        <f t="array" aca="1" ref="F31" ca="1">GetSheetValue(COLUMN(), "Q" &amp; ROW())</f>
        <v/>
      </c>
      <c r="G31" s="2" t="str" cm="1">
        <f t="array" aca="1" ref="G31" ca="1">GetSheetValue(COLUMN(), "Q" &amp; ROW())</f>
        <v/>
      </c>
      <c r="H31" s="2" t="str" cm="1">
        <f t="array" aca="1" ref="H31" ca="1">GetSheetValue(COLUMN(), "Q" &amp; ROW())</f>
        <v/>
      </c>
      <c r="I31" s="2" t="str" cm="1">
        <f t="array" aca="1" ref="I31" ca="1">GetSheetValue(COLUMN(), "Q" &amp; ROW())</f>
        <v/>
      </c>
      <c r="J31" s="2" t="str" cm="1">
        <f t="array" aca="1" ref="J31" ca="1">GetSheetValue(COLUMN(), "Q" &amp; ROW())</f>
        <v/>
      </c>
      <c r="K31" s="2" t="str" cm="1">
        <f t="array" aca="1" ref="K31" ca="1">GetSheetValue(COLUMN(), "Q" &amp; ROW())</f>
        <v/>
      </c>
      <c r="L31" s="2" t="str" cm="1">
        <f t="array" aca="1" ref="L31" ca="1">GetSheetValue(COLUMN(), "Q" &amp; ROW())</f>
        <v/>
      </c>
      <c r="M31" s="2" t="str" cm="1">
        <f t="array" aca="1" ref="M31" ca="1">GetSheetValue(COLUMN(), "Q" &amp; ROW())</f>
        <v/>
      </c>
      <c r="N31" s="2" t="str" cm="1">
        <f t="array" aca="1" ref="N31" ca="1">GetSheetValue(COLUMN(), "Q" &amp; ROW())</f>
        <v/>
      </c>
      <c r="O31" s="2" t="str" cm="1">
        <f t="array" aca="1" ref="O31" ca="1">GetSheetValue(COLUMN(), "Q" &amp; ROW())</f>
        <v/>
      </c>
      <c r="P31" s="2" t="str" cm="1">
        <f t="array" aca="1" ref="P31" ca="1">GetSheetValue(COLUMN(), "Q" &amp; ROW())</f>
        <v/>
      </c>
      <c r="Q31" s="25">
        <v>0</v>
      </c>
      <c r="R31" s="2" t="str">
        <f t="shared" si="2"/>
        <v/>
      </c>
      <c r="S31" s="2" t="str">
        <f t="shared" si="3"/>
        <v/>
      </c>
    </row>
    <row r="32" spans="1:19" x14ac:dyDescent="0.2">
      <c r="A32" s="2">
        <v>22</v>
      </c>
      <c r="B32" s="2" t="str">
        <f>IF(LEN(SUMMARY!B32)&gt;0, SUMMARY!B32, "")</f>
        <v/>
      </c>
      <c r="C32" s="2" t="str">
        <f>IF(LEN(SUMMARY!C32)&gt;0, SUMMARY!C32, "")</f>
        <v/>
      </c>
      <c r="E32" s="2" t="str" cm="1">
        <f t="array" aca="1" ref="E32" ca="1">GetSheetValue(COLUMN(), "Q" &amp; ROW())</f>
        <v/>
      </c>
      <c r="F32" s="2" t="str" cm="1">
        <f t="array" aca="1" ref="F32" ca="1">GetSheetValue(COLUMN(), "Q" &amp; ROW())</f>
        <v/>
      </c>
      <c r="G32" s="2" t="str" cm="1">
        <f t="array" aca="1" ref="G32" ca="1">GetSheetValue(COLUMN(), "Q" &amp; ROW())</f>
        <v/>
      </c>
      <c r="H32" s="2" t="str" cm="1">
        <f t="array" aca="1" ref="H32" ca="1">GetSheetValue(COLUMN(), "Q" &amp; ROW())</f>
        <v/>
      </c>
      <c r="I32" s="2" t="str" cm="1">
        <f t="array" aca="1" ref="I32" ca="1">GetSheetValue(COLUMN(), "Q" &amp; ROW())</f>
        <v/>
      </c>
      <c r="J32" s="2" t="str" cm="1">
        <f t="array" aca="1" ref="J32" ca="1">GetSheetValue(COLUMN(), "Q" &amp; ROW())</f>
        <v/>
      </c>
      <c r="K32" s="2" t="str" cm="1">
        <f t="array" aca="1" ref="K32" ca="1">GetSheetValue(COLUMN(), "Q" &amp; ROW())</f>
        <v/>
      </c>
      <c r="L32" s="2" t="str" cm="1">
        <f t="array" aca="1" ref="L32" ca="1">GetSheetValue(COLUMN(), "Q" &amp; ROW())</f>
        <v/>
      </c>
      <c r="M32" s="2" t="str" cm="1">
        <f t="array" aca="1" ref="M32" ca="1">GetSheetValue(COLUMN(), "Q" &amp; ROW())</f>
        <v/>
      </c>
      <c r="N32" s="2" t="str" cm="1">
        <f t="array" aca="1" ref="N32" ca="1">GetSheetValue(COLUMN(), "Q" &amp; ROW())</f>
        <v/>
      </c>
      <c r="O32" s="2" t="str" cm="1">
        <f t="array" aca="1" ref="O32" ca="1">GetSheetValue(COLUMN(), "Q" &amp; ROW())</f>
        <v/>
      </c>
      <c r="P32" s="2" t="str" cm="1">
        <f t="array" aca="1" ref="P32" ca="1">GetSheetValue(COLUMN(), "Q" &amp; ROW())</f>
        <v/>
      </c>
      <c r="Q32" s="25">
        <v>0</v>
      </c>
      <c r="R32" s="2" t="str">
        <f t="shared" si="2"/>
        <v/>
      </c>
      <c r="S32" s="2" t="str">
        <f t="shared" si="3"/>
        <v/>
      </c>
    </row>
    <row r="33" spans="1:19" x14ac:dyDescent="0.2">
      <c r="A33" s="2">
        <v>23</v>
      </c>
      <c r="B33" s="2" t="str">
        <f>IF(LEN(SUMMARY!B33)&gt;0, SUMMARY!B33, "")</f>
        <v/>
      </c>
      <c r="C33" s="2" t="str">
        <f>IF(LEN(SUMMARY!C33)&gt;0, SUMMARY!C33, "")</f>
        <v/>
      </c>
      <c r="E33" s="2" t="str" cm="1">
        <f t="array" aca="1" ref="E33" ca="1">GetSheetValue(COLUMN(), "Q" &amp; ROW())</f>
        <v/>
      </c>
      <c r="F33" s="2" t="str" cm="1">
        <f t="array" aca="1" ref="F33" ca="1">GetSheetValue(COLUMN(), "Q" &amp; ROW())</f>
        <v/>
      </c>
      <c r="G33" s="2" t="str" cm="1">
        <f t="array" aca="1" ref="G33" ca="1">GetSheetValue(COLUMN(), "Q" &amp; ROW())</f>
        <v/>
      </c>
      <c r="H33" s="2" t="str" cm="1">
        <f t="array" aca="1" ref="H33" ca="1">GetSheetValue(COLUMN(), "Q" &amp; ROW())</f>
        <v/>
      </c>
      <c r="I33" s="2" t="str" cm="1">
        <f t="array" aca="1" ref="I33" ca="1">GetSheetValue(COLUMN(), "Q" &amp; ROW())</f>
        <v/>
      </c>
      <c r="J33" s="2" t="str" cm="1">
        <f t="array" aca="1" ref="J33" ca="1">GetSheetValue(COLUMN(), "Q" &amp; ROW())</f>
        <v/>
      </c>
      <c r="K33" s="2" t="str" cm="1">
        <f t="array" aca="1" ref="K33" ca="1">GetSheetValue(COLUMN(), "Q" &amp; ROW())</f>
        <v/>
      </c>
      <c r="L33" s="2" t="str" cm="1">
        <f t="array" aca="1" ref="L33" ca="1">GetSheetValue(COLUMN(), "Q" &amp; ROW())</f>
        <v/>
      </c>
      <c r="M33" s="2" t="str" cm="1">
        <f t="array" aca="1" ref="M33" ca="1">GetSheetValue(COLUMN(), "Q" &amp; ROW())</f>
        <v/>
      </c>
      <c r="N33" s="2" t="str" cm="1">
        <f t="array" aca="1" ref="N33" ca="1">GetSheetValue(COLUMN(), "Q" &amp; ROW())</f>
        <v/>
      </c>
      <c r="O33" s="2" t="str" cm="1">
        <f t="array" aca="1" ref="O33" ca="1">GetSheetValue(COLUMN(), "Q" &amp; ROW())</f>
        <v/>
      </c>
      <c r="P33" s="2" t="str" cm="1">
        <f t="array" aca="1" ref="P33" ca="1">GetSheetValue(COLUMN(), "Q" &amp; ROW())</f>
        <v/>
      </c>
      <c r="Q33" s="25">
        <v>0</v>
      </c>
      <c r="R33" s="2" t="str">
        <f t="shared" si="2"/>
        <v/>
      </c>
      <c r="S33" s="2" t="str">
        <f t="shared" si="3"/>
        <v/>
      </c>
    </row>
    <row r="34" spans="1:19" x14ac:dyDescent="0.2">
      <c r="A34" s="2">
        <v>24</v>
      </c>
      <c r="B34" s="2" t="str">
        <f>IF(LEN(SUMMARY!B34)&gt;0, SUMMARY!B34, "")</f>
        <v/>
      </c>
      <c r="C34" s="2" t="str">
        <f>IF(LEN(SUMMARY!C34)&gt;0, SUMMARY!C34, "")</f>
        <v/>
      </c>
      <c r="E34" s="2" t="str" cm="1">
        <f t="array" aca="1" ref="E34" ca="1">GetSheetValue(COLUMN(), "Q" &amp; ROW())</f>
        <v/>
      </c>
      <c r="F34" s="2" t="str" cm="1">
        <f t="array" aca="1" ref="F34" ca="1">GetSheetValue(COLUMN(), "Q" &amp; ROW())</f>
        <v/>
      </c>
      <c r="G34" s="2" t="str" cm="1">
        <f t="array" aca="1" ref="G34" ca="1">GetSheetValue(COLUMN(), "Q" &amp; ROW())</f>
        <v/>
      </c>
      <c r="H34" s="2" t="str" cm="1">
        <f t="array" aca="1" ref="H34" ca="1">GetSheetValue(COLUMN(), "Q" &amp; ROW())</f>
        <v/>
      </c>
      <c r="I34" s="2" t="str" cm="1">
        <f t="array" aca="1" ref="I34" ca="1">GetSheetValue(COLUMN(), "Q" &amp; ROW())</f>
        <v/>
      </c>
      <c r="J34" s="2" t="str" cm="1">
        <f t="array" aca="1" ref="J34" ca="1">GetSheetValue(COLUMN(), "Q" &amp; ROW())</f>
        <v/>
      </c>
      <c r="K34" s="2" t="str" cm="1">
        <f t="array" aca="1" ref="K34" ca="1">GetSheetValue(COLUMN(), "Q" &amp; ROW())</f>
        <v/>
      </c>
      <c r="L34" s="2" t="str" cm="1">
        <f t="array" aca="1" ref="L34" ca="1">GetSheetValue(COLUMN(), "Q" &amp; ROW())</f>
        <v/>
      </c>
      <c r="M34" s="2" t="str" cm="1">
        <f t="array" aca="1" ref="M34" ca="1">GetSheetValue(COLUMN(), "Q" &amp; ROW())</f>
        <v/>
      </c>
      <c r="N34" s="2" t="str" cm="1">
        <f t="array" aca="1" ref="N34" ca="1">GetSheetValue(COLUMN(), "Q" &amp; ROW())</f>
        <v/>
      </c>
      <c r="O34" s="2" t="str" cm="1">
        <f t="array" aca="1" ref="O34" ca="1">GetSheetValue(COLUMN(), "Q" &amp; ROW())</f>
        <v/>
      </c>
      <c r="P34" s="2" t="str" cm="1">
        <f t="array" aca="1" ref="P34" ca="1">GetSheetValue(COLUMN(), "Q" &amp; ROW())</f>
        <v/>
      </c>
      <c r="Q34" s="25">
        <v>0</v>
      </c>
      <c r="R34" s="2" t="str">
        <f t="shared" si="2"/>
        <v/>
      </c>
      <c r="S34" s="2" t="str">
        <f t="shared" si="3"/>
        <v/>
      </c>
    </row>
    <row r="35" spans="1:19" x14ac:dyDescent="0.2">
      <c r="A35" s="2">
        <v>25</v>
      </c>
      <c r="B35" s="2" t="str">
        <f>IF(LEN(SUMMARY!B35)&gt;0, SUMMARY!B35, "")</f>
        <v/>
      </c>
      <c r="C35" s="2" t="str">
        <f>IF(LEN(SUMMARY!C35)&gt;0, SUMMARY!C35, "")</f>
        <v/>
      </c>
      <c r="E35" s="2" t="str" cm="1">
        <f t="array" aca="1" ref="E35" ca="1">GetSheetValue(COLUMN(), "Q" &amp; ROW())</f>
        <v/>
      </c>
      <c r="F35" s="2" t="str" cm="1">
        <f t="array" aca="1" ref="F35" ca="1">GetSheetValue(COLUMN(), "Q" &amp; ROW())</f>
        <v/>
      </c>
      <c r="G35" s="2" t="str" cm="1">
        <f t="array" aca="1" ref="G35" ca="1">GetSheetValue(COLUMN(), "Q" &amp; ROW())</f>
        <v/>
      </c>
      <c r="H35" s="2" t="str" cm="1">
        <f t="array" aca="1" ref="H35" ca="1">GetSheetValue(COLUMN(), "Q" &amp; ROW())</f>
        <v/>
      </c>
      <c r="I35" s="2" t="str" cm="1">
        <f t="array" aca="1" ref="I35" ca="1">GetSheetValue(COLUMN(), "Q" &amp; ROW())</f>
        <v/>
      </c>
      <c r="J35" s="2" t="str" cm="1">
        <f t="array" aca="1" ref="J35" ca="1">GetSheetValue(COLUMN(), "Q" &amp; ROW())</f>
        <v/>
      </c>
      <c r="K35" s="2" t="str" cm="1">
        <f t="array" aca="1" ref="K35" ca="1">GetSheetValue(COLUMN(), "Q" &amp; ROW())</f>
        <v/>
      </c>
      <c r="L35" s="2" t="str" cm="1">
        <f t="array" aca="1" ref="L35" ca="1">GetSheetValue(COLUMN(), "Q" &amp; ROW())</f>
        <v/>
      </c>
      <c r="M35" s="2" t="str" cm="1">
        <f t="array" aca="1" ref="M35" ca="1">GetSheetValue(COLUMN(), "Q" &amp; ROW())</f>
        <v/>
      </c>
      <c r="N35" s="2" t="str" cm="1">
        <f t="array" aca="1" ref="N35" ca="1">GetSheetValue(COLUMN(), "Q" &amp; ROW())</f>
        <v/>
      </c>
      <c r="O35" s="2" t="str" cm="1">
        <f t="array" aca="1" ref="O35" ca="1">GetSheetValue(COLUMN(), "Q" &amp; ROW())</f>
        <v/>
      </c>
      <c r="P35" s="2" t="str" cm="1">
        <f t="array" aca="1" ref="P35" ca="1">GetSheetValue(COLUMN(), "Q" &amp; ROW())</f>
        <v/>
      </c>
      <c r="Q35" s="25">
        <v>0</v>
      </c>
      <c r="R35" s="2" t="str">
        <f t="shared" si="2"/>
        <v/>
      </c>
      <c r="S35" s="2" t="str">
        <f t="shared" si="3"/>
        <v/>
      </c>
    </row>
    <row r="36" spans="1:19" x14ac:dyDescent="0.2">
      <c r="A36" s="2">
        <v>26</v>
      </c>
      <c r="B36" s="2" t="str">
        <f>IF(LEN(SUMMARY!B36)&gt;0, SUMMARY!B36, "")</f>
        <v/>
      </c>
      <c r="C36" s="2" t="str">
        <f>IF(LEN(SUMMARY!C36)&gt;0, SUMMARY!C36, "")</f>
        <v/>
      </c>
      <c r="E36" s="2" t="str" cm="1">
        <f t="array" aca="1" ref="E36" ca="1">GetSheetValue(COLUMN(), "Q" &amp; ROW())</f>
        <v/>
      </c>
      <c r="F36" s="2" t="str" cm="1">
        <f t="array" aca="1" ref="F36" ca="1">GetSheetValue(COLUMN(), "Q" &amp; ROW())</f>
        <v/>
      </c>
      <c r="G36" s="2" t="str" cm="1">
        <f t="array" aca="1" ref="G36" ca="1">GetSheetValue(COLUMN(), "Q" &amp; ROW())</f>
        <v/>
      </c>
      <c r="H36" s="2" t="str" cm="1">
        <f t="array" aca="1" ref="H36" ca="1">GetSheetValue(COLUMN(), "Q" &amp; ROW())</f>
        <v/>
      </c>
      <c r="I36" s="2" t="str" cm="1">
        <f t="array" aca="1" ref="I36" ca="1">GetSheetValue(COLUMN(), "Q" &amp; ROW())</f>
        <v/>
      </c>
      <c r="J36" s="2" t="str" cm="1">
        <f t="array" aca="1" ref="J36" ca="1">GetSheetValue(COLUMN(), "Q" &amp; ROW())</f>
        <v/>
      </c>
      <c r="K36" s="2" t="str" cm="1">
        <f t="array" aca="1" ref="K36" ca="1">GetSheetValue(COLUMN(), "Q" &amp; ROW())</f>
        <v/>
      </c>
      <c r="L36" s="2" t="str" cm="1">
        <f t="array" aca="1" ref="L36" ca="1">GetSheetValue(COLUMN(), "Q" &amp; ROW())</f>
        <v/>
      </c>
      <c r="M36" s="2" t="str" cm="1">
        <f t="array" aca="1" ref="M36" ca="1">GetSheetValue(COLUMN(), "Q" &amp; ROW())</f>
        <v/>
      </c>
      <c r="N36" s="2" t="str" cm="1">
        <f t="array" aca="1" ref="N36" ca="1">GetSheetValue(COLUMN(), "Q" &amp; ROW())</f>
        <v/>
      </c>
      <c r="O36" s="2" t="str" cm="1">
        <f t="array" aca="1" ref="O36" ca="1">GetSheetValue(COLUMN(), "Q" &amp; ROW())</f>
        <v/>
      </c>
      <c r="P36" s="2" t="str" cm="1">
        <f t="array" aca="1" ref="P36" ca="1">GetSheetValue(COLUMN(), "Q" &amp; ROW())</f>
        <v/>
      </c>
      <c r="Q36" s="25">
        <v>0</v>
      </c>
      <c r="R36" s="2" t="str">
        <f t="shared" si="2"/>
        <v/>
      </c>
      <c r="S36" s="2" t="str">
        <f t="shared" si="3"/>
        <v/>
      </c>
    </row>
    <row r="37" spans="1:19" x14ac:dyDescent="0.2">
      <c r="A37" s="2">
        <v>27</v>
      </c>
      <c r="B37" s="2" t="str">
        <f>IF(LEN(SUMMARY!B37)&gt;0, SUMMARY!B37, "")</f>
        <v/>
      </c>
      <c r="C37" s="2" t="str">
        <f>IF(LEN(SUMMARY!C37)&gt;0, SUMMARY!C37, "")</f>
        <v/>
      </c>
      <c r="E37" s="2" t="str" cm="1">
        <f t="array" aca="1" ref="E37" ca="1">GetSheetValue(COLUMN(), "Q" &amp; ROW())</f>
        <v/>
      </c>
      <c r="F37" s="2" t="str" cm="1">
        <f t="array" aca="1" ref="F37" ca="1">GetSheetValue(COLUMN(), "Q" &amp; ROW())</f>
        <v/>
      </c>
      <c r="G37" s="2" t="str" cm="1">
        <f t="array" aca="1" ref="G37" ca="1">GetSheetValue(COLUMN(), "Q" &amp; ROW())</f>
        <v/>
      </c>
      <c r="H37" s="2" t="str" cm="1">
        <f t="array" aca="1" ref="H37" ca="1">GetSheetValue(COLUMN(), "Q" &amp; ROW())</f>
        <v/>
      </c>
      <c r="I37" s="2" t="str" cm="1">
        <f t="array" aca="1" ref="I37" ca="1">GetSheetValue(COLUMN(), "Q" &amp; ROW())</f>
        <v/>
      </c>
      <c r="J37" s="2" t="str" cm="1">
        <f t="array" aca="1" ref="J37" ca="1">GetSheetValue(COLUMN(), "Q" &amp; ROW())</f>
        <v/>
      </c>
      <c r="K37" s="2" t="str" cm="1">
        <f t="array" aca="1" ref="K37" ca="1">GetSheetValue(COLUMN(), "Q" &amp; ROW())</f>
        <v/>
      </c>
      <c r="L37" s="2" t="str" cm="1">
        <f t="array" aca="1" ref="L37" ca="1">GetSheetValue(COLUMN(), "Q" &amp; ROW())</f>
        <v/>
      </c>
      <c r="M37" s="2" t="str" cm="1">
        <f t="array" aca="1" ref="M37" ca="1">GetSheetValue(COLUMN(), "Q" &amp; ROW())</f>
        <v/>
      </c>
      <c r="N37" s="2" t="str" cm="1">
        <f t="array" aca="1" ref="N37" ca="1">GetSheetValue(COLUMN(), "Q" &amp; ROW())</f>
        <v/>
      </c>
      <c r="O37" s="2" t="str" cm="1">
        <f t="array" aca="1" ref="O37" ca="1">GetSheetValue(COLUMN(), "Q" &amp; ROW())</f>
        <v/>
      </c>
      <c r="P37" s="2" t="str" cm="1">
        <f t="array" aca="1" ref="P37" ca="1">GetSheetValue(COLUMN(), "Q" &amp; ROW())</f>
        <v/>
      </c>
      <c r="Q37" s="25">
        <v>0</v>
      </c>
      <c r="R37" s="2" t="str">
        <f t="shared" si="2"/>
        <v/>
      </c>
      <c r="S37" s="2" t="str">
        <f t="shared" si="3"/>
        <v/>
      </c>
    </row>
    <row r="38" spans="1:19" x14ac:dyDescent="0.2">
      <c r="A38" s="2">
        <v>28</v>
      </c>
      <c r="B38" s="2" t="str">
        <f>IF(LEN(SUMMARY!B38)&gt;0, SUMMARY!B38, "")</f>
        <v/>
      </c>
      <c r="C38" s="2" t="str">
        <f>IF(LEN(SUMMARY!C38)&gt;0, SUMMARY!C38, "")</f>
        <v/>
      </c>
      <c r="E38" s="2" t="str" cm="1">
        <f t="array" aca="1" ref="E38" ca="1">GetSheetValue(COLUMN(), "Q" &amp; ROW())</f>
        <v/>
      </c>
      <c r="F38" s="2" t="str" cm="1">
        <f t="array" aca="1" ref="F38" ca="1">GetSheetValue(COLUMN(), "Q" &amp; ROW())</f>
        <v/>
      </c>
      <c r="G38" s="2" t="str" cm="1">
        <f t="array" aca="1" ref="G38" ca="1">GetSheetValue(COLUMN(), "Q" &amp; ROW())</f>
        <v/>
      </c>
      <c r="H38" s="2" t="str" cm="1">
        <f t="array" aca="1" ref="H38" ca="1">GetSheetValue(COLUMN(), "Q" &amp; ROW())</f>
        <v/>
      </c>
      <c r="I38" s="2" t="str" cm="1">
        <f t="array" aca="1" ref="I38" ca="1">GetSheetValue(COLUMN(), "Q" &amp; ROW())</f>
        <v/>
      </c>
      <c r="J38" s="2" t="str" cm="1">
        <f t="array" aca="1" ref="J38" ca="1">GetSheetValue(COLUMN(), "Q" &amp; ROW())</f>
        <v/>
      </c>
      <c r="K38" s="2" t="str" cm="1">
        <f t="array" aca="1" ref="K38" ca="1">GetSheetValue(COLUMN(), "Q" &amp; ROW())</f>
        <v/>
      </c>
      <c r="L38" s="2" t="str" cm="1">
        <f t="array" aca="1" ref="L38" ca="1">GetSheetValue(COLUMN(), "Q" &amp; ROW())</f>
        <v/>
      </c>
      <c r="M38" s="2" t="str" cm="1">
        <f t="array" aca="1" ref="M38" ca="1">GetSheetValue(COLUMN(), "Q" &amp; ROW())</f>
        <v/>
      </c>
      <c r="N38" s="2" t="str" cm="1">
        <f t="array" aca="1" ref="N38" ca="1">GetSheetValue(COLUMN(), "Q" &amp; ROW())</f>
        <v/>
      </c>
      <c r="O38" s="2" t="str" cm="1">
        <f t="array" aca="1" ref="O38" ca="1">GetSheetValue(COLUMN(), "Q" &amp; ROW())</f>
        <v/>
      </c>
      <c r="P38" s="2" t="str" cm="1">
        <f t="array" aca="1" ref="P38" ca="1">GetSheetValue(COLUMN(), "Q" &amp; ROW())</f>
        <v/>
      </c>
      <c r="Q38" s="25">
        <v>0</v>
      </c>
      <c r="R38" s="2" t="str">
        <f t="shared" si="2"/>
        <v/>
      </c>
      <c r="S38" s="2" t="str">
        <f t="shared" si="3"/>
        <v/>
      </c>
    </row>
    <row r="39" spans="1:19" x14ac:dyDescent="0.2">
      <c r="A39" s="2">
        <v>29</v>
      </c>
      <c r="B39" s="2" t="str">
        <f>IF(LEN(SUMMARY!B39)&gt;0, SUMMARY!B39, "")</f>
        <v/>
      </c>
      <c r="C39" s="2" t="str">
        <f>IF(LEN(SUMMARY!C39)&gt;0, SUMMARY!C39, "")</f>
        <v/>
      </c>
      <c r="E39" s="2" t="str" cm="1">
        <f t="array" aca="1" ref="E39" ca="1">GetSheetValue(COLUMN(), "Q" &amp; ROW())</f>
        <v/>
      </c>
      <c r="F39" s="2" t="str" cm="1">
        <f t="array" aca="1" ref="F39" ca="1">GetSheetValue(COLUMN(), "Q" &amp; ROW())</f>
        <v/>
      </c>
      <c r="G39" s="2" t="str" cm="1">
        <f t="array" aca="1" ref="G39" ca="1">GetSheetValue(COLUMN(), "Q" &amp; ROW())</f>
        <v/>
      </c>
      <c r="H39" s="2" t="str" cm="1">
        <f t="array" aca="1" ref="H39" ca="1">GetSheetValue(COLUMN(), "Q" &amp; ROW())</f>
        <v/>
      </c>
      <c r="I39" s="2" t="str" cm="1">
        <f t="array" aca="1" ref="I39" ca="1">GetSheetValue(COLUMN(), "Q" &amp; ROW())</f>
        <v/>
      </c>
      <c r="J39" s="2" t="str" cm="1">
        <f t="array" aca="1" ref="J39" ca="1">GetSheetValue(COLUMN(), "Q" &amp; ROW())</f>
        <v/>
      </c>
      <c r="K39" s="2" t="str" cm="1">
        <f t="array" aca="1" ref="K39" ca="1">GetSheetValue(COLUMN(), "Q" &amp; ROW())</f>
        <v/>
      </c>
      <c r="L39" s="2" t="str" cm="1">
        <f t="array" aca="1" ref="L39" ca="1">GetSheetValue(COLUMN(), "Q" &amp; ROW())</f>
        <v/>
      </c>
      <c r="M39" s="2" t="str" cm="1">
        <f t="array" aca="1" ref="M39" ca="1">GetSheetValue(COLUMN(), "Q" &amp; ROW())</f>
        <v/>
      </c>
      <c r="N39" s="2" t="str" cm="1">
        <f t="array" aca="1" ref="N39" ca="1">GetSheetValue(COLUMN(), "Q" &amp; ROW())</f>
        <v/>
      </c>
      <c r="O39" s="2" t="str" cm="1">
        <f t="array" aca="1" ref="O39" ca="1">GetSheetValue(COLUMN(), "Q" &amp; ROW())</f>
        <v/>
      </c>
      <c r="P39" s="2" t="str" cm="1">
        <f t="array" aca="1" ref="P39" ca="1">GetSheetValue(COLUMN(), "Q" &amp; ROW())</f>
        <v/>
      </c>
      <c r="Q39" s="25">
        <v>0</v>
      </c>
      <c r="R39" s="2" t="str">
        <f t="shared" si="2"/>
        <v/>
      </c>
      <c r="S39" s="2" t="str">
        <f t="shared" si="3"/>
        <v/>
      </c>
    </row>
    <row r="40" spans="1:19" x14ac:dyDescent="0.2">
      <c r="A40" s="2">
        <v>30</v>
      </c>
      <c r="B40" s="2" t="str">
        <f>IF(LEN(SUMMARY!B40)&gt;0, SUMMARY!B40, "")</f>
        <v/>
      </c>
      <c r="C40" s="2" t="str">
        <f>IF(LEN(SUMMARY!C40)&gt;0, SUMMARY!C40, "")</f>
        <v/>
      </c>
      <c r="E40" s="2" t="str" cm="1">
        <f t="array" aca="1" ref="E40" ca="1">GetSheetValue(COLUMN(), "Q" &amp; ROW())</f>
        <v/>
      </c>
      <c r="F40" s="2" t="str" cm="1">
        <f t="array" aca="1" ref="F40" ca="1">GetSheetValue(COLUMN(), "Q" &amp; ROW())</f>
        <v/>
      </c>
      <c r="G40" s="2" t="str" cm="1">
        <f t="array" aca="1" ref="G40" ca="1">GetSheetValue(COLUMN(), "Q" &amp; ROW())</f>
        <v/>
      </c>
      <c r="H40" s="2" t="str" cm="1">
        <f t="array" aca="1" ref="H40" ca="1">GetSheetValue(COLUMN(), "Q" &amp; ROW())</f>
        <v/>
      </c>
      <c r="I40" s="2" t="str" cm="1">
        <f t="array" aca="1" ref="I40" ca="1">GetSheetValue(COLUMN(), "Q" &amp; ROW())</f>
        <v/>
      </c>
      <c r="J40" s="2" t="str" cm="1">
        <f t="array" aca="1" ref="J40" ca="1">GetSheetValue(COLUMN(), "Q" &amp; ROW())</f>
        <v/>
      </c>
      <c r="K40" s="2" t="str" cm="1">
        <f t="array" aca="1" ref="K40" ca="1">GetSheetValue(COLUMN(), "Q" &amp; ROW())</f>
        <v/>
      </c>
      <c r="L40" s="2" t="str" cm="1">
        <f t="array" aca="1" ref="L40" ca="1">GetSheetValue(COLUMN(), "Q" &amp; ROW())</f>
        <v/>
      </c>
      <c r="M40" s="2" t="str" cm="1">
        <f t="array" aca="1" ref="M40" ca="1">GetSheetValue(COLUMN(), "Q" &amp; ROW())</f>
        <v/>
      </c>
      <c r="N40" s="2" t="str" cm="1">
        <f t="array" aca="1" ref="N40" ca="1">GetSheetValue(COLUMN(), "Q" &amp; ROW())</f>
        <v/>
      </c>
      <c r="O40" s="2" t="str" cm="1">
        <f t="array" aca="1" ref="O40" ca="1">GetSheetValue(COLUMN(), "Q" &amp; ROW())</f>
        <v/>
      </c>
      <c r="P40" s="2" t="str" cm="1">
        <f t="array" aca="1" ref="P40" ca="1">GetSheetValue(COLUMN(), "Q" &amp; ROW())</f>
        <v/>
      </c>
      <c r="Q40" s="25">
        <v>0</v>
      </c>
      <c r="R40" s="2" t="str">
        <f t="shared" si="2"/>
        <v/>
      </c>
      <c r="S40" s="2" t="str">
        <f t="shared" si="3"/>
        <v/>
      </c>
    </row>
    <row r="41" spans="1:19" x14ac:dyDescent="0.2">
      <c r="A41" s="2">
        <v>31</v>
      </c>
      <c r="B41" s="2" t="str">
        <f>IF(LEN(SUMMARY!B41)&gt;0, SUMMARY!B41, "")</f>
        <v/>
      </c>
      <c r="C41" s="2" t="str">
        <f>IF(LEN(SUMMARY!C41)&gt;0, SUMMARY!C41, "")</f>
        <v/>
      </c>
      <c r="E41" s="2" t="str" cm="1">
        <f t="array" aca="1" ref="E41" ca="1">GetSheetValue(COLUMN(), "Q" &amp; ROW())</f>
        <v/>
      </c>
      <c r="F41" s="2" t="str" cm="1">
        <f t="array" aca="1" ref="F41" ca="1">GetSheetValue(COLUMN(), "Q" &amp; ROW())</f>
        <v/>
      </c>
      <c r="G41" s="2" t="str" cm="1">
        <f t="array" aca="1" ref="G41" ca="1">GetSheetValue(COLUMN(), "Q" &amp; ROW())</f>
        <v/>
      </c>
      <c r="H41" s="2" t="str" cm="1">
        <f t="array" aca="1" ref="H41" ca="1">GetSheetValue(COLUMN(), "Q" &amp; ROW())</f>
        <v/>
      </c>
      <c r="I41" s="2" t="str" cm="1">
        <f t="array" aca="1" ref="I41" ca="1">GetSheetValue(COLUMN(), "Q" &amp; ROW())</f>
        <v/>
      </c>
      <c r="J41" s="2" t="str" cm="1">
        <f t="array" aca="1" ref="J41" ca="1">GetSheetValue(COLUMN(), "Q" &amp; ROW())</f>
        <v/>
      </c>
      <c r="K41" s="2" t="str" cm="1">
        <f t="array" aca="1" ref="K41" ca="1">GetSheetValue(COLUMN(), "Q" &amp; ROW())</f>
        <v/>
      </c>
      <c r="L41" s="2" t="str" cm="1">
        <f t="array" aca="1" ref="L41" ca="1">GetSheetValue(COLUMN(), "Q" &amp; ROW())</f>
        <v/>
      </c>
      <c r="M41" s="2" t="str" cm="1">
        <f t="array" aca="1" ref="M41" ca="1">GetSheetValue(COLUMN(), "Q" &amp; ROW())</f>
        <v/>
      </c>
      <c r="N41" s="2" t="str" cm="1">
        <f t="array" aca="1" ref="N41" ca="1">GetSheetValue(COLUMN(), "Q" &amp; ROW())</f>
        <v/>
      </c>
      <c r="O41" s="2" t="str" cm="1">
        <f t="array" aca="1" ref="O41" ca="1">GetSheetValue(COLUMN(), "Q" &amp; ROW())</f>
        <v/>
      </c>
      <c r="P41" s="2" t="str" cm="1">
        <f t="array" aca="1" ref="P41" ca="1">GetSheetValue(COLUMN(), "Q" &amp; ROW())</f>
        <v/>
      </c>
      <c r="Q41" s="25">
        <v>0</v>
      </c>
      <c r="R41" s="2" t="str">
        <f t="shared" si="2"/>
        <v/>
      </c>
      <c r="S41" s="2" t="str">
        <f t="shared" si="3"/>
        <v/>
      </c>
    </row>
    <row r="42" spans="1:19" x14ac:dyDescent="0.2">
      <c r="A42" s="2">
        <v>32</v>
      </c>
      <c r="B42" s="2" t="str">
        <f>IF(LEN(SUMMARY!B42)&gt;0, SUMMARY!B42, "")</f>
        <v/>
      </c>
      <c r="C42" s="2" t="str">
        <f>IF(LEN(SUMMARY!C42)&gt;0, SUMMARY!C42, "")</f>
        <v/>
      </c>
      <c r="E42" s="2" t="str" cm="1">
        <f t="array" aca="1" ref="E42" ca="1">GetSheetValue(COLUMN(), "Q" &amp; ROW())</f>
        <v/>
      </c>
      <c r="F42" s="2" t="str" cm="1">
        <f t="array" aca="1" ref="F42" ca="1">GetSheetValue(COLUMN(), "Q" &amp; ROW())</f>
        <v/>
      </c>
      <c r="G42" s="2" t="str" cm="1">
        <f t="array" aca="1" ref="G42" ca="1">GetSheetValue(COLUMN(), "Q" &amp; ROW())</f>
        <v/>
      </c>
      <c r="H42" s="2" t="str" cm="1">
        <f t="array" aca="1" ref="H42" ca="1">GetSheetValue(COLUMN(), "Q" &amp; ROW())</f>
        <v/>
      </c>
      <c r="I42" s="2" t="str" cm="1">
        <f t="array" aca="1" ref="I42" ca="1">GetSheetValue(COLUMN(), "Q" &amp; ROW())</f>
        <v/>
      </c>
      <c r="J42" s="2" t="str" cm="1">
        <f t="array" aca="1" ref="J42" ca="1">GetSheetValue(COLUMN(), "Q" &amp; ROW())</f>
        <v/>
      </c>
      <c r="K42" s="2" t="str" cm="1">
        <f t="array" aca="1" ref="K42" ca="1">GetSheetValue(COLUMN(), "Q" &amp; ROW())</f>
        <v/>
      </c>
      <c r="L42" s="2" t="str" cm="1">
        <f t="array" aca="1" ref="L42" ca="1">GetSheetValue(COLUMN(), "Q" &amp; ROW())</f>
        <v/>
      </c>
      <c r="M42" s="2" t="str" cm="1">
        <f t="array" aca="1" ref="M42" ca="1">GetSheetValue(COLUMN(), "Q" &amp; ROW())</f>
        <v/>
      </c>
      <c r="N42" s="2" t="str" cm="1">
        <f t="array" aca="1" ref="N42" ca="1">GetSheetValue(COLUMN(), "Q" &amp; ROW())</f>
        <v/>
      </c>
      <c r="O42" s="2" t="str" cm="1">
        <f t="array" aca="1" ref="O42" ca="1">GetSheetValue(COLUMN(), "Q" &amp; ROW())</f>
        <v/>
      </c>
      <c r="P42" s="2" t="str" cm="1">
        <f t="array" aca="1" ref="P42" ca="1">GetSheetValue(COLUMN(), "Q" &amp; ROW())</f>
        <v/>
      </c>
      <c r="Q42" s="25">
        <v>0</v>
      </c>
      <c r="R42" s="2" t="str">
        <f t="shared" si="2"/>
        <v/>
      </c>
      <c r="S42" s="2" t="str">
        <f t="shared" si="3"/>
        <v/>
      </c>
    </row>
    <row r="43" spans="1:19" x14ac:dyDescent="0.2">
      <c r="A43" s="2">
        <v>33</v>
      </c>
      <c r="B43" s="2" t="str">
        <f>IF(LEN(SUMMARY!B43)&gt;0, SUMMARY!B43, "")</f>
        <v/>
      </c>
      <c r="C43" s="2" t="str">
        <f>IF(LEN(SUMMARY!C43)&gt;0, SUMMARY!C43, "")</f>
        <v/>
      </c>
      <c r="E43" s="2" t="str" cm="1">
        <f t="array" aca="1" ref="E43" ca="1">GetSheetValue(COLUMN(), "Q" &amp; ROW())</f>
        <v/>
      </c>
      <c r="F43" s="2" t="str" cm="1">
        <f t="array" aca="1" ref="F43" ca="1">GetSheetValue(COLUMN(), "Q" &amp; ROW())</f>
        <v/>
      </c>
      <c r="G43" s="2" t="str" cm="1">
        <f t="array" aca="1" ref="G43" ca="1">GetSheetValue(COLUMN(), "Q" &amp; ROW())</f>
        <v/>
      </c>
      <c r="H43" s="2" t="str" cm="1">
        <f t="array" aca="1" ref="H43" ca="1">GetSheetValue(COLUMN(), "Q" &amp; ROW())</f>
        <v/>
      </c>
      <c r="I43" s="2" t="str" cm="1">
        <f t="array" aca="1" ref="I43" ca="1">GetSheetValue(COLUMN(), "Q" &amp; ROW())</f>
        <v/>
      </c>
      <c r="J43" s="2" t="str" cm="1">
        <f t="array" aca="1" ref="J43" ca="1">GetSheetValue(COLUMN(), "Q" &amp; ROW())</f>
        <v/>
      </c>
      <c r="K43" s="2" t="str" cm="1">
        <f t="array" aca="1" ref="K43" ca="1">GetSheetValue(COLUMN(), "Q" &amp; ROW())</f>
        <v/>
      </c>
      <c r="L43" s="2" t="str" cm="1">
        <f t="array" aca="1" ref="L43" ca="1">GetSheetValue(COLUMN(), "Q" &amp; ROW())</f>
        <v/>
      </c>
      <c r="M43" s="2" t="str" cm="1">
        <f t="array" aca="1" ref="M43" ca="1">GetSheetValue(COLUMN(), "Q" &amp; ROW())</f>
        <v/>
      </c>
      <c r="N43" s="2" t="str" cm="1">
        <f t="array" aca="1" ref="N43" ca="1">GetSheetValue(COLUMN(), "Q" &amp; ROW())</f>
        <v/>
      </c>
      <c r="O43" s="2" t="str" cm="1">
        <f t="array" aca="1" ref="O43" ca="1">GetSheetValue(COLUMN(), "Q" &amp; ROW())</f>
        <v/>
      </c>
      <c r="P43" s="2" t="str" cm="1">
        <f t="array" aca="1" ref="P43" ca="1">GetSheetValue(COLUMN(), "Q" &amp; ROW())</f>
        <v/>
      </c>
      <c r="Q43" s="25">
        <v>0</v>
      </c>
      <c r="R43" s="2" t="str">
        <f t="shared" si="2"/>
        <v/>
      </c>
      <c r="S43" s="2" t="str">
        <f t="shared" si="3"/>
        <v/>
      </c>
    </row>
    <row r="44" spans="1:19" x14ac:dyDescent="0.2">
      <c r="A44" s="2">
        <v>34</v>
      </c>
      <c r="B44" s="2" t="str">
        <f>IF(LEN(SUMMARY!B44)&gt;0, SUMMARY!B44, "")</f>
        <v/>
      </c>
      <c r="C44" s="2" t="str">
        <f>IF(LEN(SUMMARY!C44)&gt;0, SUMMARY!C44, "")</f>
        <v/>
      </c>
      <c r="E44" s="2" t="str" cm="1">
        <f t="array" aca="1" ref="E44" ca="1">GetSheetValue(COLUMN(), "Q" &amp; ROW())</f>
        <v/>
      </c>
      <c r="F44" s="2" t="str" cm="1">
        <f t="array" aca="1" ref="F44" ca="1">GetSheetValue(COLUMN(), "Q" &amp; ROW())</f>
        <v/>
      </c>
      <c r="G44" s="2" t="str" cm="1">
        <f t="array" aca="1" ref="G44" ca="1">GetSheetValue(COLUMN(), "Q" &amp; ROW())</f>
        <v/>
      </c>
      <c r="H44" s="2" t="str" cm="1">
        <f t="array" aca="1" ref="H44" ca="1">GetSheetValue(COLUMN(), "Q" &amp; ROW())</f>
        <v/>
      </c>
      <c r="I44" s="2" t="str" cm="1">
        <f t="array" aca="1" ref="I44" ca="1">GetSheetValue(COLUMN(), "Q" &amp; ROW())</f>
        <v/>
      </c>
      <c r="J44" s="2" t="str" cm="1">
        <f t="array" aca="1" ref="J44" ca="1">GetSheetValue(COLUMN(), "Q" &amp; ROW())</f>
        <v/>
      </c>
      <c r="K44" s="2" t="str" cm="1">
        <f t="array" aca="1" ref="K44" ca="1">GetSheetValue(COLUMN(), "Q" &amp; ROW())</f>
        <v/>
      </c>
      <c r="L44" s="2" t="str" cm="1">
        <f t="array" aca="1" ref="L44" ca="1">GetSheetValue(COLUMN(), "Q" &amp; ROW())</f>
        <v/>
      </c>
      <c r="M44" s="2" t="str" cm="1">
        <f t="array" aca="1" ref="M44" ca="1">GetSheetValue(COLUMN(), "Q" &amp; ROW())</f>
        <v/>
      </c>
      <c r="N44" s="2" t="str" cm="1">
        <f t="array" aca="1" ref="N44" ca="1">GetSheetValue(COLUMN(), "Q" &amp; ROW())</f>
        <v/>
      </c>
      <c r="O44" s="2" t="str" cm="1">
        <f t="array" aca="1" ref="O44" ca="1">GetSheetValue(COLUMN(), "Q" &amp; ROW())</f>
        <v/>
      </c>
      <c r="P44" s="2" t="str" cm="1">
        <f t="array" aca="1" ref="P44" ca="1">GetSheetValue(COLUMN(), "Q" &amp; ROW())</f>
        <v/>
      </c>
      <c r="Q44" s="25">
        <v>0</v>
      </c>
      <c r="R44" s="2" t="str">
        <f t="shared" si="2"/>
        <v/>
      </c>
      <c r="S44" s="2" t="str">
        <f t="shared" si="3"/>
        <v/>
      </c>
    </row>
    <row r="45" spans="1:19" x14ac:dyDescent="0.2">
      <c r="A45" s="2">
        <v>35</v>
      </c>
      <c r="B45" s="2" t="str">
        <f>IF(LEN(SUMMARY!B45)&gt;0, SUMMARY!B45, "")</f>
        <v/>
      </c>
      <c r="C45" s="2" t="str">
        <f>IF(LEN(SUMMARY!C45)&gt;0, SUMMARY!C45, "")</f>
        <v/>
      </c>
      <c r="E45" s="2" t="str" cm="1">
        <f t="array" aca="1" ref="E45" ca="1">GetSheetValue(COLUMN(), "Q" &amp; ROW())</f>
        <v/>
      </c>
      <c r="F45" s="2" t="str" cm="1">
        <f t="array" aca="1" ref="F45" ca="1">GetSheetValue(COLUMN(), "Q" &amp; ROW())</f>
        <v/>
      </c>
      <c r="G45" s="2" t="str" cm="1">
        <f t="array" aca="1" ref="G45" ca="1">GetSheetValue(COLUMN(), "Q" &amp; ROW())</f>
        <v/>
      </c>
      <c r="H45" s="2" t="str" cm="1">
        <f t="array" aca="1" ref="H45" ca="1">GetSheetValue(COLUMN(), "Q" &amp; ROW())</f>
        <v/>
      </c>
      <c r="I45" s="2" t="str" cm="1">
        <f t="array" aca="1" ref="I45" ca="1">GetSheetValue(COLUMN(), "Q" &amp; ROW())</f>
        <v/>
      </c>
      <c r="J45" s="2" t="str" cm="1">
        <f t="array" aca="1" ref="J45" ca="1">GetSheetValue(COLUMN(), "Q" &amp; ROW())</f>
        <v/>
      </c>
      <c r="K45" s="2" t="str" cm="1">
        <f t="array" aca="1" ref="K45" ca="1">GetSheetValue(COLUMN(), "Q" &amp; ROW())</f>
        <v/>
      </c>
      <c r="L45" s="2" t="str" cm="1">
        <f t="array" aca="1" ref="L45" ca="1">GetSheetValue(COLUMN(), "Q" &amp; ROW())</f>
        <v/>
      </c>
      <c r="M45" s="2" t="str" cm="1">
        <f t="array" aca="1" ref="M45" ca="1">GetSheetValue(COLUMN(), "Q" &amp; ROW())</f>
        <v/>
      </c>
      <c r="N45" s="2" t="str" cm="1">
        <f t="array" aca="1" ref="N45" ca="1">GetSheetValue(COLUMN(), "Q" &amp; ROW())</f>
        <v/>
      </c>
      <c r="O45" s="2" t="str" cm="1">
        <f t="array" aca="1" ref="O45" ca="1">GetSheetValue(COLUMN(), "Q" &amp; ROW())</f>
        <v/>
      </c>
      <c r="P45" s="2" t="str" cm="1">
        <f t="array" aca="1" ref="P45" ca="1">GetSheetValue(COLUMN(), "Q" &amp; ROW())</f>
        <v/>
      </c>
      <c r="Q45" s="25">
        <v>0</v>
      </c>
      <c r="R45" s="2" t="str">
        <f t="shared" si="2"/>
        <v/>
      </c>
      <c r="S45" s="2" t="str">
        <f t="shared" si="3"/>
        <v/>
      </c>
    </row>
    <row r="46" spans="1:19" x14ac:dyDescent="0.2">
      <c r="A46" s="2">
        <v>36</v>
      </c>
      <c r="B46" s="2" t="str">
        <f>IF(LEN(SUMMARY!B46)&gt;0, SUMMARY!B46, "")</f>
        <v/>
      </c>
      <c r="C46" s="2" t="str">
        <f>IF(LEN(SUMMARY!C46)&gt;0, SUMMARY!C46, "")</f>
        <v/>
      </c>
      <c r="E46" s="2" t="str" cm="1">
        <f t="array" aca="1" ref="E46" ca="1">GetSheetValue(COLUMN(), "Q" &amp; ROW())</f>
        <v/>
      </c>
      <c r="F46" s="2" t="str" cm="1">
        <f t="array" aca="1" ref="F46" ca="1">GetSheetValue(COLUMN(), "Q" &amp; ROW())</f>
        <v/>
      </c>
      <c r="G46" s="2" t="str" cm="1">
        <f t="array" aca="1" ref="G46" ca="1">GetSheetValue(COLUMN(), "Q" &amp; ROW())</f>
        <v/>
      </c>
      <c r="H46" s="2" t="str" cm="1">
        <f t="array" aca="1" ref="H46" ca="1">GetSheetValue(COLUMN(), "Q" &amp; ROW())</f>
        <v/>
      </c>
      <c r="I46" s="2" t="str" cm="1">
        <f t="array" aca="1" ref="I46" ca="1">GetSheetValue(COLUMN(), "Q" &amp; ROW())</f>
        <v/>
      </c>
      <c r="J46" s="2" t="str" cm="1">
        <f t="array" aca="1" ref="J46" ca="1">GetSheetValue(COLUMN(), "Q" &amp; ROW())</f>
        <v/>
      </c>
      <c r="K46" s="2" t="str" cm="1">
        <f t="array" aca="1" ref="K46" ca="1">GetSheetValue(COLUMN(), "Q" &amp; ROW())</f>
        <v/>
      </c>
      <c r="L46" s="2" t="str" cm="1">
        <f t="array" aca="1" ref="L46" ca="1">GetSheetValue(COLUMN(), "Q" &amp; ROW())</f>
        <v/>
      </c>
      <c r="M46" s="2" t="str" cm="1">
        <f t="array" aca="1" ref="M46" ca="1">GetSheetValue(COLUMN(), "Q" &amp; ROW())</f>
        <v/>
      </c>
      <c r="N46" s="2" t="str" cm="1">
        <f t="array" aca="1" ref="N46" ca="1">GetSheetValue(COLUMN(), "Q" &amp; ROW())</f>
        <v/>
      </c>
      <c r="O46" s="2" t="str" cm="1">
        <f t="array" aca="1" ref="O46" ca="1">GetSheetValue(COLUMN(), "Q" &amp; ROW())</f>
        <v/>
      </c>
      <c r="P46" s="2" t="str" cm="1">
        <f t="array" aca="1" ref="P46" ca="1">GetSheetValue(COLUMN(), "Q" &amp; ROW())</f>
        <v/>
      </c>
      <c r="Q46" s="25">
        <v>0</v>
      </c>
      <c r="R46" s="2" t="str">
        <f t="shared" si="2"/>
        <v/>
      </c>
      <c r="S46" s="2" t="str">
        <f t="shared" si="3"/>
        <v/>
      </c>
    </row>
    <row r="47" spans="1:19" x14ac:dyDescent="0.2">
      <c r="A47" s="2">
        <v>37</v>
      </c>
      <c r="B47" s="2" t="str">
        <f>IF(LEN(SUMMARY!B47)&gt;0, SUMMARY!B47, "")</f>
        <v/>
      </c>
      <c r="C47" s="2" t="str">
        <f>IF(LEN(SUMMARY!C47)&gt;0, SUMMARY!C47, "")</f>
        <v/>
      </c>
      <c r="E47" s="2" t="str" cm="1">
        <f t="array" aca="1" ref="E47" ca="1">GetSheetValue(COLUMN(), "Q" &amp; ROW())</f>
        <v/>
      </c>
      <c r="F47" s="2" t="str" cm="1">
        <f t="array" aca="1" ref="F47" ca="1">GetSheetValue(COLUMN(), "Q" &amp; ROW())</f>
        <v/>
      </c>
      <c r="G47" s="2" t="str" cm="1">
        <f t="array" aca="1" ref="G47" ca="1">GetSheetValue(COLUMN(), "Q" &amp; ROW())</f>
        <v/>
      </c>
      <c r="H47" s="2" t="str" cm="1">
        <f t="array" aca="1" ref="H47" ca="1">GetSheetValue(COLUMN(), "Q" &amp; ROW())</f>
        <v/>
      </c>
      <c r="I47" s="2" t="str" cm="1">
        <f t="array" aca="1" ref="I47" ca="1">GetSheetValue(COLUMN(), "Q" &amp; ROW())</f>
        <v/>
      </c>
      <c r="J47" s="2" t="str" cm="1">
        <f t="array" aca="1" ref="J47" ca="1">GetSheetValue(COLUMN(), "Q" &amp; ROW())</f>
        <v/>
      </c>
      <c r="K47" s="2" t="str" cm="1">
        <f t="array" aca="1" ref="K47" ca="1">GetSheetValue(COLUMN(), "Q" &amp; ROW())</f>
        <v/>
      </c>
      <c r="L47" s="2" t="str" cm="1">
        <f t="array" aca="1" ref="L47" ca="1">GetSheetValue(COLUMN(), "Q" &amp; ROW())</f>
        <v/>
      </c>
      <c r="M47" s="2" t="str" cm="1">
        <f t="array" aca="1" ref="M47" ca="1">GetSheetValue(COLUMN(), "Q" &amp; ROW())</f>
        <v/>
      </c>
      <c r="N47" s="2" t="str" cm="1">
        <f t="array" aca="1" ref="N47" ca="1">GetSheetValue(COLUMN(), "Q" &amp; ROW())</f>
        <v/>
      </c>
      <c r="O47" s="2" t="str" cm="1">
        <f t="array" aca="1" ref="O47" ca="1">GetSheetValue(COLUMN(), "Q" &amp; ROW())</f>
        <v/>
      </c>
      <c r="P47" s="2" t="str" cm="1">
        <f t="array" aca="1" ref="P47" ca="1">GetSheetValue(COLUMN(), "Q" &amp; ROW())</f>
        <v/>
      </c>
      <c r="Q47" s="25">
        <v>0</v>
      </c>
      <c r="R47" s="2" t="str">
        <f t="shared" si="2"/>
        <v/>
      </c>
      <c r="S47" s="2" t="str">
        <f t="shared" si="3"/>
        <v/>
      </c>
    </row>
    <row r="48" spans="1:19" x14ac:dyDescent="0.2">
      <c r="A48" s="2">
        <v>38</v>
      </c>
      <c r="B48" s="2" t="str">
        <f>IF(LEN(SUMMARY!B48)&gt;0, SUMMARY!B48, "")</f>
        <v/>
      </c>
      <c r="C48" s="2" t="str">
        <f>IF(LEN(SUMMARY!C48)&gt;0, SUMMARY!C48, "")</f>
        <v/>
      </c>
      <c r="E48" s="2" t="str" cm="1">
        <f t="array" aca="1" ref="E48" ca="1">GetSheetValue(COLUMN(), "Q" &amp; ROW())</f>
        <v/>
      </c>
      <c r="F48" s="2" t="str" cm="1">
        <f t="array" aca="1" ref="F48" ca="1">GetSheetValue(COLUMN(), "Q" &amp; ROW())</f>
        <v/>
      </c>
      <c r="G48" s="2" t="str" cm="1">
        <f t="array" aca="1" ref="G48" ca="1">GetSheetValue(COLUMN(), "Q" &amp; ROW())</f>
        <v/>
      </c>
      <c r="H48" s="2" t="str" cm="1">
        <f t="array" aca="1" ref="H48" ca="1">GetSheetValue(COLUMN(), "Q" &amp; ROW())</f>
        <v/>
      </c>
      <c r="I48" s="2" t="str" cm="1">
        <f t="array" aca="1" ref="I48" ca="1">GetSheetValue(COLUMN(), "Q" &amp; ROW())</f>
        <v/>
      </c>
      <c r="J48" s="2" t="str" cm="1">
        <f t="array" aca="1" ref="J48" ca="1">GetSheetValue(COLUMN(), "Q" &amp; ROW())</f>
        <v/>
      </c>
      <c r="K48" s="2" t="str" cm="1">
        <f t="array" aca="1" ref="K48" ca="1">GetSheetValue(COLUMN(), "Q" &amp; ROW())</f>
        <v/>
      </c>
      <c r="L48" s="2" t="str" cm="1">
        <f t="array" aca="1" ref="L48" ca="1">GetSheetValue(COLUMN(), "Q" &amp; ROW())</f>
        <v/>
      </c>
      <c r="M48" s="2" t="str" cm="1">
        <f t="array" aca="1" ref="M48" ca="1">GetSheetValue(COLUMN(), "Q" &amp; ROW())</f>
        <v/>
      </c>
      <c r="N48" s="2" t="str" cm="1">
        <f t="array" aca="1" ref="N48" ca="1">GetSheetValue(COLUMN(), "Q" &amp; ROW())</f>
        <v/>
      </c>
      <c r="O48" s="2" t="str" cm="1">
        <f t="array" aca="1" ref="O48" ca="1">GetSheetValue(COLUMN(), "Q" &amp; ROW())</f>
        <v/>
      </c>
      <c r="P48" s="2" t="str" cm="1">
        <f t="array" aca="1" ref="P48" ca="1">GetSheetValue(COLUMN(), "Q" &amp; ROW())</f>
        <v/>
      </c>
      <c r="Q48" s="25">
        <v>0</v>
      </c>
      <c r="R48" s="2" t="str">
        <f t="shared" si="2"/>
        <v/>
      </c>
      <c r="S48" s="2" t="str">
        <f t="shared" si="3"/>
        <v/>
      </c>
    </row>
    <row r="49" spans="1:19" x14ac:dyDescent="0.2">
      <c r="A49" s="2">
        <v>39</v>
      </c>
      <c r="B49" s="2" t="str">
        <f>IF(LEN(SUMMARY!B49)&gt;0, SUMMARY!B49, "")</f>
        <v/>
      </c>
      <c r="C49" s="2" t="str">
        <f>IF(LEN(SUMMARY!C49)&gt;0, SUMMARY!C49, "")</f>
        <v/>
      </c>
      <c r="E49" s="2" t="str" cm="1">
        <f t="array" aca="1" ref="E49" ca="1">GetSheetValue(COLUMN(), "Q" &amp; ROW())</f>
        <v/>
      </c>
      <c r="F49" s="2" t="str" cm="1">
        <f t="array" aca="1" ref="F49" ca="1">GetSheetValue(COLUMN(), "Q" &amp; ROW())</f>
        <v/>
      </c>
      <c r="G49" s="2" t="str" cm="1">
        <f t="array" aca="1" ref="G49" ca="1">GetSheetValue(COLUMN(), "Q" &amp; ROW())</f>
        <v/>
      </c>
      <c r="H49" s="2" t="str" cm="1">
        <f t="array" aca="1" ref="H49" ca="1">GetSheetValue(COLUMN(), "Q" &amp; ROW())</f>
        <v/>
      </c>
      <c r="I49" s="2" t="str" cm="1">
        <f t="array" aca="1" ref="I49" ca="1">GetSheetValue(COLUMN(), "Q" &amp; ROW())</f>
        <v/>
      </c>
      <c r="J49" s="2" t="str" cm="1">
        <f t="array" aca="1" ref="J49" ca="1">GetSheetValue(COLUMN(), "Q" &amp; ROW())</f>
        <v/>
      </c>
      <c r="K49" s="2" t="str" cm="1">
        <f t="array" aca="1" ref="K49" ca="1">GetSheetValue(COLUMN(), "Q" &amp; ROW())</f>
        <v/>
      </c>
      <c r="L49" s="2" t="str" cm="1">
        <f t="array" aca="1" ref="L49" ca="1">GetSheetValue(COLUMN(), "Q" &amp; ROW())</f>
        <v/>
      </c>
      <c r="M49" s="2" t="str" cm="1">
        <f t="array" aca="1" ref="M49" ca="1">GetSheetValue(COLUMN(), "Q" &amp; ROW())</f>
        <v/>
      </c>
      <c r="N49" s="2" t="str" cm="1">
        <f t="array" aca="1" ref="N49" ca="1">GetSheetValue(COLUMN(), "Q" &amp; ROW())</f>
        <v/>
      </c>
      <c r="O49" s="2" t="str" cm="1">
        <f t="array" aca="1" ref="O49" ca="1">GetSheetValue(COLUMN(), "Q" &amp; ROW())</f>
        <v/>
      </c>
      <c r="P49" s="2" t="str" cm="1">
        <f t="array" aca="1" ref="P49" ca="1">GetSheetValue(COLUMN(), "Q" &amp; ROW())</f>
        <v/>
      </c>
      <c r="Q49" s="25">
        <v>0</v>
      </c>
      <c r="R49" s="2" t="str">
        <f t="shared" si="2"/>
        <v/>
      </c>
      <c r="S49" s="2" t="str">
        <f t="shared" si="3"/>
        <v/>
      </c>
    </row>
    <row r="50" spans="1:19" x14ac:dyDescent="0.2">
      <c r="A50" s="2">
        <v>40</v>
      </c>
      <c r="B50" s="2" t="str">
        <f>IF(LEN(SUMMARY!B50)&gt;0, SUMMARY!B50, "")</f>
        <v/>
      </c>
      <c r="C50" s="2" t="str">
        <f>IF(LEN(SUMMARY!C50)&gt;0, SUMMARY!C50, "")</f>
        <v/>
      </c>
      <c r="E50" s="2" t="str" cm="1">
        <f t="array" aca="1" ref="E50" ca="1">GetSheetValue(COLUMN(), "Q" &amp; ROW())</f>
        <v/>
      </c>
      <c r="F50" s="2" t="str" cm="1">
        <f t="array" aca="1" ref="F50" ca="1">GetSheetValue(COLUMN(), "Q" &amp; ROW())</f>
        <v/>
      </c>
      <c r="G50" s="2" t="str" cm="1">
        <f t="array" aca="1" ref="G50" ca="1">GetSheetValue(COLUMN(), "Q" &amp; ROW())</f>
        <v/>
      </c>
      <c r="H50" s="2" t="str" cm="1">
        <f t="array" aca="1" ref="H50" ca="1">GetSheetValue(COLUMN(), "Q" &amp; ROW())</f>
        <v/>
      </c>
      <c r="I50" s="2" t="str" cm="1">
        <f t="array" aca="1" ref="I50" ca="1">GetSheetValue(COLUMN(), "Q" &amp; ROW())</f>
        <v/>
      </c>
      <c r="J50" s="2" t="str" cm="1">
        <f t="array" aca="1" ref="J50" ca="1">GetSheetValue(COLUMN(), "Q" &amp; ROW())</f>
        <v/>
      </c>
      <c r="K50" s="2" t="str" cm="1">
        <f t="array" aca="1" ref="K50" ca="1">GetSheetValue(COLUMN(), "Q" &amp; ROW())</f>
        <v/>
      </c>
      <c r="L50" s="2" t="str" cm="1">
        <f t="array" aca="1" ref="L50" ca="1">GetSheetValue(COLUMN(), "Q" &amp; ROW())</f>
        <v/>
      </c>
      <c r="M50" s="2" t="str" cm="1">
        <f t="array" aca="1" ref="M50" ca="1">GetSheetValue(COLUMN(), "Q" &amp; ROW())</f>
        <v/>
      </c>
      <c r="N50" s="2" t="str" cm="1">
        <f t="array" aca="1" ref="N50" ca="1">GetSheetValue(COLUMN(), "Q" &amp; ROW())</f>
        <v/>
      </c>
      <c r="O50" s="2" t="str" cm="1">
        <f t="array" aca="1" ref="O50" ca="1">GetSheetValue(COLUMN(), "Q" &amp; ROW())</f>
        <v/>
      </c>
      <c r="P50" s="2" t="str" cm="1">
        <f t="array" aca="1" ref="P50" ca="1">GetSheetValue(COLUMN(), "Q" &amp; ROW())</f>
        <v/>
      </c>
      <c r="Q50" s="25">
        <v>0</v>
      </c>
      <c r="R50" s="2" t="str">
        <f t="shared" si="2"/>
        <v/>
      </c>
      <c r="S50" s="2" t="str">
        <f t="shared" si="3"/>
        <v/>
      </c>
    </row>
    <row r="51" spans="1:19" x14ac:dyDescent="0.2">
      <c r="A51" s="2">
        <v>41</v>
      </c>
      <c r="B51" s="2" t="str">
        <f>IF(LEN(SUMMARY!B51)&gt;0, SUMMARY!B51, "")</f>
        <v/>
      </c>
      <c r="C51" s="2" t="str">
        <f>IF(LEN(SUMMARY!C51)&gt;0, SUMMARY!C51, "")</f>
        <v/>
      </c>
      <c r="E51" s="2" t="str" cm="1">
        <f t="array" aca="1" ref="E51" ca="1">GetSheetValue(COLUMN(), "Q" &amp; ROW())</f>
        <v/>
      </c>
      <c r="F51" s="2" t="str" cm="1">
        <f t="array" aca="1" ref="F51" ca="1">GetSheetValue(COLUMN(), "Q" &amp; ROW())</f>
        <v/>
      </c>
      <c r="G51" s="2" t="str" cm="1">
        <f t="array" aca="1" ref="G51" ca="1">GetSheetValue(COLUMN(), "Q" &amp; ROW())</f>
        <v/>
      </c>
      <c r="H51" s="2" t="str" cm="1">
        <f t="array" aca="1" ref="H51" ca="1">GetSheetValue(COLUMN(), "Q" &amp; ROW())</f>
        <v/>
      </c>
      <c r="I51" s="2" t="str" cm="1">
        <f t="array" aca="1" ref="I51" ca="1">GetSheetValue(COLUMN(), "Q" &amp; ROW())</f>
        <v/>
      </c>
      <c r="J51" s="2" t="str" cm="1">
        <f t="array" aca="1" ref="J51" ca="1">GetSheetValue(COLUMN(), "Q" &amp; ROW())</f>
        <v/>
      </c>
      <c r="K51" s="2" t="str" cm="1">
        <f t="array" aca="1" ref="K51" ca="1">GetSheetValue(COLUMN(), "Q" &amp; ROW())</f>
        <v/>
      </c>
      <c r="L51" s="2" t="str" cm="1">
        <f t="array" aca="1" ref="L51" ca="1">GetSheetValue(COLUMN(), "Q" &amp; ROW())</f>
        <v/>
      </c>
      <c r="M51" s="2" t="str" cm="1">
        <f t="array" aca="1" ref="M51" ca="1">GetSheetValue(COLUMN(), "Q" &amp; ROW())</f>
        <v/>
      </c>
      <c r="N51" s="2" t="str" cm="1">
        <f t="array" aca="1" ref="N51" ca="1">GetSheetValue(COLUMN(), "Q" &amp; ROW())</f>
        <v/>
      </c>
      <c r="O51" s="2" t="str" cm="1">
        <f t="array" aca="1" ref="O51" ca="1">GetSheetValue(COLUMN(), "Q" &amp; ROW())</f>
        <v/>
      </c>
      <c r="P51" s="2" t="str" cm="1">
        <f t="array" aca="1" ref="P51" ca="1">GetSheetValue(COLUMN(), "Q" &amp; ROW())</f>
        <v/>
      </c>
      <c r="Q51" s="25">
        <v>0</v>
      </c>
      <c r="R51" s="2" t="str">
        <f t="shared" si="2"/>
        <v/>
      </c>
      <c r="S51" s="2" t="str">
        <f t="shared" si="3"/>
        <v/>
      </c>
    </row>
    <row r="52" spans="1:19" x14ac:dyDescent="0.2">
      <c r="A52" s="2">
        <v>42</v>
      </c>
      <c r="B52" s="2" t="str">
        <f>IF(LEN(SUMMARY!B52)&gt;0, SUMMARY!B52, "")</f>
        <v/>
      </c>
      <c r="C52" s="2" t="str">
        <f>IF(LEN(SUMMARY!C52)&gt;0, SUMMARY!C52, "")</f>
        <v/>
      </c>
      <c r="E52" s="2" t="str" cm="1">
        <f t="array" aca="1" ref="E52" ca="1">GetSheetValue(COLUMN(), "Q" &amp; ROW())</f>
        <v/>
      </c>
      <c r="F52" s="2" t="str" cm="1">
        <f t="array" aca="1" ref="F52" ca="1">GetSheetValue(COLUMN(), "Q" &amp; ROW())</f>
        <v/>
      </c>
      <c r="G52" s="2" t="str" cm="1">
        <f t="array" aca="1" ref="G52" ca="1">GetSheetValue(COLUMN(), "Q" &amp; ROW())</f>
        <v/>
      </c>
      <c r="H52" s="2" t="str" cm="1">
        <f t="array" aca="1" ref="H52" ca="1">GetSheetValue(COLUMN(), "Q" &amp; ROW())</f>
        <v/>
      </c>
      <c r="I52" s="2" t="str" cm="1">
        <f t="array" aca="1" ref="I52" ca="1">GetSheetValue(COLUMN(), "Q" &amp; ROW())</f>
        <v/>
      </c>
      <c r="J52" s="2" t="str" cm="1">
        <f t="array" aca="1" ref="J52" ca="1">GetSheetValue(COLUMN(), "Q" &amp; ROW())</f>
        <v/>
      </c>
      <c r="K52" s="2" t="str" cm="1">
        <f t="array" aca="1" ref="K52" ca="1">GetSheetValue(COLUMN(), "Q" &amp; ROW())</f>
        <v/>
      </c>
      <c r="L52" s="2" t="str" cm="1">
        <f t="array" aca="1" ref="L52" ca="1">GetSheetValue(COLUMN(), "Q" &amp; ROW())</f>
        <v/>
      </c>
      <c r="M52" s="2" t="str" cm="1">
        <f t="array" aca="1" ref="M52" ca="1">GetSheetValue(COLUMN(), "Q" &amp; ROW())</f>
        <v/>
      </c>
      <c r="N52" s="2" t="str" cm="1">
        <f t="array" aca="1" ref="N52" ca="1">GetSheetValue(COLUMN(), "Q" &amp; ROW())</f>
        <v/>
      </c>
      <c r="O52" s="2" t="str" cm="1">
        <f t="array" aca="1" ref="O52" ca="1">GetSheetValue(COLUMN(), "Q" &amp; ROW())</f>
        <v/>
      </c>
      <c r="P52" s="2" t="str" cm="1">
        <f t="array" aca="1" ref="P52" ca="1">GetSheetValue(COLUMN(), "Q" &amp; ROW())</f>
        <v/>
      </c>
      <c r="Q52" s="25">
        <v>0</v>
      </c>
      <c r="R52" s="2" t="str">
        <f t="shared" si="2"/>
        <v/>
      </c>
      <c r="S52" s="2" t="str">
        <f t="shared" si="3"/>
        <v/>
      </c>
    </row>
    <row r="53" spans="1:19" x14ac:dyDescent="0.2">
      <c r="A53" s="2">
        <v>43</v>
      </c>
      <c r="B53" s="2" t="str">
        <f>IF(LEN(SUMMARY!B53)&gt;0, SUMMARY!B53, "")</f>
        <v/>
      </c>
      <c r="C53" s="2" t="str">
        <f>IF(LEN(SUMMARY!C53)&gt;0, SUMMARY!C53, "")</f>
        <v/>
      </c>
      <c r="E53" s="2" t="str" cm="1">
        <f t="array" aca="1" ref="E53" ca="1">GetSheetValue(COLUMN(), "Q" &amp; ROW())</f>
        <v/>
      </c>
      <c r="F53" s="2" t="str" cm="1">
        <f t="array" aca="1" ref="F53" ca="1">GetSheetValue(COLUMN(), "Q" &amp; ROW())</f>
        <v/>
      </c>
      <c r="G53" s="2" t="str" cm="1">
        <f t="array" aca="1" ref="G53" ca="1">GetSheetValue(COLUMN(), "Q" &amp; ROW())</f>
        <v/>
      </c>
      <c r="H53" s="2" t="str" cm="1">
        <f t="array" aca="1" ref="H53" ca="1">GetSheetValue(COLUMN(), "Q" &amp; ROW())</f>
        <v/>
      </c>
      <c r="I53" s="2" t="str" cm="1">
        <f t="array" aca="1" ref="I53" ca="1">GetSheetValue(COLUMN(), "Q" &amp; ROW())</f>
        <v/>
      </c>
      <c r="J53" s="2" t="str" cm="1">
        <f t="array" aca="1" ref="J53" ca="1">GetSheetValue(COLUMN(), "Q" &amp; ROW())</f>
        <v/>
      </c>
      <c r="K53" s="2" t="str" cm="1">
        <f t="array" aca="1" ref="K53" ca="1">GetSheetValue(COLUMN(), "Q" &amp; ROW())</f>
        <v/>
      </c>
      <c r="L53" s="2" t="str" cm="1">
        <f t="array" aca="1" ref="L53" ca="1">GetSheetValue(COLUMN(), "Q" &amp; ROW())</f>
        <v/>
      </c>
      <c r="M53" s="2" t="str" cm="1">
        <f t="array" aca="1" ref="M53" ca="1">GetSheetValue(COLUMN(), "Q" &amp; ROW())</f>
        <v/>
      </c>
      <c r="N53" s="2" t="str" cm="1">
        <f t="array" aca="1" ref="N53" ca="1">GetSheetValue(COLUMN(), "Q" &amp; ROW())</f>
        <v/>
      </c>
      <c r="O53" s="2" t="str" cm="1">
        <f t="array" aca="1" ref="O53" ca="1">GetSheetValue(COLUMN(), "Q" &amp; ROW())</f>
        <v/>
      </c>
      <c r="P53" s="2" t="str" cm="1">
        <f t="array" aca="1" ref="P53" ca="1">GetSheetValue(COLUMN(), "Q" &amp; ROW())</f>
        <v/>
      </c>
      <c r="Q53" s="25">
        <v>0</v>
      </c>
      <c r="R53" s="2" t="str">
        <f t="shared" si="2"/>
        <v/>
      </c>
      <c r="S53" s="2" t="str">
        <f t="shared" si="3"/>
        <v/>
      </c>
    </row>
    <row r="54" spans="1:19" x14ac:dyDescent="0.2">
      <c r="A54" s="2">
        <v>44</v>
      </c>
      <c r="B54" s="2" t="str">
        <f>IF(LEN(SUMMARY!B54)&gt;0, SUMMARY!B54, "")</f>
        <v/>
      </c>
      <c r="C54" s="2" t="str">
        <f>IF(LEN(SUMMARY!C54)&gt;0, SUMMARY!C54, "")</f>
        <v/>
      </c>
      <c r="E54" s="2" t="str" cm="1">
        <f t="array" aca="1" ref="E54" ca="1">GetSheetValue(COLUMN(), "Q" &amp; ROW())</f>
        <v/>
      </c>
      <c r="F54" s="2" t="str" cm="1">
        <f t="array" aca="1" ref="F54" ca="1">GetSheetValue(COLUMN(), "Q" &amp; ROW())</f>
        <v/>
      </c>
      <c r="G54" s="2" t="str" cm="1">
        <f t="array" aca="1" ref="G54" ca="1">GetSheetValue(COLUMN(), "Q" &amp; ROW())</f>
        <v/>
      </c>
      <c r="H54" s="2" t="str" cm="1">
        <f t="array" aca="1" ref="H54" ca="1">GetSheetValue(COLUMN(), "Q" &amp; ROW())</f>
        <v/>
      </c>
      <c r="I54" s="2" t="str" cm="1">
        <f t="array" aca="1" ref="I54" ca="1">GetSheetValue(COLUMN(), "Q" &amp; ROW())</f>
        <v/>
      </c>
      <c r="J54" s="2" t="str" cm="1">
        <f t="array" aca="1" ref="J54" ca="1">GetSheetValue(COLUMN(), "Q" &amp; ROW())</f>
        <v/>
      </c>
      <c r="K54" s="2" t="str" cm="1">
        <f t="array" aca="1" ref="K54" ca="1">GetSheetValue(COLUMN(), "Q" &amp; ROW())</f>
        <v/>
      </c>
      <c r="L54" s="2" t="str" cm="1">
        <f t="array" aca="1" ref="L54" ca="1">GetSheetValue(COLUMN(), "Q" &amp; ROW())</f>
        <v/>
      </c>
      <c r="M54" s="2" t="str" cm="1">
        <f t="array" aca="1" ref="M54" ca="1">GetSheetValue(COLUMN(), "Q" &amp; ROW())</f>
        <v/>
      </c>
      <c r="N54" s="2" t="str" cm="1">
        <f t="array" aca="1" ref="N54" ca="1">GetSheetValue(COLUMN(), "Q" &amp; ROW())</f>
        <v/>
      </c>
      <c r="O54" s="2" t="str" cm="1">
        <f t="array" aca="1" ref="O54" ca="1">GetSheetValue(COLUMN(), "Q" &amp; ROW())</f>
        <v/>
      </c>
      <c r="P54" s="2" t="str" cm="1">
        <f t="array" aca="1" ref="P54" ca="1">GetSheetValue(COLUMN(), "Q" &amp; ROW())</f>
        <v/>
      </c>
      <c r="Q54" s="25">
        <v>0</v>
      </c>
      <c r="R54" s="2" t="str">
        <f t="shared" si="2"/>
        <v/>
      </c>
      <c r="S54" s="2" t="str">
        <f t="shared" si="3"/>
        <v/>
      </c>
    </row>
    <row r="55" spans="1:19" x14ac:dyDescent="0.2">
      <c r="A55" s="2">
        <v>45</v>
      </c>
      <c r="B55" s="2" t="str">
        <f>IF(LEN(SUMMARY!B55)&gt;0, SUMMARY!B55, "")</f>
        <v/>
      </c>
      <c r="C55" s="2" t="str">
        <f>IF(LEN(SUMMARY!C55)&gt;0, SUMMARY!C55, "")</f>
        <v/>
      </c>
      <c r="E55" s="2" t="str" cm="1">
        <f t="array" aca="1" ref="E55" ca="1">GetSheetValue(COLUMN(), "Q" &amp; ROW())</f>
        <v/>
      </c>
      <c r="F55" s="2" t="str" cm="1">
        <f t="array" aca="1" ref="F55" ca="1">GetSheetValue(COLUMN(), "Q" &amp; ROW())</f>
        <v/>
      </c>
      <c r="G55" s="2" t="str" cm="1">
        <f t="array" aca="1" ref="G55" ca="1">GetSheetValue(COLUMN(), "Q" &amp; ROW())</f>
        <v/>
      </c>
      <c r="H55" s="2" t="str" cm="1">
        <f t="array" aca="1" ref="H55" ca="1">GetSheetValue(COLUMN(), "Q" &amp; ROW())</f>
        <v/>
      </c>
      <c r="I55" s="2" t="str" cm="1">
        <f t="array" aca="1" ref="I55" ca="1">GetSheetValue(COLUMN(), "Q" &amp; ROW())</f>
        <v/>
      </c>
      <c r="J55" s="2" t="str" cm="1">
        <f t="array" aca="1" ref="J55" ca="1">GetSheetValue(COLUMN(), "Q" &amp; ROW())</f>
        <v/>
      </c>
      <c r="K55" s="2" t="str" cm="1">
        <f t="array" aca="1" ref="K55" ca="1">GetSheetValue(COLUMN(), "Q" &amp; ROW())</f>
        <v/>
      </c>
      <c r="L55" s="2" t="str" cm="1">
        <f t="array" aca="1" ref="L55" ca="1">GetSheetValue(COLUMN(), "Q" &amp; ROW())</f>
        <v/>
      </c>
      <c r="M55" s="2" t="str" cm="1">
        <f t="array" aca="1" ref="M55" ca="1">GetSheetValue(COLUMN(), "Q" &amp; ROW())</f>
        <v/>
      </c>
      <c r="N55" s="2" t="str" cm="1">
        <f t="array" aca="1" ref="N55" ca="1">GetSheetValue(COLUMN(), "Q" &amp; ROW())</f>
        <v/>
      </c>
      <c r="O55" s="2" t="str" cm="1">
        <f t="array" aca="1" ref="O55" ca="1">GetSheetValue(COLUMN(), "Q" &amp; ROW())</f>
        <v/>
      </c>
      <c r="P55" s="2" t="str" cm="1">
        <f t="array" aca="1" ref="P55" ca="1">GetSheetValue(COLUMN(), "Q" &amp; ROW())</f>
        <v/>
      </c>
      <c r="Q55" s="25">
        <v>0</v>
      </c>
      <c r="R55" s="2" t="str">
        <f t="shared" si="2"/>
        <v/>
      </c>
      <c r="S55" s="2" t="str">
        <f t="shared" si="3"/>
        <v/>
      </c>
    </row>
    <row r="56" spans="1:19" x14ac:dyDescent="0.2">
      <c r="A56" s="2">
        <v>46</v>
      </c>
      <c r="B56" s="2" t="str">
        <f>IF(LEN(SUMMARY!B56)&gt;0, SUMMARY!B56, "")</f>
        <v/>
      </c>
      <c r="C56" s="2" t="str">
        <f>IF(LEN(SUMMARY!C56)&gt;0, SUMMARY!C56, "")</f>
        <v/>
      </c>
      <c r="E56" s="2" t="str" cm="1">
        <f t="array" aca="1" ref="E56" ca="1">GetSheetValue(COLUMN(), "Q" &amp; ROW())</f>
        <v/>
      </c>
      <c r="F56" s="2" t="str" cm="1">
        <f t="array" aca="1" ref="F56" ca="1">GetSheetValue(COLUMN(), "Q" &amp; ROW())</f>
        <v/>
      </c>
      <c r="G56" s="2" t="str" cm="1">
        <f t="array" aca="1" ref="G56" ca="1">GetSheetValue(COLUMN(), "Q" &amp; ROW())</f>
        <v/>
      </c>
      <c r="H56" s="2" t="str" cm="1">
        <f t="array" aca="1" ref="H56" ca="1">GetSheetValue(COLUMN(), "Q" &amp; ROW())</f>
        <v/>
      </c>
      <c r="I56" s="2" t="str" cm="1">
        <f t="array" aca="1" ref="I56" ca="1">GetSheetValue(COLUMN(), "Q" &amp; ROW())</f>
        <v/>
      </c>
      <c r="J56" s="2" t="str" cm="1">
        <f t="array" aca="1" ref="J56" ca="1">GetSheetValue(COLUMN(), "Q" &amp; ROW())</f>
        <v/>
      </c>
      <c r="K56" s="2" t="str" cm="1">
        <f t="array" aca="1" ref="K56" ca="1">GetSheetValue(COLUMN(), "Q" &amp; ROW())</f>
        <v/>
      </c>
      <c r="L56" s="2" t="str" cm="1">
        <f t="array" aca="1" ref="L56" ca="1">GetSheetValue(COLUMN(), "Q" &amp; ROW())</f>
        <v/>
      </c>
      <c r="M56" s="2" t="str" cm="1">
        <f t="array" aca="1" ref="M56" ca="1">GetSheetValue(COLUMN(), "Q" &amp; ROW())</f>
        <v/>
      </c>
      <c r="N56" s="2" t="str" cm="1">
        <f t="array" aca="1" ref="N56" ca="1">GetSheetValue(COLUMN(), "Q" &amp; ROW())</f>
        <v/>
      </c>
      <c r="O56" s="2" t="str" cm="1">
        <f t="array" aca="1" ref="O56" ca="1">GetSheetValue(COLUMN(), "Q" &amp; ROW())</f>
        <v/>
      </c>
      <c r="P56" s="2" t="str" cm="1">
        <f t="array" aca="1" ref="P56" ca="1">GetSheetValue(COLUMN(), "Q" &amp; ROW())</f>
        <v/>
      </c>
      <c r="Q56" s="25">
        <v>0</v>
      </c>
      <c r="R56" s="2" t="str">
        <f t="shared" si="2"/>
        <v/>
      </c>
      <c r="S56" s="2" t="str">
        <f t="shared" si="3"/>
        <v/>
      </c>
    </row>
    <row r="57" spans="1:19" x14ac:dyDescent="0.2">
      <c r="A57" s="2">
        <v>47</v>
      </c>
      <c r="B57" s="2" t="str">
        <f>IF(LEN(SUMMARY!B57)&gt;0, SUMMARY!B57, "")</f>
        <v/>
      </c>
      <c r="C57" s="2" t="str">
        <f>IF(LEN(SUMMARY!C57)&gt;0, SUMMARY!C57, "")</f>
        <v/>
      </c>
      <c r="E57" s="2" t="str" cm="1">
        <f t="array" aca="1" ref="E57" ca="1">GetSheetValue(COLUMN(), "Q" &amp; ROW())</f>
        <v/>
      </c>
      <c r="F57" s="2" t="str" cm="1">
        <f t="array" aca="1" ref="F57" ca="1">GetSheetValue(COLUMN(), "Q" &amp; ROW())</f>
        <v/>
      </c>
      <c r="G57" s="2" t="str" cm="1">
        <f t="array" aca="1" ref="G57" ca="1">GetSheetValue(COLUMN(), "Q" &amp; ROW())</f>
        <v/>
      </c>
      <c r="H57" s="2" t="str" cm="1">
        <f t="array" aca="1" ref="H57" ca="1">GetSheetValue(COLUMN(), "Q" &amp; ROW())</f>
        <v/>
      </c>
      <c r="I57" s="2" t="str" cm="1">
        <f t="array" aca="1" ref="I57" ca="1">GetSheetValue(COLUMN(), "Q" &amp; ROW())</f>
        <v/>
      </c>
      <c r="J57" s="2" t="str" cm="1">
        <f t="array" aca="1" ref="J57" ca="1">GetSheetValue(COLUMN(), "Q" &amp; ROW())</f>
        <v/>
      </c>
      <c r="K57" s="2" t="str" cm="1">
        <f t="array" aca="1" ref="K57" ca="1">GetSheetValue(COLUMN(), "Q" &amp; ROW())</f>
        <v/>
      </c>
      <c r="L57" s="2" t="str" cm="1">
        <f t="array" aca="1" ref="L57" ca="1">GetSheetValue(COLUMN(), "Q" &amp; ROW())</f>
        <v/>
      </c>
      <c r="M57" s="2" t="str" cm="1">
        <f t="array" aca="1" ref="M57" ca="1">GetSheetValue(COLUMN(), "Q" &amp; ROW())</f>
        <v/>
      </c>
      <c r="N57" s="2" t="str" cm="1">
        <f t="array" aca="1" ref="N57" ca="1">GetSheetValue(COLUMN(), "Q" &amp; ROW())</f>
        <v/>
      </c>
      <c r="O57" s="2" t="str" cm="1">
        <f t="array" aca="1" ref="O57" ca="1">GetSheetValue(COLUMN(), "Q" &amp; ROW())</f>
        <v/>
      </c>
      <c r="P57" s="2" t="str" cm="1">
        <f t="array" aca="1" ref="P57" ca="1">GetSheetValue(COLUMN(), "Q" &amp; ROW())</f>
        <v/>
      </c>
      <c r="Q57" s="25">
        <v>0</v>
      </c>
      <c r="R57" s="2" t="str">
        <f t="shared" si="2"/>
        <v/>
      </c>
      <c r="S57" s="2" t="str">
        <f t="shared" si="3"/>
        <v/>
      </c>
    </row>
    <row r="58" spans="1:19" x14ac:dyDescent="0.2">
      <c r="A58" s="2">
        <v>48</v>
      </c>
      <c r="B58" s="2" t="str">
        <f>IF(LEN(SUMMARY!B58)&gt;0, SUMMARY!B58, "")</f>
        <v/>
      </c>
      <c r="C58" s="2" t="str">
        <f>IF(LEN(SUMMARY!C58)&gt;0, SUMMARY!C58, "")</f>
        <v/>
      </c>
      <c r="E58" s="2" t="str" cm="1">
        <f t="array" aca="1" ref="E58" ca="1">GetSheetValue(COLUMN(), "Q" &amp; ROW())</f>
        <v/>
      </c>
      <c r="F58" s="2" t="str" cm="1">
        <f t="array" aca="1" ref="F58" ca="1">GetSheetValue(COLUMN(), "Q" &amp; ROW())</f>
        <v/>
      </c>
      <c r="G58" s="2" t="str" cm="1">
        <f t="array" aca="1" ref="G58" ca="1">GetSheetValue(COLUMN(), "Q" &amp; ROW())</f>
        <v/>
      </c>
      <c r="H58" s="2" t="str" cm="1">
        <f t="array" aca="1" ref="H58" ca="1">GetSheetValue(COLUMN(), "Q" &amp; ROW())</f>
        <v/>
      </c>
      <c r="I58" s="2" t="str" cm="1">
        <f t="array" aca="1" ref="I58" ca="1">GetSheetValue(COLUMN(), "Q" &amp; ROW())</f>
        <v/>
      </c>
      <c r="J58" s="2" t="str" cm="1">
        <f t="array" aca="1" ref="J58" ca="1">GetSheetValue(COLUMN(), "Q" &amp; ROW())</f>
        <v/>
      </c>
      <c r="K58" s="2" t="str" cm="1">
        <f t="array" aca="1" ref="K58" ca="1">GetSheetValue(COLUMN(), "Q" &amp; ROW())</f>
        <v/>
      </c>
      <c r="L58" s="2" t="str" cm="1">
        <f t="array" aca="1" ref="L58" ca="1">GetSheetValue(COLUMN(), "Q" &amp; ROW())</f>
        <v/>
      </c>
      <c r="M58" s="2" t="str" cm="1">
        <f t="array" aca="1" ref="M58" ca="1">GetSheetValue(COLUMN(), "Q" &amp; ROW())</f>
        <v/>
      </c>
      <c r="N58" s="2" t="str" cm="1">
        <f t="array" aca="1" ref="N58" ca="1">GetSheetValue(COLUMN(), "Q" &amp; ROW())</f>
        <v/>
      </c>
      <c r="O58" s="2" t="str" cm="1">
        <f t="array" aca="1" ref="O58" ca="1">GetSheetValue(COLUMN(), "Q" &amp; ROW())</f>
        <v/>
      </c>
      <c r="P58" s="2" t="str" cm="1">
        <f t="array" aca="1" ref="P58" ca="1">GetSheetValue(COLUMN(), "Q" &amp; ROW())</f>
        <v/>
      </c>
      <c r="Q58" s="25">
        <v>0</v>
      </c>
      <c r="R58" s="2" t="str">
        <f t="shared" si="2"/>
        <v/>
      </c>
      <c r="S58" s="2" t="str">
        <f t="shared" si="3"/>
        <v/>
      </c>
    </row>
    <row r="59" spans="1:19" x14ac:dyDescent="0.2">
      <c r="A59" s="2">
        <v>49</v>
      </c>
      <c r="B59" s="2" t="str">
        <f>IF(LEN(SUMMARY!B59)&gt;0, SUMMARY!B59, "")</f>
        <v/>
      </c>
      <c r="C59" s="2" t="str">
        <f>IF(LEN(SUMMARY!C59)&gt;0, SUMMARY!C59, "")</f>
        <v/>
      </c>
      <c r="E59" s="2" t="str" cm="1">
        <f t="array" aca="1" ref="E59" ca="1">GetSheetValue(COLUMN(), "Q" &amp; ROW())</f>
        <v/>
      </c>
      <c r="F59" s="2" t="str" cm="1">
        <f t="array" aca="1" ref="F59" ca="1">GetSheetValue(COLUMN(), "Q" &amp; ROW())</f>
        <v/>
      </c>
      <c r="G59" s="2" t="str" cm="1">
        <f t="array" aca="1" ref="G59" ca="1">GetSheetValue(COLUMN(), "Q" &amp; ROW())</f>
        <v/>
      </c>
      <c r="H59" s="2" t="str" cm="1">
        <f t="array" aca="1" ref="H59" ca="1">GetSheetValue(COLUMN(), "Q" &amp; ROW())</f>
        <v/>
      </c>
      <c r="I59" s="2" t="str" cm="1">
        <f t="array" aca="1" ref="I59" ca="1">GetSheetValue(COLUMN(), "Q" &amp; ROW())</f>
        <v/>
      </c>
      <c r="J59" s="2" t="str" cm="1">
        <f t="array" aca="1" ref="J59" ca="1">GetSheetValue(COLUMN(), "Q" &amp; ROW())</f>
        <v/>
      </c>
      <c r="K59" s="2" t="str" cm="1">
        <f t="array" aca="1" ref="K59" ca="1">GetSheetValue(COLUMN(), "Q" &amp; ROW())</f>
        <v/>
      </c>
      <c r="L59" s="2" t="str" cm="1">
        <f t="array" aca="1" ref="L59" ca="1">GetSheetValue(COLUMN(), "Q" &amp; ROW())</f>
        <v/>
      </c>
      <c r="M59" s="2" t="str" cm="1">
        <f t="array" aca="1" ref="M59" ca="1">GetSheetValue(COLUMN(), "Q" &amp; ROW())</f>
        <v/>
      </c>
      <c r="N59" s="2" t="str" cm="1">
        <f t="array" aca="1" ref="N59" ca="1">GetSheetValue(COLUMN(), "Q" &amp; ROW())</f>
        <v/>
      </c>
      <c r="O59" s="2" t="str" cm="1">
        <f t="array" aca="1" ref="O59" ca="1">GetSheetValue(COLUMN(), "Q" &amp; ROW())</f>
        <v/>
      </c>
      <c r="P59" s="2" t="str" cm="1">
        <f t="array" aca="1" ref="P59" ca="1">GetSheetValue(COLUMN(), "Q" &amp; ROW())</f>
        <v/>
      </c>
      <c r="Q59" s="25">
        <v>0</v>
      </c>
      <c r="R59" s="2" t="str">
        <f t="shared" si="2"/>
        <v/>
      </c>
      <c r="S59" s="2" t="str">
        <f t="shared" si="3"/>
        <v/>
      </c>
    </row>
    <row r="60" spans="1:19" x14ac:dyDescent="0.2">
      <c r="A60" s="2">
        <v>50</v>
      </c>
      <c r="B60" s="2" t="str">
        <f>IF(LEN(SUMMARY!B60)&gt;0, SUMMARY!B60, "")</f>
        <v/>
      </c>
      <c r="C60" s="2" t="str">
        <f>IF(LEN(SUMMARY!C60)&gt;0, SUMMARY!C60, "")</f>
        <v/>
      </c>
      <c r="E60" s="2" t="str" cm="1">
        <f t="array" aca="1" ref="E60" ca="1">GetSheetValue(COLUMN(), "Q" &amp; ROW())</f>
        <v/>
      </c>
      <c r="F60" s="2" t="str" cm="1">
        <f t="array" aca="1" ref="F60" ca="1">GetSheetValue(COLUMN(), "Q" &amp; ROW())</f>
        <v/>
      </c>
      <c r="G60" s="2" t="str" cm="1">
        <f t="array" aca="1" ref="G60" ca="1">GetSheetValue(COLUMN(), "Q" &amp; ROW())</f>
        <v/>
      </c>
      <c r="H60" s="2" t="str" cm="1">
        <f t="array" aca="1" ref="H60" ca="1">GetSheetValue(COLUMN(), "Q" &amp; ROW())</f>
        <v/>
      </c>
      <c r="I60" s="2" t="str" cm="1">
        <f t="array" aca="1" ref="I60" ca="1">GetSheetValue(COLUMN(), "Q" &amp; ROW())</f>
        <v/>
      </c>
      <c r="J60" s="2" t="str" cm="1">
        <f t="array" aca="1" ref="J60" ca="1">GetSheetValue(COLUMN(), "Q" &amp; ROW())</f>
        <v/>
      </c>
      <c r="K60" s="2" t="str" cm="1">
        <f t="array" aca="1" ref="K60" ca="1">GetSheetValue(COLUMN(), "Q" &amp; ROW())</f>
        <v/>
      </c>
      <c r="L60" s="2" t="str" cm="1">
        <f t="array" aca="1" ref="L60" ca="1">GetSheetValue(COLUMN(), "Q" &amp; ROW())</f>
        <v/>
      </c>
      <c r="M60" s="2" t="str" cm="1">
        <f t="array" aca="1" ref="M60" ca="1">GetSheetValue(COLUMN(), "Q" &amp; ROW())</f>
        <v/>
      </c>
      <c r="N60" s="2" t="str" cm="1">
        <f t="array" aca="1" ref="N60" ca="1">GetSheetValue(COLUMN(), "Q" &amp; ROW())</f>
        <v/>
      </c>
      <c r="O60" s="2" t="str" cm="1">
        <f t="array" aca="1" ref="O60" ca="1">GetSheetValue(COLUMN(), "Q" &amp; ROW())</f>
        <v/>
      </c>
      <c r="P60" s="2" t="str" cm="1">
        <f t="array" aca="1" ref="P60" ca="1">GetSheetValue(COLUMN(), "Q" &amp; ROW())</f>
        <v/>
      </c>
      <c r="Q60" s="25">
        <v>0</v>
      </c>
      <c r="R60" s="2" t="str">
        <f t="shared" si="2"/>
        <v/>
      </c>
      <c r="S60" s="2" t="str">
        <f t="shared" si="3"/>
        <v/>
      </c>
    </row>
    <row r="61" spans="1:19" x14ac:dyDescent="0.2">
      <c r="A61" s="2">
        <v>51</v>
      </c>
      <c r="B61" s="2" t="str">
        <f>IF(LEN(SUMMARY!B61)&gt;0, SUMMARY!B61, "")</f>
        <v/>
      </c>
      <c r="C61" s="2" t="str">
        <f>IF(LEN(SUMMARY!C61)&gt;0, SUMMARY!C61, "")</f>
        <v/>
      </c>
      <c r="E61" s="2" t="str" cm="1">
        <f t="array" aca="1" ref="E61" ca="1">GetSheetValue(COLUMN(), "Q" &amp; ROW())</f>
        <v/>
      </c>
      <c r="F61" s="2" t="str" cm="1">
        <f t="array" aca="1" ref="F61" ca="1">GetSheetValue(COLUMN(), "Q" &amp; ROW())</f>
        <v/>
      </c>
      <c r="G61" s="2" t="str" cm="1">
        <f t="array" aca="1" ref="G61" ca="1">GetSheetValue(COLUMN(), "Q" &amp; ROW())</f>
        <v/>
      </c>
      <c r="H61" s="2" t="str" cm="1">
        <f t="array" aca="1" ref="H61" ca="1">GetSheetValue(COLUMN(), "Q" &amp; ROW())</f>
        <v/>
      </c>
      <c r="I61" s="2" t="str" cm="1">
        <f t="array" aca="1" ref="I61" ca="1">GetSheetValue(COLUMN(), "Q" &amp; ROW())</f>
        <v/>
      </c>
      <c r="J61" s="2" t="str" cm="1">
        <f t="array" aca="1" ref="J61" ca="1">GetSheetValue(COLUMN(), "Q" &amp; ROW())</f>
        <v/>
      </c>
      <c r="K61" s="2" t="str" cm="1">
        <f t="array" aca="1" ref="K61" ca="1">GetSheetValue(COLUMN(), "Q" &amp; ROW())</f>
        <v/>
      </c>
      <c r="L61" s="2" t="str" cm="1">
        <f t="array" aca="1" ref="L61" ca="1">GetSheetValue(COLUMN(), "Q" &amp; ROW())</f>
        <v/>
      </c>
      <c r="M61" s="2" t="str" cm="1">
        <f t="array" aca="1" ref="M61" ca="1">GetSheetValue(COLUMN(), "Q" &amp; ROW())</f>
        <v/>
      </c>
      <c r="N61" s="2" t="str" cm="1">
        <f t="array" aca="1" ref="N61" ca="1">GetSheetValue(COLUMN(), "Q" &amp; ROW())</f>
        <v/>
      </c>
      <c r="O61" s="2" t="str" cm="1">
        <f t="array" aca="1" ref="O61" ca="1">GetSheetValue(COLUMN(), "Q" &amp; ROW())</f>
        <v/>
      </c>
      <c r="P61" s="2" t="str" cm="1">
        <f t="array" aca="1" ref="P61" ca="1">GetSheetValue(COLUMN(), "Q" &amp; ROW())</f>
        <v/>
      </c>
      <c r="Q61" s="25">
        <v>0</v>
      </c>
      <c r="R61" s="2" t="str">
        <f t="shared" si="2"/>
        <v/>
      </c>
      <c r="S61" s="2" t="str">
        <f t="shared" si="3"/>
        <v/>
      </c>
    </row>
    <row r="62" spans="1:19" x14ac:dyDescent="0.2">
      <c r="A62" s="2">
        <v>52</v>
      </c>
      <c r="B62" s="2" t="str">
        <f>IF(LEN(SUMMARY!B62)&gt;0, SUMMARY!B62, "")</f>
        <v/>
      </c>
      <c r="C62" s="2" t="str">
        <f>IF(LEN(SUMMARY!C62)&gt;0, SUMMARY!C62, "")</f>
        <v/>
      </c>
      <c r="E62" s="2" t="str" cm="1">
        <f t="array" aca="1" ref="E62" ca="1">GetSheetValue(COLUMN(), "Q" &amp; ROW())</f>
        <v/>
      </c>
      <c r="F62" s="2" t="str" cm="1">
        <f t="array" aca="1" ref="F62" ca="1">GetSheetValue(COLUMN(), "Q" &amp; ROW())</f>
        <v/>
      </c>
      <c r="G62" s="2" t="str" cm="1">
        <f t="array" aca="1" ref="G62" ca="1">GetSheetValue(COLUMN(), "Q" &amp; ROW())</f>
        <v/>
      </c>
      <c r="H62" s="2" t="str" cm="1">
        <f t="array" aca="1" ref="H62" ca="1">GetSheetValue(COLUMN(), "Q" &amp; ROW())</f>
        <v/>
      </c>
      <c r="I62" s="2" t="str" cm="1">
        <f t="array" aca="1" ref="I62" ca="1">GetSheetValue(COLUMN(), "Q" &amp; ROW())</f>
        <v/>
      </c>
      <c r="J62" s="2" t="str" cm="1">
        <f t="array" aca="1" ref="J62" ca="1">GetSheetValue(COLUMN(), "Q" &amp; ROW())</f>
        <v/>
      </c>
      <c r="K62" s="2" t="str" cm="1">
        <f t="array" aca="1" ref="K62" ca="1">GetSheetValue(COLUMN(), "Q" &amp; ROW())</f>
        <v/>
      </c>
      <c r="L62" s="2" t="str" cm="1">
        <f t="array" aca="1" ref="L62" ca="1">GetSheetValue(COLUMN(), "Q" &amp; ROW())</f>
        <v/>
      </c>
      <c r="M62" s="2" t="str" cm="1">
        <f t="array" aca="1" ref="M62" ca="1">GetSheetValue(COLUMN(), "Q" &amp; ROW())</f>
        <v/>
      </c>
      <c r="N62" s="2" t="str" cm="1">
        <f t="array" aca="1" ref="N62" ca="1">GetSheetValue(COLUMN(), "Q" &amp; ROW())</f>
        <v/>
      </c>
      <c r="O62" s="2" t="str" cm="1">
        <f t="array" aca="1" ref="O62" ca="1">GetSheetValue(COLUMN(), "Q" &amp; ROW())</f>
        <v/>
      </c>
      <c r="P62" s="2" t="str" cm="1">
        <f t="array" aca="1" ref="P62" ca="1">GetSheetValue(COLUMN(), "Q" &amp; ROW())</f>
        <v/>
      </c>
      <c r="Q62" s="25">
        <v>0</v>
      </c>
      <c r="R62" s="2" t="str">
        <f t="shared" si="2"/>
        <v/>
      </c>
      <c r="S62" s="2" t="str">
        <f t="shared" si="3"/>
        <v/>
      </c>
    </row>
    <row r="63" spans="1:19" x14ac:dyDescent="0.2">
      <c r="A63" s="2">
        <v>53</v>
      </c>
      <c r="B63" s="2" t="str">
        <f>IF(LEN(SUMMARY!B63)&gt;0, SUMMARY!B63, "")</f>
        <v/>
      </c>
      <c r="C63" s="2" t="str">
        <f>IF(LEN(SUMMARY!C63)&gt;0, SUMMARY!C63, "")</f>
        <v/>
      </c>
      <c r="E63" s="2" t="str" cm="1">
        <f t="array" aca="1" ref="E63" ca="1">GetSheetValue(COLUMN(), "Q" &amp; ROW())</f>
        <v/>
      </c>
      <c r="F63" s="2" t="str" cm="1">
        <f t="array" aca="1" ref="F63" ca="1">GetSheetValue(COLUMN(), "Q" &amp; ROW())</f>
        <v/>
      </c>
      <c r="G63" s="2" t="str" cm="1">
        <f t="array" aca="1" ref="G63" ca="1">GetSheetValue(COLUMN(), "Q" &amp; ROW())</f>
        <v/>
      </c>
      <c r="H63" s="2" t="str" cm="1">
        <f t="array" aca="1" ref="H63" ca="1">GetSheetValue(COLUMN(), "Q" &amp; ROW())</f>
        <v/>
      </c>
      <c r="I63" s="2" t="str" cm="1">
        <f t="array" aca="1" ref="I63" ca="1">GetSheetValue(COLUMN(), "Q" &amp; ROW())</f>
        <v/>
      </c>
      <c r="J63" s="2" t="str" cm="1">
        <f t="array" aca="1" ref="J63" ca="1">GetSheetValue(COLUMN(), "Q" &amp; ROW())</f>
        <v/>
      </c>
      <c r="K63" s="2" t="str" cm="1">
        <f t="array" aca="1" ref="K63" ca="1">GetSheetValue(COLUMN(), "Q" &amp; ROW())</f>
        <v/>
      </c>
      <c r="L63" s="2" t="str" cm="1">
        <f t="array" aca="1" ref="L63" ca="1">GetSheetValue(COLUMN(), "Q" &amp; ROW())</f>
        <v/>
      </c>
      <c r="M63" s="2" t="str" cm="1">
        <f t="array" aca="1" ref="M63" ca="1">GetSheetValue(COLUMN(), "Q" &amp; ROW())</f>
        <v/>
      </c>
      <c r="N63" s="2" t="str" cm="1">
        <f t="array" aca="1" ref="N63" ca="1">GetSheetValue(COLUMN(), "Q" &amp; ROW())</f>
        <v/>
      </c>
      <c r="O63" s="2" t="str" cm="1">
        <f t="array" aca="1" ref="O63" ca="1">GetSheetValue(COLUMN(), "Q" &amp; ROW())</f>
        <v/>
      </c>
      <c r="P63" s="2" t="str" cm="1">
        <f t="array" aca="1" ref="P63" ca="1">GetSheetValue(COLUMN(), "Q" &amp; ROW())</f>
        <v/>
      </c>
      <c r="Q63" s="25">
        <v>0</v>
      </c>
      <c r="R63" s="2" t="str">
        <f t="shared" si="2"/>
        <v/>
      </c>
      <c r="S63" s="2" t="str">
        <f t="shared" si="3"/>
        <v/>
      </c>
    </row>
    <row r="64" spans="1:19" x14ac:dyDescent="0.2">
      <c r="A64" s="2">
        <v>54</v>
      </c>
      <c r="B64" s="2" t="str">
        <f>IF(LEN(SUMMARY!B64)&gt;0, SUMMARY!B64, "")</f>
        <v/>
      </c>
      <c r="C64" s="2" t="str">
        <f>IF(LEN(SUMMARY!C64)&gt;0, SUMMARY!C64, "")</f>
        <v/>
      </c>
      <c r="E64" s="2" t="str" cm="1">
        <f t="array" aca="1" ref="E64" ca="1">GetSheetValue(COLUMN(), "Q" &amp; ROW())</f>
        <v/>
      </c>
      <c r="F64" s="2" t="str" cm="1">
        <f t="array" aca="1" ref="F64" ca="1">GetSheetValue(COLUMN(), "Q" &amp; ROW())</f>
        <v/>
      </c>
      <c r="G64" s="2" t="str" cm="1">
        <f t="array" aca="1" ref="G64" ca="1">GetSheetValue(COLUMN(), "Q" &amp; ROW())</f>
        <v/>
      </c>
      <c r="H64" s="2" t="str" cm="1">
        <f t="array" aca="1" ref="H64" ca="1">GetSheetValue(COLUMN(), "Q" &amp; ROW())</f>
        <v/>
      </c>
      <c r="I64" s="2" t="str" cm="1">
        <f t="array" aca="1" ref="I64" ca="1">GetSheetValue(COLUMN(), "Q" &amp; ROW())</f>
        <v/>
      </c>
      <c r="J64" s="2" t="str" cm="1">
        <f t="array" aca="1" ref="J64" ca="1">GetSheetValue(COLUMN(), "Q" &amp; ROW())</f>
        <v/>
      </c>
      <c r="K64" s="2" t="str" cm="1">
        <f t="array" aca="1" ref="K64" ca="1">GetSheetValue(COLUMN(), "Q" &amp; ROW())</f>
        <v/>
      </c>
      <c r="L64" s="2" t="str" cm="1">
        <f t="array" aca="1" ref="L64" ca="1">GetSheetValue(COLUMN(), "Q" &amp; ROW())</f>
        <v/>
      </c>
      <c r="M64" s="2" t="str" cm="1">
        <f t="array" aca="1" ref="M64" ca="1">GetSheetValue(COLUMN(), "Q" &amp; ROW())</f>
        <v/>
      </c>
      <c r="N64" s="2" t="str" cm="1">
        <f t="array" aca="1" ref="N64" ca="1">GetSheetValue(COLUMN(), "Q" &amp; ROW())</f>
        <v/>
      </c>
      <c r="O64" s="2" t="str" cm="1">
        <f t="array" aca="1" ref="O64" ca="1">GetSheetValue(COLUMN(), "Q" &amp; ROW())</f>
        <v/>
      </c>
      <c r="P64" s="2" t="str" cm="1">
        <f t="array" aca="1" ref="P64" ca="1">GetSheetValue(COLUMN(), "Q" &amp; ROW())</f>
        <v/>
      </c>
      <c r="Q64" s="25">
        <v>0</v>
      </c>
      <c r="R64" s="2" t="str">
        <f t="shared" si="2"/>
        <v/>
      </c>
      <c r="S64" s="2" t="str">
        <f t="shared" si="3"/>
        <v/>
      </c>
    </row>
    <row r="65" spans="1:19" x14ac:dyDescent="0.2">
      <c r="A65" s="2">
        <v>55</v>
      </c>
      <c r="B65" s="2" t="str">
        <f>IF(LEN(SUMMARY!B65)&gt;0, SUMMARY!B65, "")</f>
        <v/>
      </c>
      <c r="C65" s="2" t="str">
        <f>IF(LEN(SUMMARY!C65)&gt;0, SUMMARY!C65, "")</f>
        <v/>
      </c>
      <c r="E65" s="2" t="str" cm="1">
        <f t="array" aca="1" ref="E65" ca="1">GetSheetValue(COLUMN(), "Q" &amp; ROW())</f>
        <v/>
      </c>
      <c r="F65" s="2" t="str" cm="1">
        <f t="array" aca="1" ref="F65" ca="1">GetSheetValue(COLUMN(), "Q" &amp; ROW())</f>
        <v/>
      </c>
      <c r="G65" s="2" t="str" cm="1">
        <f t="array" aca="1" ref="G65" ca="1">GetSheetValue(COLUMN(), "Q" &amp; ROW())</f>
        <v/>
      </c>
      <c r="H65" s="2" t="str" cm="1">
        <f t="array" aca="1" ref="H65" ca="1">GetSheetValue(COLUMN(), "Q" &amp; ROW())</f>
        <v/>
      </c>
      <c r="I65" s="2" t="str" cm="1">
        <f t="array" aca="1" ref="I65" ca="1">GetSheetValue(COLUMN(), "Q" &amp; ROW())</f>
        <v/>
      </c>
      <c r="J65" s="2" t="str" cm="1">
        <f t="array" aca="1" ref="J65" ca="1">GetSheetValue(COLUMN(), "Q" &amp; ROW())</f>
        <v/>
      </c>
      <c r="K65" s="2" t="str" cm="1">
        <f t="array" aca="1" ref="K65" ca="1">GetSheetValue(COLUMN(), "Q" &amp; ROW())</f>
        <v/>
      </c>
      <c r="L65" s="2" t="str" cm="1">
        <f t="array" aca="1" ref="L65" ca="1">GetSheetValue(COLUMN(), "Q" &amp; ROW())</f>
        <v/>
      </c>
      <c r="M65" s="2" t="str" cm="1">
        <f t="array" aca="1" ref="M65" ca="1">GetSheetValue(COLUMN(), "Q" &amp; ROW())</f>
        <v/>
      </c>
      <c r="N65" s="2" t="str" cm="1">
        <f t="array" aca="1" ref="N65" ca="1">GetSheetValue(COLUMN(), "Q" &amp; ROW())</f>
        <v/>
      </c>
      <c r="O65" s="2" t="str" cm="1">
        <f t="array" aca="1" ref="O65" ca="1">GetSheetValue(COLUMN(), "Q" &amp; ROW())</f>
        <v/>
      </c>
      <c r="P65" s="2" t="str" cm="1">
        <f t="array" aca="1" ref="P65" ca="1">GetSheetValue(COLUMN(), "Q" &amp; ROW())</f>
        <v/>
      </c>
      <c r="Q65" s="25">
        <v>0</v>
      </c>
      <c r="R65" s="2" t="str">
        <f t="shared" si="2"/>
        <v/>
      </c>
      <c r="S65" s="2" t="str">
        <f t="shared" si="3"/>
        <v/>
      </c>
    </row>
    <row r="66" spans="1:19" x14ac:dyDescent="0.2">
      <c r="A66" s="2">
        <v>56</v>
      </c>
      <c r="B66" s="2" t="str">
        <f>IF(LEN(SUMMARY!B66)&gt;0, SUMMARY!B66, "")</f>
        <v/>
      </c>
      <c r="C66" s="2" t="str">
        <f>IF(LEN(SUMMARY!C66)&gt;0, SUMMARY!C66, "")</f>
        <v/>
      </c>
      <c r="E66" s="2" t="str" cm="1">
        <f t="array" aca="1" ref="E66" ca="1">GetSheetValue(COLUMN(), "Q" &amp; ROW())</f>
        <v/>
      </c>
      <c r="F66" s="2" t="str" cm="1">
        <f t="array" aca="1" ref="F66" ca="1">GetSheetValue(COLUMN(), "Q" &amp; ROW())</f>
        <v/>
      </c>
      <c r="G66" s="2" t="str" cm="1">
        <f t="array" aca="1" ref="G66" ca="1">GetSheetValue(COLUMN(), "Q" &amp; ROW())</f>
        <v/>
      </c>
      <c r="H66" s="2" t="str" cm="1">
        <f t="array" aca="1" ref="H66" ca="1">GetSheetValue(COLUMN(), "Q" &amp; ROW())</f>
        <v/>
      </c>
      <c r="I66" s="2" t="str" cm="1">
        <f t="array" aca="1" ref="I66" ca="1">GetSheetValue(COLUMN(), "Q" &amp; ROW())</f>
        <v/>
      </c>
      <c r="J66" s="2" t="str" cm="1">
        <f t="array" aca="1" ref="J66" ca="1">GetSheetValue(COLUMN(), "Q" &amp; ROW())</f>
        <v/>
      </c>
      <c r="K66" s="2" t="str" cm="1">
        <f t="array" aca="1" ref="K66" ca="1">GetSheetValue(COLUMN(), "Q" &amp; ROW())</f>
        <v/>
      </c>
      <c r="L66" s="2" t="str" cm="1">
        <f t="array" aca="1" ref="L66" ca="1">GetSheetValue(COLUMN(), "Q" &amp; ROW())</f>
        <v/>
      </c>
      <c r="M66" s="2" t="str" cm="1">
        <f t="array" aca="1" ref="M66" ca="1">GetSheetValue(COLUMN(), "Q" &amp; ROW())</f>
        <v/>
      </c>
      <c r="N66" s="2" t="str" cm="1">
        <f t="array" aca="1" ref="N66" ca="1">GetSheetValue(COLUMN(), "Q" &amp; ROW())</f>
        <v/>
      </c>
      <c r="O66" s="2" t="str" cm="1">
        <f t="array" aca="1" ref="O66" ca="1">GetSheetValue(COLUMN(), "Q" &amp; ROW())</f>
        <v/>
      </c>
      <c r="P66" s="2" t="str" cm="1">
        <f t="array" aca="1" ref="P66" ca="1">GetSheetValue(COLUMN(), "Q" &amp; ROW())</f>
        <v/>
      </c>
      <c r="Q66" s="25">
        <v>0</v>
      </c>
      <c r="R66" s="2" t="str">
        <f t="shared" si="2"/>
        <v/>
      </c>
      <c r="S66" s="2" t="str">
        <f t="shared" si="3"/>
        <v/>
      </c>
    </row>
    <row r="67" spans="1:19" x14ac:dyDescent="0.2">
      <c r="A67" s="2">
        <v>57</v>
      </c>
      <c r="B67" s="2" t="str">
        <f>IF(LEN(SUMMARY!B67)&gt;0, SUMMARY!B67, "")</f>
        <v/>
      </c>
      <c r="C67" s="2" t="str">
        <f>IF(LEN(SUMMARY!C67)&gt;0, SUMMARY!C67, "")</f>
        <v/>
      </c>
      <c r="E67" s="2" t="str" cm="1">
        <f t="array" aca="1" ref="E67" ca="1">GetSheetValue(COLUMN(), "Q" &amp; ROW())</f>
        <v/>
      </c>
      <c r="F67" s="2" t="str" cm="1">
        <f t="array" aca="1" ref="F67" ca="1">GetSheetValue(COLUMN(), "Q" &amp; ROW())</f>
        <v/>
      </c>
      <c r="G67" s="2" t="str" cm="1">
        <f t="array" aca="1" ref="G67" ca="1">GetSheetValue(COLUMN(), "Q" &amp; ROW())</f>
        <v/>
      </c>
      <c r="H67" s="2" t="str" cm="1">
        <f t="array" aca="1" ref="H67" ca="1">GetSheetValue(COLUMN(), "Q" &amp; ROW())</f>
        <v/>
      </c>
      <c r="I67" s="2" t="str" cm="1">
        <f t="array" aca="1" ref="I67" ca="1">GetSheetValue(COLUMN(), "Q" &amp; ROW())</f>
        <v/>
      </c>
      <c r="J67" s="2" t="str" cm="1">
        <f t="array" aca="1" ref="J67" ca="1">GetSheetValue(COLUMN(), "Q" &amp; ROW())</f>
        <v/>
      </c>
      <c r="K67" s="2" t="str" cm="1">
        <f t="array" aca="1" ref="K67" ca="1">GetSheetValue(COLUMN(), "Q" &amp; ROW())</f>
        <v/>
      </c>
      <c r="L67" s="2" t="str" cm="1">
        <f t="array" aca="1" ref="L67" ca="1">GetSheetValue(COLUMN(), "Q" &amp; ROW())</f>
        <v/>
      </c>
      <c r="M67" s="2" t="str" cm="1">
        <f t="array" aca="1" ref="M67" ca="1">GetSheetValue(COLUMN(), "Q" &amp; ROW())</f>
        <v/>
      </c>
      <c r="N67" s="2" t="str" cm="1">
        <f t="array" aca="1" ref="N67" ca="1">GetSheetValue(COLUMN(), "Q" &amp; ROW())</f>
        <v/>
      </c>
      <c r="O67" s="2" t="str" cm="1">
        <f t="array" aca="1" ref="O67" ca="1">GetSheetValue(COLUMN(), "Q" &amp; ROW())</f>
        <v/>
      </c>
      <c r="P67" s="2" t="str" cm="1">
        <f t="array" aca="1" ref="P67" ca="1">GetSheetValue(COLUMN(), "Q" &amp; ROW())</f>
        <v/>
      </c>
      <c r="Q67" s="25">
        <v>0</v>
      </c>
      <c r="R67" s="2" t="str">
        <f t="shared" si="2"/>
        <v/>
      </c>
      <c r="S67" s="2" t="str">
        <f t="shared" si="3"/>
        <v/>
      </c>
    </row>
    <row r="68" spans="1:19" x14ac:dyDescent="0.2">
      <c r="A68" s="2">
        <v>58</v>
      </c>
      <c r="B68" s="2" t="str">
        <f>IF(LEN(SUMMARY!B68)&gt;0, SUMMARY!B68, "")</f>
        <v/>
      </c>
      <c r="C68" s="2" t="str">
        <f>IF(LEN(SUMMARY!C68)&gt;0, SUMMARY!C68, "")</f>
        <v/>
      </c>
      <c r="E68" s="2" t="str" cm="1">
        <f t="array" aca="1" ref="E68" ca="1">GetSheetValue(COLUMN(), "Q" &amp; ROW())</f>
        <v/>
      </c>
      <c r="F68" s="2" t="str" cm="1">
        <f t="array" aca="1" ref="F68" ca="1">GetSheetValue(COLUMN(), "Q" &amp; ROW())</f>
        <v/>
      </c>
      <c r="G68" s="2" t="str" cm="1">
        <f t="array" aca="1" ref="G68" ca="1">GetSheetValue(COLUMN(), "Q" &amp; ROW())</f>
        <v/>
      </c>
      <c r="H68" s="2" t="str" cm="1">
        <f t="array" aca="1" ref="H68" ca="1">GetSheetValue(COLUMN(), "Q" &amp; ROW())</f>
        <v/>
      </c>
      <c r="I68" s="2" t="str" cm="1">
        <f t="array" aca="1" ref="I68" ca="1">GetSheetValue(COLUMN(), "Q" &amp; ROW())</f>
        <v/>
      </c>
      <c r="J68" s="2" t="str" cm="1">
        <f t="array" aca="1" ref="J68" ca="1">GetSheetValue(COLUMN(), "Q" &amp; ROW())</f>
        <v/>
      </c>
      <c r="K68" s="2" t="str" cm="1">
        <f t="array" aca="1" ref="K68" ca="1">GetSheetValue(COLUMN(), "Q" &amp; ROW())</f>
        <v/>
      </c>
      <c r="L68" s="2" t="str" cm="1">
        <f t="array" aca="1" ref="L68" ca="1">GetSheetValue(COLUMN(), "Q" &amp; ROW())</f>
        <v/>
      </c>
      <c r="M68" s="2" t="str" cm="1">
        <f t="array" aca="1" ref="M68" ca="1">GetSheetValue(COLUMN(), "Q" &amp; ROW())</f>
        <v/>
      </c>
      <c r="N68" s="2" t="str" cm="1">
        <f t="array" aca="1" ref="N68" ca="1">GetSheetValue(COLUMN(), "Q" &amp; ROW())</f>
        <v/>
      </c>
      <c r="O68" s="2" t="str" cm="1">
        <f t="array" aca="1" ref="O68" ca="1">GetSheetValue(COLUMN(), "Q" &amp; ROW())</f>
        <v/>
      </c>
      <c r="P68" s="2" t="str" cm="1">
        <f t="array" aca="1" ref="P68" ca="1">GetSheetValue(COLUMN(), "Q" &amp; ROW())</f>
        <v/>
      </c>
      <c r="Q68" s="25">
        <v>0</v>
      </c>
      <c r="R68" s="2" t="str">
        <f t="shared" si="2"/>
        <v/>
      </c>
      <c r="S68" s="2" t="str">
        <f t="shared" si="3"/>
        <v/>
      </c>
    </row>
    <row r="69" spans="1:19" x14ac:dyDescent="0.2">
      <c r="A69" s="2">
        <v>59</v>
      </c>
      <c r="B69" s="2" t="str">
        <f>IF(LEN(SUMMARY!B69)&gt;0, SUMMARY!B69, "")</f>
        <v/>
      </c>
      <c r="C69" s="2" t="str">
        <f>IF(LEN(SUMMARY!C69)&gt;0, SUMMARY!C69, "")</f>
        <v/>
      </c>
      <c r="E69" s="2" t="str" cm="1">
        <f t="array" aca="1" ref="E69" ca="1">GetSheetValue(COLUMN(), "Q" &amp; ROW())</f>
        <v/>
      </c>
      <c r="F69" s="2" t="str" cm="1">
        <f t="array" aca="1" ref="F69" ca="1">GetSheetValue(COLUMN(), "Q" &amp; ROW())</f>
        <v/>
      </c>
      <c r="G69" s="2" t="str" cm="1">
        <f t="array" aca="1" ref="G69" ca="1">GetSheetValue(COLUMN(), "Q" &amp; ROW())</f>
        <v/>
      </c>
      <c r="H69" s="2" t="str" cm="1">
        <f t="array" aca="1" ref="H69" ca="1">GetSheetValue(COLUMN(), "Q" &amp; ROW())</f>
        <v/>
      </c>
      <c r="I69" s="2" t="str" cm="1">
        <f t="array" aca="1" ref="I69" ca="1">GetSheetValue(COLUMN(), "Q" &amp; ROW())</f>
        <v/>
      </c>
      <c r="J69" s="2" t="str" cm="1">
        <f t="array" aca="1" ref="J69" ca="1">GetSheetValue(COLUMN(), "Q" &amp; ROW())</f>
        <v/>
      </c>
      <c r="K69" s="2" t="str" cm="1">
        <f t="array" aca="1" ref="K69" ca="1">GetSheetValue(COLUMN(), "Q" &amp; ROW())</f>
        <v/>
      </c>
      <c r="L69" s="2" t="str" cm="1">
        <f t="array" aca="1" ref="L69" ca="1">GetSheetValue(COLUMN(), "Q" &amp; ROW())</f>
        <v/>
      </c>
      <c r="M69" s="2" t="str" cm="1">
        <f t="array" aca="1" ref="M69" ca="1">GetSheetValue(COLUMN(), "Q" &amp; ROW())</f>
        <v/>
      </c>
      <c r="N69" s="2" t="str" cm="1">
        <f t="array" aca="1" ref="N69" ca="1">GetSheetValue(COLUMN(), "Q" &amp; ROW())</f>
        <v/>
      </c>
      <c r="O69" s="2" t="str" cm="1">
        <f t="array" aca="1" ref="O69" ca="1">GetSheetValue(COLUMN(), "Q" &amp; ROW())</f>
        <v/>
      </c>
      <c r="P69" s="2" t="str" cm="1">
        <f t="array" aca="1" ref="P69" ca="1">GetSheetValue(COLUMN(), "Q" &amp; ROW())</f>
        <v/>
      </c>
      <c r="Q69" s="25">
        <v>0</v>
      </c>
      <c r="R69" s="2" t="str">
        <f t="shared" si="2"/>
        <v/>
      </c>
      <c r="S69" s="2" t="str">
        <f t="shared" si="3"/>
        <v/>
      </c>
    </row>
    <row r="70" spans="1:19" x14ac:dyDescent="0.2">
      <c r="A70" s="2">
        <v>60</v>
      </c>
      <c r="B70" s="2" t="str">
        <f>IF(LEN(SUMMARY!B70)&gt;0, SUMMARY!B70, "")</f>
        <v/>
      </c>
      <c r="C70" s="2" t="str">
        <f>IF(LEN(SUMMARY!C70)&gt;0, SUMMARY!C70, "")</f>
        <v/>
      </c>
      <c r="E70" s="2" t="str" cm="1">
        <f t="array" aca="1" ref="E70" ca="1">GetSheetValue(COLUMN(), "Q" &amp; ROW())</f>
        <v/>
      </c>
      <c r="F70" s="2" t="str" cm="1">
        <f t="array" aca="1" ref="F70" ca="1">GetSheetValue(COLUMN(), "Q" &amp; ROW())</f>
        <v/>
      </c>
      <c r="G70" s="2" t="str" cm="1">
        <f t="array" aca="1" ref="G70" ca="1">GetSheetValue(COLUMN(), "Q" &amp; ROW())</f>
        <v/>
      </c>
      <c r="H70" s="2" t="str" cm="1">
        <f t="array" aca="1" ref="H70" ca="1">GetSheetValue(COLUMN(), "Q" &amp; ROW())</f>
        <v/>
      </c>
      <c r="I70" s="2" t="str" cm="1">
        <f t="array" aca="1" ref="I70" ca="1">GetSheetValue(COLUMN(), "Q" &amp; ROW())</f>
        <v/>
      </c>
      <c r="J70" s="2" t="str" cm="1">
        <f t="array" aca="1" ref="J70" ca="1">GetSheetValue(COLUMN(), "Q" &amp; ROW())</f>
        <v/>
      </c>
      <c r="K70" s="2" t="str" cm="1">
        <f t="array" aca="1" ref="K70" ca="1">GetSheetValue(COLUMN(), "Q" &amp; ROW())</f>
        <v/>
      </c>
      <c r="L70" s="2" t="str" cm="1">
        <f t="array" aca="1" ref="L70" ca="1">GetSheetValue(COLUMN(), "Q" &amp; ROW())</f>
        <v/>
      </c>
      <c r="M70" s="2" t="str" cm="1">
        <f t="array" aca="1" ref="M70" ca="1">GetSheetValue(COLUMN(), "Q" &amp; ROW())</f>
        <v/>
      </c>
      <c r="N70" s="2" t="str" cm="1">
        <f t="array" aca="1" ref="N70" ca="1">GetSheetValue(COLUMN(), "Q" &amp; ROW())</f>
        <v/>
      </c>
      <c r="O70" s="2" t="str" cm="1">
        <f t="array" aca="1" ref="O70" ca="1">GetSheetValue(COLUMN(), "Q" &amp; ROW())</f>
        <v/>
      </c>
      <c r="P70" s="2" t="str" cm="1">
        <f t="array" aca="1" ref="P70" ca="1">GetSheetValue(COLUMN(), "Q" &amp; ROW())</f>
        <v/>
      </c>
      <c r="Q70" s="25">
        <v>0</v>
      </c>
      <c r="R70" s="2" t="str">
        <f t="shared" si="2"/>
        <v/>
      </c>
      <c r="S70" s="2" t="str">
        <f t="shared" si="3"/>
        <v/>
      </c>
    </row>
    <row r="71" spans="1:19" x14ac:dyDescent="0.2">
      <c r="A71" s="2">
        <v>61</v>
      </c>
      <c r="B71" s="2" t="str">
        <f>IF(LEN(SUMMARY!B71)&gt;0, SUMMARY!B71, "")</f>
        <v/>
      </c>
      <c r="C71" s="2" t="str">
        <f>IF(LEN(SUMMARY!C71)&gt;0, SUMMARY!C71, "")</f>
        <v/>
      </c>
      <c r="E71" s="2" t="str" cm="1">
        <f t="array" aca="1" ref="E71" ca="1">GetSheetValue(COLUMN(), "Q" &amp; ROW())</f>
        <v/>
      </c>
      <c r="F71" s="2" t="str" cm="1">
        <f t="array" aca="1" ref="F71" ca="1">GetSheetValue(COLUMN(), "Q" &amp; ROW())</f>
        <v/>
      </c>
      <c r="G71" s="2" t="str" cm="1">
        <f t="array" aca="1" ref="G71" ca="1">GetSheetValue(COLUMN(), "Q" &amp; ROW())</f>
        <v/>
      </c>
      <c r="H71" s="2" t="str" cm="1">
        <f t="array" aca="1" ref="H71" ca="1">GetSheetValue(COLUMN(), "Q" &amp; ROW())</f>
        <v/>
      </c>
      <c r="I71" s="2" t="str" cm="1">
        <f t="array" aca="1" ref="I71" ca="1">GetSheetValue(COLUMN(), "Q" &amp; ROW())</f>
        <v/>
      </c>
      <c r="J71" s="2" t="str" cm="1">
        <f t="array" aca="1" ref="J71" ca="1">GetSheetValue(COLUMN(), "Q" &amp; ROW())</f>
        <v/>
      </c>
      <c r="K71" s="2" t="str" cm="1">
        <f t="array" aca="1" ref="K71" ca="1">GetSheetValue(COLUMN(), "Q" &amp; ROW())</f>
        <v/>
      </c>
      <c r="L71" s="2" t="str" cm="1">
        <f t="array" aca="1" ref="L71" ca="1">GetSheetValue(COLUMN(), "Q" &amp; ROW())</f>
        <v/>
      </c>
      <c r="M71" s="2" t="str" cm="1">
        <f t="array" aca="1" ref="M71" ca="1">GetSheetValue(COLUMN(), "Q" &amp; ROW())</f>
        <v/>
      </c>
      <c r="N71" s="2" t="str" cm="1">
        <f t="array" aca="1" ref="N71" ca="1">GetSheetValue(COLUMN(), "Q" &amp; ROW())</f>
        <v/>
      </c>
      <c r="O71" s="2" t="str" cm="1">
        <f t="array" aca="1" ref="O71" ca="1">GetSheetValue(COLUMN(), "Q" &amp; ROW())</f>
        <v/>
      </c>
      <c r="P71" s="2" t="str" cm="1">
        <f t="array" aca="1" ref="P71" ca="1">GetSheetValue(COLUMN(), "Q" &amp; ROW())</f>
        <v/>
      </c>
      <c r="Q71" s="25">
        <v>0</v>
      </c>
      <c r="R71" s="2" t="str">
        <f t="shared" si="2"/>
        <v/>
      </c>
      <c r="S71" s="2" t="str">
        <f t="shared" si="3"/>
        <v/>
      </c>
    </row>
    <row r="72" spans="1:19" x14ac:dyDescent="0.2">
      <c r="A72" s="2">
        <v>62</v>
      </c>
      <c r="B72" s="2" t="str">
        <f>IF(LEN(SUMMARY!B72)&gt;0, SUMMARY!B72, "")</f>
        <v/>
      </c>
      <c r="C72" s="2" t="str">
        <f>IF(LEN(SUMMARY!C72)&gt;0, SUMMARY!C72, "")</f>
        <v/>
      </c>
      <c r="E72" s="2" t="str" cm="1">
        <f t="array" aca="1" ref="E72" ca="1">GetSheetValue(COLUMN(), "Q" &amp; ROW())</f>
        <v/>
      </c>
      <c r="F72" s="2" t="str" cm="1">
        <f t="array" aca="1" ref="F72" ca="1">GetSheetValue(COLUMN(), "Q" &amp; ROW())</f>
        <v/>
      </c>
      <c r="G72" s="2" t="str" cm="1">
        <f t="array" aca="1" ref="G72" ca="1">GetSheetValue(COLUMN(), "Q" &amp; ROW())</f>
        <v/>
      </c>
      <c r="H72" s="2" t="str" cm="1">
        <f t="array" aca="1" ref="H72" ca="1">GetSheetValue(COLUMN(), "Q" &amp; ROW())</f>
        <v/>
      </c>
      <c r="I72" s="2" t="str" cm="1">
        <f t="array" aca="1" ref="I72" ca="1">GetSheetValue(COLUMN(), "Q" &amp; ROW())</f>
        <v/>
      </c>
      <c r="J72" s="2" t="str" cm="1">
        <f t="array" aca="1" ref="J72" ca="1">GetSheetValue(COLUMN(), "Q" &amp; ROW())</f>
        <v/>
      </c>
      <c r="K72" s="2" t="str" cm="1">
        <f t="array" aca="1" ref="K72" ca="1">GetSheetValue(COLUMN(), "Q" &amp; ROW())</f>
        <v/>
      </c>
      <c r="L72" s="2" t="str" cm="1">
        <f t="array" aca="1" ref="L72" ca="1">GetSheetValue(COLUMN(), "Q" &amp; ROW())</f>
        <v/>
      </c>
      <c r="M72" s="2" t="str" cm="1">
        <f t="array" aca="1" ref="M72" ca="1">GetSheetValue(COLUMN(), "Q" &amp; ROW())</f>
        <v/>
      </c>
      <c r="N72" s="2" t="str" cm="1">
        <f t="array" aca="1" ref="N72" ca="1">GetSheetValue(COLUMN(), "Q" &amp; ROW())</f>
        <v/>
      </c>
      <c r="O72" s="2" t="str" cm="1">
        <f t="array" aca="1" ref="O72" ca="1">GetSheetValue(COLUMN(), "Q" &amp; ROW())</f>
        <v/>
      </c>
      <c r="P72" s="2" t="str" cm="1">
        <f t="array" aca="1" ref="P72" ca="1">GetSheetValue(COLUMN(), "Q" &amp; ROW())</f>
        <v/>
      </c>
      <c r="Q72" s="25">
        <v>0</v>
      </c>
      <c r="R72" s="2" t="str">
        <f t="shared" si="2"/>
        <v/>
      </c>
      <c r="S72" s="2" t="str">
        <f t="shared" si="3"/>
        <v/>
      </c>
    </row>
    <row r="73" spans="1:19" x14ac:dyDescent="0.2">
      <c r="A73" s="2">
        <v>63</v>
      </c>
      <c r="B73" s="2" t="str">
        <f>IF(LEN(SUMMARY!B73)&gt;0, SUMMARY!B73, "")</f>
        <v/>
      </c>
      <c r="C73" s="2" t="str">
        <f>IF(LEN(SUMMARY!C73)&gt;0, SUMMARY!C73, "")</f>
        <v/>
      </c>
      <c r="E73" s="2" t="str" cm="1">
        <f t="array" aca="1" ref="E73" ca="1">GetSheetValue(COLUMN(), "Q" &amp; ROW())</f>
        <v/>
      </c>
      <c r="F73" s="2" t="str" cm="1">
        <f t="array" aca="1" ref="F73" ca="1">GetSheetValue(COLUMN(), "Q" &amp; ROW())</f>
        <v/>
      </c>
      <c r="G73" s="2" t="str" cm="1">
        <f t="array" aca="1" ref="G73" ca="1">GetSheetValue(COLUMN(), "Q" &amp; ROW())</f>
        <v/>
      </c>
      <c r="H73" s="2" t="str" cm="1">
        <f t="array" aca="1" ref="H73" ca="1">GetSheetValue(COLUMN(), "Q" &amp; ROW())</f>
        <v/>
      </c>
      <c r="I73" s="2" t="str" cm="1">
        <f t="array" aca="1" ref="I73" ca="1">GetSheetValue(COLUMN(), "Q" &amp; ROW())</f>
        <v/>
      </c>
      <c r="J73" s="2" t="str" cm="1">
        <f t="array" aca="1" ref="J73" ca="1">GetSheetValue(COLUMN(), "Q" &amp; ROW())</f>
        <v/>
      </c>
      <c r="K73" s="2" t="str" cm="1">
        <f t="array" aca="1" ref="K73" ca="1">GetSheetValue(COLUMN(), "Q" &amp; ROW())</f>
        <v/>
      </c>
      <c r="L73" s="2" t="str" cm="1">
        <f t="array" aca="1" ref="L73" ca="1">GetSheetValue(COLUMN(), "Q" &amp; ROW())</f>
        <v/>
      </c>
      <c r="M73" s="2" t="str" cm="1">
        <f t="array" aca="1" ref="M73" ca="1">GetSheetValue(COLUMN(), "Q" &amp; ROW())</f>
        <v/>
      </c>
      <c r="N73" s="2" t="str" cm="1">
        <f t="array" aca="1" ref="N73" ca="1">GetSheetValue(COLUMN(), "Q" &amp; ROW())</f>
        <v/>
      </c>
      <c r="O73" s="2" t="str" cm="1">
        <f t="array" aca="1" ref="O73" ca="1">GetSheetValue(COLUMN(), "Q" &amp; ROW())</f>
        <v/>
      </c>
      <c r="P73" s="2" t="str" cm="1">
        <f t="array" aca="1" ref="P73" ca="1">GetSheetValue(COLUMN(), "Q" &amp; ROW())</f>
        <v/>
      </c>
      <c r="Q73" s="25">
        <v>0</v>
      </c>
      <c r="R73" s="2" t="str">
        <f t="shared" si="2"/>
        <v/>
      </c>
      <c r="S73" s="2" t="str">
        <f t="shared" si="3"/>
        <v/>
      </c>
    </row>
    <row r="74" spans="1:19" x14ac:dyDescent="0.2">
      <c r="A74" s="2">
        <v>64</v>
      </c>
      <c r="B74" s="2" t="str">
        <f>IF(LEN(SUMMARY!B74)&gt;0, SUMMARY!B74, "")</f>
        <v/>
      </c>
      <c r="C74" s="2" t="str">
        <f>IF(LEN(SUMMARY!C74)&gt;0, SUMMARY!C74, "")</f>
        <v/>
      </c>
      <c r="E74" s="2" t="str" cm="1">
        <f t="array" aca="1" ref="E74" ca="1">GetSheetValue(COLUMN(), "Q" &amp; ROW())</f>
        <v/>
      </c>
      <c r="F74" s="2" t="str" cm="1">
        <f t="array" aca="1" ref="F74" ca="1">GetSheetValue(COLUMN(), "Q" &amp; ROW())</f>
        <v/>
      </c>
      <c r="G74" s="2" t="str" cm="1">
        <f t="array" aca="1" ref="G74" ca="1">GetSheetValue(COLUMN(), "Q" &amp; ROW())</f>
        <v/>
      </c>
      <c r="H74" s="2" t="str" cm="1">
        <f t="array" aca="1" ref="H74" ca="1">GetSheetValue(COLUMN(), "Q" &amp; ROW())</f>
        <v/>
      </c>
      <c r="I74" s="2" t="str" cm="1">
        <f t="array" aca="1" ref="I74" ca="1">GetSheetValue(COLUMN(), "Q" &amp; ROW())</f>
        <v/>
      </c>
      <c r="J74" s="2" t="str" cm="1">
        <f t="array" aca="1" ref="J74" ca="1">GetSheetValue(COLUMN(), "Q" &amp; ROW())</f>
        <v/>
      </c>
      <c r="K74" s="2" t="str" cm="1">
        <f t="array" aca="1" ref="K74" ca="1">GetSheetValue(COLUMN(), "Q" &amp; ROW())</f>
        <v/>
      </c>
      <c r="L74" s="2" t="str" cm="1">
        <f t="array" aca="1" ref="L74" ca="1">GetSheetValue(COLUMN(), "Q" &amp; ROW())</f>
        <v/>
      </c>
      <c r="M74" s="2" t="str" cm="1">
        <f t="array" aca="1" ref="M74" ca="1">GetSheetValue(COLUMN(), "Q" &amp; ROW())</f>
        <v/>
      </c>
      <c r="N74" s="2" t="str" cm="1">
        <f t="array" aca="1" ref="N74" ca="1">GetSheetValue(COLUMN(), "Q" &amp; ROW())</f>
        <v/>
      </c>
      <c r="O74" s="2" t="str" cm="1">
        <f t="array" aca="1" ref="O74" ca="1">GetSheetValue(COLUMN(), "Q" &amp; ROW())</f>
        <v/>
      </c>
      <c r="P74" s="2" t="str" cm="1">
        <f t="array" aca="1" ref="P74" ca="1">GetSheetValue(COLUMN(), "Q" &amp; ROW())</f>
        <v/>
      </c>
      <c r="Q74" s="25">
        <v>0</v>
      </c>
      <c r="R74" s="2" t="str">
        <f t="shared" si="2"/>
        <v/>
      </c>
      <c r="S74" s="2" t="str">
        <f t="shared" si="3"/>
        <v/>
      </c>
    </row>
    <row r="75" spans="1:19" x14ac:dyDescent="0.2">
      <c r="A75" s="2">
        <v>65</v>
      </c>
      <c r="B75" s="2" t="str">
        <f>IF(LEN(SUMMARY!B75)&gt;0, SUMMARY!B75, "")</f>
        <v/>
      </c>
      <c r="C75" s="2" t="str">
        <f>IF(LEN(SUMMARY!C75)&gt;0, SUMMARY!C75, "")</f>
        <v/>
      </c>
      <c r="E75" s="2" t="str" cm="1">
        <f t="array" aca="1" ref="E75" ca="1">GetSheetValue(COLUMN(), "Q" &amp; ROW())</f>
        <v/>
      </c>
      <c r="F75" s="2" t="str" cm="1">
        <f t="array" aca="1" ref="F75" ca="1">GetSheetValue(COLUMN(), "Q" &amp; ROW())</f>
        <v/>
      </c>
      <c r="G75" s="2" t="str" cm="1">
        <f t="array" aca="1" ref="G75" ca="1">GetSheetValue(COLUMN(), "Q" &amp; ROW())</f>
        <v/>
      </c>
      <c r="H75" s="2" t="str" cm="1">
        <f t="array" aca="1" ref="H75" ca="1">GetSheetValue(COLUMN(), "Q" &amp; ROW())</f>
        <v/>
      </c>
      <c r="I75" s="2" t="str" cm="1">
        <f t="array" aca="1" ref="I75" ca="1">GetSheetValue(COLUMN(), "Q" &amp; ROW())</f>
        <v/>
      </c>
      <c r="J75" s="2" t="str" cm="1">
        <f t="array" aca="1" ref="J75" ca="1">GetSheetValue(COLUMN(), "Q" &amp; ROW())</f>
        <v/>
      </c>
      <c r="K75" s="2" t="str" cm="1">
        <f t="array" aca="1" ref="K75" ca="1">GetSheetValue(COLUMN(), "Q" &amp; ROW())</f>
        <v/>
      </c>
      <c r="L75" s="2" t="str" cm="1">
        <f t="array" aca="1" ref="L75" ca="1">GetSheetValue(COLUMN(), "Q" &amp; ROW())</f>
        <v/>
      </c>
      <c r="M75" s="2" t="str" cm="1">
        <f t="array" aca="1" ref="M75" ca="1">GetSheetValue(COLUMN(), "Q" &amp; ROW())</f>
        <v/>
      </c>
      <c r="N75" s="2" t="str" cm="1">
        <f t="array" aca="1" ref="N75" ca="1">GetSheetValue(COLUMN(), "Q" &amp; ROW())</f>
        <v/>
      </c>
      <c r="O75" s="2" t="str" cm="1">
        <f t="array" aca="1" ref="O75" ca="1">GetSheetValue(COLUMN(), "Q" &amp; ROW())</f>
        <v/>
      </c>
      <c r="P75" s="2" t="str" cm="1">
        <f t="array" aca="1" ref="P75" ca="1">GetSheetValue(COLUMN(), "Q" &amp; ROW())</f>
        <v/>
      </c>
      <c r="Q75" s="25">
        <v>0</v>
      </c>
      <c r="R75" s="2" t="str">
        <f t="shared" si="2"/>
        <v/>
      </c>
      <c r="S75" s="2" t="str">
        <f t="shared" si="3"/>
        <v/>
      </c>
    </row>
    <row r="76" spans="1:19" x14ac:dyDescent="0.2">
      <c r="A76" s="2">
        <v>66</v>
      </c>
      <c r="B76" s="2" t="str">
        <f>IF(LEN(SUMMARY!B76)&gt;0, SUMMARY!B76, "")</f>
        <v/>
      </c>
      <c r="C76" s="2" t="str">
        <f>IF(LEN(SUMMARY!C76)&gt;0, SUMMARY!C76, "")</f>
        <v/>
      </c>
      <c r="E76" s="2" t="str" cm="1">
        <f t="array" aca="1" ref="E76" ca="1">GetSheetValue(COLUMN(), "Q" &amp; ROW())</f>
        <v/>
      </c>
      <c r="F76" s="2" t="str" cm="1">
        <f t="array" aca="1" ref="F76" ca="1">GetSheetValue(COLUMN(), "Q" &amp; ROW())</f>
        <v/>
      </c>
      <c r="G76" s="2" t="str" cm="1">
        <f t="array" aca="1" ref="G76" ca="1">GetSheetValue(COLUMN(), "Q" &amp; ROW())</f>
        <v/>
      </c>
      <c r="H76" s="2" t="str" cm="1">
        <f t="array" aca="1" ref="H76" ca="1">GetSheetValue(COLUMN(), "Q" &amp; ROW())</f>
        <v/>
      </c>
      <c r="I76" s="2" t="str" cm="1">
        <f t="array" aca="1" ref="I76" ca="1">GetSheetValue(COLUMN(), "Q" &amp; ROW())</f>
        <v/>
      </c>
      <c r="J76" s="2" t="str" cm="1">
        <f t="array" aca="1" ref="J76" ca="1">GetSheetValue(COLUMN(), "Q" &amp; ROW())</f>
        <v/>
      </c>
      <c r="K76" s="2" t="str" cm="1">
        <f t="array" aca="1" ref="K76" ca="1">GetSheetValue(COLUMN(), "Q" &amp; ROW())</f>
        <v/>
      </c>
      <c r="L76" s="2" t="str" cm="1">
        <f t="array" aca="1" ref="L76" ca="1">GetSheetValue(COLUMN(), "Q" &amp; ROW())</f>
        <v/>
      </c>
      <c r="M76" s="2" t="str" cm="1">
        <f t="array" aca="1" ref="M76" ca="1">GetSheetValue(COLUMN(), "Q" &amp; ROW())</f>
        <v/>
      </c>
      <c r="N76" s="2" t="str" cm="1">
        <f t="array" aca="1" ref="N76" ca="1">GetSheetValue(COLUMN(), "Q" &amp; ROW())</f>
        <v/>
      </c>
      <c r="O76" s="2" t="str" cm="1">
        <f t="array" aca="1" ref="O76" ca="1">GetSheetValue(COLUMN(), "Q" &amp; ROW())</f>
        <v/>
      </c>
      <c r="P76" s="2" t="str" cm="1">
        <f t="array" aca="1" ref="P76" ca="1">GetSheetValue(COLUMN(), "Q" &amp; ROW())</f>
        <v/>
      </c>
      <c r="Q76" s="25">
        <v>0</v>
      </c>
      <c r="R76" s="2" t="str">
        <f t="shared" ref="R76:R90" si="4">IF(B76&lt;&gt;"",IFERROR(ROUNDUP(SUMPRODUCT($E$10:$P$10,E76:P76)/SUM($E$10:$P$10),2),0)+Q76,"")</f>
        <v/>
      </c>
      <c r="S76" s="2" t="str">
        <f t="shared" ref="S76:S90" si="5">IF(B76&lt;&gt;"",_xlfn.XLOOKUP(R76,$E$3:$K$3,$E$2:$K$2,"E",-1),"")</f>
        <v/>
      </c>
    </row>
    <row r="77" spans="1:19" x14ac:dyDescent="0.2">
      <c r="A77" s="2">
        <v>67</v>
      </c>
      <c r="B77" s="2" t="str">
        <f>IF(LEN(SUMMARY!B77)&gt;0, SUMMARY!B77, "")</f>
        <v/>
      </c>
      <c r="C77" s="2" t="str">
        <f>IF(LEN(SUMMARY!C77)&gt;0, SUMMARY!C77, "")</f>
        <v/>
      </c>
      <c r="E77" s="2" t="str" cm="1">
        <f t="array" aca="1" ref="E77" ca="1">GetSheetValue(COLUMN(), "Q" &amp; ROW())</f>
        <v/>
      </c>
      <c r="F77" s="2" t="str" cm="1">
        <f t="array" aca="1" ref="F77" ca="1">GetSheetValue(COLUMN(), "Q" &amp; ROW())</f>
        <v/>
      </c>
      <c r="G77" s="2" t="str" cm="1">
        <f t="array" aca="1" ref="G77" ca="1">GetSheetValue(COLUMN(), "Q" &amp; ROW())</f>
        <v/>
      </c>
      <c r="H77" s="2" t="str" cm="1">
        <f t="array" aca="1" ref="H77" ca="1">GetSheetValue(COLUMN(), "Q" &amp; ROW())</f>
        <v/>
      </c>
      <c r="I77" s="2" t="str" cm="1">
        <f t="array" aca="1" ref="I77" ca="1">GetSheetValue(COLUMN(), "Q" &amp; ROW())</f>
        <v/>
      </c>
      <c r="J77" s="2" t="str" cm="1">
        <f t="array" aca="1" ref="J77" ca="1">GetSheetValue(COLUMN(), "Q" &amp; ROW())</f>
        <v/>
      </c>
      <c r="K77" s="2" t="str" cm="1">
        <f t="array" aca="1" ref="K77" ca="1">GetSheetValue(COLUMN(), "Q" &amp; ROW())</f>
        <v/>
      </c>
      <c r="L77" s="2" t="str" cm="1">
        <f t="array" aca="1" ref="L77" ca="1">GetSheetValue(COLUMN(), "Q" &amp; ROW())</f>
        <v/>
      </c>
      <c r="M77" s="2" t="str" cm="1">
        <f t="array" aca="1" ref="M77" ca="1">GetSheetValue(COLUMN(), "Q" &amp; ROW())</f>
        <v/>
      </c>
      <c r="N77" s="2" t="str" cm="1">
        <f t="array" aca="1" ref="N77" ca="1">GetSheetValue(COLUMN(), "Q" &amp; ROW())</f>
        <v/>
      </c>
      <c r="O77" s="2" t="str" cm="1">
        <f t="array" aca="1" ref="O77" ca="1">GetSheetValue(COLUMN(), "Q" &amp; ROW())</f>
        <v/>
      </c>
      <c r="P77" s="2" t="str" cm="1">
        <f t="array" aca="1" ref="P77" ca="1">GetSheetValue(COLUMN(), "Q" &amp; ROW())</f>
        <v/>
      </c>
      <c r="Q77" s="25">
        <v>0</v>
      </c>
      <c r="R77" s="2" t="str">
        <f t="shared" si="4"/>
        <v/>
      </c>
      <c r="S77" s="2" t="str">
        <f t="shared" si="5"/>
        <v/>
      </c>
    </row>
    <row r="78" spans="1:19" x14ac:dyDescent="0.2">
      <c r="A78" s="2">
        <v>68</v>
      </c>
      <c r="B78" s="2" t="str">
        <f>IF(LEN(SUMMARY!B78)&gt;0, SUMMARY!B78, "")</f>
        <v/>
      </c>
      <c r="C78" s="2" t="str">
        <f>IF(LEN(SUMMARY!C78)&gt;0, SUMMARY!C78, "")</f>
        <v/>
      </c>
      <c r="E78" s="2" t="str" cm="1">
        <f t="array" aca="1" ref="E78" ca="1">GetSheetValue(COLUMN(), "Q" &amp; ROW())</f>
        <v/>
      </c>
      <c r="F78" s="2" t="str" cm="1">
        <f t="array" aca="1" ref="F78" ca="1">GetSheetValue(COLUMN(), "Q" &amp; ROW())</f>
        <v/>
      </c>
      <c r="G78" s="2" t="str" cm="1">
        <f t="array" aca="1" ref="G78" ca="1">GetSheetValue(COLUMN(), "Q" &amp; ROW())</f>
        <v/>
      </c>
      <c r="H78" s="2" t="str" cm="1">
        <f t="array" aca="1" ref="H78" ca="1">GetSheetValue(COLUMN(), "Q" &amp; ROW())</f>
        <v/>
      </c>
      <c r="I78" s="2" t="str" cm="1">
        <f t="array" aca="1" ref="I78" ca="1">GetSheetValue(COLUMN(), "Q" &amp; ROW())</f>
        <v/>
      </c>
      <c r="J78" s="2" t="str" cm="1">
        <f t="array" aca="1" ref="J78" ca="1">GetSheetValue(COLUMN(), "Q" &amp; ROW())</f>
        <v/>
      </c>
      <c r="K78" s="2" t="str" cm="1">
        <f t="array" aca="1" ref="K78" ca="1">GetSheetValue(COLUMN(), "Q" &amp; ROW())</f>
        <v/>
      </c>
      <c r="L78" s="2" t="str" cm="1">
        <f t="array" aca="1" ref="L78" ca="1">GetSheetValue(COLUMN(), "Q" &amp; ROW())</f>
        <v/>
      </c>
      <c r="M78" s="2" t="str" cm="1">
        <f t="array" aca="1" ref="M78" ca="1">GetSheetValue(COLUMN(), "Q" &amp; ROW())</f>
        <v/>
      </c>
      <c r="N78" s="2" t="str" cm="1">
        <f t="array" aca="1" ref="N78" ca="1">GetSheetValue(COLUMN(), "Q" &amp; ROW())</f>
        <v/>
      </c>
      <c r="O78" s="2" t="str" cm="1">
        <f t="array" aca="1" ref="O78" ca="1">GetSheetValue(COLUMN(), "Q" &amp; ROW())</f>
        <v/>
      </c>
      <c r="P78" s="2" t="str" cm="1">
        <f t="array" aca="1" ref="P78" ca="1">GetSheetValue(COLUMN(), "Q" &amp; ROW())</f>
        <v/>
      </c>
      <c r="Q78" s="25">
        <v>0</v>
      </c>
      <c r="R78" s="2" t="str">
        <f t="shared" si="4"/>
        <v/>
      </c>
      <c r="S78" s="2" t="str">
        <f t="shared" si="5"/>
        <v/>
      </c>
    </row>
    <row r="79" spans="1:19" x14ac:dyDescent="0.2">
      <c r="A79" s="2">
        <v>69</v>
      </c>
      <c r="B79" s="2" t="str">
        <f>IF(LEN(SUMMARY!B79)&gt;0, SUMMARY!B79, "")</f>
        <v/>
      </c>
      <c r="C79" s="2" t="str">
        <f>IF(LEN(SUMMARY!C79)&gt;0, SUMMARY!C79, "")</f>
        <v/>
      </c>
      <c r="E79" s="2" t="str" cm="1">
        <f t="array" aca="1" ref="E79" ca="1">GetSheetValue(COLUMN(), "Q" &amp; ROW())</f>
        <v/>
      </c>
      <c r="F79" s="2" t="str" cm="1">
        <f t="array" aca="1" ref="F79" ca="1">GetSheetValue(COLUMN(), "Q" &amp; ROW())</f>
        <v/>
      </c>
      <c r="G79" s="2" t="str" cm="1">
        <f t="array" aca="1" ref="G79" ca="1">GetSheetValue(COLUMN(), "Q" &amp; ROW())</f>
        <v/>
      </c>
      <c r="H79" s="2" t="str" cm="1">
        <f t="array" aca="1" ref="H79" ca="1">GetSheetValue(COLUMN(), "Q" &amp; ROW())</f>
        <v/>
      </c>
      <c r="I79" s="2" t="str" cm="1">
        <f t="array" aca="1" ref="I79" ca="1">GetSheetValue(COLUMN(), "Q" &amp; ROW())</f>
        <v/>
      </c>
      <c r="J79" s="2" t="str" cm="1">
        <f t="array" aca="1" ref="J79" ca="1">GetSheetValue(COLUMN(), "Q" &amp; ROW())</f>
        <v/>
      </c>
      <c r="K79" s="2" t="str" cm="1">
        <f t="array" aca="1" ref="K79" ca="1">GetSheetValue(COLUMN(), "Q" &amp; ROW())</f>
        <v/>
      </c>
      <c r="L79" s="2" t="str" cm="1">
        <f t="array" aca="1" ref="L79" ca="1">GetSheetValue(COLUMN(), "Q" &amp; ROW())</f>
        <v/>
      </c>
      <c r="M79" s="2" t="str" cm="1">
        <f t="array" aca="1" ref="M79" ca="1">GetSheetValue(COLUMN(), "Q" &amp; ROW())</f>
        <v/>
      </c>
      <c r="N79" s="2" t="str" cm="1">
        <f t="array" aca="1" ref="N79" ca="1">GetSheetValue(COLUMN(), "Q" &amp; ROW())</f>
        <v/>
      </c>
      <c r="O79" s="2" t="str" cm="1">
        <f t="array" aca="1" ref="O79" ca="1">GetSheetValue(COLUMN(), "Q" &amp; ROW())</f>
        <v/>
      </c>
      <c r="P79" s="2" t="str" cm="1">
        <f t="array" aca="1" ref="P79" ca="1">GetSheetValue(COLUMN(), "Q" &amp; ROW())</f>
        <v/>
      </c>
      <c r="Q79" s="25">
        <v>0</v>
      </c>
      <c r="R79" s="2" t="str">
        <f t="shared" si="4"/>
        <v/>
      </c>
      <c r="S79" s="2" t="str">
        <f t="shared" si="5"/>
        <v/>
      </c>
    </row>
    <row r="80" spans="1:19" x14ac:dyDescent="0.2">
      <c r="A80" s="2">
        <v>70</v>
      </c>
      <c r="B80" s="2" t="str">
        <f>IF(LEN(SUMMARY!B80)&gt;0, SUMMARY!B80, "")</f>
        <v/>
      </c>
      <c r="C80" s="2" t="str">
        <f>IF(LEN(SUMMARY!C80)&gt;0, SUMMARY!C80, "")</f>
        <v/>
      </c>
      <c r="E80" s="2" t="str" cm="1">
        <f t="array" aca="1" ref="E80" ca="1">GetSheetValue(COLUMN(), "Q" &amp; ROW())</f>
        <v/>
      </c>
      <c r="F80" s="2" t="str" cm="1">
        <f t="array" aca="1" ref="F80" ca="1">GetSheetValue(COLUMN(), "Q" &amp; ROW())</f>
        <v/>
      </c>
      <c r="G80" s="2" t="str" cm="1">
        <f t="array" aca="1" ref="G80" ca="1">GetSheetValue(COLUMN(), "Q" &amp; ROW())</f>
        <v/>
      </c>
      <c r="H80" s="2" t="str" cm="1">
        <f t="array" aca="1" ref="H80" ca="1">GetSheetValue(COLUMN(), "Q" &amp; ROW())</f>
        <v/>
      </c>
      <c r="I80" s="2" t="str" cm="1">
        <f t="array" aca="1" ref="I80" ca="1">GetSheetValue(COLUMN(), "Q" &amp; ROW())</f>
        <v/>
      </c>
      <c r="J80" s="2" t="str" cm="1">
        <f t="array" aca="1" ref="J80" ca="1">GetSheetValue(COLUMN(), "Q" &amp; ROW())</f>
        <v/>
      </c>
      <c r="K80" s="2" t="str" cm="1">
        <f t="array" aca="1" ref="K80" ca="1">GetSheetValue(COLUMN(), "Q" &amp; ROW())</f>
        <v/>
      </c>
      <c r="L80" s="2" t="str" cm="1">
        <f t="array" aca="1" ref="L80" ca="1">GetSheetValue(COLUMN(), "Q" &amp; ROW())</f>
        <v/>
      </c>
      <c r="M80" s="2" t="str" cm="1">
        <f t="array" aca="1" ref="M80" ca="1">GetSheetValue(COLUMN(), "Q" &amp; ROW())</f>
        <v/>
      </c>
      <c r="N80" s="2" t="str" cm="1">
        <f t="array" aca="1" ref="N80" ca="1">GetSheetValue(COLUMN(), "Q" &amp; ROW())</f>
        <v/>
      </c>
      <c r="O80" s="2" t="str" cm="1">
        <f t="array" aca="1" ref="O80" ca="1">GetSheetValue(COLUMN(), "Q" &amp; ROW())</f>
        <v/>
      </c>
      <c r="P80" s="2" t="str" cm="1">
        <f t="array" aca="1" ref="P80" ca="1">GetSheetValue(COLUMN(), "Q" &amp; ROW())</f>
        <v/>
      </c>
      <c r="Q80" s="25">
        <v>0</v>
      </c>
      <c r="R80" s="2" t="str">
        <f t="shared" si="4"/>
        <v/>
      </c>
      <c r="S80" s="2" t="str">
        <f t="shared" si="5"/>
        <v/>
      </c>
    </row>
    <row r="81" spans="1:19" x14ac:dyDescent="0.2">
      <c r="A81" s="2">
        <v>71</v>
      </c>
      <c r="B81" s="2" t="str">
        <f>IF(LEN(SUMMARY!B81)&gt;0, SUMMARY!B81, "")</f>
        <v/>
      </c>
      <c r="C81" s="2" t="str">
        <f>IF(LEN(SUMMARY!C81)&gt;0, SUMMARY!C81, "")</f>
        <v/>
      </c>
      <c r="E81" s="2" t="str" cm="1">
        <f t="array" aca="1" ref="E81" ca="1">GetSheetValue(COLUMN(), "Q" &amp; ROW())</f>
        <v/>
      </c>
      <c r="F81" s="2" t="str" cm="1">
        <f t="array" aca="1" ref="F81" ca="1">GetSheetValue(COLUMN(), "Q" &amp; ROW())</f>
        <v/>
      </c>
      <c r="G81" s="2" t="str" cm="1">
        <f t="array" aca="1" ref="G81" ca="1">GetSheetValue(COLUMN(), "Q" &amp; ROW())</f>
        <v/>
      </c>
      <c r="H81" s="2" t="str" cm="1">
        <f t="array" aca="1" ref="H81" ca="1">GetSheetValue(COLUMN(), "Q" &amp; ROW())</f>
        <v/>
      </c>
      <c r="I81" s="2" t="str" cm="1">
        <f t="array" aca="1" ref="I81" ca="1">GetSheetValue(COLUMN(), "Q" &amp; ROW())</f>
        <v/>
      </c>
      <c r="J81" s="2" t="str" cm="1">
        <f t="array" aca="1" ref="J81" ca="1">GetSheetValue(COLUMN(), "Q" &amp; ROW())</f>
        <v/>
      </c>
      <c r="K81" s="2" t="str" cm="1">
        <f t="array" aca="1" ref="K81" ca="1">GetSheetValue(COLUMN(), "Q" &amp; ROW())</f>
        <v/>
      </c>
      <c r="L81" s="2" t="str" cm="1">
        <f t="array" aca="1" ref="L81" ca="1">GetSheetValue(COLUMN(), "Q" &amp; ROW())</f>
        <v/>
      </c>
      <c r="M81" s="2" t="str" cm="1">
        <f t="array" aca="1" ref="M81" ca="1">GetSheetValue(COLUMN(), "Q" &amp; ROW())</f>
        <v/>
      </c>
      <c r="N81" s="2" t="str" cm="1">
        <f t="array" aca="1" ref="N81" ca="1">GetSheetValue(COLUMN(), "Q" &amp; ROW())</f>
        <v/>
      </c>
      <c r="O81" s="2" t="str" cm="1">
        <f t="array" aca="1" ref="O81" ca="1">GetSheetValue(COLUMN(), "Q" &amp; ROW())</f>
        <v/>
      </c>
      <c r="P81" s="2" t="str" cm="1">
        <f t="array" aca="1" ref="P81" ca="1">GetSheetValue(COLUMN(), "Q" &amp; ROW())</f>
        <v/>
      </c>
      <c r="Q81" s="25">
        <v>0</v>
      </c>
      <c r="R81" s="2" t="str">
        <f t="shared" si="4"/>
        <v/>
      </c>
      <c r="S81" s="2" t="str">
        <f t="shared" si="5"/>
        <v/>
      </c>
    </row>
    <row r="82" spans="1:19" x14ac:dyDescent="0.2">
      <c r="A82" s="2">
        <v>72</v>
      </c>
      <c r="B82" s="2" t="str">
        <f>IF(LEN(SUMMARY!B82)&gt;0, SUMMARY!B82, "")</f>
        <v/>
      </c>
      <c r="C82" s="2" t="str">
        <f>IF(LEN(SUMMARY!C82)&gt;0, SUMMARY!C82, "")</f>
        <v/>
      </c>
      <c r="E82" s="2" t="str" cm="1">
        <f t="array" aca="1" ref="E82" ca="1">GetSheetValue(COLUMN(), "Q" &amp; ROW())</f>
        <v/>
      </c>
      <c r="F82" s="2" t="str" cm="1">
        <f t="array" aca="1" ref="F82" ca="1">GetSheetValue(COLUMN(), "Q" &amp; ROW())</f>
        <v/>
      </c>
      <c r="G82" s="2" t="str" cm="1">
        <f t="array" aca="1" ref="G82" ca="1">GetSheetValue(COLUMN(), "Q" &amp; ROW())</f>
        <v/>
      </c>
      <c r="H82" s="2" t="str" cm="1">
        <f t="array" aca="1" ref="H82" ca="1">GetSheetValue(COLUMN(), "Q" &amp; ROW())</f>
        <v/>
      </c>
      <c r="I82" s="2" t="str" cm="1">
        <f t="array" aca="1" ref="I82" ca="1">GetSheetValue(COLUMN(), "Q" &amp; ROW())</f>
        <v/>
      </c>
      <c r="J82" s="2" t="str" cm="1">
        <f t="array" aca="1" ref="J82" ca="1">GetSheetValue(COLUMN(), "Q" &amp; ROW())</f>
        <v/>
      </c>
      <c r="K82" s="2" t="str" cm="1">
        <f t="array" aca="1" ref="K82" ca="1">GetSheetValue(COLUMN(), "Q" &amp; ROW())</f>
        <v/>
      </c>
      <c r="L82" s="2" t="str" cm="1">
        <f t="array" aca="1" ref="L82" ca="1">GetSheetValue(COLUMN(), "Q" &amp; ROW())</f>
        <v/>
      </c>
      <c r="M82" s="2" t="str" cm="1">
        <f t="array" aca="1" ref="M82" ca="1">GetSheetValue(COLUMN(), "Q" &amp; ROW())</f>
        <v/>
      </c>
      <c r="N82" s="2" t="str" cm="1">
        <f t="array" aca="1" ref="N82" ca="1">GetSheetValue(COLUMN(), "Q" &amp; ROW())</f>
        <v/>
      </c>
      <c r="O82" s="2" t="str" cm="1">
        <f t="array" aca="1" ref="O82" ca="1">GetSheetValue(COLUMN(), "Q" &amp; ROW())</f>
        <v/>
      </c>
      <c r="P82" s="2" t="str" cm="1">
        <f t="array" aca="1" ref="P82" ca="1">GetSheetValue(COLUMN(), "Q" &amp; ROW())</f>
        <v/>
      </c>
      <c r="Q82" s="25">
        <v>0</v>
      </c>
      <c r="R82" s="2" t="str">
        <f t="shared" si="4"/>
        <v/>
      </c>
      <c r="S82" s="2" t="str">
        <f t="shared" si="5"/>
        <v/>
      </c>
    </row>
    <row r="83" spans="1:19" x14ac:dyDescent="0.2">
      <c r="A83" s="2">
        <v>73</v>
      </c>
      <c r="B83" s="2" t="str">
        <f>IF(LEN(SUMMARY!B83)&gt;0, SUMMARY!B83, "")</f>
        <v/>
      </c>
      <c r="C83" s="2" t="str">
        <f>IF(LEN(SUMMARY!C83)&gt;0, SUMMARY!C83, "")</f>
        <v/>
      </c>
      <c r="E83" s="2" t="str" cm="1">
        <f t="array" aca="1" ref="E83" ca="1">GetSheetValue(COLUMN(), "Q" &amp; ROW())</f>
        <v/>
      </c>
      <c r="F83" s="2" t="str" cm="1">
        <f t="array" aca="1" ref="F83" ca="1">GetSheetValue(COLUMN(), "Q" &amp; ROW())</f>
        <v/>
      </c>
      <c r="G83" s="2" t="str" cm="1">
        <f t="array" aca="1" ref="G83" ca="1">GetSheetValue(COLUMN(), "Q" &amp; ROW())</f>
        <v/>
      </c>
      <c r="H83" s="2" t="str" cm="1">
        <f t="array" aca="1" ref="H83" ca="1">GetSheetValue(COLUMN(), "Q" &amp; ROW())</f>
        <v/>
      </c>
      <c r="I83" s="2" t="str" cm="1">
        <f t="array" aca="1" ref="I83" ca="1">GetSheetValue(COLUMN(), "Q" &amp; ROW())</f>
        <v/>
      </c>
      <c r="J83" s="2" t="str" cm="1">
        <f t="array" aca="1" ref="J83" ca="1">GetSheetValue(COLUMN(), "Q" &amp; ROW())</f>
        <v/>
      </c>
      <c r="K83" s="2" t="str" cm="1">
        <f t="array" aca="1" ref="K83" ca="1">GetSheetValue(COLUMN(), "Q" &amp; ROW())</f>
        <v/>
      </c>
      <c r="L83" s="2" t="str" cm="1">
        <f t="array" aca="1" ref="L83" ca="1">GetSheetValue(COLUMN(), "Q" &amp; ROW())</f>
        <v/>
      </c>
      <c r="M83" s="2" t="str" cm="1">
        <f t="array" aca="1" ref="M83" ca="1">GetSheetValue(COLUMN(), "Q" &amp; ROW())</f>
        <v/>
      </c>
      <c r="N83" s="2" t="str" cm="1">
        <f t="array" aca="1" ref="N83" ca="1">GetSheetValue(COLUMN(), "Q" &amp; ROW())</f>
        <v/>
      </c>
      <c r="O83" s="2" t="str" cm="1">
        <f t="array" aca="1" ref="O83" ca="1">GetSheetValue(COLUMN(), "Q" &amp; ROW())</f>
        <v/>
      </c>
      <c r="P83" s="2" t="str" cm="1">
        <f t="array" aca="1" ref="P83" ca="1">GetSheetValue(COLUMN(), "Q" &amp; ROW())</f>
        <v/>
      </c>
      <c r="Q83" s="25">
        <v>0</v>
      </c>
      <c r="R83" s="2" t="str">
        <f t="shared" si="4"/>
        <v/>
      </c>
      <c r="S83" s="2" t="str">
        <f t="shared" si="5"/>
        <v/>
      </c>
    </row>
    <row r="84" spans="1:19" x14ac:dyDescent="0.2">
      <c r="A84" s="2">
        <v>74</v>
      </c>
      <c r="B84" s="2" t="str">
        <f>IF(LEN(SUMMARY!B84)&gt;0, SUMMARY!B84, "")</f>
        <v/>
      </c>
      <c r="C84" s="2" t="str">
        <f>IF(LEN(SUMMARY!C84)&gt;0, SUMMARY!C84, "")</f>
        <v/>
      </c>
      <c r="E84" s="2" t="str" cm="1">
        <f t="array" aca="1" ref="E84" ca="1">GetSheetValue(COLUMN(), "Q" &amp; ROW())</f>
        <v/>
      </c>
      <c r="F84" s="2" t="str" cm="1">
        <f t="array" aca="1" ref="F84" ca="1">GetSheetValue(COLUMN(), "Q" &amp; ROW())</f>
        <v/>
      </c>
      <c r="G84" s="2" t="str" cm="1">
        <f t="array" aca="1" ref="G84" ca="1">GetSheetValue(COLUMN(), "Q" &amp; ROW())</f>
        <v/>
      </c>
      <c r="H84" s="2" t="str" cm="1">
        <f t="array" aca="1" ref="H84" ca="1">GetSheetValue(COLUMN(), "Q" &amp; ROW())</f>
        <v/>
      </c>
      <c r="I84" s="2" t="str" cm="1">
        <f t="array" aca="1" ref="I84" ca="1">GetSheetValue(COLUMN(), "Q" &amp; ROW())</f>
        <v/>
      </c>
      <c r="J84" s="2" t="str" cm="1">
        <f t="array" aca="1" ref="J84" ca="1">GetSheetValue(COLUMN(), "Q" &amp; ROW())</f>
        <v/>
      </c>
      <c r="K84" s="2" t="str" cm="1">
        <f t="array" aca="1" ref="K84" ca="1">GetSheetValue(COLUMN(), "Q" &amp; ROW())</f>
        <v/>
      </c>
      <c r="L84" s="2" t="str" cm="1">
        <f t="array" aca="1" ref="L84" ca="1">GetSheetValue(COLUMN(), "Q" &amp; ROW())</f>
        <v/>
      </c>
      <c r="M84" s="2" t="str" cm="1">
        <f t="array" aca="1" ref="M84" ca="1">GetSheetValue(COLUMN(), "Q" &amp; ROW())</f>
        <v/>
      </c>
      <c r="N84" s="2" t="str" cm="1">
        <f t="array" aca="1" ref="N84" ca="1">GetSheetValue(COLUMN(), "Q" &amp; ROW())</f>
        <v/>
      </c>
      <c r="O84" s="2" t="str" cm="1">
        <f t="array" aca="1" ref="O84" ca="1">GetSheetValue(COLUMN(), "Q" &amp; ROW())</f>
        <v/>
      </c>
      <c r="P84" s="2" t="str" cm="1">
        <f t="array" aca="1" ref="P84" ca="1">GetSheetValue(COLUMN(), "Q" &amp; ROW())</f>
        <v/>
      </c>
      <c r="Q84" s="25">
        <v>0</v>
      </c>
      <c r="R84" s="2" t="str">
        <f t="shared" si="4"/>
        <v/>
      </c>
      <c r="S84" s="2" t="str">
        <f t="shared" si="5"/>
        <v/>
      </c>
    </row>
    <row r="85" spans="1:19" x14ac:dyDescent="0.2">
      <c r="A85" s="2">
        <v>75</v>
      </c>
      <c r="B85" s="2" t="str">
        <f>IF(LEN(SUMMARY!B85)&gt;0, SUMMARY!B85, "")</f>
        <v/>
      </c>
      <c r="C85" s="2" t="str">
        <f>IF(LEN(SUMMARY!C85)&gt;0, SUMMARY!C85, "")</f>
        <v/>
      </c>
      <c r="E85" s="2" t="str" cm="1">
        <f t="array" aca="1" ref="E85" ca="1">GetSheetValue(COLUMN(), "Q" &amp; ROW())</f>
        <v/>
      </c>
      <c r="F85" s="2" t="str" cm="1">
        <f t="array" aca="1" ref="F85" ca="1">GetSheetValue(COLUMN(), "Q" &amp; ROW())</f>
        <v/>
      </c>
      <c r="G85" s="2" t="str" cm="1">
        <f t="array" aca="1" ref="G85" ca="1">GetSheetValue(COLUMN(), "Q" &amp; ROW())</f>
        <v/>
      </c>
      <c r="H85" s="2" t="str" cm="1">
        <f t="array" aca="1" ref="H85" ca="1">GetSheetValue(COLUMN(), "Q" &amp; ROW())</f>
        <v/>
      </c>
      <c r="I85" s="2" t="str" cm="1">
        <f t="array" aca="1" ref="I85" ca="1">GetSheetValue(COLUMN(), "Q" &amp; ROW())</f>
        <v/>
      </c>
      <c r="J85" s="2" t="str" cm="1">
        <f t="array" aca="1" ref="J85" ca="1">GetSheetValue(COLUMN(), "Q" &amp; ROW())</f>
        <v/>
      </c>
      <c r="K85" s="2" t="str" cm="1">
        <f t="array" aca="1" ref="K85" ca="1">GetSheetValue(COLUMN(), "Q" &amp; ROW())</f>
        <v/>
      </c>
      <c r="L85" s="2" t="str" cm="1">
        <f t="array" aca="1" ref="L85" ca="1">GetSheetValue(COLUMN(), "Q" &amp; ROW())</f>
        <v/>
      </c>
      <c r="M85" s="2" t="str" cm="1">
        <f t="array" aca="1" ref="M85" ca="1">GetSheetValue(COLUMN(), "Q" &amp; ROW())</f>
        <v/>
      </c>
      <c r="N85" s="2" t="str" cm="1">
        <f t="array" aca="1" ref="N85" ca="1">GetSheetValue(COLUMN(), "Q" &amp; ROW())</f>
        <v/>
      </c>
      <c r="O85" s="2" t="str" cm="1">
        <f t="array" aca="1" ref="O85" ca="1">GetSheetValue(COLUMN(), "Q" &amp; ROW())</f>
        <v/>
      </c>
      <c r="P85" s="2" t="str" cm="1">
        <f t="array" aca="1" ref="P85" ca="1">GetSheetValue(COLUMN(), "Q" &amp; ROW())</f>
        <v/>
      </c>
      <c r="Q85" s="25">
        <v>0</v>
      </c>
      <c r="R85" s="2" t="str">
        <f t="shared" si="4"/>
        <v/>
      </c>
      <c r="S85" s="2" t="str">
        <f t="shared" si="5"/>
        <v/>
      </c>
    </row>
    <row r="86" spans="1:19" x14ac:dyDescent="0.2">
      <c r="A86" s="2">
        <v>76</v>
      </c>
      <c r="B86" s="2" t="str">
        <f>IF(LEN(SUMMARY!B86)&gt;0, SUMMARY!B86, "")</f>
        <v/>
      </c>
      <c r="C86" s="2" t="str">
        <f>IF(LEN(SUMMARY!C86)&gt;0, SUMMARY!C86, "")</f>
        <v/>
      </c>
      <c r="E86" s="2" t="str" cm="1">
        <f t="array" aca="1" ref="E86" ca="1">GetSheetValue(COLUMN(), "Q" &amp; ROW())</f>
        <v/>
      </c>
      <c r="F86" s="2" t="str" cm="1">
        <f t="array" aca="1" ref="F86" ca="1">GetSheetValue(COLUMN(), "Q" &amp; ROW())</f>
        <v/>
      </c>
      <c r="G86" s="2" t="str" cm="1">
        <f t="array" aca="1" ref="G86" ca="1">GetSheetValue(COLUMN(), "Q" &amp; ROW())</f>
        <v/>
      </c>
      <c r="H86" s="2" t="str" cm="1">
        <f t="array" aca="1" ref="H86" ca="1">GetSheetValue(COLUMN(), "Q" &amp; ROW())</f>
        <v/>
      </c>
      <c r="I86" s="2" t="str" cm="1">
        <f t="array" aca="1" ref="I86" ca="1">GetSheetValue(COLUMN(), "Q" &amp; ROW())</f>
        <v/>
      </c>
      <c r="J86" s="2" t="str" cm="1">
        <f t="array" aca="1" ref="J86" ca="1">GetSheetValue(COLUMN(), "Q" &amp; ROW())</f>
        <v/>
      </c>
      <c r="K86" s="2" t="str" cm="1">
        <f t="array" aca="1" ref="K86" ca="1">GetSheetValue(COLUMN(), "Q" &amp; ROW())</f>
        <v/>
      </c>
      <c r="L86" s="2" t="str" cm="1">
        <f t="array" aca="1" ref="L86" ca="1">GetSheetValue(COLUMN(), "Q" &amp; ROW())</f>
        <v/>
      </c>
      <c r="M86" s="2" t="str" cm="1">
        <f t="array" aca="1" ref="M86" ca="1">GetSheetValue(COLUMN(), "Q" &amp; ROW())</f>
        <v/>
      </c>
      <c r="N86" s="2" t="str" cm="1">
        <f t="array" aca="1" ref="N86" ca="1">GetSheetValue(COLUMN(), "Q" &amp; ROW())</f>
        <v/>
      </c>
      <c r="O86" s="2" t="str" cm="1">
        <f t="array" aca="1" ref="O86" ca="1">GetSheetValue(COLUMN(), "Q" &amp; ROW())</f>
        <v/>
      </c>
      <c r="P86" s="2" t="str" cm="1">
        <f t="array" aca="1" ref="P86" ca="1">GetSheetValue(COLUMN(), "Q" &amp; ROW())</f>
        <v/>
      </c>
      <c r="Q86" s="25">
        <v>0</v>
      </c>
      <c r="R86" s="2" t="str">
        <f t="shared" si="4"/>
        <v/>
      </c>
      <c r="S86" s="2" t="str">
        <f t="shared" si="5"/>
        <v/>
      </c>
    </row>
    <row r="87" spans="1:19" x14ac:dyDescent="0.2">
      <c r="A87" s="2">
        <v>77</v>
      </c>
      <c r="B87" s="2" t="str">
        <f>IF(LEN(SUMMARY!B87)&gt;0, SUMMARY!B87, "")</f>
        <v/>
      </c>
      <c r="C87" s="2" t="str">
        <f>IF(LEN(SUMMARY!C87)&gt;0, SUMMARY!C87, "")</f>
        <v/>
      </c>
      <c r="E87" s="2" t="str" cm="1">
        <f t="array" aca="1" ref="E87" ca="1">GetSheetValue(COLUMN(), "Q" &amp; ROW())</f>
        <v/>
      </c>
      <c r="F87" s="2" t="str" cm="1">
        <f t="array" aca="1" ref="F87" ca="1">GetSheetValue(COLUMN(), "Q" &amp; ROW())</f>
        <v/>
      </c>
      <c r="G87" s="2" t="str" cm="1">
        <f t="array" aca="1" ref="G87" ca="1">GetSheetValue(COLUMN(), "Q" &amp; ROW())</f>
        <v/>
      </c>
      <c r="H87" s="2" t="str" cm="1">
        <f t="array" aca="1" ref="H87" ca="1">GetSheetValue(COLUMN(), "Q" &amp; ROW())</f>
        <v/>
      </c>
      <c r="I87" s="2" t="str" cm="1">
        <f t="array" aca="1" ref="I87" ca="1">GetSheetValue(COLUMN(), "Q" &amp; ROW())</f>
        <v/>
      </c>
      <c r="J87" s="2" t="str" cm="1">
        <f t="array" aca="1" ref="J87" ca="1">GetSheetValue(COLUMN(), "Q" &amp; ROW())</f>
        <v/>
      </c>
      <c r="K87" s="2" t="str" cm="1">
        <f t="array" aca="1" ref="K87" ca="1">GetSheetValue(COLUMN(), "Q" &amp; ROW())</f>
        <v/>
      </c>
      <c r="L87" s="2" t="str" cm="1">
        <f t="array" aca="1" ref="L87" ca="1">GetSheetValue(COLUMN(), "Q" &amp; ROW())</f>
        <v/>
      </c>
      <c r="M87" s="2" t="str" cm="1">
        <f t="array" aca="1" ref="M87" ca="1">GetSheetValue(COLUMN(), "Q" &amp; ROW())</f>
        <v/>
      </c>
      <c r="N87" s="2" t="str" cm="1">
        <f t="array" aca="1" ref="N87" ca="1">GetSheetValue(COLUMN(), "Q" &amp; ROW())</f>
        <v/>
      </c>
      <c r="O87" s="2" t="str" cm="1">
        <f t="array" aca="1" ref="O87" ca="1">GetSheetValue(COLUMN(), "Q" &amp; ROW())</f>
        <v/>
      </c>
      <c r="P87" s="2" t="str" cm="1">
        <f t="array" aca="1" ref="P87" ca="1">GetSheetValue(COLUMN(), "Q" &amp; ROW())</f>
        <v/>
      </c>
      <c r="Q87" s="25">
        <v>0</v>
      </c>
      <c r="R87" s="2" t="str">
        <f t="shared" si="4"/>
        <v/>
      </c>
      <c r="S87" s="2" t="str">
        <f t="shared" si="5"/>
        <v/>
      </c>
    </row>
    <row r="88" spans="1:19" x14ac:dyDescent="0.2">
      <c r="A88" s="2">
        <v>78</v>
      </c>
      <c r="B88" s="2" t="str">
        <f>IF(LEN(SUMMARY!B88)&gt;0, SUMMARY!B88, "")</f>
        <v/>
      </c>
      <c r="C88" s="2" t="str">
        <f>IF(LEN(SUMMARY!C88)&gt;0, SUMMARY!C88, "")</f>
        <v/>
      </c>
      <c r="E88" s="2" t="str" cm="1">
        <f t="array" aca="1" ref="E88" ca="1">GetSheetValue(COLUMN(), "Q" &amp; ROW())</f>
        <v/>
      </c>
      <c r="F88" s="2" t="str" cm="1">
        <f t="array" aca="1" ref="F88" ca="1">GetSheetValue(COLUMN(), "Q" &amp; ROW())</f>
        <v/>
      </c>
      <c r="G88" s="2" t="str" cm="1">
        <f t="array" aca="1" ref="G88" ca="1">GetSheetValue(COLUMN(), "Q" &amp; ROW())</f>
        <v/>
      </c>
      <c r="H88" s="2" t="str" cm="1">
        <f t="array" aca="1" ref="H88" ca="1">GetSheetValue(COLUMN(), "Q" &amp; ROW())</f>
        <v/>
      </c>
      <c r="I88" s="2" t="str" cm="1">
        <f t="array" aca="1" ref="I88" ca="1">GetSheetValue(COLUMN(), "Q" &amp; ROW())</f>
        <v/>
      </c>
      <c r="J88" s="2" t="str" cm="1">
        <f t="array" aca="1" ref="J88" ca="1">GetSheetValue(COLUMN(), "Q" &amp; ROW())</f>
        <v/>
      </c>
      <c r="K88" s="2" t="str" cm="1">
        <f t="array" aca="1" ref="K88" ca="1">GetSheetValue(COLUMN(), "Q" &amp; ROW())</f>
        <v/>
      </c>
      <c r="L88" s="2" t="str" cm="1">
        <f t="array" aca="1" ref="L88" ca="1">GetSheetValue(COLUMN(), "Q" &amp; ROW())</f>
        <v/>
      </c>
      <c r="M88" s="2" t="str" cm="1">
        <f t="array" aca="1" ref="M88" ca="1">GetSheetValue(COLUMN(), "Q" &amp; ROW())</f>
        <v/>
      </c>
      <c r="N88" s="2" t="str" cm="1">
        <f t="array" aca="1" ref="N88" ca="1">GetSheetValue(COLUMN(), "Q" &amp; ROW())</f>
        <v/>
      </c>
      <c r="O88" s="2" t="str" cm="1">
        <f t="array" aca="1" ref="O88" ca="1">GetSheetValue(COLUMN(), "Q" &amp; ROW())</f>
        <v/>
      </c>
      <c r="P88" s="2" t="str" cm="1">
        <f t="array" aca="1" ref="P88" ca="1">GetSheetValue(COLUMN(), "Q" &amp; ROW())</f>
        <v/>
      </c>
      <c r="Q88" s="25">
        <v>0</v>
      </c>
      <c r="R88" s="2" t="str">
        <f t="shared" si="4"/>
        <v/>
      </c>
      <c r="S88" s="2" t="str">
        <f t="shared" si="5"/>
        <v/>
      </c>
    </row>
    <row r="89" spans="1:19" x14ac:dyDescent="0.2">
      <c r="A89" s="2">
        <v>79</v>
      </c>
      <c r="B89" s="2" t="str">
        <f>IF(LEN(SUMMARY!B89)&gt;0, SUMMARY!B89, "")</f>
        <v/>
      </c>
      <c r="C89" s="2" t="str">
        <f>IF(LEN(SUMMARY!C89)&gt;0, SUMMARY!C89, "")</f>
        <v/>
      </c>
      <c r="E89" s="2" t="str" cm="1">
        <f t="array" aca="1" ref="E89" ca="1">GetSheetValue(COLUMN(), "Q" &amp; ROW())</f>
        <v/>
      </c>
      <c r="F89" s="2" t="str" cm="1">
        <f t="array" aca="1" ref="F89" ca="1">GetSheetValue(COLUMN(), "Q" &amp; ROW())</f>
        <v/>
      </c>
      <c r="G89" s="2" t="str" cm="1">
        <f t="array" aca="1" ref="G89" ca="1">GetSheetValue(COLUMN(), "Q" &amp; ROW())</f>
        <v/>
      </c>
      <c r="H89" s="2" t="str" cm="1">
        <f t="array" aca="1" ref="H89" ca="1">GetSheetValue(COLUMN(), "Q" &amp; ROW())</f>
        <v/>
      </c>
      <c r="I89" s="2" t="str" cm="1">
        <f t="array" aca="1" ref="I89" ca="1">GetSheetValue(COLUMN(), "Q" &amp; ROW())</f>
        <v/>
      </c>
      <c r="J89" s="2" t="str" cm="1">
        <f t="array" aca="1" ref="J89" ca="1">GetSheetValue(COLUMN(), "Q" &amp; ROW())</f>
        <v/>
      </c>
      <c r="K89" s="2" t="str" cm="1">
        <f t="array" aca="1" ref="K89" ca="1">GetSheetValue(COLUMN(), "Q" &amp; ROW())</f>
        <v/>
      </c>
      <c r="L89" s="2" t="str" cm="1">
        <f t="array" aca="1" ref="L89" ca="1">GetSheetValue(COLUMN(), "Q" &amp; ROW())</f>
        <v/>
      </c>
      <c r="M89" s="2" t="str" cm="1">
        <f t="array" aca="1" ref="M89" ca="1">GetSheetValue(COLUMN(), "Q" &amp; ROW())</f>
        <v/>
      </c>
      <c r="N89" s="2" t="str" cm="1">
        <f t="array" aca="1" ref="N89" ca="1">GetSheetValue(COLUMN(), "Q" &amp; ROW())</f>
        <v/>
      </c>
      <c r="O89" s="2" t="str" cm="1">
        <f t="array" aca="1" ref="O89" ca="1">GetSheetValue(COLUMN(), "Q" &amp; ROW())</f>
        <v/>
      </c>
      <c r="P89" s="2" t="str" cm="1">
        <f t="array" aca="1" ref="P89" ca="1">GetSheetValue(COLUMN(), "Q" &amp; ROW())</f>
        <v/>
      </c>
      <c r="Q89" s="25">
        <v>0</v>
      </c>
      <c r="R89" s="2" t="str">
        <f t="shared" si="4"/>
        <v/>
      </c>
      <c r="S89" s="2" t="str">
        <f t="shared" si="5"/>
        <v/>
      </c>
    </row>
    <row r="90" spans="1:19" x14ac:dyDescent="0.2">
      <c r="A90" s="2">
        <v>80</v>
      </c>
      <c r="B90" s="2" t="str">
        <f>IF(LEN(SUMMARY!B90)&gt;0, SUMMARY!B90, "")</f>
        <v/>
      </c>
      <c r="C90" s="2" t="str">
        <f>IF(LEN(SUMMARY!C90)&gt;0, SUMMARY!C90, "")</f>
        <v/>
      </c>
      <c r="E90" s="2" t="str" cm="1">
        <f t="array" aca="1" ref="E90" ca="1">GetSheetValue(COLUMN(), "Q" &amp; ROW())</f>
        <v/>
      </c>
      <c r="F90" s="2" t="str" cm="1">
        <f t="array" aca="1" ref="F90" ca="1">GetSheetValue(COLUMN(), "Q" &amp; ROW())</f>
        <v/>
      </c>
      <c r="G90" s="2" t="str" cm="1">
        <f t="array" aca="1" ref="G90" ca="1">GetSheetValue(COLUMN(), "Q" &amp; ROW())</f>
        <v/>
      </c>
      <c r="H90" s="2" t="str" cm="1">
        <f t="array" aca="1" ref="H90" ca="1">GetSheetValue(COLUMN(), "Q" &amp; ROW())</f>
        <v/>
      </c>
      <c r="I90" s="2" t="str" cm="1">
        <f t="array" aca="1" ref="I90" ca="1">GetSheetValue(COLUMN(), "Q" &amp; ROW())</f>
        <v/>
      </c>
      <c r="J90" s="2" t="str" cm="1">
        <f t="array" aca="1" ref="J90" ca="1">GetSheetValue(COLUMN(), "Q" &amp; ROW())</f>
        <v/>
      </c>
      <c r="K90" s="2" t="str" cm="1">
        <f t="array" aca="1" ref="K90" ca="1">GetSheetValue(COLUMN(), "Q" &amp; ROW())</f>
        <v/>
      </c>
      <c r="L90" s="2" t="str" cm="1">
        <f t="array" aca="1" ref="L90" ca="1">GetSheetValue(COLUMN(), "Q" &amp; ROW())</f>
        <v/>
      </c>
      <c r="M90" s="2" t="str" cm="1">
        <f t="array" aca="1" ref="M90" ca="1">GetSheetValue(COLUMN(), "Q" &amp; ROW())</f>
        <v/>
      </c>
      <c r="N90" s="2" t="str" cm="1">
        <f t="array" aca="1" ref="N90" ca="1">GetSheetValue(COLUMN(), "Q" &amp; ROW())</f>
        <v/>
      </c>
      <c r="O90" s="2" t="str" cm="1">
        <f t="array" aca="1" ref="O90" ca="1">GetSheetValue(COLUMN(), "Q" &amp; ROW())</f>
        <v/>
      </c>
      <c r="P90" s="2" t="str" cm="1">
        <f t="array" aca="1" ref="P90" ca="1">GetSheetValue(COLUMN(), "Q" &amp; ROW())</f>
        <v/>
      </c>
      <c r="Q90" s="25">
        <v>0</v>
      </c>
      <c r="R90" s="2" t="str">
        <f t="shared" si="4"/>
        <v/>
      </c>
      <c r="S90" s="2" t="str">
        <f t="shared" si="5"/>
        <v/>
      </c>
    </row>
  </sheetData>
  <mergeCells count="1">
    <mergeCell ref="S7:S10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591E9-6D45-AD4B-AB39-38C1E7E70D8A}">
  <sheetPr codeName="Sheet4"/>
  <dimension ref="A1:BK116"/>
  <sheetViews>
    <sheetView showGridLines="0" zoomScale="89" zoomScaleNormal="75" workbookViewId="0"/>
  </sheetViews>
  <sheetFormatPr baseColWidth="10" defaultRowHeight="16" x14ac:dyDescent="0.2"/>
  <cols>
    <col min="1" max="2" width="10.83203125" style="6"/>
    <col min="3" max="3" width="22.83203125" style="6" bestFit="1" customWidth="1"/>
    <col min="4" max="16384" width="10.83203125" style="6"/>
  </cols>
  <sheetData>
    <row r="1" spans="1:63" x14ac:dyDescent="0.2">
      <c r="A1" s="3" t="s">
        <v>66</v>
      </c>
      <c r="B1" s="14" t="str" cm="1">
        <f t="array" aca="1" ref="B1" ca="1">GetCurrentSheetName()</f>
        <v>TUGAS 1</v>
      </c>
    </row>
    <row r="2" spans="1:63" x14ac:dyDescent="0.2">
      <c r="A2" s="3" t="s">
        <v>103</v>
      </c>
      <c r="B2" s="25">
        <v>1</v>
      </c>
    </row>
    <row r="3" spans="1:63" x14ac:dyDescent="0.2">
      <c r="A3" s="3" t="s">
        <v>104</v>
      </c>
      <c r="B3" s="25">
        <v>1</v>
      </c>
    </row>
    <row r="7" spans="1:63" x14ac:dyDescent="0.2">
      <c r="A7" s="3"/>
      <c r="B7" s="3"/>
      <c r="C7" s="3"/>
      <c r="D7" s="3" t="s">
        <v>79</v>
      </c>
      <c r="E7" s="11" t="s">
        <v>67</v>
      </c>
      <c r="F7" s="11" t="s">
        <v>68</v>
      </c>
      <c r="G7" s="11" t="s">
        <v>69</v>
      </c>
      <c r="H7" s="11" t="s">
        <v>70</v>
      </c>
      <c r="I7" s="11" t="s">
        <v>71</v>
      </c>
      <c r="J7" s="11" t="s">
        <v>72</v>
      </c>
      <c r="K7" s="11" t="s">
        <v>73</v>
      </c>
      <c r="L7" s="11" t="s">
        <v>74</v>
      </c>
      <c r="M7" s="11" t="s">
        <v>75</v>
      </c>
      <c r="N7" s="11" t="s">
        <v>76</v>
      </c>
      <c r="O7" s="11" t="s">
        <v>77</v>
      </c>
      <c r="P7" s="11" t="s">
        <v>78</v>
      </c>
      <c r="Q7" s="21" t="s">
        <v>65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63" x14ac:dyDescent="0.2">
      <c r="A8" s="3"/>
      <c r="B8" s="3"/>
      <c r="C8" s="3"/>
      <c r="D8" s="3" t="s">
        <v>63</v>
      </c>
      <c r="E8" s="19">
        <f>IFERROR(ROUNDUP(STDEV(E11:E90),2),0)</f>
        <v>0</v>
      </c>
      <c r="F8" s="19">
        <f t="shared" ref="F8:Q8" si="0">IFERROR(ROUNDUP(STDEV(F11:F90),2),0)</f>
        <v>0</v>
      </c>
      <c r="G8" s="19">
        <f t="shared" si="0"/>
        <v>0</v>
      </c>
      <c r="H8" s="19">
        <f t="shared" si="0"/>
        <v>0</v>
      </c>
      <c r="I8" s="19">
        <f t="shared" si="0"/>
        <v>0</v>
      </c>
      <c r="J8" s="19">
        <f t="shared" si="0"/>
        <v>0</v>
      </c>
      <c r="K8" s="19">
        <f t="shared" si="0"/>
        <v>0</v>
      </c>
      <c r="L8" s="19">
        <f t="shared" si="0"/>
        <v>0</v>
      </c>
      <c r="M8" s="19">
        <f t="shared" si="0"/>
        <v>0</v>
      </c>
      <c r="N8" s="19">
        <f t="shared" si="0"/>
        <v>0</v>
      </c>
      <c r="O8" s="19">
        <f t="shared" si="0"/>
        <v>0</v>
      </c>
      <c r="P8" s="19">
        <f t="shared" si="0"/>
        <v>0</v>
      </c>
      <c r="Q8" s="19">
        <f t="shared" si="0"/>
        <v>0</v>
      </c>
      <c r="R8" s="3"/>
      <c r="S8" s="3"/>
      <c r="T8" s="9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P8" s="47"/>
      <c r="AQ8" s="47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7"/>
      <c r="BE8" s="47"/>
      <c r="BF8" s="47"/>
      <c r="BG8" s="47"/>
      <c r="BH8" s="47"/>
      <c r="BI8" s="47"/>
      <c r="BJ8" s="47"/>
      <c r="BK8" s="47"/>
    </row>
    <row r="9" spans="1:63" x14ac:dyDescent="0.2">
      <c r="A9" s="3"/>
      <c r="B9" s="3"/>
      <c r="C9" s="3"/>
      <c r="D9" s="3" t="s">
        <v>62</v>
      </c>
      <c r="E9" s="20">
        <f>IFERROR(ROUNDUP(AVERAGE(E11:E90),2),0)</f>
        <v>0</v>
      </c>
      <c r="F9" s="20">
        <f t="shared" ref="F9:Q9" si="1">IFERROR(ROUNDUP(AVERAGE(F11:F90),2),0)</f>
        <v>0</v>
      </c>
      <c r="G9" s="20">
        <f t="shared" si="1"/>
        <v>0</v>
      </c>
      <c r="H9" s="20">
        <f t="shared" si="1"/>
        <v>0</v>
      </c>
      <c r="I9" s="20">
        <f t="shared" si="1"/>
        <v>0</v>
      </c>
      <c r="J9" s="20">
        <f t="shared" si="1"/>
        <v>0</v>
      </c>
      <c r="K9" s="20">
        <f t="shared" si="1"/>
        <v>0</v>
      </c>
      <c r="L9" s="20">
        <f t="shared" si="1"/>
        <v>0</v>
      </c>
      <c r="M9" s="20">
        <f t="shared" si="1"/>
        <v>0</v>
      </c>
      <c r="N9" s="20">
        <f t="shared" si="1"/>
        <v>0</v>
      </c>
      <c r="O9" s="20">
        <f t="shared" si="1"/>
        <v>0</v>
      </c>
      <c r="P9" s="20">
        <f t="shared" si="1"/>
        <v>0</v>
      </c>
      <c r="Q9" s="20">
        <f t="shared" si="1"/>
        <v>0</v>
      </c>
      <c r="R9" s="8" t="s">
        <v>6</v>
      </c>
      <c r="S9" s="48">
        <v>1</v>
      </c>
      <c r="T9" s="49"/>
      <c r="U9" s="52">
        <v>2</v>
      </c>
      <c r="V9" s="53"/>
      <c r="W9" s="53"/>
      <c r="X9" s="54"/>
      <c r="Y9" s="52">
        <v>3</v>
      </c>
      <c r="Z9" s="54"/>
      <c r="AA9" s="52">
        <v>4</v>
      </c>
      <c r="AB9" s="54"/>
      <c r="AC9" s="52">
        <v>5</v>
      </c>
      <c r="AD9" s="54"/>
      <c r="AE9" s="52">
        <v>6</v>
      </c>
      <c r="AF9" s="54"/>
      <c r="AG9" s="48">
        <v>7</v>
      </c>
      <c r="AH9" s="49"/>
      <c r="AI9" s="48">
        <v>8</v>
      </c>
      <c r="AJ9" s="49"/>
      <c r="AK9" s="48">
        <v>9</v>
      </c>
      <c r="AL9" s="49"/>
      <c r="AM9" s="48">
        <v>10</v>
      </c>
      <c r="AN9" s="50"/>
      <c r="AO9" s="8" t="s">
        <v>6</v>
      </c>
      <c r="AP9" s="42">
        <v>1</v>
      </c>
      <c r="AQ9" s="42"/>
      <c r="AR9" s="41">
        <v>2</v>
      </c>
      <c r="AS9" s="41"/>
      <c r="AT9" s="41"/>
      <c r="AU9" s="41"/>
      <c r="AV9" s="41">
        <v>3</v>
      </c>
      <c r="AW9" s="41"/>
      <c r="AX9" s="41">
        <v>4</v>
      </c>
      <c r="AY9" s="41"/>
      <c r="AZ9" s="41">
        <v>5</v>
      </c>
      <c r="BA9" s="41"/>
      <c r="BB9" s="41">
        <v>6</v>
      </c>
      <c r="BC9" s="41"/>
      <c r="BD9" s="42">
        <v>7</v>
      </c>
      <c r="BE9" s="42"/>
      <c r="BF9" s="42">
        <v>8</v>
      </c>
      <c r="BG9" s="42"/>
      <c r="BH9" s="42">
        <v>9</v>
      </c>
      <c r="BI9" s="42"/>
      <c r="BJ9" s="42">
        <v>10</v>
      </c>
      <c r="BK9" s="42"/>
    </row>
    <row r="10" spans="1:63" x14ac:dyDescent="0.2">
      <c r="A10" s="11" t="s">
        <v>5</v>
      </c>
      <c r="B10" s="11" t="s">
        <v>0</v>
      </c>
      <c r="C10" s="11" t="s">
        <v>1</v>
      </c>
      <c r="D10" s="3" t="s">
        <v>61</v>
      </c>
      <c r="E10" s="26">
        <v>1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2"/>
      <c r="R10" s="8" t="s">
        <v>16</v>
      </c>
      <c r="S10" s="16" t="s">
        <v>39</v>
      </c>
      <c r="T10" s="16" t="s">
        <v>40</v>
      </c>
      <c r="U10" s="16" t="s">
        <v>41</v>
      </c>
      <c r="V10" s="16" t="s">
        <v>42</v>
      </c>
      <c r="W10" s="16" t="s">
        <v>43</v>
      </c>
      <c r="X10" s="16" t="s">
        <v>44</v>
      </c>
      <c r="Y10" s="16" t="s">
        <v>45</v>
      </c>
      <c r="Z10" s="16" t="s">
        <v>46</v>
      </c>
      <c r="AA10" s="16" t="s">
        <v>47</v>
      </c>
      <c r="AB10" s="16" t="s">
        <v>48</v>
      </c>
      <c r="AC10" s="16" t="s">
        <v>49</v>
      </c>
      <c r="AD10" s="16" t="s">
        <v>50</v>
      </c>
      <c r="AE10" s="16" t="s">
        <v>51</v>
      </c>
      <c r="AF10" s="16" t="s">
        <v>52</v>
      </c>
      <c r="AG10" s="16" t="s">
        <v>53</v>
      </c>
      <c r="AH10" s="16" t="s">
        <v>54</v>
      </c>
      <c r="AI10" s="16" t="s">
        <v>55</v>
      </c>
      <c r="AJ10" s="16" t="s">
        <v>56</v>
      </c>
      <c r="AK10" s="16" t="s">
        <v>57</v>
      </c>
      <c r="AL10" s="16" t="s">
        <v>58</v>
      </c>
      <c r="AM10" s="16" t="s">
        <v>59</v>
      </c>
      <c r="AN10" s="16" t="s">
        <v>60</v>
      </c>
      <c r="AO10" s="8" t="s">
        <v>16</v>
      </c>
      <c r="AP10" s="31" t="s">
        <v>39</v>
      </c>
      <c r="AQ10" s="31" t="s">
        <v>40</v>
      </c>
      <c r="AR10" s="31" t="s">
        <v>41</v>
      </c>
      <c r="AS10" s="31" t="s">
        <v>42</v>
      </c>
      <c r="AT10" s="31" t="s">
        <v>43</v>
      </c>
      <c r="AU10" s="31" t="s">
        <v>44</v>
      </c>
      <c r="AV10" s="31" t="s">
        <v>45</v>
      </c>
      <c r="AW10" s="31" t="s">
        <v>46</v>
      </c>
      <c r="AX10" s="31" t="s">
        <v>47</v>
      </c>
      <c r="AY10" s="31" t="s">
        <v>48</v>
      </c>
      <c r="AZ10" s="31" t="s">
        <v>49</v>
      </c>
      <c r="BA10" s="31" t="s">
        <v>50</v>
      </c>
      <c r="BB10" s="31" t="s">
        <v>51</v>
      </c>
      <c r="BC10" s="31" t="s">
        <v>52</v>
      </c>
      <c r="BD10" s="31" t="s">
        <v>53</v>
      </c>
      <c r="BE10" s="31" t="s">
        <v>54</v>
      </c>
      <c r="BF10" s="31" t="s">
        <v>55</v>
      </c>
      <c r="BG10" s="31" t="s">
        <v>56</v>
      </c>
      <c r="BH10" s="31" t="s">
        <v>57</v>
      </c>
      <c r="BI10" s="31" t="s">
        <v>58</v>
      </c>
      <c r="BJ10" s="31" t="s">
        <v>59</v>
      </c>
      <c r="BK10" s="31" t="s">
        <v>60</v>
      </c>
    </row>
    <row r="11" spans="1:63" x14ac:dyDescent="0.2">
      <c r="A11" s="2">
        <v>1</v>
      </c>
      <c r="B11" s="2" t="str">
        <f>IF(LEN(SUMMARY!B11)&gt;0, SUMMARY!B11, "")</f>
        <v/>
      </c>
      <c r="C11" s="2" t="str">
        <f>IF(LEN(SUMMARY!C11)&gt;0, SUMMARY!C11, "")</f>
        <v/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" t="str">
        <f>IF(B11&lt;&gt;"",IFERROR(ROUNDUP(SUMPRODUCT($E$10:$P$10,E11:P11)/SUM($E$10:$P$10),2),0),"")</f>
        <v/>
      </c>
      <c r="S11" s="2" t="str">
        <f>IF(B11&lt;&gt;"",IFERROR(ROUNDUP(SUMPRODUCT(E11:P11,$E$95:$P$95)/SUM($E$95:$P$95),2),0),"")</f>
        <v/>
      </c>
      <c r="T11" s="2" t="str">
        <f>IF(B11&lt;&gt;"",IFERROR(ROUNDUP(SUMPRODUCT(E11:P11,$E$96:$P$96)/SUM($E$96:$P$96),2),0),"")</f>
        <v/>
      </c>
      <c r="U11" s="2" t="str">
        <f>IF(B11&lt;&gt;"",IFERROR(ROUNDUP(SUMPRODUCT(E11:P11,$E$97:$P$97)/SUM($E$97:$P$97),2),0),"")</f>
        <v/>
      </c>
      <c r="V11" s="2" t="str">
        <f>IF(B11&lt;&gt;"",IFERROR(ROUNDUP(SUMPRODUCT(E11:P11,$E$98:$P$98)/SUM($E$98:$P$98),2),0),"")</f>
        <v/>
      </c>
      <c r="W11" s="2" t="str">
        <f>IF(B11&lt;&gt;"",IFERROR(ROUNDUP(SUMPRODUCT(E11:P11,$E$99:$P$99)/SUM($E$99:$P$99),2),0),"")</f>
        <v/>
      </c>
      <c r="X11" s="2" t="str">
        <f>IF(B11&lt;&gt;"",IFERROR(ROUNDUP(SUMPRODUCT(E11:P11,$E$100:$P$100)/SUM($E$100:$P$100),2),0),"")</f>
        <v/>
      </c>
      <c r="Y11" s="2" t="str">
        <f>IF(B11&lt;&gt;"",IFERROR(ROUNDUP(SUMPRODUCT(E11:P11,$E$101:$P$101)/SUM($E$101:$P$101),2),0),"")</f>
        <v/>
      </c>
      <c r="Z11" s="2" t="str">
        <f>IF(B11&lt;&gt;"",IFERROR(ROUNDUP(SUMPRODUCT(E11:P11,$E$102:$P$102)/SUM($E$102:$P$102),2),0),"")</f>
        <v/>
      </c>
      <c r="AA11" s="2" t="str">
        <f>IF(B11&lt;&gt;"",IFERROR(ROUNDUP(SUMPRODUCT(E11:P11,$E$103:$P$103)/SUM($E$103:$P$103),2),0),"")</f>
        <v/>
      </c>
      <c r="AB11" s="2" t="str">
        <f>IF(B11&lt;&gt;"",IFERROR(ROUNDUP(SUMPRODUCT(E11:P11,$E$104:$P$104)/SUM($E$104:$P$104),2),0),"")</f>
        <v/>
      </c>
      <c r="AC11" s="2" t="str">
        <f>IF(B11&lt;&gt;"",IFERROR(ROUNDUP(SUMPRODUCT(E11:P11,$E$105:$P$105)/SUM($E$105:$P$105),2),0),"")</f>
        <v/>
      </c>
      <c r="AD11" s="2" t="str">
        <f>IF(B11&lt;&gt;"",IFERROR(ROUNDUP(SUMPRODUCT(E11:P11,$E$106:$P$106)/SUM($E$106:$P$106),2),0),"")</f>
        <v/>
      </c>
      <c r="AE11" s="2" t="str">
        <f>IF(B11&lt;&gt;"",IFERROR(ROUNDUP(SUMPRODUCT(E11:P11,$E$107:$P$107)/SUM($E$107:$P$107),2),0),"")</f>
        <v/>
      </c>
      <c r="AF11" s="2" t="str">
        <f>IF(B11&lt;&gt;"",IFERROR(ROUNDUP(SUMPRODUCT(E11:P11,$E$108:$P$108)/SUM($E$108:$P$108),2),0),"")</f>
        <v/>
      </c>
      <c r="AG11" s="2" t="str">
        <f>IF(B11&lt;&gt;"",IFERROR(ROUNDUP(SUMPRODUCT(E11:P11,$E$109:$P$109)/SUM($E$109:$P$109),2),0),"")</f>
        <v/>
      </c>
      <c r="AH11" s="2" t="str">
        <f>IF(B11&lt;&gt;"",IFERROR(ROUNDUP(SUMPRODUCT(E11:P11,$E$110:$P$110)/SUM($E$110:$P$110),2),0),"")</f>
        <v/>
      </c>
      <c r="AI11" s="2" t="str">
        <f>IF(B11&lt;&gt;"",IFERROR(ROUNDUP(SUMPRODUCT(E11:P11,$E$111:$P$111)/SUM($E$111:$P$111),2),0),"")</f>
        <v/>
      </c>
      <c r="AJ11" s="2" t="str">
        <f>IF(B11&lt;&gt;"",IFERROR(ROUNDUP(SUMPRODUCT(E11:P11,$E$112:$P$112)/SUM($E$112:$P$112),2),0),"")</f>
        <v/>
      </c>
      <c r="AK11" s="2" t="str">
        <f>IF(B11&lt;&gt;"",IFERROR(ROUNDUP(SUMPRODUCT(E11:P11,$E$113:$P$113)/SUM($E$113:$P$113),2),0),"")</f>
        <v/>
      </c>
      <c r="AL11" s="2" t="str">
        <f>IF(B11&lt;&gt;"",IFERROR(ROUNDUP(SUMPRODUCT(E11:P11,$E$114:$P$114)/SUM($E$114:$P$114),2),0),"")</f>
        <v/>
      </c>
      <c r="AM11" s="2" t="str">
        <f>IF(B11&lt;&gt;"",IFERROR(ROUNDUP(SUMPRODUCT(E11:P11,$E$115:$P$115)/SUM($E$115:$P$115),2),0),"")</f>
        <v/>
      </c>
      <c r="AN11" s="2" t="str">
        <f>IF(B11&lt;&gt;"",IFERROR(ROUNDUP(SUMPRODUCT(E11:P11,$E$116:$P$116)/SUM($E$116:$P$116),2),0),"")</f>
        <v/>
      </c>
      <c r="AP11" s="2" t="str" cm="1">
        <f t="array" ref="AP11">IF('NILAI CPL'!$B11&lt;&gt;"",IFERROR(_xlfn.IFS(S11&gt;='NILAI CPL'!$B$3,4,S11&gt;='NILAI CPL'!$B$4,3,S11&gt;='NILAI CPL'!$B$5,2,S11&gt;'NILAI CPL'!$B$6,1),0),"")</f>
        <v/>
      </c>
      <c r="AQ11" s="2" t="str" cm="1">
        <f t="array" ref="AQ11">IF('NILAI CPL'!$B11&lt;&gt;"",IFERROR(_xlfn.IFS(T11&gt;='NILAI CPL'!$B$3,4,T11&gt;='NILAI CPL'!$B$4,3,T11&gt;='NILAI CPL'!$B$5,2,T11&gt;'NILAI CPL'!$B$6,1),0),"")</f>
        <v/>
      </c>
      <c r="AR11" s="2" t="str" cm="1">
        <f t="array" ref="AR11">IF('NILAI CPL'!$B11&lt;&gt;"",IFERROR(_xlfn.IFS(U11&gt;='NILAI CPL'!$B$3,4,U11&gt;='NILAI CPL'!$B$4,3,U11&gt;='NILAI CPL'!$B$5,2,U11&gt;'NILAI CPL'!$B$6,1),0),"")</f>
        <v/>
      </c>
      <c r="AS11" s="2" t="str" cm="1">
        <f t="array" ref="AS11">IF('NILAI CPL'!$B11&lt;&gt;"",IFERROR(_xlfn.IFS(V11&gt;='NILAI CPL'!$B$3,4,V11&gt;='NILAI CPL'!$B$4,3,V11&gt;='NILAI CPL'!$B$5,2,V11&gt;'NILAI CPL'!$B$6,1),0),"")</f>
        <v/>
      </c>
      <c r="AT11" s="2" t="str" cm="1">
        <f t="array" ref="AT11">IF('NILAI CPL'!$B11&lt;&gt;"",IFERROR(_xlfn.IFS(W11&gt;='NILAI CPL'!$B$3,4,W11&gt;='NILAI CPL'!$B$4,3,W11&gt;='NILAI CPL'!$B$5,2,W11&gt;'NILAI CPL'!$B$6,1),0),"")</f>
        <v/>
      </c>
      <c r="AU11" s="2" t="str" cm="1">
        <f t="array" ref="AU11">IF('NILAI CPL'!$B11&lt;&gt;"",IFERROR(_xlfn.IFS(X11&gt;='NILAI CPL'!$B$3,4,X11&gt;='NILAI CPL'!$B$4,3,X11&gt;='NILAI CPL'!$B$5,2,X11&gt;'NILAI CPL'!$B$6,1),0),"")</f>
        <v/>
      </c>
      <c r="AV11" s="2" t="str" cm="1">
        <f t="array" ref="AV11">IF('NILAI CPL'!$B11&lt;&gt;"",IFERROR(_xlfn.IFS(Y11&gt;='NILAI CPL'!$B$3,4,Y11&gt;='NILAI CPL'!$B$4,3,Y11&gt;='NILAI CPL'!$B$5,2,Y11&gt;'NILAI CPL'!$B$6,1),0),"")</f>
        <v/>
      </c>
      <c r="AW11" s="2" t="str" cm="1">
        <f t="array" ref="AW11">IF('NILAI CPL'!$B11&lt;&gt;"",IFERROR(_xlfn.IFS(Z11&gt;='NILAI CPL'!$B$3,4,Z11&gt;='NILAI CPL'!$B$4,3,Z11&gt;='NILAI CPL'!$B$5,2,Z11&gt;'NILAI CPL'!$B$6,1),0),"")</f>
        <v/>
      </c>
      <c r="AX11" s="2" t="str" cm="1">
        <f t="array" ref="AX11">IF('NILAI CPL'!$B11&lt;&gt;"",IFERROR(_xlfn.IFS(AA11&gt;='NILAI CPL'!$B$3,4,AA11&gt;='NILAI CPL'!$B$4,3,AA11&gt;='NILAI CPL'!$B$5,2,AA11&gt;'NILAI CPL'!$B$6,1),0),"")</f>
        <v/>
      </c>
      <c r="AY11" s="2" t="str" cm="1">
        <f t="array" ref="AY11">IF('NILAI CPL'!$B11&lt;&gt;"",IFERROR(_xlfn.IFS(AB11&gt;='NILAI CPL'!$B$3,4,AB11&gt;='NILAI CPL'!$B$4,3,AB11&gt;='NILAI CPL'!$B$5,2,AB11&gt;'NILAI CPL'!$B$6,1),0),"")</f>
        <v/>
      </c>
      <c r="AZ11" s="2" t="str" cm="1">
        <f t="array" ref="AZ11">IF('NILAI CPL'!$B11&lt;&gt;"",IFERROR(_xlfn.IFS(AC11&gt;='NILAI CPL'!$B$3,4,AC11&gt;='NILAI CPL'!$B$4,3,AC11&gt;='NILAI CPL'!$B$5,2,AC11&gt;'NILAI CPL'!$B$6,1),0),"")</f>
        <v/>
      </c>
      <c r="BA11" s="2" t="str" cm="1">
        <f t="array" ref="BA11">IF('NILAI CPL'!$B11&lt;&gt;"",IFERROR(_xlfn.IFS(AD11&gt;='NILAI CPL'!$B$3,4,AD11&gt;='NILAI CPL'!$B$4,3,AD11&gt;='NILAI CPL'!$B$5,2,AD11&gt;'NILAI CPL'!$B$6,1),0),"")</f>
        <v/>
      </c>
      <c r="BB11" s="2" t="str" cm="1">
        <f t="array" ref="BB11">IF('NILAI CPL'!$B11&lt;&gt;"",IFERROR(_xlfn.IFS(AE11&gt;='NILAI CPL'!$B$3,4,AE11&gt;='NILAI CPL'!$B$4,3,AE11&gt;='NILAI CPL'!$B$5,2,AE11&gt;'NILAI CPL'!$B$6,1),0),"")</f>
        <v/>
      </c>
      <c r="BC11" s="2" t="str" cm="1">
        <f t="array" ref="BC11">IF('NILAI CPL'!$B11&lt;&gt;"",IFERROR(_xlfn.IFS(AF11&gt;='NILAI CPL'!$B$3,4,AF11&gt;='NILAI CPL'!$B$4,3,AF11&gt;='NILAI CPL'!$B$5,2,AF11&gt;'NILAI CPL'!$B$6,1),0),"")</f>
        <v/>
      </c>
      <c r="BD11" s="2" t="str" cm="1">
        <f t="array" ref="BD11">IF('NILAI CPL'!$B11&lt;&gt;"",IFERROR(_xlfn.IFS(AG11&gt;='NILAI CPL'!$B$3,4,AG11&gt;='NILAI CPL'!$B$4,3,AG11&gt;='NILAI CPL'!$B$5,2,AG11&gt;'NILAI CPL'!$B$6,1),0),"")</f>
        <v/>
      </c>
      <c r="BE11" s="2" t="str" cm="1">
        <f t="array" ref="BE11">IF('NILAI CPL'!$B11&lt;&gt;"",IFERROR(_xlfn.IFS(AH11&gt;='NILAI CPL'!$B$3,4,AH11&gt;='NILAI CPL'!$B$4,3,AH11&gt;='NILAI CPL'!$B$5,2,AH11&gt;'NILAI CPL'!$B$6,1),0),"")</f>
        <v/>
      </c>
      <c r="BF11" s="2" t="str" cm="1">
        <f t="array" ref="BF11">IF('NILAI CPL'!$B11&lt;&gt;"",IFERROR(_xlfn.IFS(AI11&gt;='NILAI CPL'!$B$3,4,AI11&gt;='NILAI CPL'!$B$4,3,AI11&gt;='NILAI CPL'!$B$5,2,AI11&gt;'NILAI CPL'!$B$6,1),0),"")</f>
        <v/>
      </c>
      <c r="BG11" s="2" t="str" cm="1">
        <f t="array" ref="BG11">IF('NILAI CPL'!$B11&lt;&gt;"",IFERROR(_xlfn.IFS(AJ11&gt;='NILAI CPL'!$B$3,4,AJ11&gt;='NILAI CPL'!$B$4,3,AJ11&gt;='NILAI CPL'!$B$5,2,AJ11&gt;'NILAI CPL'!$B$6,1),0),"")</f>
        <v/>
      </c>
      <c r="BH11" s="2" t="str" cm="1">
        <f t="array" ref="BH11">IF('NILAI CPL'!$B11&lt;&gt;"",IFERROR(_xlfn.IFS(AK11&gt;='NILAI CPL'!$B$3,4,AK11&gt;='NILAI CPL'!$B$4,3,AK11&gt;='NILAI CPL'!$B$5,2,AK11&gt;'NILAI CPL'!$B$6,1),0),"")</f>
        <v/>
      </c>
      <c r="BI11" s="2" t="str" cm="1">
        <f t="array" ref="BI11">IF('NILAI CPL'!$B11&lt;&gt;"",IFERROR(_xlfn.IFS(AL11&gt;='NILAI CPL'!$B$3,4,AL11&gt;='NILAI CPL'!$B$4,3,AL11&gt;='NILAI CPL'!$B$5,2,AL11&gt;'NILAI CPL'!$B$6,1),0),"")</f>
        <v/>
      </c>
      <c r="BJ11" s="2" t="str" cm="1">
        <f t="array" ref="BJ11">IF('NILAI CPL'!$B11&lt;&gt;"",IFERROR(_xlfn.IFS(AM11&gt;='NILAI CPL'!$B$3,4,AM11&gt;='NILAI CPL'!$B$4,3,AM11&gt;='NILAI CPL'!$B$5,2,AM11&gt;'NILAI CPL'!$B$6,1),0),"")</f>
        <v/>
      </c>
      <c r="BK11" s="2" t="str" cm="1">
        <f t="array" ref="BK11">IF('NILAI CPL'!$B11&lt;&gt;"",IFERROR(_xlfn.IFS(AN11&gt;='NILAI CPL'!$B$3,4,AN11&gt;='NILAI CPL'!$B$4,3,AN11&gt;='NILAI CPL'!$B$5,2,AN11&gt;'NILAI CPL'!$B$6,1),0),"")</f>
        <v/>
      </c>
    </row>
    <row r="12" spans="1:63" x14ac:dyDescent="0.2">
      <c r="A12" s="2">
        <v>2</v>
      </c>
      <c r="B12" s="2" t="str">
        <f>IF(LEN(SUMMARY!B12)&gt;0, SUMMARY!B12, "")</f>
        <v/>
      </c>
      <c r="C12" s="2" t="str">
        <f>IF(LEN(SUMMARY!C12)&gt;0, SUMMARY!C12, "")</f>
        <v/>
      </c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" t="str">
        <f>IF(B12&lt;&gt;"",IFERROR(ROUNDUP(SUMPRODUCT($E$10:$P$10,E12:P12)/SUM($E$10:$P$10),2),0),"")</f>
        <v/>
      </c>
      <c r="S12" s="2" t="str">
        <f t="shared" ref="S12:S75" si="2">IF(B12&lt;&gt;"",IFERROR(ROUNDUP(SUMPRODUCT(E12:P12,$E$95:$P$95)/SUM($E$95:$P$95),2),0),"")</f>
        <v/>
      </c>
      <c r="T12" s="2" t="str">
        <f t="shared" ref="T12:T75" si="3">IF(B12&lt;&gt;"",IFERROR(ROUNDUP(SUMPRODUCT(E12:P12,$E$96:$P$96)/SUM($E$96:$P$96),2),0),"")</f>
        <v/>
      </c>
      <c r="U12" s="2" t="str">
        <f t="shared" ref="U12:U75" si="4">IF(B12&lt;&gt;"",IFERROR(ROUNDUP(SUMPRODUCT(E12:P12,$E$97:$P$97)/SUM($E$97:$P$97),2),0),"")</f>
        <v/>
      </c>
      <c r="V12" s="2" t="str">
        <f t="shared" ref="V12:V75" si="5">IF(B12&lt;&gt;"",IFERROR(ROUNDUP(SUMPRODUCT(E12:P12,$E$98:$P$98)/SUM($E$98:$P$98),2),0),"")</f>
        <v/>
      </c>
      <c r="W12" s="2" t="str">
        <f t="shared" ref="W12:W75" si="6">IF(B12&lt;&gt;"",IFERROR(ROUNDUP(SUMPRODUCT(E12:P12,$E$99:$P$99)/SUM($E$99:$P$99),2),0),"")</f>
        <v/>
      </c>
      <c r="X12" s="2" t="str">
        <f t="shared" ref="X12:X75" si="7">IF(B12&lt;&gt;"",IFERROR(ROUNDUP(SUMPRODUCT(E12:P12,$E$100:$P$100)/SUM($E$100:$P$100),2),0),"")</f>
        <v/>
      </c>
      <c r="Y12" s="2" t="str">
        <f t="shared" ref="Y12:Y75" si="8">IF(B12&lt;&gt;"",IFERROR(ROUNDUP(SUMPRODUCT(E12:P12,$E$101:$P$101)/SUM($E$101:$P$101),2),0),"")</f>
        <v/>
      </c>
      <c r="Z12" s="2" t="str">
        <f t="shared" ref="Z12:Z75" si="9">IF(B12&lt;&gt;"",IFERROR(ROUNDUP(SUMPRODUCT(E12:P12,$E$102:$P$102)/SUM($E$102:$P$102),2),0),"")</f>
        <v/>
      </c>
      <c r="AA12" s="2" t="str">
        <f t="shared" ref="AA12:AA75" si="10">IF(B12&lt;&gt;"",IFERROR(ROUNDUP(SUMPRODUCT(E12:P12,$E$103:$P$103)/SUM($E$103:$P$103),2),0),"")</f>
        <v/>
      </c>
      <c r="AB12" s="2" t="str">
        <f t="shared" ref="AB12:AB75" si="11">IF(B12&lt;&gt;"",IFERROR(ROUNDUP(SUMPRODUCT(E12:P12,$E$104:$P$104)/SUM($E$104:$P$104),2),0),"")</f>
        <v/>
      </c>
      <c r="AC12" s="2" t="str">
        <f t="shared" ref="AC12:AC75" si="12">IF(B12&lt;&gt;"",IFERROR(ROUNDUP(SUMPRODUCT(E12:P12,$E$105:$P$105)/SUM($E$105:$P$105),2),0),"")</f>
        <v/>
      </c>
      <c r="AD12" s="2" t="str">
        <f t="shared" ref="AD12:AD75" si="13">IF(B12&lt;&gt;"",IFERROR(ROUNDUP(SUMPRODUCT(E12:P12,$E$106:$P$106)/SUM($E$106:$P$106),2),0),"")</f>
        <v/>
      </c>
      <c r="AE12" s="2" t="str">
        <f t="shared" ref="AE12:AE75" si="14">IF(B12&lt;&gt;"",IFERROR(ROUNDUP(SUMPRODUCT(E12:P12,$E$107:$P$107)/SUM($E$107:$P$107),2),0),"")</f>
        <v/>
      </c>
      <c r="AF12" s="2" t="str">
        <f t="shared" ref="AF12:AF75" si="15">IF(B12&lt;&gt;"",IFERROR(ROUNDUP(SUMPRODUCT(E12:P12,$E$108:$P$108)/SUM($E$108:$P$108),2),0),"")</f>
        <v/>
      </c>
      <c r="AG12" s="2" t="str">
        <f t="shared" ref="AG12:AG75" si="16">IF(B12&lt;&gt;"",IFERROR(ROUNDUP(SUMPRODUCT(E12:P12,$E$109:$P$109)/SUM($E$109:$P$109),2),0),"")</f>
        <v/>
      </c>
      <c r="AH12" s="2" t="str">
        <f t="shared" ref="AH12:AH75" si="17">IF(B12&lt;&gt;"",IFERROR(ROUNDUP(SUMPRODUCT(E12:P12,$E$110:$P$110)/SUM($E$110:$P$110),2),0),"")</f>
        <v/>
      </c>
      <c r="AI12" s="2" t="str">
        <f t="shared" ref="AI12:AI75" si="18">IF(B12&lt;&gt;"",IFERROR(ROUNDUP(SUMPRODUCT(E12:P12,$E$111:$P$111)/SUM($E$111:$P$111),2),0),"")</f>
        <v/>
      </c>
      <c r="AJ12" s="2" t="str">
        <f t="shared" ref="AJ12:AJ75" si="19">IF(B12&lt;&gt;"",IFERROR(ROUNDUP(SUMPRODUCT(E12:P12,$E$112:$P$112)/SUM($E$112:$P$112),2),0),"")</f>
        <v/>
      </c>
      <c r="AK12" s="2" t="str">
        <f t="shared" ref="AK12:AK75" si="20">IF(B12&lt;&gt;"",IFERROR(ROUNDUP(SUMPRODUCT(E12:P12,$E$113:$P$113)/SUM($E$113:$P$113),2),0),"")</f>
        <v/>
      </c>
      <c r="AL12" s="2" t="str">
        <f t="shared" ref="AL12:AL75" si="21">IF(B12&lt;&gt;"",IFERROR(ROUNDUP(SUMPRODUCT(E12:P12,$E$114:$P$114)/SUM($E$114:$P$114),2),0),"")</f>
        <v/>
      </c>
      <c r="AM12" s="2" t="str">
        <f t="shared" ref="AM12:AM75" si="22">IF(B12&lt;&gt;"",IFERROR(ROUNDUP(SUMPRODUCT(E12:P12,$E$115:$P$115)/SUM($E$115:$P$115),2),0),"")</f>
        <v/>
      </c>
      <c r="AN12" s="2" t="str">
        <f t="shared" ref="AN12:AN75" si="23">IF(B12&lt;&gt;"",IFERROR(ROUNDUP(SUMPRODUCT(E12:P12,$E$116:$P$116)/SUM($E$116:$P$116),2),0),"")</f>
        <v/>
      </c>
      <c r="AP12" s="2" t="str" cm="1">
        <f t="array" ref="AP12">IF('NILAI CPL'!$B12&lt;&gt;"",IFERROR(_xlfn.IFS(S12&gt;='NILAI CPL'!$B$3,4,S12&gt;='NILAI CPL'!$B$4,3,S12&gt;='NILAI CPL'!$B$5,2,S12&gt;'NILAI CPL'!$B$6,1),0),"")</f>
        <v/>
      </c>
      <c r="AQ12" s="2" t="str" cm="1">
        <f t="array" ref="AQ12">IF('NILAI CPL'!$B12&lt;&gt;"",IFERROR(_xlfn.IFS(T12&gt;='NILAI CPL'!$B$3,4,T12&gt;='NILAI CPL'!$B$4,3,T12&gt;='NILAI CPL'!$B$5,2,T12&gt;'NILAI CPL'!$B$6,1),0),"")</f>
        <v/>
      </c>
      <c r="AR12" s="2" t="str" cm="1">
        <f t="array" ref="AR12">IF('NILAI CPL'!$B12&lt;&gt;"",IFERROR(_xlfn.IFS(U12&gt;='NILAI CPL'!$B$3,4,U12&gt;='NILAI CPL'!$B$4,3,U12&gt;='NILAI CPL'!$B$5,2,U12&gt;'NILAI CPL'!$B$6,1),0),"")</f>
        <v/>
      </c>
      <c r="AS12" s="2" t="str" cm="1">
        <f t="array" ref="AS12">IF('NILAI CPL'!$B12&lt;&gt;"",IFERROR(_xlfn.IFS(V12&gt;='NILAI CPL'!$B$3,4,V12&gt;='NILAI CPL'!$B$4,3,V12&gt;='NILAI CPL'!$B$5,2,V12&gt;'NILAI CPL'!$B$6,1),0),"")</f>
        <v/>
      </c>
      <c r="AT12" s="2" t="str" cm="1">
        <f t="array" ref="AT12">IF('NILAI CPL'!$B12&lt;&gt;"",IFERROR(_xlfn.IFS(W12&gt;='NILAI CPL'!$B$3,4,W12&gt;='NILAI CPL'!$B$4,3,W12&gt;='NILAI CPL'!$B$5,2,W12&gt;'NILAI CPL'!$B$6,1),0),"")</f>
        <v/>
      </c>
      <c r="AU12" s="2" t="str" cm="1">
        <f t="array" ref="AU12">IF('NILAI CPL'!$B12&lt;&gt;"",IFERROR(_xlfn.IFS(X12&gt;='NILAI CPL'!$B$3,4,X12&gt;='NILAI CPL'!$B$4,3,X12&gt;='NILAI CPL'!$B$5,2,X12&gt;'NILAI CPL'!$B$6,1),0),"")</f>
        <v/>
      </c>
      <c r="AV12" s="2" t="str" cm="1">
        <f t="array" ref="AV12">IF('NILAI CPL'!$B12&lt;&gt;"",IFERROR(_xlfn.IFS(Y12&gt;='NILAI CPL'!$B$3,4,Y12&gt;='NILAI CPL'!$B$4,3,Y12&gt;='NILAI CPL'!$B$5,2,Y12&gt;'NILAI CPL'!$B$6,1),0),"")</f>
        <v/>
      </c>
      <c r="AW12" s="2" t="str" cm="1">
        <f t="array" ref="AW12">IF('NILAI CPL'!$B12&lt;&gt;"",IFERROR(_xlfn.IFS(Z12&gt;='NILAI CPL'!$B$3,4,Z12&gt;='NILAI CPL'!$B$4,3,Z12&gt;='NILAI CPL'!$B$5,2,Z12&gt;'NILAI CPL'!$B$6,1),0),"")</f>
        <v/>
      </c>
      <c r="AX12" s="2" t="str" cm="1">
        <f t="array" ref="AX12">IF('NILAI CPL'!$B12&lt;&gt;"",IFERROR(_xlfn.IFS(AA12&gt;='NILAI CPL'!$B$3,4,AA12&gt;='NILAI CPL'!$B$4,3,AA12&gt;='NILAI CPL'!$B$5,2,AA12&gt;'NILAI CPL'!$B$6,1),0),"")</f>
        <v/>
      </c>
      <c r="AY12" s="2" t="str" cm="1">
        <f t="array" ref="AY12">IF('NILAI CPL'!$B12&lt;&gt;"",IFERROR(_xlfn.IFS(AB12&gt;='NILAI CPL'!$B$3,4,AB12&gt;='NILAI CPL'!$B$4,3,AB12&gt;='NILAI CPL'!$B$5,2,AB12&gt;'NILAI CPL'!$B$6,1),0),"")</f>
        <v/>
      </c>
      <c r="AZ12" s="2" t="str" cm="1">
        <f t="array" ref="AZ12">IF('NILAI CPL'!$B12&lt;&gt;"",IFERROR(_xlfn.IFS(AC12&gt;='NILAI CPL'!$B$3,4,AC12&gt;='NILAI CPL'!$B$4,3,AC12&gt;='NILAI CPL'!$B$5,2,AC12&gt;'NILAI CPL'!$B$6,1),0),"")</f>
        <v/>
      </c>
      <c r="BA12" s="2" t="str" cm="1">
        <f t="array" ref="BA12">IF('NILAI CPL'!$B12&lt;&gt;"",IFERROR(_xlfn.IFS(AD12&gt;='NILAI CPL'!$B$3,4,AD12&gt;='NILAI CPL'!$B$4,3,AD12&gt;='NILAI CPL'!$B$5,2,AD12&gt;'NILAI CPL'!$B$6,1),0),"")</f>
        <v/>
      </c>
      <c r="BB12" s="2" t="str" cm="1">
        <f t="array" ref="BB12">IF('NILAI CPL'!$B12&lt;&gt;"",IFERROR(_xlfn.IFS(AE12&gt;='NILAI CPL'!$B$3,4,AE12&gt;='NILAI CPL'!$B$4,3,AE12&gt;='NILAI CPL'!$B$5,2,AE12&gt;'NILAI CPL'!$B$6,1),0),"")</f>
        <v/>
      </c>
      <c r="BC12" s="2" t="str" cm="1">
        <f t="array" ref="BC12">IF('NILAI CPL'!$B12&lt;&gt;"",IFERROR(_xlfn.IFS(AF12&gt;='NILAI CPL'!$B$3,4,AF12&gt;='NILAI CPL'!$B$4,3,AF12&gt;='NILAI CPL'!$B$5,2,AF12&gt;'NILAI CPL'!$B$6,1),0),"")</f>
        <v/>
      </c>
      <c r="BD12" s="2" t="str" cm="1">
        <f t="array" ref="BD12">IF('NILAI CPL'!$B12&lt;&gt;"",IFERROR(_xlfn.IFS(AG12&gt;='NILAI CPL'!$B$3,4,AG12&gt;='NILAI CPL'!$B$4,3,AG12&gt;='NILAI CPL'!$B$5,2,AG12&gt;'NILAI CPL'!$B$6,1),0),"")</f>
        <v/>
      </c>
      <c r="BE12" s="2" t="str" cm="1">
        <f t="array" ref="BE12">IF('NILAI CPL'!$B12&lt;&gt;"",IFERROR(_xlfn.IFS(AH12&gt;='NILAI CPL'!$B$3,4,AH12&gt;='NILAI CPL'!$B$4,3,AH12&gt;='NILAI CPL'!$B$5,2,AH12&gt;'NILAI CPL'!$B$6,1),0),"")</f>
        <v/>
      </c>
      <c r="BF12" s="2" t="str" cm="1">
        <f t="array" ref="BF12">IF('NILAI CPL'!$B12&lt;&gt;"",IFERROR(_xlfn.IFS(AI12&gt;='NILAI CPL'!$B$3,4,AI12&gt;='NILAI CPL'!$B$4,3,AI12&gt;='NILAI CPL'!$B$5,2,AI12&gt;'NILAI CPL'!$B$6,1),0),"")</f>
        <v/>
      </c>
      <c r="BG12" s="2" t="str" cm="1">
        <f t="array" ref="BG12">IF('NILAI CPL'!$B12&lt;&gt;"",IFERROR(_xlfn.IFS(AJ12&gt;='NILAI CPL'!$B$3,4,AJ12&gt;='NILAI CPL'!$B$4,3,AJ12&gt;='NILAI CPL'!$B$5,2,AJ12&gt;'NILAI CPL'!$B$6,1),0),"")</f>
        <v/>
      </c>
      <c r="BH12" s="2" t="str" cm="1">
        <f t="array" ref="BH12">IF('NILAI CPL'!$B12&lt;&gt;"",IFERROR(_xlfn.IFS(AK12&gt;='NILAI CPL'!$B$3,4,AK12&gt;='NILAI CPL'!$B$4,3,AK12&gt;='NILAI CPL'!$B$5,2,AK12&gt;'NILAI CPL'!$B$6,1),0),"")</f>
        <v/>
      </c>
      <c r="BI12" s="2" t="str" cm="1">
        <f t="array" ref="BI12">IF('NILAI CPL'!$B12&lt;&gt;"",IFERROR(_xlfn.IFS(AL12&gt;='NILAI CPL'!$B$3,4,AL12&gt;='NILAI CPL'!$B$4,3,AL12&gt;='NILAI CPL'!$B$5,2,AL12&gt;'NILAI CPL'!$B$6,1),0),"")</f>
        <v/>
      </c>
      <c r="BJ12" s="2" t="str" cm="1">
        <f t="array" ref="BJ12">IF('NILAI CPL'!$B12&lt;&gt;"",IFERROR(_xlfn.IFS(AM12&gt;='NILAI CPL'!$B$3,4,AM12&gt;='NILAI CPL'!$B$4,3,AM12&gt;='NILAI CPL'!$B$5,2,AM12&gt;'NILAI CPL'!$B$6,1),0),"")</f>
        <v/>
      </c>
      <c r="BK12" s="2" t="str" cm="1">
        <f t="array" ref="BK12">IF('NILAI CPL'!$B12&lt;&gt;"",IFERROR(_xlfn.IFS(AN12&gt;='NILAI CPL'!$B$3,4,AN12&gt;='NILAI CPL'!$B$4,3,AN12&gt;='NILAI CPL'!$B$5,2,AN12&gt;'NILAI CPL'!$B$6,1),0),"")</f>
        <v/>
      </c>
    </row>
    <row r="13" spans="1:63" x14ac:dyDescent="0.2">
      <c r="A13" s="2">
        <v>3</v>
      </c>
      <c r="B13" s="2" t="str">
        <f>IF(LEN(SUMMARY!B13)&gt;0, SUMMARY!B13, "")</f>
        <v/>
      </c>
      <c r="C13" s="2" t="str">
        <f>IF(LEN(SUMMARY!C13)&gt;0, SUMMARY!C13, "")</f>
        <v/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" t="str">
        <f>IF(B13&lt;&gt;"",IFERROR(ROUNDUP(SUMPRODUCT($E$10:$P$10,E13:P13)/SUM($E$10:$P$10),2),0),"")</f>
        <v/>
      </c>
      <c r="S13" s="2" t="str">
        <f t="shared" si="2"/>
        <v/>
      </c>
      <c r="T13" s="2" t="str">
        <f t="shared" si="3"/>
        <v/>
      </c>
      <c r="U13" s="2" t="str">
        <f t="shared" si="4"/>
        <v/>
      </c>
      <c r="V13" s="2" t="str">
        <f t="shared" si="5"/>
        <v/>
      </c>
      <c r="W13" s="2" t="str">
        <f t="shared" si="6"/>
        <v/>
      </c>
      <c r="X13" s="2" t="str">
        <f t="shared" si="7"/>
        <v/>
      </c>
      <c r="Y13" s="2" t="str">
        <f t="shared" si="8"/>
        <v/>
      </c>
      <c r="Z13" s="2" t="str">
        <f t="shared" si="9"/>
        <v/>
      </c>
      <c r="AA13" s="2" t="str">
        <f t="shared" si="10"/>
        <v/>
      </c>
      <c r="AB13" s="2" t="str">
        <f t="shared" si="11"/>
        <v/>
      </c>
      <c r="AC13" s="2" t="str">
        <f t="shared" si="12"/>
        <v/>
      </c>
      <c r="AD13" s="2" t="str">
        <f t="shared" si="13"/>
        <v/>
      </c>
      <c r="AE13" s="2" t="str">
        <f t="shared" si="14"/>
        <v/>
      </c>
      <c r="AF13" s="2" t="str">
        <f t="shared" si="15"/>
        <v/>
      </c>
      <c r="AG13" s="2" t="str">
        <f t="shared" si="16"/>
        <v/>
      </c>
      <c r="AH13" s="2" t="str">
        <f t="shared" si="17"/>
        <v/>
      </c>
      <c r="AI13" s="2" t="str">
        <f t="shared" si="18"/>
        <v/>
      </c>
      <c r="AJ13" s="2" t="str">
        <f t="shared" si="19"/>
        <v/>
      </c>
      <c r="AK13" s="2" t="str">
        <f t="shared" si="20"/>
        <v/>
      </c>
      <c r="AL13" s="2" t="str">
        <f t="shared" si="21"/>
        <v/>
      </c>
      <c r="AM13" s="2" t="str">
        <f t="shared" si="22"/>
        <v/>
      </c>
      <c r="AN13" s="2" t="str">
        <f t="shared" si="23"/>
        <v/>
      </c>
      <c r="AP13" s="2" t="str" cm="1">
        <f t="array" ref="AP13">IF('NILAI CPL'!$B13&lt;&gt;"",IFERROR(_xlfn.IFS(S13&gt;='NILAI CPL'!$B$3,4,S13&gt;='NILAI CPL'!$B$4,3,S13&gt;='NILAI CPL'!$B$5,2,S13&gt;'NILAI CPL'!$B$6,1),0),"")</f>
        <v/>
      </c>
      <c r="AQ13" s="2" t="str" cm="1">
        <f t="array" ref="AQ13">IF('NILAI CPL'!$B13&lt;&gt;"",IFERROR(_xlfn.IFS(T13&gt;='NILAI CPL'!$B$3,4,T13&gt;='NILAI CPL'!$B$4,3,T13&gt;='NILAI CPL'!$B$5,2,T13&gt;'NILAI CPL'!$B$6,1),0),"")</f>
        <v/>
      </c>
      <c r="AR13" s="2" t="str" cm="1">
        <f t="array" ref="AR13">IF('NILAI CPL'!$B13&lt;&gt;"",IFERROR(_xlfn.IFS(U13&gt;='NILAI CPL'!$B$3,4,U13&gt;='NILAI CPL'!$B$4,3,U13&gt;='NILAI CPL'!$B$5,2,U13&gt;'NILAI CPL'!$B$6,1),0),"")</f>
        <v/>
      </c>
      <c r="AS13" s="2" t="str" cm="1">
        <f t="array" ref="AS13">IF('NILAI CPL'!$B13&lt;&gt;"",IFERROR(_xlfn.IFS(V13&gt;='NILAI CPL'!$B$3,4,V13&gt;='NILAI CPL'!$B$4,3,V13&gt;='NILAI CPL'!$B$5,2,V13&gt;'NILAI CPL'!$B$6,1),0),"")</f>
        <v/>
      </c>
      <c r="AT13" s="2" t="str" cm="1">
        <f t="array" ref="AT13">IF('NILAI CPL'!$B13&lt;&gt;"",IFERROR(_xlfn.IFS(W13&gt;='NILAI CPL'!$B$3,4,W13&gt;='NILAI CPL'!$B$4,3,W13&gt;='NILAI CPL'!$B$5,2,W13&gt;'NILAI CPL'!$B$6,1),0),"")</f>
        <v/>
      </c>
      <c r="AU13" s="2" t="str" cm="1">
        <f t="array" ref="AU13">IF('NILAI CPL'!$B13&lt;&gt;"",IFERROR(_xlfn.IFS(X13&gt;='NILAI CPL'!$B$3,4,X13&gt;='NILAI CPL'!$B$4,3,X13&gt;='NILAI CPL'!$B$5,2,X13&gt;'NILAI CPL'!$B$6,1),0),"")</f>
        <v/>
      </c>
      <c r="AV13" s="2" t="str" cm="1">
        <f t="array" ref="AV13">IF('NILAI CPL'!$B13&lt;&gt;"",IFERROR(_xlfn.IFS(Y13&gt;='NILAI CPL'!$B$3,4,Y13&gt;='NILAI CPL'!$B$4,3,Y13&gt;='NILAI CPL'!$B$5,2,Y13&gt;'NILAI CPL'!$B$6,1),0),"")</f>
        <v/>
      </c>
      <c r="AW13" s="2" t="str" cm="1">
        <f t="array" ref="AW13">IF('NILAI CPL'!$B13&lt;&gt;"",IFERROR(_xlfn.IFS(Z13&gt;='NILAI CPL'!$B$3,4,Z13&gt;='NILAI CPL'!$B$4,3,Z13&gt;='NILAI CPL'!$B$5,2,Z13&gt;'NILAI CPL'!$B$6,1),0),"")</f>
        <v/>
      </c>
      <c r="AX13" s="2" t="str" cm="1">
        <f t="array" ref="AX13">IF('NILAI CPL'!$B13&lt;&gt;"",IFERROR(_xlfn.IFS(AA13&gt;='NILAI CPL'!$B$3,4,AA13&gt;='NILAI CPL'!$B$4,3,AA13&gt;='NILAI CPL'!$B$5,2,AA13&gt;'NILAI CPL'!$B$6,1),0),"")</f>
        <v/>
      </c>
      <c r="AY13" s="2" t="str" cm="1">
        <f t="array" ref="AY13">IF('NILAI CPL'!$B13&lt;&gt;"",IFERROR(_xlfn.IFS(AB13&gt;='NILAI CPL'!$B$3,4,AB13&gt;='NILAI CPL'!$B$4,3,AB13&gt;='NILAI CPL'!$B$5,2,AB13&gt;'NILAI CPL'!$B$6,1),0),"")</f>
        <v/>
      </c>
      <c r="AZ13" s="2" t="str" cm="1">
        <f t="array" ref="AZ13">IF('NILAI CPL'!$B13&lt;&gt;"",IFERROR(_xlfn.IFS(AC13&gt;='NILAI CPL'!$B$3,4,AC13&gt;='NILAI CPL'!$B$4,3,AC13&gt;='NILAI CPL'!$B$5,2,AC13&gt;'NILAI CPL'!$B$6,1),0),"")</f>
        <v/>
      </c>
      <c r="BA13" s="2" t="str" cm="1">
        <f t="array" ref="BA13">IF('NILAI CPL'!$B13&lt;&gt;"",IFERROR(_xlfn.IFS(AD13&gt;='NILAI CPL'!$B$3,4,AD13&gt;='NILAI CPL'!$B$4,3,AD13&gt;='NILAI CPL'!$B$5,2,AD13&gt;'NILAI CPL'!$B$6,1),0),"")</f>
        <v/>
      </c>
      <c r="BB13" s="2" t="str" cm="1">
        <f t="array" ref="BB13">IF('NILAI CPL'!$B13&lt;&gt;"",IFERROR(_xlfn.IFS(AE13&gt;='NILAI CPL'!$B$3,4,AE13&gt;='NILAI CPL'!$B$4,3,AE13&gt;='NILAI CPL'!$B$5,2,AE13&gt;'NILAI CPL'!$B$6,1),0),"")</f>
        <v/>
      </c>
      <c r="BC13" s="2" t="str" cm="1">
        <f t="array" ref="BC13">IF('NILAI CPL'!$B13&lt;&gt;"",IFERROR(_xlfn.IFS(AF13&gt;='NILAI CPL'!$B$3,4,AF13&gt;='NILAI CPL'!$B$4,3,AF13&gt;='NILAI CPL'!$B$5,2,AF13&gt;'NILAI CPL'!$B$6,1),0),"")</f>
        <v/>
      </c>
      <c r="BD13" s="2" t="str" cm="1">
        <f t="array" ref="BD13">IF('NILAI CPL'!$B13&lt;&gt;"",IFERROR(_xlfn.IFS(AG13&gt;='NILAI CPL'!$B$3,4,AG13&gt;='NILAI CPL'!$B$4,3,AG13&gt;='NILAI CPL'!$B$5,2,AG13&gt;'NILAI CPL'!$B$6,1),0),"")</f>
        <v/>
      </c>
      <c r="BE13" s="2" t="str" cm="1">
        <f t="array" ref="BE13">IF('NILAI CPL'!$B13&lt;&gt;"",IFERROR(_xlfn.IFS(AH13&gt;='NILAI CPL'!$B$3,4,AH13&gt;='NILAI CPL'!$B$4,3,AH13&gt;='NILAI CPL'!$B$5,2,AH13&gt;'NILAI CPL'!$B$6,1),0),"")</f>
        <v/>
      </c>
      <c r="BF13" s="2" t="str" cm="1">
        <f t="array" ref="BF13">IF('NILAI CPL'!$B13&lt;&gt;"",IFERROR(_xlfn.IFS(AI13&gt;='NILAI CPL'!$B$3,4,AI13&gt;='NILAI CPL'!$B$4,3,AI13&gt;='NILAI CPL'!$B$5,2,AI13&gt;'NILAI CPL'!$B$6,1),0),"")</f>
        <v/>
      </c>
      <c r="BG13" s="2" t="str" cm="1">
        <f t="array" ref="BG13">IF('NILAI CPL'!$B13&lt;&gt;"",IFERROR(_xlfn.IFS(AJ13&gt;='NILAI CPL'!$B$3,4,AJ13&gt;='NILAI CPL'!$B$4,3,AJ13&gt;='NILAI CPL'!$B$5,2,AJ13&gt;'NILAI CPL'!$B$6,1),0),"")</f>
        <v/>
      </c>
      <c r="BH13" s="2" t="str" cm="1">
        <f t="array" ref="BH13">IF('NILAI CPL'!$B13&lt;&gt;"",IFERROR(_xlfn.IFS(AK13&gt;='NILAI CPL'!$B$3,4,AK13&gt;='NILAI CPL'!$B$4,3,AK13&gt;='NILAI CPL'!$B$5,2,AK13&gt;'NILAI CPL'!$B$6,1),0),"")</f>
        <v/>
      </c>
      <c r="BI13" s="2" t="str" cm="1">
        <f t="array" ref="BI13">IF('NILAI CPL'!$B13&lt;&gt;"",IFERROR(_xlfn.IFS(AL13&gt;='NILAI CPL'!$B$3,4,AL13&gt;='NILAI CPL'!$B$4,3,AL13&gt;='NILAI CPL'!$B$5,2,AL13&gt;'NILAI CPL'!$B$6,1),0),"")</f>
        <v/>
      </c>
      <c r="BJ13" s="2" t="str" cm="1">
        <f t="array" ref="BJ13">IF('NILAI CPL'!$B13&lt;&gt;"",IFERROR(_xlfn.IFS(AM13&gt;='NILAI CPL'!$B$3,4,AM13&gt;='NILAI CPL'!$B$4,3,AM13&gt;='NILAI CPL'!$B$5,2,AM13&gt;'NILAI CPL'!$B$6,1),0),"")</f>
        <v/>
      </c>
      <c r="BK13" s="2" t="str" cm="1">
        <f t="array" ref="BK13">IF('NILAI CPL'!$B13&lt;&gt;"",IFERROR(_xlfn.IFS(AN13&gt;='NILAI CPL'!$B$3,4,AN13&gt;='NILAI CPL'!$B$4,3,AN13&gt;='NILAI CPL'!$B$5,2,AN13&gt;'NILAI CPL'!$B$6,1),0),"")</f>
        <v/>
      </c>
    </row>
    <row r="14" spans="1:63" x14ac:dyDescent="0.2">
      <c r="A14" s="2">
        <v>4</v>
      </c>
      <c r="B14" s="2" t="str">
        <f>IF(LEN(SUMMARY!B14)&gt;0, SUMMARY!B14, "")</f>
        <v/>
      </c>
      <c r="C14" s="2" t="str">
        <f>IF(LEN(SUMMARY!C14)&gt;0, SUMMARY!C14, "")</f>
        <v/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" t="str">
        <f>IF(B14&lt;&gt;"",IFERROR(ROUNDUP(SUMPRODUCT($E$10:$P$10,E14:P14)/SUM($E$10:$P$10),2),0),"")</f>
        <v/>
      </c>
      <c r="S14" s="2" t="str">
        <f t="shared" si="2"/>
        <v/>
      </c>
      <c r="T14" s="2" t="str">
        <f t="shared" si="3"/>
        <v/>
      </c>
      <c r="U14" s="2" t="str">
        <f t="shared" si="4"/>
        <v/>
      </c>
      <c r="V14" s="2" t="str">
        <f t="shared" si="5"/>
        <v/>
      </c>
      <c r="W14" s="2" t="str">
        <f t="shared" si="6"/>
        <v/>
      </c>
      <c r="X14" s="2" t="str">
        <f t="shared" si="7"/>
        <v/>
      </c>
      <c r="Y14" s="2" t="str">
        <f t="shared" si="8"/>
        <v/>
      </c>
      <c r="Z14" s="2" t="str">
        <f t="shared" si="9"/>
        <v/>
      </c>
      <c r="AA14" s="2" t="str">
        <f t="shared" si="10"/>
        <v/>
      </c>
      <c r="AB14" s="2" t="str">
        <f t="shared" si="11"/>
        <v/>
      </c>
      <c r="AC14" s="2" t="str">
        <f t="shared" si="12"/>
        <v/>
      </c>
      <c r="AD14" s="2" t="str">
        <f t="shared" si="13"/>
        <v/>
      </c>
      <c r="AE14" s="2" t="str">
        <f t="shared" si="14"/>
        <v/>
      </c>
      <c r="AF14" s="2" t="str">
        <f t="shared" si="15"/>
        <v/>
      </c>
      <c r="AG14" s="2" t="str">
        <f t="shared" si="16"/>
        <v/>
      </c>
      <c r="AH14" s="2" t="str">
        <f t="shared" si="17"/>
        <v/>
      </c>
      <c r="AI14" s="2" t="str">
        <f t="shared" si="18"/>
        <v/>
      </c>
      <c r="AJ14" s="2" t="str">
        <f t="shared" si="19"/>
        <v/>
      </c>
      <c r="AK14" s="2" t="str">
        <f t="shared" si="20"/>
        <v/>
      </c>
      <c r="AL14" s="2" t="str">
        <f t="shared" si="21"/>
        <v/>
      </c>
      <c r="AM14" s="2" t="str">
        <f t="shared" si="22"/>
        <v/>
      </c>
      <c r="AN14" s="2" t="str">
        <f t="shared" si="23"/>
        <v/>
      </c>
      <c r="AP14" s="2" t="str" cm="1">
        <f t="array" ref="AP14">IF('NILAI CPL'!$B14&lt;&gt;"",IFERROR(_xlfn.IFS(S14&gt;='NILAI CPL'!$B$3,4,S14&gt;='NILAI CPL'!$B$4,3,S14&gt;='NILAI CPL'!$B$5,2,S14&gt;'NILAI CPL'!$B$6,1),0),"")</f>
        <v/>
      </c>
      <c r="AQ14" s="2" t="str" cm="1">
        <f t="array" ref="AQ14">IF('NILAI CPL'!$B14&lt;&gt;"",IFERROR(_xlfn.IFS(T14&gt;='NILAI CPL'!$B$3,4,T14&gt;='NILAI CPL'!$B$4,3,T14&gt;='NILAI CPL'!$B$5,2,T14&gt;'NILAI CPL'!$B$6,1),0),"")</f>
        <v/>
      </c>
      <c r="AR14" s="2" t="str" cm="1">
        <f t="array" ref="AR14">IF('NILAI CPL'!$B14&lt;&gt;"",IFERROR(_xlfn.IFS(U14&gt;='NILAI CPL'!$B$3,4,U14&gt;='NILAI CPL'!$B$4,3,U14&gt;='NILAI CPL'!$B$5,2,U14&gt;'NILAI CPL'!$B$6,1),0),"")</f>
        <v/>
      </c>
      <c r="AS14" s="2" t="str" cm="1">
        <f t="array" ref="AS14">IF('NILAI CPL'!$B14&lt;&gt;"",IFERROR(_xlfn.IFS(V14&gt;='NILAI CPL'!$B$3,4,V14&gt;='NILAI CPL'!$B$4,3,V14&gt;='NILAI CPL'!$B$5,2,V14&gt;'NILAI CPL'!$B$6,1),0),"")</f>
        <v/>
      </c>
      <c r="AT14" s="2" t="str" cm="1">
        <f t="array" ref="AT14">IF('NILAI CPL'!$B14&lt;&gt;"",IFERROR(_xlfn.IFS(W14&gt;='NILAI CPL'!$B$3,4,W14&gt;='NILAI CPL'!$B$4,3,W14&gt;='NILAI CPL'!$B$5,2,W14&gt;'NILAI CPL'!$B$6,1),0),"")</f>
        <v/>
      </c>
      <c r="AU14" s="2" t="str" cm="1">
        <f t="array" ref="AU14">IF('NILAI CPL'!$B14&lt;&gt;"",IFERROR(_xlfn.IFS(X14&gt;='NILAI CPL'!$B$3,4,X14&gt;='NILAI CPL'!$B$4,3,X14&gt;='NILAI CPL'!$B$5,2,X14&gt;'NILAI CPL'!$B$6,1),0),"")</f>
        <v/>
      </c>
      <c r="AV14" s="2" t="str" cm="1">
        <f t="array" ref="AV14">IF('NILAI CPL'!$B14&lt;&gt;"",IFERROR(_xlfn.IFS(Y14&gt;='NILAI CPL'!$B$3,4,Y14&gt;='NILAI CPL'!$B$4,3,Y14&gt;='NILAI CPL'!$B$5,2,Y14&gt;'NILAI CPL'!$B$6,1),0),"")</f>
        <v/>
      </c>
      <c r="AW14" s="2" t="str" cm="1">
        <f t="array" ref="AW14">IF('NILAI CPL'!$B14&lt;&gt;"",IFERROR(_xlfn.IFS(Z14&gt;='NILAI CPL'!$B$3,4,Z14&gt;='NILAI CPL'!$B$4,3,Z14&gt;='NILAI CPL'!$B$5,2,Z14&gt;'NILAI CPL'!$B$6,1),0),"")</f>
        <v/>
      </c>
      <c r="AX14" s="2" t="str" cm="1">
        <f t="array" ref="AX14">IF('NILAI CPL'!$B14&lt;&gt;"",IFERROR(_xlfn.IFS(AA14&gt;='NILAI CPL'!$B$3,4,AA14&gt;='NILAI CPL'!$B$4,3,AA14&gt;='NILAI CPL'!$B$5,2,AA14&gt;'NILAI CPL'!$B$6,1),0),"")</f>
        <v/>
      </c>
      <c r="AY14" s="2" t="str" cm="1">
        <f t="array" ref="AY14">IF('NILAI CPL'!$B14&lt;&gt;"",IFERROR(_xlfn.IFS(AB14&gt;='NILAI CPL'!$B$3,4,AB14&gt;='NILAI CPL'!$B$4,3,AB14&gt;='NILAI CPL'!$B$5,2,AB14&gt;'NILAI CPL'!$B$6,1),0),"")</f>
        <v/>
      </c>
      <c r="AZ14" s="2" t="str" cm="1">
        <f t="array" ref="AZ14">IF('NILAI CPL'!$B14&lt;&gt;"",IFERROR(_xlfn.IFS(AC14&gt;='NILAI CPL'!$B$3,4,AC14&gt;='NILAI CPL'!$B$4,3,AC14&gt;='NILAI CPL'!$B$5,2,AC14&gt;'NILAI CPL'!$B$6,1),0),"")</f>
        <v/>
      </c>
      <c r="BA14" s="2" t="str" cm="1">
        <f t="array" ref="BA14">IF('NILAI CPL'!$B14&lt;&gt;"",IFERROR(_xlfn.IFS(AD14&gt;='NILAI CPL'!$B$3,4,AD14&gt;='NILAI CPL'!$B$4,3,AD14&gt;='NILAI CPL'!$B$5,2,AD14&gt;'NILAI CPL'!$B$6,1),0),"")</f>
        <v/>
      </c>
      <c r="BB14" s="2" t="str" cm="1">
        <f t="array" ref="BB14">IF('NILAI CPL'!$B14&lt;&gt;"",IFERROR(_xlfn.IFS(AE14&gt;='NILAI CPL'!$B$3,4,AE14&gt;='NILAI CPL'!$B$4,3,AE14&gt;='NILAI CPL'!$B$5,2,AE14&gt;'NILAI CPL'!$B$6,1),0),"")</f>
        <v/>
      </c>
      <c r="BC14" s="2" t="str" cm="1">
        <f t="array" ref="BC14">IF('NILAI CPL'!$B14&lt;&gt;"",IFERROR(_xlfn.IFS(AF14&gt;='NILAI CPL'!$B$3,4,AF14&gt;='NILAI CPL'!$B$4,3,AF14&gt;='NILAI CPL'!$B$5,2,AF14&gt;'NILAI CPL'!$B$6,1),0),"")</f>
        <v/>
      </c>
      <c r="BD14" s="2" t="str" cm="1">
        <f t="array" ref="BD14">IF('NILAI CPL'!$B14&lt;&gt;"",IFERROR(_xlfn.IFS(AG14&gt;='NILAI CPL'!$B$3,4,AG14&gt;='NILAI CPL'!$B$4,3,AG14&gt;='NILAI CPL'!$B$5,2,AG14&gt;'NILAI CPL'!$B$6,1),0),"")</f>
        <v/>
      </c>
      <c r="BE14" s="2" t="str" cm="1">
        <f t="array" ref="BE14">IF('NILAI CPL'!$B14&lt;&gt;"",IFERROR(_xlfn.IFS(AH14&gt;='NILAI CPL'!$B$3,4,AH14&gt;='NILAI CPL'!$B$4,3,AH14&gt;='NILAI CPL'!$B$5,2,AH14&gt;'NILAI CPL'!$B$6,1),0),"")</f>
        <v/>
      </c>
      <c r="BF14" s="2" t="str" cm="1">
        <f t="array" ref="BF14">IF('NILAI CPL'!$B14&lt;&gt;"",IFERROR(_xlfn.IFS(AI14&gt;='NILAI CPL'!$B$3,4,AI14&gt;='NILAI CPL'!$B$4,3,AI14&gt;='NILAI CPL'!$B$5,2,AI14&gt;'NILAI CPL'!$B$6,1),0),"")</f>
        <v/>
      </c>
      <c r="BG14" s="2" t="str" cm="1">
        <f t="array" ref="BG14">IF('NILAI CPL'!$B14&lt;&gt;"",IFERROR(_xlfn.IFS(AJ14&gt;='NILAI CPL'!$B$3,4,AJ14&gt;='NILAI CPL'!$B$4,3,AJ14&gt;='NILAI CPL'!$B$5,2,AJ14&gt;'NILAI CPL'!$B$6,1),0),"")</f>
        <v/>
      </c>
      <c r="BH14" s="2" t="str" cm="1">
        <f t="array" ref="BH14">IF('NILAI CPL'!$B14&lt;&gt;"",IFERROR(_xlfn.IFS(AK14&gt;='NILAI CPL'!$B$3,4,AK14&gt;='NILAI CPL'!$B$4,3,AK14&gt;='NILAI CPL'!$B$5,2,AK14&gt;'NILAI CPL'!$B$6,1),0),"")</f>
        <v/>
      </c>
      <c r="BI14" s="2" t="str" cm="1">
        <f t="array" ref="BI14">IF('NILAI CPL'!$B14&lt;&gt;"",IFERROR(_xlfn.IFS(AL14&gt;='NILAI CPL'!$B$3,4,AL14&gt;='NILAI CPL'!$B$4,3,AL14&gt;='NILAI CPL'!$B$5,2,AL14&gt;'NILAI CPL'!$B$6,1),0),"")</f>
        <v/>
      </c>
      <c r="BJ14" s="2" t="str" cm="1">
        <f t="array" ref="BJ14">IF('NILAI CPL'!$B14&lt;&gt;"",IFERROR(_xlfn.IFS(AM14&gt;='NILAI CPL'!$B$3,4,AM14&gt;='NILAI CPL'!$B$4,3,AM14&gt;='NILAI CPL'!$B$5,2,AM14&gt;'NILAI CPL'!$B$6,1),0),"")</f>
        <v/>
      </c>
      <c r="BK14" s="2" t="str" cm="1">
        <f t="array" ref="BK14">IF('NILAI CPL'!$B14&lt;&gt;"",IFERROR(_xlfn.IFS(AN14&gt;='NILAI CPL'!$B$3,4,AN14&gt;='NILAI CPL'!$B$4,3,AN14&gt;='NILAI CPL'!$B$5,2,AN14&gt;'NILAI CPL'!$B$6,1),0),"")</f>
        <v/>
      </c>
    </row>
    <row r="15" spans="1:63" x14ac:dyDescent="0.2">
      <c r="A15" s="2">
        <v>5</v>
      </c>
      <c r="B15" s="2" t="str">
        <f>IF(LEN(SUMMARY!B15)&gt;0, SUMMARY!B15, "")</f>
        <v/>
      </c>
      <c r="C15" s="2" t="str">
        <f>IF(LEN(SUMMARY!C15)&gt;0, SUMMARY!C15, "")</f>
        <v/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" t="str">
        <f t="shared" ref="Q15:Q75" si="24">IF(B15&lt;&gt;"",IFERROR(ROUNDUP(SUMPRODUCT($E$10:$P$10,E15:P15)/SUM($E$10:$P$10),2),0),"")</f>
        <v/>
      </c>
      <c r="S15" s="2" t="str">
        <f t="shared" si="2"/>
        <v/>
      </c>
      <c r="T15" s="2" t="str">
        <f t="shared" si="3"/>
        <v/>
      </c>
      <c r="U15" s="2" t="str">
        <f t="shared" si="4"/>
        <v/>
      </c>
      <c r="V15" s="2" t="str">
        <f t="shared" si="5"/>
        <v/>
      </c>
      <c r="W15" s="2" t="str">
        <f t="shared" si="6"/>
        <v/>
      </c>
      <c r="X15" s="2" t="str">
        <f t="shared" si="7"/>
        <v/>
      </c>
      <c r="Y15" s="2" t="str">
        <f t="shared" si="8"/>
        <v/>
      </c>
      <c r="Z15" s="2" t="str">
        <f t="shared" si="9"/>
        <v/>
      </c>
      <c r="AA15" s="2" t="str">
        <f t="shared" si="10"/>
        <v/>
      </c>
      <c r="AB15" s="2" t="str">
        <f t="shared" si="11"/>
        <v/>
      </c>
      <c r="AC15" s="2" t="str">
        <f t="shared" si="12"/>
        <v/>
      </c>
      <c r="AD15" s="2" t="str">
        <f t="shared" si="13"/>
        <v/>
      </c>
      <c r="AE15" s="2" t="str">
        <f t="shared" si="14"/>
        <v/>
      </c>
      <c r="AF15" s="2" t="str">
        <f t="shared" si="15"/>
        <v/>
      </c>
      <c r="AG15" s="2" t="str">
        <f t="shared" si="16"/>
        <v/>
      </c>
      <c r="AH15" s="2" t="str">
        <f t="shared" si="17"/>
        <v/>
      </c>
      <c r="AI15" s="2" t="str">
        <f t="shared" si="18"/>
        <v/>
      </c>
      <c r="AJ15" s="2" t="str">
        <f t="shared" si="19"/>
        <v/>
      </c>
      <c r="AK15" s="2" t="str">
        <f t="shared" si="20"/>
        <v/>
      </c>
      <c r="AL15" s="2" t="str">
        <f t="shared" si="21"/>
        <v/>
      </c>
      <c r="AM15" s="2" t="str">
        <f t="shared" si="22"/>
        <v/>
      </c>
      <c r="AN15" s="2" t="str">
        <f t="shared" si="23"/>
        <v/>
      </c>
      <c r="AP15" s="2" t="str" cm="1">
        <f t="array" ref="AP15">IF('NILAI CPL'!$B15&lt;&gt;"",IFERROR(_xlfn.IFS(S15&gt;='NILAI CPL'!$B$3,4,S15&gt;='NILAI CPL'!$B$4,3,S15&gt;='NILAI CPL'!$B$5,2,S15&gt;'NILAI CPL'!$B$6,1),0),"")</f>
        <v/>
      </c>
      <c r="AQ15" s="2" t="str" cm="1">
        <f t="array" ref="AQ15">IF('NILAI CPL'!$B15&lt;&gt;"",IFERROR(_xlfn.IFS(T15&gt;='NILAI CPL'!$B$3,4,T15&gt;='NILAI CPL'!$B$4,3,T15&gt;='NILAI CPL'!$B$5,2,T15&gt;'NILAI CPL'!$B$6,1),0),"")</f>
        <v/>
      </c>
      <c r="AR15" s="2" t="str" cm="1">
        <f t="array" ref="AR15">IF('NILAI CPL'!$B15&lt;&gt;"",IFERROR(_xlfn.IFS(U15&gt;='NILAI CPL'!$B$3,4,U15&gt;='NILAI CPL'!$B$4,3,U15&gt;='NILAI CPL'!$B$5,2,U15&gt;'NILAI CPL'!$B$6,1),0),"")</f>
        <v/>
      </c>
      <c r="AS15" s="2" t="str" cm="1">
        <f t="array" ref="AS15">IF('NILAI CPL'!$B15&lt;&gt;"",IFERROR(_xlfn.IFS(V15&gt;='NILAI CPL'!$B$3,4,V15&gt;='NILAI CPL'!$B$4,3,V15&gt;='NILAI CPL'!$B$5,2,V15&gt;'NILAI CPL'!$B$6,1),0),"")</f>
        <v/>
      </c>
      <c r="AT15" s="2" t="str" cm="1">
        <f t="array" ref="AT15">IF('NILAI CPL'!$B15&lt;&gt;"",IFERROR(_xlfn.IFS(W15&gt;='NILAI CPL'!$B$3,4,W15&gt;='NILAI CPL'!$B$4,3,W15&gt;='NILAI CPL'!$B$5,2,W15&gt;'NILAI CPL'!$B$6,1),0),"")</f>
        <v/>
      </c>
      <c r="AU15" s="2" t="str" cm="1">
        <f t="array" ref="AU15">IF('NILAI CPL'!$B15&lt;&gt;"",IFERROR(_xlfn.IFS(X15&gt;='NILAI CPL'!$B$3,4,X15&gt;='NILAI CPL'!$B$4,3,X15&gt;='NILAI CPL'!$B$5,2,X15&gt;'NILAI CPL'!$B$6,1),0),"")</f>
        <v/>
      </c>
      <c r="AV15" s="2" t="str" cm="1">
        <f t="array" ref="AV15">IF('NILAI CPL'!$B15&lt;&gt;"",IFERROR(_xlfn.IFS(Y15&gt;='NILAI CPL'!$B$3,4,Y15&gt;='NILAI CPL'!$B$4,3,Y15&gt;='NILAI CPL'!$B$5,2,Y15&gt;'NILAI CPL'!$B$6,1),0),"")</f>
        <v/>
      </c>
      <c r="AW15" s="2" t="str" cm="1">
        <f t="array" ref="AW15">IF('NILAI CPL'!$B15&lt;&gt;"",IFERROR(_xlfn.IFS(Z15&gt;='NILAI CPL'!$B$3,4,Z15&gt;='NILAI CPL'!$B$4,3,Z15&gt;='NILAI CPL'!$B$5,2,Z15&gt;'NILAI CPL'!$B$6,1),0),"")</f>
        <v/>
      </c>
      <c r="AX15" s="2" t="str" cm="1">
        <f t="array" ref="AX15">IF('NILAI CPL'!$B15&lt;&gt;"",IFERROR(_xlfn.IFS(AA15&gt;='NILAI CPL'!$B$3,4,AA15&gt;='NILAI CPL'!$B$4,3,AA15&gt;='NILAI CPL'!$B$5,2,AA15&gt;'NILAI CPL'!$B$6,1),0),"")</f>
        <v/>
      </c>
      <c r="AY15" s="2" t="str" cm="1">
        <f t="array" ref="AY15">IF('NILAI CPL'!$B15&lt;&gt;"",IFERROR(_xlfn.IFS(AB15&gt;='NILAI CPL'!$B$3,4,AB15&gt;='NILAI CPL'!$B$4,3,AB15&gt;='NILAI CPL'!$B$5,2,AB15&gt;'NILAI CPL'!$B$6,1),0),"")</f>
        <v/>
      </c>
      <c r="AZ15" s="2" t="str" cm="1">
        <f t="array" ref="AZ15">IF('NILAI CPL'!$B15&lt;&gt;"",IFERROR(_xlfn.IFS(AC15&gt;='NILAI CPL'!$B$3,4,AC15&gt;='NILAI CPL'!$B$4,3,AC15&gt;='NILAI CPL'!$B$5,2,AC15&gt;'NILAI CPL'!$B$6,1),0),"")</f>
        <v/>
      </c>
      <c r="BA15" s="2" t="str" cm="1">
        <f t="array" ref="BA15">IF('NILAI CPL'!$B15&lt;&gt;"",IFERROR(_xlfn.IFS(AD15&gt;='NILAI CPL'!$B$3,4,AD15&gt;='NILAI CPL'!$B$4,3,AD15&gt;='NILAI CPL'!$B$5,2,AD15&gt;'NILAI CPL'!$B$6,1),0),"")</f>
        <v/>
      </c>
      <c r="BB15" s="2" t="str" cm="1">
        <f t="array" ref="BB15">IF('NILAI CPL'!$B15&lt;&gt;"",IFERROR(_xlfn.IFS(AE15&gt;='NILAI CPL'!$B$3,4,AE15&gt;='NILAI CPL'!$B$4,3,AE15&gt;='NILAI CPL'!$B$5,2,AE15&gt;'NILAI CPL'!$B$6,1),0),"")</f>
        <v/>
      </c>
      <c r="BC15" s="2" t="str" cm="1">
        <f t="array" ref="BC15">IF('NILAI CPL'!$B15&lt;&gt;"",IFERROR(_xlfn.IFS(AF15&gt;='NILAI CPL'!$B$3,4,AF15&gt;='NILAI CPL'!$B$4,3,AF15&gt;='NILAI CPL'!$B$5,2,AF15&gt;'NILAI CPL'!$B$6,1),0),"")</f>
        <v/>
      </c>
      <c r="BD15" s="2" t="str" cm="1">
        <f t="array" ref="BD15">IF('NILAI CPL'!$B15&lt;&gt;"",IFERROR(_xlfn.IFS(AG15&gt;='NILAI CPL'!$B$3,4,AG15&gt;='NILAI CPL'!$B$4,3,AG15&gt;='NILAI CPL'!$B$5,2,AG15&gt;'NILAI CPL'!$B$6,1),0),"")</f>
        <v/>
      </c>
      <c r="BE15" s="2" t="str" cm="1">
        <f t="array" ref="BE15">IF('NILAI CPL'!$B15&lt;&gt;"",IFERROR(_xlfn.IFS(AH15&gt;='NILAI CPL'!$B$3,4,AH15&gt;='NILAI CPL'!$B$4,3,AH15&gt;='NILAI CPL'!$B$5,2,AH15&gt;'NILAI CPL'!$B$6,1),0),"")</f>
        <v/>
      </c>
      <c r="BF15" s="2" t="str" cm="1">
        <f t="array" ref="BF15">IF('NILAI CPL'!$B15&lt;&gt;"",IFERROR(_xlfn.IFS(AI15&gt;='NILAI CPL'!$B$3,4,AI15&gt;='NILAI CPL'!$B$4,3,AI15&gt;='NILAI CPL'!$B$5,2,AI15&gt;'NILAI CPL'!$B$6,1),0),"")</f>
        <v/>
      </c>
      <c r="BG15" s="2" t="str" cm="1">
        <f t="array" ref="BG15">IF('NILAI CPL'!$B15&lt;&gt;"",IFERROR(_xlfn.IFS(AJ15&gt;='NILAI CPL'!$B$3,4,AJ15&gt;='NILAI CPL'!$B$4,3,AJ15&gt;='NILAI CPL'!$B$5,2,AJ15&gt;'NILAI CPL'!$B$6,1),0),"")</f>
        <v/>
      </c>
      <c r="BH15" s="2" t="str" cm="1">
        <f t="array" ref="BH15">IF('NILAI CPL'!$B15&lt;&gt;"",IFERROR(_xlfn.IFS(AK15&gt;='NILAI CPL'!$B$3,4,AK15&gt;='NILAI CPL'!$B$4,3,AK15&gt;='NILAI CPL'!$B$5,2,AK15&gt;'NILAI CPL'!$B$6,1),0),"")</f>
        <v/>
      </c>
      <c r="BI15" s="2" t="str" cm="1">
        <f t="array" ref="BI15">IF('NILAI CPL'!$B15&lt;&gt;"",IFERROR(_xlfn.IFS(AL15&gt;='NILAI CPL'!$B$3,4,AL15&gt;='NILAI CPL'!$B$4,3,AL15&gt;='NILAI CPL'!$B$5,2,AL15&gt;'NILAI CPL'!$B$6,1),0),"")</f>
        <v/>
      </c>
      <c r="BJ15" s="2" t="str" cm="1">
        <f t="array" ref="BJ15">IF('NILAI CPL'!$B15&lt;&gt;"",IFERROR(_xlfn.IFS(AM15&gt;='NILAI CPL'!$B$3,4,AM15&gt;='NILAI CPL'!$B$4,3,AM15&gt;='NILAI CPL'!$B$5,2,AM15&gt;'NILAI CPL'!$B$6,1),0),"")</f>
        <v/>
      </c>
      <c r="BK15" s="2" t="str" cm="1">
        <f t="array" ref="BK15">IF('NILAI CPL'!$B15&lt;&gt;"",IFERROR(_xlfn.IFS(AN15&gt;='NILAI CPL'!$B$3,4,AN15&gt;='NILAI CPL'!$B$4,3,AN15&gt;='NILAI CPL'!$B$5,2,AN15&gt;'NILAI CPL'!$B$6,1),0),"")</f>
        <v/>
      </c>
    </row>
    <row r="16" spans="1:63" x14ac:dyDescent="0.2">
      <c r="A16" s="2">
        <v>6</v>
      </c>
      <c r="B16" s="2" t="str">
        <f>IF(LEN(SUMMARY!B16)&gt;0, SUMMARY!B16, "")</f>
        <v/>
      </c>
      <c r="C16" s="2" t="str">
        <f>IF(LEN(SUMMARY!C16)&gt;0, SUMMARY!C16, "")</f>
        <v/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" t="str">
        <f t="shared" si="24"/>
        <v/>
      </c>
      <c r="S16" s="2" t="str">
        <f t="shared" si="2"/>
        <v/>
      </c>
      <c r="T16" s="2" t="str">
        <f t="shared" si="3"/>
        <v/>
      </c>
      <c r="U16" s="2" t="str">
        <f t="shared" si="4"/>
        <v/>
      </c>
      <c r="V16" s="2" t="str">
        <f t="shared" si="5"/>
        <v/>
      </c>
      <c r="W16" s="2" t="str">
        <f t="shared" si="6"/>
        <v/>
      </c>
      <c r="X16" s="2" t="str">
        <f t="shared" si="7"/>
        <v/>
      </c>
      <c r="Y16" s="2" t="str">
        <f t="shared" si="8"/>
        <v/>
      </c>
      <c r="Z16" s="2" t="str">
        <f t="shared" si="9"/>
        <v/>
      </c>
      <c r="AA16" s="2" t="str">
        <f t="shared" si="10"/>
        <v/>
      </c>
      <c r="AB16" s="2" t="str">
        <f t="shared" si="11"/>
        <v/>
      </c>
      <c r="AC16" s="2" t="str">
        <f t="shared" si="12"/>
        <v/>
      </c>
      <c r="AD16" s="2" t="str">
        <f t="shared" si="13"/>
        <v/>
      </c>
      <c r="AE16" s="2" t="str">
        <f t="shared" si="14"/>
        <v/>
      </c>
      <c r="AF16" s="2" t="str">
        <f t="shared" si="15"/>
        <v/>
      </c>
      <c r="AG16" s="2" t="str">
        <f t="shared" si="16"/>
        <v/>
      </c>
      <c r="AH16" s="2" t="str">
        <f t="shared" si="17"/>
        <v/>
      </c>
      <c r="AI16" s="2" t="str">
        <f t="shared" si="18"/>
        <v/>
      </c>
      <c r="AJ16" s="2" t="str">
        <f t="shared" si="19"/>
        <v/>
      </c>
      <c r="AK16" s="2" t="str">
        <f t="shared" si="20"/>
        <v/>
      </c>
      <c r="AL16" s="2" t="str">
        <f t="shared" si="21"/>
        <v/>
      </c>
      <c r="AM16" s="2" t="str">
        <f t="shared" si="22"/>
        <v/>
      </c>
      <c r="AN16" s="2" t="str">
        <f t="shared" si="23"/>
        <v/>
      </c>
      <c r="AP16" s="2" t="str" cm="1">
        <f t="array" ref="AP16">IF('NILAI CPL'!$B16&lt;&gt;"",IFERROR(_xlfn.IFS(S16&gt;='NILAI CPL'!$B$3,4,S16&gt;='NILAI CPL'!$B$4,3,S16&gt;='NILAI CPL'!$B$5,2,S16&gt;'NILAI CPL'!$B$6,1),0),"")</f>
        <v/>
      </c>
      <c r="AQ16" s="2" t="str" cm="1">
        <f t="array" ref="AQ16">IF('NILAI CPL'!$B16&lt;&gt;"",IFERROR(_xlfn.IFS(T16&gt;='NILAI CPL'!$B$3,4,T16&gt;='NILAI CPL'!$B$4,3,T16&gt;='NILAI CPL'!$B$5,2,T16&gt;'NILAI CPL'!$B$6,1),0),"")</f>
        <v/>
      </c>
      <c r="AR16" s="2" t="str" cm="1">
        <f t="array" ref="AR16">IF('NILAI CPL'!$B16&lt;&gt;"",IFERROR(_xlfn.IFS(U16&gt;='NILAI CPL'!$B$3,4,U16&gt;='NILAI CPL'!$B$4,3,U16&gt;='NILAI CPL'!$B$5,2,U16&gt;'NILAI CPL'!$B$6,1),0),"")</f>
        <v/>
      </c>
      <c r="AS16" s="2" t="str" cm="1">
        <f t="array" ref="AS16">IF('NILAI CPL'!$B16&lt;&gt;"",IFERROR(_xlfn.IFS(V16&gt;='NILAI CPL'!$B$3,4,V16&gt;='NILAI CPL'!$B$4,3,V16&gt;='NILAI CPL'!$B$5,2,V16&gt;'NILAI CPL'!$B$6,1),0),"")</f>
        <v/>
      </c>
      <c r="AT16" s="2" t="str" cm="1">
        <f t="array" ref="AT16">IF('NILAI CPL'!$B16&lt;&gt;"",IFERROR(_xlfn.IFS(W16&gt;='NILAI CPL'!$B$3,4,W16&gt;='NILAI CPL'!$B$4,3,W16&gt;='NILAI CPL'!$B$5,2,W16&gt;'NILAI CPL'!$B$6,1),0),"")</f>
        <v/>
      </c>
      <c r="AU16" s="2" t="str" cm="1">
        <f t="array" ref="AU16">IF('NILAI CPL'!$B16&lt;&gt;"",IFERROR(_xlfn.IFS(X16&gt;='NILAI CPL'!$B$3,4,X16&gt;='NILAI CPL'!$B$4,3,X16&gt;='NILAI CPL'!$B$5,2,X16&gt;'NILAI CPL'!$B$6,1),0),"")</f>
        <v/>
      </c>
      <c r="AV16" s="2" t="str" cm="1">
        <f t="array" ref="AV16">IF('NILAI CPL'!$B16&lt;&gt;"",IFERROR(_xlfn.IFS(Y16&gt;='NILAI CPL'!$B$3,4,Y16&gt;='NILAI CPL'!$B$4,3,Y16&gt;='NILAI CPL'!$B$5,2,Y16&gt;'NILAI CPL'!$B$6,1),0),"")</f>
        <v/>
      </c>
      <c r="AW16" s="2" t="str" cm="1">
        <f t="array" ref="AW16">IF('NILAI CPL'!$B16&lt;&gt;"",IFERROR(_xlfn.IFS(Z16&gt;='NILAI CPL'!$B$3,4,Z16&gt;='NILAI CPL'!$B$4,3,Z16&gt;='NILAI CPL'!$B$5,2,Z16&gt;'NILAI CPL'!$B$6,1),0),"")</f>
        <v/>
      </c>
      <c r="AX16" s="2" t="str" cm="1">
        <f t="array" ref="AX16">IF('NILAI CPL'!$B16&lt;&gt;"",IFERROR(_xlfn.IFS(AA16&gt;='NILAI CPL'!$B$3,4,AA16&gt;='NILAI CPL'!$B$4,3,AA16&gt;='NILAI CPL'!$B$5,2,AA16&gt;'NILAI CPL'!$B$6,1),0),"")</f>
        <v/>
      </c>
      <c r="AY16" s="2" t="str" cm="1">
        <f t="array" ref="AY16">IF('NILAI CPL'!$B16&lt;&gt;"",IFERROR(_xlfn.IFS(AB16&gt;='NILAI CPL'!$B$3,4,AB16&gt;='NILAI CPL'!$B$4,3,AB16&gt;='NILAI CPL'!$B$5,2,AB16&gt;'NILAI CPL'!$B$6,1),0),"")</f>
        <v/>
      </c>
      <c r="AZ16" s="2" t="str" cm="1">
        <f t="array" ref="AZ16">IF('NILAI CPL'!$B16&lt;&gt;"",IFERROR(_xlfn.IFS(AC16&gt;='NILAI CPL'!$B$3,4,AC16&gt;='NILAI CPL'!$B$4,3,AC16&gt;='NILAI CPL'!$B$5,2,AC16&gt;'NILAI CPL'!$B$6,1),0),"")</f>
        <v/>
      </c>
      <c r="BA16" s="2" t="str" cm="1">
        <f t="array" ref="BA16">IF('NILAI CPL'!$B16&lt;&gt;"",IFERROR(_xlfn.IFS(AD16&gt;='NILAI CPL'!$B$3,4,AD16&gt;='NILAI CPL'!$B$4,3,AD16&gt;='NILAI CPL'!$B$5,2,AD16&gt;'NILAI CPL'!$B$6,1),0),"")</f>
        <v/>
      </c>
      <c r="BB16" s="2" t="str" cm="1">
        <f t="array" ref="BB16">IF('NILAI CPL'!$B16&lt;&gt;"",IFERROR(_xlfn.IFS(AE16&gt;='NILAI CPL'!$B$3,4,AE16&gt;='NILAI CPL'!$B$4,3,AE16&gt;='NILAI CPL'!$B$5,2,AE16&gt;'NILAI CPL'!$B$6,1),0),"")</f>
        <v/>
      </c>
      <c r="BC16" s="2" t="str" cm="1">
        <f t="array" ref="BC16">IF('NILAI CPL'!$B16&lt;&gt;"",IFERROR(_xlfn.IFS(AF16&gt;='NILAI CPL'!$B$3,4,AF16&gt;='NILAI CPL'!$B$4,3,AF16&gt;='NILAI CPL'!$B$5,2,AF16&gt;'NILAI CPL'!$B$6,1),0),"")</f>
        <v/>
      </c>
      <c r="BD16" s="2" t="str" cm="1">
        <f t="array" ref="BD16">IF('NILAI CPL'!$B16&lt;&gt;"",IFERROR(_xlfn.IFS(AG16&gt;='NILAI CPL'!$B$3,4,AG16&gt;='NILAI CPL'!$B$4,3,AG16&gt;='NILAI CPL'!$B$5,2,AG16&gt;'NILAI CPL'!$B$6,1),0),"")</f>
        <v/>
      </c>
      <c r="BE16" s="2" t="str" cm="1">
        <f t="array" ref="BE16">IF('NILAI CPL'!$B16&lt;&gt;"",IFERROR(_xlfn.IFS(AH16&gt;='NILAI CPL'!$B$3,4,AH16&gt;='NILAI CPL'!$B$4,3,AH16&gt;='NILAI CPL'!$B$5,2,AH16&gt;'NILAI CPL'!$B$6,1),0),"")</f>
        <v/>
      </c>
      <c r="BF16" s="2" t="str" cm="1">
        <f t="array" ref="BF16">IF('NILAI CPL'!$B16&lt;&gt;"",IFERROR(_xlfn.IFS(AI16&gt;='NILAI CPL'!$B$3,4,AI16&gt;='NILAI CPL'!$B$4,3,AI16&gt;='NILAI CPL'!$B$5,2,AI16&gt;'NILAI CPL'!$B$6,1),0),"")</f>
        <v/>
      </c>
      <c r="BG16" s="2" t="str" cm="1">
        <f t="array" ref="BG16">IF('NILAI CPL'!$B16&lt;&gt;"",IFERROR(_xlfn.IFS(AJ16&gt;='NILAI CPL'!$B$3,4,AJ16&gt;='NILAI CPL'!$B$4,3,AJ16&gt;='NILAI CPL'!$B$5,2,AJ16&gt;'NILAI CPL'!$B$6,1),0),"")</f>
        <v/>
      </c>
      <c r="BH16" s="2" t="str" cm="1">
        <f t="array" ref="BH16">IF('NILAI CPL'!$B16&lt;&gt;"",IFERROR(_xlfn.IFS(AK16&gt;='NILAI CPL'!$B$3,4,AK16&gt;='NILAI CPL'!$B$4,3,AK16&gt;='NILAI CPL'!$B$5,2,AK16&gt;'NILAI CPL'!$B$6,1),0),"")</f>
        <v/>
      </c>
      <c r="BI16" s="2" t="str" cm="1">
        <f t="array" ref="BI16">IF('NILAI CPL'!$B16&lt;&gt;"",IFERROR(_xlfn.IFS(AL16&gt;='NILAI CPL'!$B$3,4,AL16&gt;='NILAI CPL'!$B$4,3,AL16&gt;='NILAI CPL'!$B$5,2,AL16&gt;'NILAI CPL'!$B$6,1),0),"")</f>
        <v/>
      </c>
      <c r="BJ16" s="2" t="str" cm="1">
        <f t="array" ref="BJ16">IF('NILAI CPL'!$B16&lt;&gt;"",IFERROR(_xlfn.IFS(AM16&gt;='NILAI CPL'!$B$3,4,AM16&gt;='NILAI CPL'!$B$4,3,AM16&gt;='NILAI CPL'!$B$5,2,AM16&gt;'NILAI CPL'!$B$6,1),0),"")</f>
        <v/>
      </c>
      <c r="BK16" s="2" t="str" cm="1">
        <f t="array" ref="BK16">IF('NILAI CPL'!$B16&lt;&gt;"",IFERROR(_xlfn.IFS(AN16&gt;='NILAI CPL'!$B$3,4,AN16&gt;='NILAI CPL'!$B$4,3,AN16&gt;='NILAI CPL'!$B$5,2,AN16&gt;'NILAI CPL'!$B$6,1),0),"")</f>
        <v/>
      </c>
    </row>
    <row r="17" spans="1:63" x14ac:dyDescent="0.2">
      <c r="A17" s="2">
        <v>7</v>
      </c>
      <c r="B17" s="2" t="str">
        <f>IF(LEN(SUMMARY!B17)&gt;0, SUMMARY!B17, "")</f>
        <v/>
      </c>
      <c r="C17" s="2" t="str">
        <f>IF(LEN(SUMMARY!C17)&gt;0, SUMMARY!C17, "")</f>
        <v/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" t="str">
        <f t="shared" si="24"/>
        <v/>
      </c>
      <c r="S17" s="2" t="str">
        <f t="shared" si="2"/>
        <v/>
      </c>
      <c r="T17" s="2" t="str">
        <f t="shared" si="3"/>
        <v/>
      </c>
      <c r="U17" s="2" t="str">
        <f t="shared" si="4"/>
        <v/>
      </c>
      <c r="V17" s="2" t="str">
        <f t="shared" si="5"/>
        <v/>
      </c>
      <c r="W17" s="2" t="str">
        <f t="shared" si="6"/>
        <v/>
      </c>
      <c r="X17" s="2" t="str">
        <f t="shared" si="7"/>
        <v/>
      </c>
      <c r="Y17" s="2" t="str">
        <f t="shared" si="8"/>
        <v/>
      </c>
      <c r="Z17" s="2" t="str">
        <f t="shared" si="9"/>
        <v/>
      </c>
      <c r="AA17" s="2" t="str">
        <f t="shared" si="10"/>
        <v/>
      </c>
      <c r="AB17" s="2" t="str">
        <f t="shared" si="11"/>
        <v/>
      </c>
      <c r="AC17" s="2" t="str">
        <f t="shared" si="12"/>
        <v/>
      </c>
      <c r="AD17" s="2" t="str">
        <f t="shared" si="13"/>
        <v/>
      </c>
      <c r="AE17" s="2" t="str">
        <f t="shared" si="14"/>
        <v/>
      </c>
      <c r="AF17" s="2" t="str">
        <f t="shared" si="15"/>
        <v/>
      </c>
      <c r="AG17" s="2" t="str">
        <f t="shared" si="16"/>
        <v/>
      </c>
      <c r="AH17" s="2" t="str">
        <f t="shared" si="17"/>
        <v/>
      </c>
      <c r="AI17" s="2" t="str">
        <f t="shared" si="18"/>
        <v/>
      </c>
      <c r="AJ17" s="2" t="str">
        <f t="shared" si="19"/>
        <v/>
      </c>
      <c r="AK17" s="2" t="str">
        <f t="shared" si="20"/>
        <v/>
      </c>
      <c r="AL17" s="2" t="str">
        <f t="shared" si="21"/>
        <v/>
      </c>
      <c r="AM17" s="2" t="str">
        <f t="shared" si="22"/>
        <v/>
      </c>
      <c r="AN17" s="2" t="str">
        <f t="shared" si="23"/>
        <v/>
      </c>
      <c r="AP17" s="2" t="str" cm="1">
        <f t="array" ref="AP17">IF('NILAI CPL'!$B17&lt;&gt;"",IFERROR(_xlfn.IFS(S17&gt;='NILAI CPL'!$B$3,4,S17&gt;='NILAI CPL'!$B$4,3,S17&gt;='NILAI CPL'!$B$5,2,S17&gt;'NILAI CPL'!$B$6,1),0),"")</f>
        <v/>
      </c>
      <c r="AQ17" s="2" t="str" cm="1">
        <f t="array" ref="AQ17">IF('NILAI CPL'!$B17&lt;&gt;"",IFERROR(_xlfn.IFS(T17&gt;='NILAI CPL'!$B$3,4,T17&gt;='NILAI CPL'!$B$4,3,T17&gt;='NILAI CPL'!$B$5,2,T17&gt;'NILAI CPL'!$B$6,1),0),"")</f>
        <v/>
      </c>
      <c r="AR17" s="2" t="str" cm="1">
        <f t="array" ref="AR17">IF('NILAI CPL'!$B17&lt;&gt;"",IFERROR(_xlfn.IFS(U17&gt;='NILAI CPL'!$B$3,4,U17&gt;='NILAI CPL'!$B$4,3,U17&gt;='NILAI CPL'!$B$5,2,U17&gt;'NILAI CPL'!$B$6,1),0),"")</f>
        <v/>
      </c>
      <c r="AS17" s="2" t="str" cm="1">
        <f t="array" ref="AS17">IF('NILAI CPL'!$B17&lt;&gt;"",IFERROR(_xlfn.IFS(V17&gt;='NILAI CPL'!$B$3,4,V17&gt;='NILAI CPL'!$B$4,3,V17&gt;='NILAI CPL'!$B$5,2,V17&gt;'NILAI CPL'!$B$6,1),0),"")</f>
        <v/>
      </c>
      <c r="AT17" s="2" t="str" cm="1">
        <f t="array" ref="AT17">IF('NILAI CPL'!$B17&lt;&gt;"",IFERROR(_xlfn.IFS(W17&gt;='NILAI CPL'!$B$3,4,W17&gt;='NILAI CPL'!$B$4,3,W17&gt;='NILAI CPL'!$B$5,2,W17&gt;'NILAI CPL'!$B$6,1),0),"")</f>
        <v/>
      </c>
      <c r="AU17" s="2" t="str" cm="1">
        <f t="array" ref="AU17">IF('NILAI CPL'!$B17&lt;&gt;"",IFERROR(_xlfn.IFS(X17&gt;='NILAI CPL'!$B$3,4,X17&gt;='NILAI CPL'!$B$4,3,X17&gt;='NILAI CPL'!$B$5,2,X17&gt;'NILAI CPL'!$B$6,1),0),"")</f>
        <v/>
      </c>
      <c r="AV17" s="2" t="str" cm="1">
        <f t="array" ref="AV17">IF('NILAI CPL'!$B17&lt;&gt;"",IFERROR(_xlfn.IFS(Y17&gt;='NILAI CPL'!$B$3,4,Y17&gt;='NILAI CPL'!$B$4,3,Y17&gt;='NILAI CPL'!$B$5,2,Y17&gt;'NILAI CPL'!$B$6,1),0),"")</f>
        <v/>
      </c>
      <c r="AW17" s="2" t="str" cm="1">
        <f t="array" ref="AW17">IF('NILAI CPL'!$B17&lt;&gt;"",IFERROR(_xlfn.IFS(Z17&gt;='NILAI CPL'!$B$3,4,Z17&gt;='NILAI CPL'!$B$4,3,Z17&gt;='NILAI CPL'!$B$5,2,Z17&gt;'NILAI CPL'!$B$6,1),0),"")</f>
        <v/>
      </c>
      <c r="AX17" s="2" t="str" cm="1">
        <f t="array" ref="AX17">IF('NILAI CPL'!$B17&lt;&gt;"",IFERROR(_xlfn.IFS(AA17&gt;='NILAI CPL'!$B$3,4,AA17&gt;='NILAI CPL'!$B$4,3,AA17&gt;='NILAI CPL'!$B$5,2,AA17&gt;'NILAI CPL'!$B$6,1),0),"")</f>
        <v/>
      </c>
      <c r="AY17" s="2" t="str" cm="1">
        <f t="array" ref="AY17">IF('NILAI CPL'!$B17&lt;&gt;"",IFERROR(_xlfn.IFS(AB17&gt;='NILAI CPL'!$B$3,4,AB17&gt;='NILAI CPL'!$B$4,3,AB17&gt;='NILAI CPL'!$B$5,2,AB17&gt;'NILAI CPL'!$B$6,1),0),"")</f>
        <v/>
      </c>
      <c r="AZ17" s="2" t="str" cm="1">
        <f t="array" ref="AZ17">IF('NILAI CPL'!$B17&lt;&gt;"",IFERROR(_xlfn.IFS(AC17&gt;='NILAI CPL'!$B$3,4,AC17&gt;='NILAI CPL'!$B$4,3,AC17&gt;='NILAI CPL'!$B$5,2,AC17&gt;'NILAI CPL'!$B$6,1),0),"")</f>
        <v/>
      </c>
      <c r="BA17" s="2" t="str" cm="1">
        <f t="array" ref="BA17">IF('NILAI CPL'!$B17&lt;&gt;"",IFERROR(_xlfn.IFS(AD17&gt;='NILAI CPL'!$B$3,4,AD17&gt;='NILAI CPL'!$B$4,3,AD17&gt;='NILAI CPL'!$B$5,2,AD17&gt;'NILAI CPL'!$B$6,1),0),"")</f>
        <v/>
      </c>
      <c r="BB17" s="2" t="str" cm="1">
        <f t="array" ref="BB17">IF('NILAI CPL'!$B17&lt;&gt;"",IFERROR(_xlfn.IFS(AE17&gt;='NILAI CPL'!$B$3,4,AE17&gt;='NILAI CPL'!$B$4,3,AE17&gt;='NILAI CPL'!$B$5,2,AE17&gt;'NILAI CPL'!$B$6,1),0),"")</f>
        <v/>
      </c>
      <c r="BC17" s="2" t="str" cm="1">
        <f t="array" ref="BC17">IF('NILAI CPL'!$B17&lt;&gt;"",IFERROR(_xlfn.IFS(AF17&gt;='NILAI CPL'!$B$3,4,AF17&gt;='NILAI CPL'!$B$4,3,AF17&gt;='NILAI CPL'!$B$5,2,AF17&gt;'NILAI CPL'!$B$6,1),0),"")</f>
        <v/>
      </c>
      <c r="BD17" s="2" t="str" cm="1">
        <f t="array" ref="BD17">IF('NILAI CPL'!$B17&lt;&gt;"",IFERROR(_xlfn.IFS(AG17&gt;='NILAI CPL'!$B$3,4,AG17&gt;='NILAI CPL'!$B$4,3,AG17&gt;='NILAI CPL'!$B$5,2,AG17&gt;'NILAI CPL'!$B$6,1),0),"")</f>
        <v/>
      </c>
      <c r="BE17" s="2" t="str" cm="1">
        <f t="array" ref="BE17">IF('NILAI CPL'!$B17&lt;&gt;"",IFERROR(_xlfn.IFS(AH17&gt;='NILAI CPL'!$B$3,4,AH17&gt;='NILAI CPL'!$B$4,3,AH17&gt;='NILAI CPL'!$B$5,2,AH17&gt;'NILAI CPL'!$B$6,1),0),"")</f>
        <v/>
      </c>
      <c r="BF17" s="2" t="str" cm="1">
        <f t="array" ref="BF17">IF('NILAI CPL'!$B17&lt;&gt;"",IFERROR(_xlfn.IFS(AI17&gt;='NILAI CPL'!$B$3,4,AI17&gt;='NILAI CPL'!$B$4,3,AI17&gt;='NILAI CPL'!$B$5,2,AI17&gt;'NILAI CPL'!$B$6,1),0),"")</f>
        <v/>
      </c>
      <c r="BG17" s="2" t="str" cm="1">
        <f t="array" ref="BG17">IF('NILAI CPL'!$B17&lt;&gt;"",IFERROR(_xlfn.IFS(AJ17&gt;='NILAI CPL'!$B$3,4,AJ17&gt;='NILAI CPL'!$B$4,3,AJ17&gt;='NILAI CPL'!$B$5,2,AJ17&gt;'NILAI CPL'!$B$6,1),0),"")</f>
        <v/>
      </c>
      <c r="BH17" s="2" t="str" cm="1">
        <f t="array" ref="BH17">IF('NILAI CPL'!$B17&lt;&gt;"",IFERROR(_xlfn.IFS(AK17&gt;='NILAI CPL'!$B$3,4,AK17&gt;='NILAI CPL'!$B$4,3,AK17&gt;='NILAI CPL'!$B$5,2,AK17&gt;'NILAI CPL'!$B$6,1),0),"")</f>
        <v/>
      </c>
      <c r="BI17" s="2" t="str" cm="1">
        <f t="array" ref="BI17">IF('NILAI CPL'!$B17&lt;&gt;"",IFERROR(_xlfn.IFS(AL17&gt;='NILAI CPL'!$B$3,4,AL17&gt;='NILAI CPL'!$B$4,3,AL17&gt;='NILAI CPL'!$B$5,2,AL17&gt;'NILAI CPL'!$B$6,1),0),"")</f>
        <v/>
      </c>
      <c r="BJ17" s="2" t="str" cm="1">
        <f t="array" ref="BJ17">IF('NILAI CPL'!$B17&lt;&gt;"",IFERROR(_xlfn.IFS(AM17&gt;='NILAI CPL'!$B$3,4,AM17&gt;='NILAI CPL'!$B$4,3,AM17&gt;='NILAI CPL'!$B$5,2,AM17&gt;'NILAI CPL'!$B$6,1),0),"")</f>
        <v/>
      </c>
      <c r="BK17" s="2" t="str" cm="1">
        <f t="array" ref="BK17">IF('NILAI CPL'!$B17&lt;&gt;"",IFERROR(_xlfn.IFS(AN17&gt;='NILAI CPL'!$B$3,4,AN17&gt;='NILAI CPL'!$B$4,3,AN17&gt;='NILAI CPL'!$B$5,2,AN17&gt;'NILAI CPL'!$B$6,1),0),"")</f>
        <v/>
      </c>
    </row>
    <row r="18" spans="1:63" x14ac:dyDescent="0.2">
      <c r="A18" s="2">
        <v>8</v>
      </c>
      <c r="B18" s="2" t="str">
        <f>IF(LEN(SUMMARY!B18)&gt;0, SUMMARY!B18, "")</f>
        <v/>
      </c>
      <c r="C18" s="2" t="str">
        <f>IF(LEN(SUMMARY!C18)&gt;0, SUMMARY!C18, "")</f>
        <v/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" t="str">
        <f t="shared" si="24"/>
        <v/>
      </c>
      <c r="S18" s="2" t="str">
        <f t="shared" si="2"/>
        <v/>
      </c>
      <c r="T18" s="2" t="str">
        <f t="shared" si="3"/>
        <v/>
      </c>
      <c r="U18" s="2" t="str">
        <f t="shared" si="4"/>
        <v/>
      </c>
      <c r="V18" s="2" t="str">
        <f t="shared" si="5"/>
        <v/>
      </c>
      <c r="W18" s="2" t="str">
        <f t="shared" si="6"/>
        <v/>
      </c>
      <c r="X18" s="2" t="str">
        <f t="shared" si="7"/>
        <v/>
      </c>
      <c r="Y18" s="2" t="str">
        <f t="shared" si="8"/>
        <v/>
      </c>
      <c r="Z18" s="2" t="str">
        <f t="shared" si="9"/>
        <v/>
      </c>
      <c r="AA18" s="2" t="str">
        <f t="shared" si="10"/>
        <v/>
      </c>
      <c r="AB18" s="2" t="str">
        <f t="shared" si="11"/>
        <v/>
      </c>
      <c r="AC18" s="2" t="str">
        <f t="shared" si="12"/>
        <v/>
      </c>
      <c r="AD18" s="2" t="str">
        <f t="shared" si="13"/>
        <v/>
      </c>
      <c r="AE18" s="2" t="str">
        <f t="shared" si="14"/>
        <v/>
      </c>
      <c r="AF18" s="2" t="str">
        <f t="shared" si="15"/>
        <v/>
      </c>
      <c r="AG18" s="2" t="str">
        <f t="shared" si="16"/>
        <v/>
      </c>
      <c r="AH18" s="2" t="str">
        <f t="shared" si="17"/>
        <v/>
      </c>
      <c r="AI18" s="2" t="str">
        <f t="shared" si="18"/>
        <v/>
      </c>
      <c r="AJ18" s="2" t="str">
        <f t="shared" si="19"/>
        <v/>
      </c>
      <c r="AK18" s="2" t="str">
        <f t="shared" si="20"/>
        <v/>
      </c>
      <c r="AL18" s="2" t="str">
        <f t="shared" si="21"/>
        <v/>
      </c>
      <c r="AM18" s="2" t="str">
        <f t="shared" si="22"/>
        <v/>
      </c>
      <c r="AN18" s="2" t="str">
        <f t="shared" si="23"/>
        <v/>
      </c>
      <c r="AP18" s="2" t="str" cm="1">
        <f t="array" ref="AP18">IF('NILAI CPL'!$B18&lt;&gt;"",IFERROR(_xlfn.IFS(S18&gt;='NILAI CPL'!$B$3,4,S18&gt;='NILAI CPL'!$B$4,3,S18&gt;='NILAI CPL'!$B$5,2,S18&gt;'NILAI CPL'!$B$6,1),0),"")</f>
        <v/>
      </c>
      <c r="AQ18" s="2" t="str" cm="1">
        <f t="array" ref="AQ18">IF('NILAI CPL'!$B18&lt;&gt;"",IFERROR(_xlfn.IFS(T18&gt;='NILAI CPL'!$B$3,4,T18&gt;='NILAI CPL'!$B$4,3,T18&gt;='NILAI CPL'!$B$5,2,T18&gt;'NILAI CPL'!$B$6,1),0),"")</f>
        <v/>
      </c>
      <c r="AR18" s="2" t="str" cm="1">
        <f t="array" ref="AR18">IF('NILAI CPL'!$B18&lt;&gt;"",IFERROR(_xlfn.IFS(U18&gt;='NILAI CPL'!$B$3,4,U18&gt;='NILAI CPL'!$B$4,3,U18&gt;='NILAI CPL'!$B$5,2,U18&gt;'NILAI CPL'!$B$6,1),0),"")</f>
        <v/>
      </c>
      <c r="AS18" s="2" t="str" cm="1">
        <f t="array" ref="AS18">IF('NILAI CPL'!$B18&lt;&gt;"",IFERROR(_xlfn.IFS(V18&gt;='NILAI CPL'!$B$3,4,V18&gt;='NILAI CPL'!$B$4,3,V18&gt;='NILAI CPL'!$B$5,2,V18&gt;'NILAI CPL'!$B$6,1),0),"")</f>
        <v/>
      </c>
      <c r="AT18" s="2" t="str" cm="1">
        <f t="array" ref="AT18">IF('NILAI CPL'!$B18&lt;&gt;"",IFERROR(_xlfn.IFS(W18&gt;='NILAI CPL'!$B$3,4,W18&gt;='NILAI CPL'!$B$4,3,W18&gt;='NILAI CPL'!$B$5,2,W18&gt;'NILAI CPL'!$B$6,1),0),"")</f>
        <v/>
      </c>
      <c r="AU18" s="2" t="str" cm="1">
        <f t="array" ref="AU18">IF('NILAI CPL'!$B18&lt;&gt;"",IFERROR(_xlfn.IFS(X18&gt;='NILAI CPL'!$B$3,4,X18&gt;='NILAI CPL'!$B$4,3,X18&gt;='NILAI CPL'!$B$5,2,X18&gt;'NILAI CPL'!$B$6,1),0),"")</f>
        <v/>
      </c>
      <c r="AV18" s="2" t="str" cm="1">
        <f t="array" ref="AV18">IF('NILAI CPL'!$B18&lt;&gt;"",IFERROR(_xlfn.IFS(Y18&gt;='NILAI CPL'!$B$3,4,Y18&gt;='NILAI CPL'!$B$4,3,Y18&gt;='NILAI CPL'!$B$5,2,Y18&gt;'NILAI CPL'!$B$6,1),0),"")</f>
        <v/>
      </c>
      <c r="AW18" s="2" t="str" cm="1">
        <f t="array" ref="AW18">IF('NILAI CPL'!$B18&lt;&gt;"",IFERROR(_xlfn.IFS(Z18&gt;='NILAI CPL'!$B$3,4,Z18&gt;='NILAI CPL'!$B$4,3,Z18&gt;='NILAI CPL'!$B$5,2,Z18&gt;'NILAI CPL'!$B$6,1),0),"")</f>
        <v/>
      </c>
      <c r="AX18" s="2" t="str" cm="1">
        <f t="array" ref="AX18">IF('NILAI CPL'!$B18&lt;&gt;"",IFERROR(_xlfn.IFS(AA18&gt;='NILAI CPL'!$B$3,4,AA18&gt;='NILAI CPL'!$B$4,3,AA18&gt;='NILAI CPL'!$B$5,2,AA18&gt;'NILAI CPL'!$B$6,1),0),"")</f>
        <v/>
      </c>
      <c r="AY18" s="2" t="str" cm="1">
        <f t="array" ref="AY18">IF('NILAI CPL'!$B18&lt;&gt;"",IFERROR(_xlfn.IFS(AB18&gt;='NILAI CPL'!$B$3,4,AB18&gt;='NILAI CPL'!$B$4,3,AB18&gt;='NILAI CPL'!$B$5,2,AB18&gt;'NILAI CPL'!$B$6,1),0),"")</f>
        <v/>
      </c>
      <c r="AZ18" s="2" t="str" cm="1">
        <f t="array" ref="AZ18">IF('NILAI CPL'!$B18&lt;&gt;"",IFERROR(_xlfn.IFS(AC18&gt;='NILAI CPL'!$B$3,4,AC18&gt;='NILAI CPL'!$B$4,3,AC18&gt;='NILAI CPL'!$B$5,2,AC18&gt;'NILAI CPL'!$B$6,1),0),"")</f>
        <v/>
      </c>
      <c r="BA18" s="2" t="str" cm="1">
        <f t="array" ref="BA18">IF('NILAI CPL'!$B18&lt;&gt;"",IFERROR(_xlfn.IFS(AD18&gt;='NILAI CPL'!$B$3,4,AD18&gt;='NILAI CPL'!$B$4,3,AD18&gt;='NILAI CPL'!$B$5,2,AD18&gt;'NILAI CPL'!$B$6,1),0),"")</f>
        <v/>
      </c>
      <c r="BB18" s="2" t="str" cm="1">
        <f t="array" ref="BB18">IF('NILAI CPL'!$B18&lt;&gt;"",IFERROR(_xlfn.IFS(AE18&gt;='NILAI CPL'!$B$3,4,AE18&gt;='NILAI CPL'!$B$4,3,AE18&gt;='NILAI CPL'!$B$5,2,AE18&gt;'NILAI CPL'!$B$6,1),0),"")</f>
        <v/>
      </c>
      <c r="BC18" s="2" t="str" cm="1">
        <f t="array" ref="BC18">IF('NILAI CPL'!$B18&lt;&gt;"",IFERROR(_xlfn.IFS(AF18&gt;='NILAI CPL'!$B$3,4,AF18&gt;='NILAI CPL'!$B$4,3,AF18&gt;='NILAI CPL'!$B$5,2,AF18&gt;'NILAI CPL'!$B$6,1),0),"")</f>
        <v/>
      </c>
      <c r="BD18" s="2" t="str" cm="1">
        <f t="array" ref="BD18">IF('NILAI CPL'!$B18&lt;&gt;"",IFERROR(_xlfn.IFS(AG18&gt;='NILAI CPL'!$B$3,4,AG18&gt;='NILAI CPL'!$B$4,3,AG18&gt;='NILAI CPL'!$B$5,2,AG18&gt;'NILAI CPL'!$B$6,1),0),"")</f>
        <v/>
      </c>
      <c r="BE18" s="2" t="str" cm="1">
        <f t="array" ref="BE18">IF('NILAI CPL'!$B18&lt;&gt;"",IFERROR(_xlfn.IFS(AH18&gt;='NILAI CPL'!$B$3,4,AH18&gt;='NILAI CPL'!$B$4,3,AH18&gt;='NILAI CPL'!$B$5,2,AH18&gt;'NILAI CPL'!$B$6,1),0),"")</f>
        <v/>
      </c>
      <c r="BF18" s="2" t="str" cm="1">
        <f t="array" ref="BF18">IF('NILAI CPL'!$B18&lt;&gt;"",IFERROR(_xlfn.IFS(AI18&gt;='NILAI CPL'!$B$3,4,AI18&gt;='NILAI CPL'!$B$4,3,AI18&gt;='NILAI CPL'!$B$5,2,AI18&gt;'NILAI CPL'!$B$6,1),0),"")</f>
        <v/>
      </c>
      <c r="BG18" s="2" t="str" cm="1">
        <f t="array" ref="BG18">IF('NILAI CPL'!$B18&lt;&gt;"",IFERROR(_xlfn.IFS(AJ18&gt;='NILAI CPL'!$B$3,4,AJ18&gt;='NILAI CPL'!$B$4,3,AJ18&gt;='NILAI CPL'!$B$5,2,AJ18&gt;'NILAI CPL'!$B$6,1),0),"")</f>
        <v/>
      </c>
      <c r="BH18" s="2" t="str" cm="1">
        <f t="array" ref="BH18">IF('NILAI CPL'!$B18&lt;&gt;"",IFERROR(_xlfn.IFS(AK18&gt;='NILAI CPL'!$B$3,4,AK18&gt;='NILAI CPL'!$B$4,3,AK18&gt;='NILAI CPL'!$B$5,2,AK18&gt;'NILAI CPL'!$B$6,1),0),"")</f>
        <v/>
      </c>
      <c r="BI18" s="2" t="str" cm="1">
        <f t="array" ref="BI18">IF('NILAI CPL'!$B18&lt;&gt;"",IFERROR(_xlfn.IFS(AL18&gt;='NILAI CPL'!$B$3,4,AL18&gt;='NILAI CPL'!$B$4,3,AL18&gt;='NILAI CPL'!$B$5,2,AL18&gt;'NILAI CPL'!$B$6,1),0),"")</f>
        <v/>
      </c>
      <c r="BJ18" s="2" t="str" cm="1">
        <f t="array" ref="BJ18">IF('NILAI CPL'!$B18&lt;&gt;"",IFERROR(_xlfn.IFS(AM18&gt;='NILAI CPL'!$B$3,4,AM18&gt;='NILAI CPL'!$B$4,3,AM18&gt;='NILAI CPL'!$B$5,2,AM18&gt;'NILAI CPL'!$B$6,1),0),"")</f>
        <v/>
      </c>
      <c r="BK18" s="2" t="str" cm="1">
        <f t="array" ref="BK18">IF('NILAI CPL'!$B18&lt;&gt;"",IFERROR(_xlfn.IFS(AN18&gt;='NILAI CPL'!$B$3,4,AN18&gt;='NILAI CPL'!$B$4,3,AN18&gt;='NILAI CPL'!$B$5,2,AN18&gt;'NILAI CPL'!$B$6,1),0),"")</f>
        <v/>
      </c>
    </row>
    <row r="19" spans="1:63" x14ac:dyDescent="0.2">
      <c r="A19" s="2">
        <v>9</v>
      </c>
      <c r="B19" s="2" t="str">
        <f>IF(LEN(SUMMARY!B19)&gt;0, SUMMARY!B19, "")</f>
        <v/>
      </c>
      <c r="C19" s="2" t="str">
        <f>IF(LEN(SUMMARY!C19)&gt;0, SUMMARY!C19, "")</f>
        <v/>
      </c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" t="str">
        <f t="shared" si="24"/>
        <v/>
      </c>
      <c r="S19" s="2" t="str">
        <f t="shared" si="2"/>
        <v/>
      </c>
      <c r="T19" s="2" t="str">
        <f t="shared" si="3"/>
        <v/>
      </c>
      <c r="U19" s="2" t="str">
        <f t="shared" si="4"/>
        <v/>
      </c>
      <c r="V19" s="2" t="str">
        <f t="shared" si="5"/>
        <v/>
      </c>
      <c r="W19" s="2" t="str">
        <f t="shared" si="6"/>
        <v/>
      </c>
      <c r="X19" s="2" t="str">
        <f t="shared" si="7"/>
        <v/>
      </c>
      <c r="Y19" s="2" t="str">
        <f t="shared" si="8"/>
        <v/>
      </c>
      <c r="Z19" s="2" t="str">
        <f t="shared" si="9"/>
        <v/>
      </c>
      <c r="AA19" s="2" t="str">
        <f t="shared" si="10"/>
        <v/>
      </c>
      <c r="AB19" s="2" t="str">
        <f t="shared" si="11"/>
        <v/>
      </c>
      <c r="AC19" s="2" t="str">
        <f t="shared" si="12"/>
        <v/>
      </c>
      <c r="AD19" s="2" t="str">
        <f t="shared" si="13"/>
        <v/>
      </c>
      <c r="AE19" s="2" t="str">
        <f t="shared" si="14"/>
        <v/>
      </c>
      <c r="AF19" s="2" t="str">
        <f t="shared" si="15"/>
        <v/>
      </c>
      <c r="AG19" s="2" t="str">
        <f t="shared" si="16"/>
        <v/>
      </c>
      <c r="AH19" s="2" t="str">
        <f t="shared" si="17"/>
        <v/>
      </c>
      <c r="AI19" s="2" t="str">
        <f t="shared" si="18"/>
        <v/>
      </c>
      <c r="AJ19" s="2" t="str">
        <f t="shared" si="19"/>
        <v/>
      </c>
      <c r="AK19" s="2" t="str">
        <f t="shared" si="20"/>
        <v/>
      </c>
      <c r="AL19" s="2" t="str">
        <f t="shared" si="21"/>
        <v/>
      </c>
      <c r="AM19" s="2" t="str">
        <f t="shared" si="22"/>
        <v/>
      </c>
      <c r="AN19" s="2" t="str">
        <f t="shared" si="23"/>
        <v/>
      </c>
      <c r="AP19" s="2" t="str" cm="1">
        <f t="array" ref="AP19">IF('NILAI CPL'!$B19&lt;&gt;"",IFERROR(_xlfn.IFS(S19&gt;='NILAI CPL'!$B$3,4,S19&gt;='NILAI CPL'!$B$4,3,S19&gt;='NILAI CPL'!$B$5,2,S19&gt;'NILAI CPL'!$B$6,1),0),"")</f>
        <v/>
      </c>
      <c r="AQ19" s="2" t="str" cm="1">
        <f t="array" ref="AQ19">IF('NILAI CPL'!$B19&lt;&gt;"",IFERROR(_xlfn.IFS(T19&gt;='NILAI CPL'!$B$3,4,T19&gt;='NILAI CPL'!$B$4,3,T19&gt;='NILAI CPL'!$B$5,2,T19&gt;'NILAI CPL'!$B$6,1),0),"")</f>
        <v/>
      </c>
      <c r="AR19" s="2" t="str" cm="1">
        <f t="array" ref="AR19">IF('NILAI CPL'!$B19&lt;&gt;"",IFERROR(_xlfn.IFS(U19&gt;='NILAI CPL'!$B$3,4,U19&gt;='NILAI CPL'!$B$4,3,U19&gt;='NILAI CPL'!$B$5,2,U19&gt;'NILAI CPL'!$B$6,1),0),"")</f>
        <v/>
      </c>
      <c r="AS19" s="2" t="str" cm="1">
        <f t="array" ref="AS19">IF('NILAI CPL'!$B19&lt;&gt;"",IFERROR(_xlfn.IFS(V19&gt;='NILAI CPL'!$B$3,4,V19&gt;='NILAI CPL'!$B$4,3,V19&gt;='NILAI CPL'!$B$5,2,V19&gt;'NILAI CPL'!$B$6,1),0),"")</f>
        <v/>
      </c>
      <c r="AT19" s="2" t="str" cm="1">
        <f t="array" ref="AT19">IF('NILAI CPL'!$B19&lt;&gt;"",IFERROR(_xlfn.IFS(W19&gt;='NILAI CPL'!$B$3,4,W19&gt;='NILAI CPL'!$B$4,3,W19&gt;='NILAI CPL'!$B$5,2,W19&gt;'NILAI CPL'!$B$6,1),0),"")</f>
        <v/>
      </c>
      <c r="AU19" s="2" t="str" cm="1">
        <f t="array" ref="AU19">IF('NILAI CPL'!$B19&lt;&gt;"",IFERROR(_xlfn.IFS(X19&gt;='NILAI CPL'!$B$3,4,X19&gt;='NILAI CPL'!$B$4,3,X19&gt;='NILAI CPL'!$B$5,2,X19&gt;'NILAI CPL'!$B$6,1),0),"")</f>
        <v/>
      </c>
      <c r="AV19" s="2" t="str" cm="1">
        <f t="array" ref="AV19">IF('NILAI CPL'!$B19&lt;&gt;"",IFERROR(_xlfn.IFS(Y19&gt;='NILAI CPL'!$B$3,4,Y19&gt;='NILAI CPL'!$B$4,3,Y19&gt;='NILAI CPL'!$B$5,2,Y19&gt;'NILAI CPL'!$B$6,1),0),"")</f>
        <v/>
      </c>
      <c r="AW19" s="2" t="str" cm="1">
        <f t="array" ref="AW19">IF('NILAI CPL'!$B19&lt;&gt;"",IFERROR(_xlfn.IFS(Z19&gt;='NILAI CPL'!$B$3,4,Z19&gt;='NILAI CPL'!$B$4,3,Z19&gt;='NILAI CPL'!$B$5,2,Z19&gt;'NILAI CPL'!$B$6,1),0),"")</f>
        <v/>
      </c>
      <c r="AX19" s="2" t="str" cm="1">
        <f t="array" ref="AX19">IF('NILAI CPL'!$B19&lt;&gt;"",IFERROR(_xlfn.IFS(AA19&gt;='NILAI CPL'!$B$3,4,AA19&gt;='NILAI CPL'!$B$4,3,AA19&gt;='NILAI CPL'!$B$5,2,AA19&gt;'NILAI CPL'!$B$6,1),0),"")</f>
        <v/>
      </c>
      <c r="AY19" s="2" t="str" cm="1">
        <f t="array" ref="AY19">IF('NILAI CPL'!$B19&lt;&gt;"",IFERROR(_xlfn.IFS(AB19&gt;='NILAI CPL'!$B$3,4,AB19&gt;='NILAI CPL'!$B$4,3,AB19&gt;='NILAI CPL'!$B$5,2,AB19&gt;'NILAI CPL'!$B$6,1),0),"")</f>
        <v/>
      </c>
      <c r="AZ19" s="2" t="str" cm="1">
        <f t="array" ref="AZ19">IF('NILAI CPL'!$B19&lt;&gt;"",IFERROR(_xlfn.IFS(AC19&gt;='NILAI CPL'!$B$3,4,AC19&gt;='NILAI CPL'!$B$4,3,AC19&gt;='NILAI CPL'!$B$5,2,AC19&gt;'NILAI CPL'!$B$6,1),0),"")</f>
        <v/>
      </c>
      <c r="BA19" s="2" t="str" cm="1">
        <f t="array" ref="BA19">IF('NILAI CPL'!$B19&lt;&gt;"",IFERROR(_xlfn.IFS(AD19&gt;='NILAI CPL'!$B$3,4,AD19&gt;='NILAI CPL'!$B$4,3,AD19&gt;='NILAI CPL'!$B$5,2,AD19&gt;'NILAI CPL'!$B$6,1),0),"")</f>
        <v/>
      </c>
      <c r="BB19" s="2" t="str" cm="1">
        <f t="array" ref="BB19">IF('NILAI CPL'!$B19&lt;&gt;"",IFERROR(_xlfn.IFS(AE19&gt;='NILAI CPL'!$B$3,4,AE19&gt;='NILAI CPL'!$B$4,3,AE19&gt;='NILAI CPL'!$B$5,2,AE19&gt;'NILAI CPL'!$B$6,1),0),"")</f>
        <v/>
      </c>
      <c r="BC19" s="2" t="str" cm="1">
        <f t="array" ref="BC19">IF('NILAI CPL'!$B19&lt;&gt;"",IFERROR(_xlfn.IFS(AF19&gt;='NILAI CPL'!$B$3,4,AF19&gt;='NILAI CPL'!$B$4,3,AF19&gt;='NILAI CPL'!$B$5,2,AF19&gt;'NILAI CPL'!$B$6,1),0),"")</f>
        <v/>
      </c>
      <c r="BD19" s="2" t="str" cm="1">
        <f t="array" ref="BD19">IF('NILAI CPL'!$B19&lt;&gt;"",IFERROR(_xlfn.IFS(AG19&gt;='NILAI CPL'!$B$3,4,AG19&gt;='NILAI CPL'!$B$4,3,AG19&gt;='NILAI CPL'!$B$5,2,AG19&gt;'NILAI CPL'!$B$6,1),0),"")</f>
        <v/>
      </c>
      <c r="BE19" s="2" t="str" cm="1">
        <f t="array" ref="BE19">IF('NILAI CPL'!$B19&lt;&gt;"",IFERROR(_xlfn.IFS(AH19&gt;='NILAI CPL'!$B$3,4,AH19&gt;='NILAI CPL'!$B$4,3,AH19&gt;='NILAI CPL'!$B$5,2,AH19&gt;'NILAI CPL'!$B$6,1),0),"")</f>
        <v/>
      </c>
      <c r="BF19" s="2" t="str" cm="1">
        <f t="array" ref="BF19">IF('NILAI CPL'!$B19&lt;&gt;"",IFERROR(_xlfn.IFS(AI19&gt;='NILAI CPL'!$B$3,4,AI19&gt;='NILAI CPL'!$B$4,3,AI19&gt;='NILAI CPL'!$B$5,2,AI19&gt;'NILAI CPL'!$B$6,1),0),"")</f>
        <v/>
      </c>
      <c r="BG19" s="2" t="str" cm="1">
        <f t="array" ref="BG19">IF('NILAI CPL'!$B19&lt;&gt;"",IFERROR(_xlfn.IFS(AJ19&gt;='NILAI CPL'!$B$3,4,AJ19&gt;='NILAI CPL'!$B$4,3,AJ19&gt;='NILAI CPL'!$B$5,2,AJ19&gt;'NILAI CPL'!$B$6,1),0),"")</f>
        <v/>
      </c>
      <c r="BH19" s="2" t="str" cm="1">
        <f t="array" ref="BH19">IF('NILAI CPL'!$B19&lt;&gt;"",IFERROR(_xlfn.IFS(AK19&gt;='NILAI CPL'!$B$3,4,AK19&gt;='NILAI CPL'!$B$4,3,AK19&gt;='NILAI CPL'!$B$5,2,AK19&gt;'NILAI CPL'!$B$6,1),0),"")</f>
        <v/>
      </c>
      <c r="BI19" s="2" t="str" cm="1">
        <f t="array" ref="BI19">IF('NILAI CPL'!$B19&lt;&gt;"",IFERROR(_xlfn.IFS(AL19&gt;='NILAI CPL'!$B$3,4,AL19&gt;='NILAI CPL'!$B$4,3,AL19&gt;='NILAI CPL'!$B$5,2,AL19&gt;'NILAI CPL'!$B$6,1),0),"")</f>
        <v/>
      </c>
      <c r="BJ19" s="2" t="str" cm="1">
        <f t="array" ref="BJ19">IF('NILAI CPL'!$B19&lt;&gt;"",IFERROR(_xlfn.IFS(AM19&gt;='NILAI CPL'!$B$3,4,AM19&gt;='NILAI CPL'!$B$4,3,AM19&gt;='NILAI CPL'!$B$5,2,AM19&gt;'NILAI CPL'!$B$6,1),0),"")</f>
        <v/>
      </c>
      <c r="BK19" s="2" t="str" cm="1">
        <f t="array" ref="BK19">IF('NILAI CPL'!$B19&lt;&gt;"",IFERROR(_xlfn.IFS(AN19&gt;='NILAI CPL'!$B$3,4,AN19&gt;='NILAI CPL'!$B$4,3,AN19&gt;='NILAI CPL'!$B$5,2,AN19&gt;'NILAI CPL'!$B$6,1),0),"")</f>
        <v/>
      </c>
    </row>
    <row r="20" spans="1:63" x14ac:dyDescent="0.2">
      <c r="A20" s="2">
        <v>10</v>
      </c>
      <c r="B20" s="2" t="str">
        <f>IF(LEN(SUMMARY!B20)&gt;0, SUMMARY!B20, "")</f>
        <v/>
      </c>
      <c r="C20" s="2" t="str">
        <f>IF(LEN(SUMMARY!C20)&gt;0, SUMMARY!C20, "")</f>
        <v/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" t="str">
        <f t="shared" si="24"/>
        <v/>
      </c>
      <c r="S20" s="2" t="str">
        <f t="shared" si="2"/>
        <v/>
      </c>
      <c r="T20" s="2" t="str">
        <f t="shared" si="3"/>
        <v/>
      </c>
      <c r="U20" s="2" t="str">
        <f t="shared" si="4"/>
        <v/>
      </c>
      <c r="V20" s="2" t="str">
        <f t="shared" si="5"/>
        <v/>
      </c>
      <c r="W20" s="2" t="str">
        <f t="shared" si="6"/>
        <v/>
      </c>
      <c r="X20" s="2" t="str">
        <f t="shared" si="7"/>
        <v/>
      </c>
      <c r="Y20" s="2" t="str">
        <f t="shared" si="8"/>
        <v/>
      </c>
      <c r="Z20" s="2" t="str">
        <f t="shared" si="9"/>
        <v/>
      </c>
      <c r="AA20" s="2" t="str">
        <f t="shared" si="10"/>
        <v/>
      </c>
      <c r="AB20" s="2" t="str">
        <f t="shared" si="11"/>
        <v/>
      </c>
      <c r="AC20" s="2" t="str">
        <f t="shared" si="12"/>
        <v/>
      </c>
      <c r="AD20" s="2" t="str">
        <f t="shared" si="13"/>
        <v/>
      </c>
      <c r="AE20" s="2" t="str">
        <f t="shared" si="14"/>
        <v/>
      </c>
      <c r="AF20" s="2" t="str">
        <f t="shared" si="15"/>
        <v/>
      </c>
      <c r="AG20" s="2" t="str">
        <f t="shared" si="16"/>
        <v/>
      </c>
      <c r="AH20" s="2" t="str">
        <f t="shared" si="17"/>
        <v/>
      </c>
      <c r="AI20" s="2" t="str">
        <f t="shared" si="18"/>
        <v/>
      </c>
      <c r="AJ20" s="2" t="str">
        <f t="shared" si="19"/>
        <v/>
      </c>
      <c r="AK20" s="2" t="str">
        <f t="shared" si="20"/>
        <v/>
      </c>
      <c r="AL20" s="2" t="str">
        <f t="shared" si="21"/>
        <v/>
      </c>
      <c r="AM20" s="2" t="str">
        <f t="shared" si="22"/>
        <v/>
      </c>
      <c r="AN20" s="2" t="str">
        <f t="shared" si="23"/>
        <v/>
      </c>
      <c r="AP20" s="2" t="str" cm="1">
        <f t="array" ref="AP20">IF('NILAI CPL'!$B20&lt;&gt;"",IFERROR(_xlfn.IFS(S20&gt;='NILAI CPL'!$B$3,4,S20&gt;='NILAI CPL'!$B$4,3,S20&gt;='NILAI CPL'!$B$5,2,S20&gt;'NILAI CPL'!$B$6,1),0),"")</f>
        <v/>
      </c>
      <c r="AQ20" s="2" t="str" cm="1">
        <f t="array" ref="AQ20">IF('NILAI CPL'!$B20&lt;&gt;"",IFERROR(_xlfn.IFS(T20&gt;='NILAI CPL'!$B$3,4,T20&gt;='NILAI CPL'!$B$4,3,T20&gt;='NILAI CPL'!$B$5,2,T20&gt;'NILAI CPL'!$B$6,1),0),"")</f>
        <v/>
      </c>
      <c r="AR20" s="2" t="str" cm="1">
        <f t="array" ref="AR20">IF('NILAI CPL'!$B20&lt;&gt;"",IFERROR(_xlfn.IFS(U20&gt;='NILAI CPL'!$B$3,4,U20&gt;='NILAI CPL'!$B$4,3,U20&gt;='NILAI CPL'!$B$5,2,U20&gt;'NILAI CPL'!$B$6,1),0),"")</f>
        <v/>
      </c>
      <c r="AS20" s="2" t="str" cm="1">
        <f t="array" ref="AS20">IF('NILAI CPL'!$B20&lt;&gt;"",IFERROR(_xlfn.IFS(V20&gt;='NILAI CPL'!$B$3,4,V20&gt;='NILAI CPL'!$B$4,3,V20&gt;='NILAI CPL'!$B$5,2,V20&gt;'NILAI CPL'!$B$6,1),0),"")</f>
        <v/>
      </c>
      <c r="AT20" s="2" t="str" cm="1">
        <f t="array" ref="AT20">IF('NILAI CPL'!$B20&lt;&gt;"",IFERROR(_xlfn.IFS(W20&gt;='NILAI CPL'!$B$3,4,W20&gt;='NILAI CPL'!$B$4,3,W20&gt;='NILAI CPL'!$B$5,2,W20&gt;'NILAI CPL'!$B$6,1),0),"")</f>
        <v/>
      </c>
      <c r="AU20" s="2" t="str" cm="1">
        <f t="array" ref="AU20">IF('NILAI CPL'!$B20&lt;&gt;"",IFERROR(_xlfn.IFS(X20&gt;='NILAI CPL'!$B$3,4,X20&gt;='NILAI CPL'!$B$4,3,X20&gt;='NILAI CPL'!$B$5,2,X20&gt;'NILAI CPL'!$B$6,1),0),"")</f>
        <v/>
      </c>
      <c r="AV20" s="2" t="str" cm="1">
        <f t="array" ref="AV20">IF('NILAI CPL'!$B20&lt;&gt;"",IFERROR(_xlfn.IFS(Y20&gt;='NILAI CPL'!$B$3,4,Y20&gt;='NILAI CPL'!$B$4,3,Y20&gt;='NILAI CPL'!$B$5,2,Y20&gt;'NILAI CPL'!$B$6,1),0),"")</f>
        <v/>
      </c>
      <c r="AW20" s="2" t="str" cm="1">
        <f t="array" ref="AW20">IF('NILAI CPL'!$B20&lt;&gt;"",IFERROR(_xlfn.IFS(Z20&gt;='NILAI CPL'!$B$3,4,Z20&gt;='NILAI CPL'!$B$4,3,Z20&gt;='NILAI CPL'!$B$5,2,Z20&gt;'NILAI CPL'!$B$6,1),0),"")</f>
        <v/>
      </c>
      <c r="AX20" s="2" t="str" cm="1">
        <f t="array" ref="AX20">IF('NILAI CPL'!$B20&lt;&gt;"",IFERROR(_xlfn.IFS(AA20&gt;='NILAI CPL'!$B$3,4,AA20&gt;='NILAI CPL'!$B$4,3,AA20&gt;='NILAI CPL'!$B$5,2,AA20&gt;'NILAI CPL'!$B$6,1),0),"")</f>
        <v/>
      </c>
      <c r="AY20" s="2" t="str" cm="1">
        <f t="array" ref="AY20">IF('NILAI CPL'!$B20&lt;&gt;"",IFERROR(_xlfn.IFS(AB20&gt;='NILAI CPL'!$B$3,4,AB20&gt;='NILAI CPL'!$B$4,3,AB20&gt;='NILAI CPL'!$B$5,2,AB20&gt;'NILAI CPL'!$B$6,1),0),"")</f>
        <v/>
      </c>
      <c r="AZ20" s="2" t="str" cm="1">
        <f t="array" ref="AZ20">IF('NILAI CPL'!$B20&lt;&gt;"",IFERROR(_xlfn.IFS(AC20&gt;='NILAI CPL'!$B$3,4,AC20&gt;='NILAI CPL'!$B$4,3,AC20&gt;='NILAI CPL'!$B$5,2,AC20&gt;'NILAI CPL'!$B$6,1),0),"")</f>
        <v/>
      </c>
      <c r="BA20" s="2" t="str" cm="1">
        <f t="array" ref="BA20">IF('NILAI CPL'!$B20&lt;&gt;"",IFERROR(_xlfn.IFS(AD20&gt;='NILAI CPL'!$B$3,4,AD20&gt;='NILAI CPL'!$B$4,3,AD20&gt;='NILAI CPL'!$B$5,2,AD20&gt;'NILAI CPL'!$B$6,1),0),"")</f>
        <v/>
      </c>
      <c r="BB20" s="2" t="str" cm="1">
        <f t="array" ref="BB20">IF('NILAI CPL'!$B20&lt;&gt;"",IFERROR(_xlfn.IFS(AE20&gt;='NILAI CPL'!$B$3,4,AE20&gt;='NILAI CPL'!$B$4,3,AE20&gt;='NILAI CPL'!$B$5,2,AE20&gt;'NILAI CPL'!$B$6,1),0),"")</f>
        <v/>
      </c>
      <c r="BC20" s="2" t="str" cm="1">
        <f t="array" ref="BC20">IF('NILAI CPL'!$B20&lt;&gt;"",IFERROR(_xlfn.IFS(AF20&gt;='NILAI CPL'!$B$3,4,AF20&gt;='NILAI CPL'!$B$4,3,AF20&gt;='NILAI CPL'!$B$5,2,AF20&gt;'NILAI CPL'!$B$6,1),0),"")</f>
        <v/>
      </c>
      <c r="BD20" s="2" t="str" cm="1">
        <f t="array" ref="BD20">IF('NILAI CPL'!$B20&lt;&gt;"",IFERROR(_xlfn.IFS(AG20&gt;='NILAI CPL'!$B$3,4,AG20&gt;='NILAI CPL'!$B$4,3,AG20&gt;='NILAI CPL'!$B$5,2,AG20&gt;'NILAI CPL'!$B$6,1),0),"")</f>
        <v/>
      </c>
      <c r="BE20" s="2" t="str" cm="1">
        <f t="array" ref="BE20">IF('NILAI CPL'!$B20&lt;&gt;"",IFERROR(_xlfn.IFS(AH20&gt;='NILAI CPL'!$B$3,4,AH20&gt;='NILAI CPL'!$B$4,3,AH20&gt;='NILAI CPL'!$B$5,2,AH20&gt;'NILAI CPL'!$B$6,1),0),"")</f>
        <v/>
      </c>
      <c r="BF20" s="2" t="str" cm="1">
        <f t="array" ref="BF20">IF('NILAI CPL'!$B20&lt;&gt;"",IFERROR(_xlfn.IFS(AI20&gt;='NILAI CPL'!$B$3,4,AI20&gt;='NILAI CPL'!$B$4,3,AI20&gt;='NILAI CPL'!$B$5,2,AI20&gt;'NILAI CPL'!$B$6,1),0),"")</f>
        <v/>
      </c>
      <c r="BG20" s="2" t="str" cm="1">
        <f t="array" ref="BG20">IF('NILAI CPL'!$B20&lt;&gt;"",IFERROR(_xlfn.IFS(AJ20&gt;='NILAI CPL'!$B$3,4,AJ20&gt;='NILAI CPL'!$B$4,3,AJ20&gt;='NILAI CPL'!$B$5,2,AJ20&gt;'NILAI CPL'!$B$6,1),0),"")</f>
        <v/>
      </c>
      <c r="BH20" s="2" t="str" cm="1">
        <f t="array" ref="BH20">IF('NILAI CPL'!$B20&lt;&gt;"",IFERROR(_xlfn.IFS(AK20&gt;='NILAI CPL'!$B$3,4,AK20&gt;='NILAI CPL'!$B$4,3,AK20&gt;='NILAI CPL'!$B$5,2,AK20&gt;'NILAI CPL'!$B$6,1),0),"")</f>
        <v/>
      </c>
      <c r="BI20" s="2" t="str" cm="1">
        <f t="array" ref="BI20">IF('NILAI CPL'!$B20&lt;&gt;"",IFERROR(_xlfn.IFS(AL20&gt;='NILAI CPL'!$B$3,4,AL20&gt;='NILAI CPL'!$B$4,3,AL20&gt;='NILAI CPL'!$B$5,2,AL20&gt;'NILAI CPL'!$B$6,1),0),"")</f>
        <v/>
      </c>
      <c r="BJ20" s="2" t="str" cm="1">
        <f t="array" ref="BJ20">IF('NILAI CPL'!$B20&lt;&gt;"",IFERROR(_xlfn.IFS(AM20&gt;='NILAI CPL'!$B$3,4,AM20&gt;='NILAI CPL'!$B$4,3,AM20&gt;='NILAI CPL'!$B$5,2,AM20&gt;'NILAI CPL'!$B$6,1),0),"")</f>
        <v/>
      </c>
      <c r="BK20" s="2" t="str" cm="1">
        <f t="array" ref="BK20">IF('NILAI CPL'!$B20&lt;&gt;"",IFERROR(_xlfn.IFS(AN20&gt;='NILAI CPL'!$B$3,4,AN20&gt;='NILAI CPL'!$B$4,3,AN20&gt;='NILAI CPL'!$B$5,2,AN20&gt;'NILAI CPL'!$B$6,1),0),"")</f>
        <v/>
      </c>
    </row>
    <row r="21" spans="1:63" x14ac:dyDescent="0.2">
      <c r="A21" s="2">
        <v>11</v>
      </c>
      <c r="B21" s="2" t="str">
        <f>IF(LEN(SUMMARY!B21)&gt;0, SUMMARY!B21, "")</f>
        <v/>
      </c>
      <c r="C21" s="2" t="str">
        <f>IF(LEN(SUMMARY!C21)&gt;0, SUMMARY!C21, "")</f>
        <v/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" t="str">
        <f t="shared" si="24"/>
        <v/>
      </c>
      <c r="S21" s="2" t="str">
        <f t="shared" si="2"/>
        <v/>
      </c>
      <c r="T21" s="2" t="str">
        <f t="shared" si="3"/>
        <v/>
      </c>
      <c r="U21" s="2" t="str">
        <f t="shared" si="4"/>
        <v/>
      </c>
      <c r="V21" s="2" t="str">
        <f t="shared" si="5"/>
        <v/>
      </c>
      <c r="W21" s="2" t="str">
        <f t="shared" si="6"/>
        <v/>
      </c>
      <c r="X21" s="2" t="str">
        <f t="shared" si="7"/>
        <v/>
      </c>
      <c r="Y21" s="2" t="str">
        <f t="shared" si="8"/>
        <v/>
      </c>
      <c r="Z21" s="2" t="str">
        <f t="shared" si="9"/>
        <v/>
      </c>
      <c r="AA21" s="2" t="str">
        <f t="shared" si="10"/>
        <v/>
      </c>
      <c r="AB21" s="2" t="str">
        <f t="shared" si="11"/>
        <v/>
      </c>
      <c r="AC21" s="2" t="str">
        <f t="shared" si="12"/>
        <v/>
      </c>
      <c r="AD21" s="2" t="str">
        <f t="shared" si="13"/>
        <v/>
      </c>
      <c r="AE21" s="2" t="str">
        <f t="shared" si="14"/>
        <v/>
      </c>
      <c r="AF21" s="2" t="str">
        <f t="shared" si="15"/>
        <v/>
      </c>
      <c r="AG21" s="2" t="str">
        <f t="shared" si="16"/>
        <v/>
      </c>
      <c r="AH21" s="2" t="str">
        <f t="shared" si="17"/>
        <v/>
      </c>
      <c r="AI21" s="2" t="str">
        <f t="shared" si="18"/>
        <v/>
      </c>
      <c r="AJ21" s="2" t="str">
        <f t="shared" si="19"/>
        <v/>
      </c>
      <c r="AK21" s="2" t="str">
        <f t="shared" si="20"/>
        <v/>
      </c>
      <c r="AL21" s="2" t="str">
        <f t="shared" si="21"/>
        <v/>
      </c>
      <c r="AM21" s="2" t="str">
        <f t="shared" si="22"/>
        <v/>
      </c>
      <c r="AN21" s="2" t="str">
        <f t="shared" si="23"/>
        <v/>
      </c>
      <c r="AP21" s="2" t="str" cm="1">
        <f t="array" ref="AP21">IF('NILAI CPL'!$B21&lt;&gt;"",IFERROR(_xlfn.IFS(S21&gt;='NILAI CPL'!$B$3,4,S21&gt;='NILAI CPL'!$B$4,3,S21&gt;='NILAI CPL'!$B$5,2,S21&gt;'NILAI CPL'!$B$6,1),0),"")</f>
        <v/>
      </c>
      <c r="AQ21" s="2" t="str" cm="1">
        <f t="array" ref="AQ21">IF('NILAI CPL'!$B21&lt;&gt;"",IFERROR(_xlfn.IFS(T21&gt;='NILAI CPL'!$B$3,4,T21&gt;='NILAI CPL'!$B$4,3,T21&gt;='NILAI CPL'!$B$5,2,T21&gt;'NILAI CPL'!$B$6,1),0),"")</f>
        <v/>
      </c>
      <c r="AR21" s="2" t="str" cm="1">
        <f t="array" ref="AR21">IF('NILAI CPL'!$B21&lt;&gt;"",IFERROR(_xlfn.IFS(U21&gt;='NILAI CPL'!$B$3,4,U21&gt;='NILAI CPL'!$B$4,3,U21&gt;='NILAI CPL'!$B$5,2,U21&gt;'NILAI CPL'!$B$6,1),0),"")</f>
        <v/>
      </c>
      <c r="AS21" s="2" t="str" cm="1">
        <f t="array" ref="AS21">IF('NILAI CPL'!$B21&lt;&gt;"",IFERROR(_xlfn.IFS(V21&gt;='NILAI CPL'!$B$3,4,V21&gt;='NILAI CPL'!$B$4,3,V21&gt;='NILAI CPL'!$B$5,2,V21&gt;'NILAI CPL'!$B$6,1),0),"")</f>
        <v/>
      </c>
      <c r="AT21" s="2" t="str" cm="1">
        <f t="array" ref="AT21">IF('NILAI CPL'!$B21&lt;&gt;"",IFERROR(_xlfn.IFS(W21&gt;='NILAI CPL'!$B$3,4,W21&gt;='NILAI CPL'!$B$4,3,W21&gt;='NILAI CPL'!$B$5,2,W21&gt;'NILAI CPL'!$B$6,1),0),"")</f>
        <v/>
      </c>
      <c r="AU21" s="2" t="str" cm="1">
        <f t="array" ref="AU21">IF('NILAI CPL'!$B21&lt;&gt;"",IFERROR(_xlfn.IFS(X21&gt;='NILAI CPL'!$B$3,4,X21&gt;='NILAI CPL'!$B$4,3,X21&gt;='NILAI CPL'!$B$5,2,X21&gt;'NILAI CPL'!$B$6,1),0),"")</f>
        <v/>
      </c>
      <c r="AV21" s="2" t="str" cm="1">
        <f t="array" ref="AV21">IF('NILAI CPL'!$B21&lt;&gt;"",IFERROR(_xlfn.IFS(Y21&gt;='NILAI CPL'!$B$3,4,Y21&gt;='NILAI CPL'!$B$4,3,Y21&gt;='NILAI CPL'!$B$5,2,Y21&gt;'NILAI CPL'!$B$6,1),0),"")</f>
        <v/>
      </c>
      <c r="AW21" s="2" t="str" cm="1">
        <f t="array" ref="AW21">IF('NILAI CPL'!$B21&lt;&gt;"",IFERROR(_xlfn.IFS(Z21&gt;='NILAI CPL'!$B$3,4,Z21&gt;='NILAI CPL'!$B$4,3,Z21&gt;='NILAI CPL'!$B$5,2,Z21&gt;'NILAI CPL'!$B$6,1),0),"")</f>
        <v/>
      </c>
      <c r="AX21" s="2" t="str" cm="1">
        <f t="array" ref="AX21">IF('NILAI CPL'!$B21&lt;&gt;"",IFERROR(_xlfn.IFS(AA21&gt;='NILAI CPL'!$B$3,4,AA21&gt;='NILAI CPL'!$B$4,3,AA21&gt;='NILAI CPL'!$B$5,2,AA21&gt;'NILAI CPL'!$B$6,1),0),"")</f>
        <v/>
      </c>
      <c r="AY21" s="2" t="str" cm="1">
        <f t="array" ref="AY21">IF('NILAI CPL'!$B21&lt;&gt;"",IFERROR(_xlfn.IFS(AB21&gt;='NILAI CPL'!$B$3,4,AB21&gt;='NILAI CPL'!$B$4,3,AB21&gt;='NILAI CPL'!$B$5,2,AB21&gt;'NILAI CPL'!$B$6,1),0),"")</f>
        <v/>
      </c>
      <c r="AZ21" s="2" t="str" cm="1">
        <f t="array" ref="AZ21">IF('NILAI CPL'!$B21&lt;&gt;"",IFERROR(_xlfn.IFS(AC21&gt;='NILAI CPL'!$B$3,4,AC21&gt;='NILAI CPL'!$B$4,3,AC21&gt;='NILAI CPL'!$B$5,2,AC21&gt;'NILAI CPL'!$B$6,1),0),"")</f>
        <v/>
      </c>
      <c r="BA21" s="2" t="str" cm="1">
        <f t="array" ref="BA21">IF('NILAI CPL'!$B21&lt;&gt;"",IFERROR(_xlfn.IFS(AD21&gt;='NILAI CPL'!$B$3,4,AD21&gt;='NILAI CPL'!$B$4,3,AD21&gt;='NILAI CPL'!$B$5,2,AD21&gt;'NILAI CPL'!$B$6,1),0),"")</f>
        <v/>
      </c>
      <c r="BB21" s="2" t="str" cm="1">
        <f t="array" ref="BB21">IF('NILAI CPL'!$B21&lt;&gt;"",IFERROR(_xlfn.IFS(AE21&gt;='NILAI CPL'!$B$3,4,AE21&gt;='NILAI CPL'!$B$4,3,AE21&gt;='NILAI CPL'!$B$5,2,AE21&gt;'NILAI CPL'!$B$6,1),0),"")</f>
        <v/>
      </c>
      <c r="BC21" s="2" t="str" cm="1">
        <f t="array" ref="BC21">IF('NILAI CPL'!$B21&lt;&gt;"",IFERROR(_xlfn.IFS(AF21&gt;='NILAI CPL'!$B$3,4,AF21&gt;='NILAI CPL'!$B$4,3,AF21&gt;='NILAI CPL'!$B$5,2,AF21&gt;'NILAI CPL'!$B$6,1),0),"")</f>
        <v/>
      </c>
      <c r="BD21" s="2" t="str" cm="1">
        <f t="array" ref="BD21">IF('NILAI CPL'!$B21&lt;&gt;"",IFERROR(_xlfn.IFS(AG21&gt;='NILAI CPL'!$B$3,4,AG21&gt;='NILAI CPL'!$B$4,3,AG21&gt;='NILAI CPL'!$B$5,2,AG21&gt;'NILAI CPL'!$B$6,1),0),"")</f>
        <v/>
      </c>
      <c r="BE21" s="2" t="str" cm="1">
        <f t="array" ref="BE21">IF('NILAI CPL'!$B21&lt;&gt;"",IFERROR(_xlfn.IFS(AH21&gt;='NILAI CPL'!$B$3,4,AH21&gt;='NILAI CPL'!$B$4,3,AH21&gt;='NILAI CPL'!$B$5,2,AH21&gt;'NILAI CPL'!$B$6,1),0),"")</f>
        <v/>
      </c>
      <c r="BF21" s="2" t="str" cm="1">
        <f t="array" ref="BF21">IF('NILAI CPL'!$B21&lt;&gt;"",IFERROR(_xlfn.IFS(AI21&gt;='NILAI CPL'!$B$3,4,AI21&gt;='NILAI CPL'!$B$4,3,AI21&gt;='NILAI CPL'!$B$5,2,AI21&gt;'NILAI CPL'!$B$6,1),0),"")</f>
        <v/>
      </c>
      <c r="BG21" s="2" t="str" cm="1">
        <f t="array" ref="BG21">IF('NILAI CPL'!$B21&lt;&gt;"",IFERROR(_xlfn.IFS(AJ21&gt;='NILAI CPL'!$B$3,4,AJ21&gt;='NILAI CPL'!$B$4,3,AJ21&gt;='NILAI CPL'!$B$5,2,AJ21&gt;'NILAI CPL'!$B$6,1),0),"")</f>
        <v/>
      </c>
      <c r="BH21" s="2" t="str" cm="1">
        <f t="array" ref="BH21">IF('NILAI CPL'!$B21&lt;&gt;"",IFERROR(_xlfn.IFS(AK21&gt;='NILAI CPL'!$B$3,4,AK21&gt;='NILAI CPL'!$B$4,3,AK21&gt;='NILAI CPL'!$B$5,2,AK21&gt;'NILAI CPL'!$B$6,1),0),"")</f>
        <v/>
      </c>
      <c r="BI21" s="2" t="str" cm="1">
        <f t="array" ref="BI21">IF('NILAI CPL'!$B21&lt;&gt;"",IFERROR(_xlfn.IFS(AL21&gt;='NILAI CPL'!$B$3,4,AL21&gt;='NILAI CPL'!$B$4,3,AL21&gt;='NILAI CPL'!$B$5,2,AL21&gt;'NILAI CPL'!$B$6,1),0),"")</f>
        <v/>
      </c>
      <c r="BJ21" s="2" t="str" cm="1">
        <f t="array" ref="BJ21">IF('NILAI CPL'!$B21&lt;&gt;"",IFERROR(_xlfn.IFS(AM21&gt;='NILAI CPL'!$B$3,4,AM21&gt;='NILAI CPL'!$B$4,3,AM21&gt;='NILAI CPL'!$B$5,2,AM21&gt;'NILAI CPL'!$B$6,1),0),"")</f>
        <v/>
      </c>
      <c r="BK21" s="2" t="str" cm="1">
        <f t="array" ref="BK21">IF('NILAI CPL'!$B21&lt;&gt;"",IFERROR(_xlfn.IFS(AN21&gt;='NILAI CPL'!$B$3,4,AN21&gt;='NILAI CPL'!$B$4,3,AN21&gt;='NILAI CPL'!$B$5,2,AN21&gt;'NILAI CPL'!$B$6,1),0),"")</f>
        <v/>
      </c>
    </row>
    <row r="22" spans="1:63" x14ac:dyDescent="0.2">
      <c r="A22" s="2">
        <v>12</v>
      </c>
      <c r="B22" s="2" t="str">
        <f>IF(LEN(SUMMARY!B22)&gt;0, SUMMARY!B22, "")</f>
        <v/>
      </c>
      <c r="C22" s="2" t="str">
        <f>IF(LEN(SUMMARY!C22)&gt;0, SUMMARY!C22, "")</f>
        <v/>
      </c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" t="str">
        <f t="shared" si="24"/>
        <v/>
      </c>
      <c r="S22" s="2" t="str">
        <f t="shared" si="2"/>
        <v/>
      </c>
      <c r="T22" s="2" t="str">
        <f t="shared" si="3"/>
        <v/>
      </c>
      <c r="U22" s="2" t="str">
        <f t="shared" si="4"/>
        <v/>
      </c>
      <c r="V22" s="2" t="str">
        <f t="shared" si="5"/>
        <v/>
      </c>
      <c r="W22" s="2" t="str">
        <f t="shared" si="6"/>
        <v/>
      </c>
      <c r="X22" s="2" t="str">
        <f t="shared" si="7"/>
        <v/>
      </c>
      <c r="Y22" s="2" t="str">
        <f t="shared" si="8"/>
        <v/>
      </c>
      <c r="Z22" s="2" t="str">
        <f t="shared" si="9"/>
        <v/>
      </c>
      <c r="AA22" s="2" t="str">
        <f t="shared" si="10"/>
        <v/>
      </c>
      <c r="AB22" s="2" t="str">
        <f t="shared" si="11"/>
        <v/>
      </c>
      <c r="AC22" s="2" t="str">
        <f t="shared" si="12"/>
        <v/>
      </c>
      <c r="AD22" s="2" t="str">
        <f t="shared" si="13"/>
        <v/>
      </c>
      <c r="AE22" s="2" t="str">
        <f t="shared" si="14"/>
        <v/>
      </c>
      <c r="AF22" s="2" t="str">
        <f t="shared" si="15"/>
        <v/>
      </c>
      <c r="AG22" s="2" t="str">
        <f t="shared" si="16"/>
        <v/>
      </c>
      <c r="AH22" s="2" t="str">
        <f t="shared" si="17"/>
        <v/>
      </c>
      <c r="AI22" s="2" t="str">
        <f t="shared" si="18"/>
        <v/>
      </c>
      <c r="AJ22" s="2" t="str">
        <f t="shared" si="19"/>
        <v/>
      </c>
      <c r="AK22" s="2" t="str">
        <f t="shared" si="20"/>
        <v/>
      </c>
      <c r="AL22" s="2" t="str">
        <f t="shared" si="21"/>
        <v/>
      </c>
      <c r="AM22" s="2" t="str">
        <f t="shared" si="22"/>
        <v/>
      </c>
      <c r="AN22" s="2" t="str">
        <f t="shared" si="23"/>
        <v/>
      </c>
      <c r="AP22" s="2" t="str" cm="1">
        <f t="array" ref="AP22">IF('NILAI CPL'!$B22&lt;&gt;"",IFERROR(_xlfn.IFS(S22&gt;='NILAI CPL'!$B$3,4,S22&gt;='NILAI CPL'!$B$4,3,S22&gt;='NILAI CPL'!$B$5,2,S22&gt;'NILAI CPL'!$B$6,1),0),"")</f>
        <v/>
      </c>
      <c r="AQ22" s="2" t="str" cm="1">
        <f t="array" ref="AQ22">IF('NILAI CPL'!$B22&lt;&gt;"",IFERROR(_xlfn.IFS(T22&gt;='NILAI CPL'!$B$3,4,T22&gt;='NILAI CPL'!$B$4,3,T22&gt;='NILAI CPL'!$B$5,2,T22&gt;'NILAI CPL'!$B$6,1),0),"")</f>
        <v/>
      </c>
      <c r="AR22" s="2" t="str" cm="1">
        <f t="array" ref="AR22">IF('NILAI CPL'!$B22&lt;&gt;"",IFERROR(_xlfn.IFS(U22&gt;='NILAI CPL'!$B$3,4,U22&gt;='NILAI CPL'!$B$4,3,U22&gt;='NILAI CPL'!$B$5,2,U22&gt;'NILAI CPL'!$B$6,1),0),"")</f>
        <v/>
      </c>
      <c r="AS22" s="2" t="str" cm="1">
        <f t="array" ref="AS22">IF('NILAI CPL'!$B22&lt;&gt;"",IFERROR(_xlfn.IFS(V22&gt;='NILAI CPL'!$B$3,4,V22&gt;='NILAI CPL'!$B$4,3,V22&gt;='NILAI CPL'!$B$5,2,V22&gt;'NILAI CPL'!$B$6,1),0),"")</f>
        <v/>
      </c>
      <c r="AT22" s="2" t="str" cm="1">
        <f t="array" ref="AT22">IF('NILAI CPL'!$B22&lt;&gt;"",IFERROR(_xlfn.IFS(W22&gt;='NILAI CPL'!$B$3,4,W22&gt;='NILAI CPL'!$B$4,3,W22&gt;='NILAI CPL'!$B$5,2,W22&gt;'NILAI CPL'!$B$6,1),0),"")</f>
        <v/>
      </c>
      <c r="AU22" s="2" t="str" cm="1">
        <f t="array" ref="AU22">IF('NILAI CPL'!$B22&lt;&gt;"",IFERROR(_xlfn.IFS(X22&gt;='NILAI CPL'!$B$3,4,X22&gt;='NILAI CPL'!$B$4,3,X22&gt;='NILAI CPL'!$B$5,2,X22&gt;'NILAI CPL'!$B$6,1),0),"")</f>
        <v/>
      </c>
      <c r="AV22" s="2" t="str" cm="1">
        <f t="array" ref="AV22">IF('NILAI CPL'!$B22&lt;&gt;"",IFERROR(_xlfn.IFS(Y22&gt;='NILAI CPL'!$B$3,4,Y22&gt;='NILAI CPL'!$B$4,3,Y22&gt;='NILAI CPL'!$B$5,2,Y22&gt;'NILAI CPL'!$B$6,1),0),"")</f>
        <v/>
      </c>
      <c r="AW22" s="2" t="str" cm="1">
        <f t="array" ref="AW22">IF('NILAI CPL'!$B22&lt;&gt;"",IFERROR(_xlfn.IFS(Z22&gt;='NILAI CPL'!$B$3,4,Z22&gt;='NILAI CPL'!$B$4,3,Z22&gt;='NILAI CPL'!$B$5,2,Z22&gt;'NILAI CPL'!$B$6,1),0),"")</f>
        <v/>
      </c>
      <c r="AX22" s="2" t="str" cm="1">
        <f t="array" ref="AX22">IF('NILAI CPL'!$B22&lt;&gt;"",IFERROR(_xlfn.IFS(AA22&gt;='NILAI CPL'!$B$3,4,AA22&gt;='NILAI CPL'!$B$4,3,AA22&gt;='NILAI CPL'!$B$5,2,AA22&gt;'NILAI CPL'!$B$6,1),0),"")</f>
        <v/>
      </c>
      <c r="AY22" s="2" t="str" cm="1">
        <f t="array" ref="AY22">IF('NILAI CPL'!$B22&lt;&gt;"",IFERROR(_xlfn.IFS(AB22&gt;='NILAI CPL'!$B$3,4,AB22&gt;='NILAI CPL'!$B$4,3,AB22&gt;='NILAI CPL'!$B$5,2,AB22&gt;'NILAI CPL'!$B$6,1),0),"")</f>
        <v/>
      </c>
      <c r="AZ22" s="2" t="str" cm="1">
        <f t="array" ref="AZ22">IF('NILAI CPL'!$B22&lt;&gt;"",IFERROR(_xlfn.IFS(AC22&gt;='NILAI CPL'!$B$3,4,AC22&gt;='NILAI CPL'!$B$4,3,AC22&gt;='NILAI CPL'!$B$5,2,AC22&gt;'NILAI CPL'!$B$6,1),0),"")</f>
        <v/>
      </c>
      <c r="BA22" s="2" t="str" cm="1">
        <f t="array" ref="BA22">IF('NILAI CPL'!$B22&lt;&gt;"",IFERROR(_xlfn.IFS(AD22&gt;='NILAI CPL'!$B$3,4,AD22&gt;='NILAI CPL'!$B$4,3,AD22&gt;='NILAI CPL'!$B$5,2,AD22&gt;'NILAI CPL'!$B$6,1),0),"")</f>
        <v/>
      </c>
      <c r="BB22" s="2" t="str" cm="1">
        <f t="array" ref="BB22">IF('NILAI CPL'!$B22&lt;&gt;"",IFERROR(_xlfn.IFS(AE22&gt;='NILAI CPL'!$B$3,4,AE22&gt;='NILAI CPL'!$B$4,3,AE22&gt;='NILAI CPL'!$B$5,2,AE22&gt;'NILAI CPL'!$B$6,1),0),"")</f>
        <v/>
      </c>
      <c r="BC22" s="2" t="str" cm="1">
        <f t="array" ref="BC22">IF('NILAI CPL'!$B22&lt;&gt;"",IFERROR(_xlfn.IFS(AF22&gt;='NILAI CPL'!$B$3,4,AF22&gt;='NILAI CPL'!$B$4,3,AF22&gt;='NILAI CPL'!$B$5,2,AF22&gt;'NILAI CPL'!$B$6,1),0),"")</f>
        <v/>
      </c>
      <c r="BD22" s="2" t="str" cm="1">
        <f t="array" ref="BD22">IF('NILAI CPL'!$B22&lt;&gt;"",IFERROR(_xlfn.IFS(AG22&gt;='NILAI CPL'!$B$3,4,AG22&gt;='NILAI CPL'!$B$4,3,AG22&gt;='NILAI CPL'!$B$5,2,AG22&gt;'NILAI CPL'!$B$6,1),0),"")</f>
        <v/>
      </c>
      <c r="BE22" s="2" t="str" cm="1">
        <f t="array" ref="BE22">IF('NILAI CPL'!$B22&lt;&gt;"",IFERROR(_xlfn.IFS(AH22&gt;='NILAI CPL'!$B$3,4,AH22&gt;='NILAI CPL'!$B$4,3,AH22&gt;='NILAI CPL'!$B$5,2,AH22&gt;'NILAI CPL'!$B$6,1),0),"")</f>
        <v/>
      </c>
      <c r="BF22" s="2" t="str" cm="1">
        <f t="array" ref="BF22">IF('NILAI CPL'!$B22&lt;&gt;"",IFERROR(_xlfn.IFS(AI22&gt;='NILAI CPL'!$B$3,4,AI22&gt;='NILAI CPL'!$B$4,3,AI22&gt;='NILAI CPL'!$B$5,2,AI22&gt;'NILAI CPL'!$B$6,1),0),"")</f>
        <v/>
      </c>
      <c r="BG22" s="2" t="str" cm="1">
        <f t="array" ref="BG22">IF('NILAI CPL'!$B22&lt;&gt;"",IFERROR(_xlfn.IFS(AJ22&gt;='NILAI CPL'!$B$3,4,AJ22&gt;='NILAI CPL'!$B$4,3,AJ22&gt;='NILAI CPL'!$B$5,2,AJ22&gt;'NILAI CPL'!$B$6,1),0),"")</f>
        <v/>
      </c>
      <c r="BH22" s="2" t="str" cm="1">
        <f t="array" ref="BH22">IF('NILAI CPL'!$B22&lt;&gt;"",IFERROR(_xlfn.IFS(AK22&gt;='NILAI CPL'!$B$3,4,AK22&gt;='NILAI CPL'!$B$4,3,AK22&gt;='NILAI CPL'!$B$5,2,AK22&gt;'NILAI CPL'!$B$6,1),0),"")</f>
        <v/>
      </c>
      <c r="BI22" s="2" t="str" cm="1">
        <f t="array" ref="BI22">IF('NILAI CPL'!$B22&lt;&gt;"",IFERROR(_xlfn.IFS(AL22&gt;='NILAI CPL'!$B$3,4,AL22&gt;='NILAI CPL'!$B$4,3,AL22&gt;='NILAI CPL'!$B$5,2,AL22&gt;'NILAI CPL'!$B$6,1),0),"")</f>
        <v/>
      </c>
      <c r="BJ22" s="2" t="str" cm="1">
        <f t="array" ref="BJ22">IF('NILAI CPL'!$B22&lt;&gt;"",IFERROR(_xlfn.IFS(AM22&gt;='NILAI CPL'!$B$3,4,AM22&gt;='NILAI CPL'!$B$4,3,AM22&gt;='NILAI CPL'!$B$5,2,AM22&gt;'NILAI CPL'!$B$6,1),0),"")</f>
        <v/>
      </c>
      <c r="BK22" s="2" t="str" cm="1">
        <f t="array" ref="BK22">IF('NILAI CPL'!$B22&lt;&gt;"",IFERROR(_xlfn.IFS(AN22&gt;='NILAI CPL'!$B$3,4,AN22&gt;='NILAI CPL'!$B$4,3,AN22&gt;='NILAI CPL'!$B$5,2,AN22&gt;'NILAI CPL'!$B$6,1),0),"")</f>
        <v/>
      </c>
    </row>
    <row r="23" spans="1:63" x14ac:dyDescent="0.2">
      <c r="A23" s="2">
        <v>13</v>
      </c>
      <c r="B23" s="2" t="str">
        <f>IF(LEN(SUMMARY!B23)&gt;0, SUMMARY!B23, "")</f>
        <v/>
      </c>
      <c r="C23" s="2" t="str">
        <f>IF(LEN(SUMMARY!C23)&gt;0, SUMMARY!C23, "")</f>
        <v/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" t="str">
        <f t="shared" si="24"/>
        <v/>
      </c>
      <c r="S23" s="2" t="str">
        <f t="shared" si="2"/>
        <v/>
      </c>
      <c r="T23" s="2" t="str">
        <f t="shared" si="3"/>
        <v/>
      </c>
      <c r="U23" s="2" t="str">
        <f t="shared" si="4"/>
        <v/>
      </c>
      <c r="V23" s="2" t="str">
        <f t="shared" si="5"/>
        <v/>
      </c>
      <c r="W23" s="2" t="str">
        <f t="shared" si="6"/>
        <v/>
      </c>
      <c r="X23" s="2" t="str">
        <f t="shared" si="7"/>
        <v/>
      </c>
      <c r="Y23" s="2" t="str">
        <f t="shared" si="8"/>
        <v/>
      </c>
      <c r="Z23" s="2" t="str">
        <f t="shared" si="9"/>
        <v/>
      </c>
      <c r="AA23" s="2" t="str">
        <f t="shared" si="10"/>
        <v/>
      </c>
      <c r="AB23" s="2" t="str">
        <f t="shared" si="11"/>
        <v/>
      </c>
      <c r="AC23" s="2" t="str">
        <f t="shared" si="12"/>
        <v/>
      </c>
      <c r="AD23" s="2" t="str">
        <f t="shared" si="13"/>
        <v/>
      </c>
      <c r="AE23" s="2" t="str">
        <f t="shared" si="14"/>
        <v/>
      </c>
      <c r="AF23" s="2" t="str">
        <f t="shared" si="15"/>
        <v/>
      </c>
      <c r="AG23" s="2" t="str">
        <f t="shared" si="16"/>
        <v/>
      </c>
      <c r="AH23" s="2" t="str">
        <f t="shared" si="17"/>
        <v/>
      </c>
      <c r="AI23" s="2" t="str">
        <f t="shared" si="18"/>
        <v/>
      </c>
      <c r="AJ23" s="2" t="str">
        <f t="shared" si="19"/>
        <v/>
      </c>
      <c r="AK23" s="2" t="str">
        <f t="shared" si="20"/>
        <v/>
      </c>
      <c r="AL23" s="2" t="str">
        <f t="shared" si="21"/>
        <v/>
      </c>
      <c r="AM23" s="2" t="str">
        <f t="shared" si="22"/>
        <v/>
      </c>
      <c r="AN23" s="2" t="str">
        <f t="shared" si="23"/>
        <v/>
      </c>
      <c r="AP23" s="2" t="str" cm="1">
        <f t="array" ref="AP23">IF('NILAI CPL'!$B23&lt;&gt;"",IFERROR(_xlfn.IFS(S23&gt;='NILAI CPL'!$B$3,4,S23&gt;='NILAI CPL'!$B$4,3,S23&gt;='NILAI CPL'!$B$5,2,S23&gt;'NILAI CPL'!$B$6,1),0),"")</f>
        <v/>
      </c>
      <c r="AQ23" s="2" t="str" cm="1">
        <f t="array" ref="AQ23">IF('NILAI CPL'!$B23&lt;&gt;"",IFERROR(_xlfn.IFS(T23&gt;='NILAI CPL'!$B$3,4,T23&gt;='NILAI CPL'!$B$4,3,T23&gt;='NILAI CPL'!$B$5,2,T23&gt;'NILAI CPL'!$B$6,1),0),"")</f>
        <v/>
      </c>
      <c r="AR23" s="2" t="str" cm="1">
        <f t="array" ref="AR23">IF('NILAI CPL'!$B23&lt;&gt;"",IFERROR(_xlfn.IFS(U23&gt;='NILAI CPL'!$B$3,4,U23&gt;='NILAI CPL'!$B$4,3,U23&gt;='NILAI CPL'!$B$5,2,U23&gt;'NILAI CPL'!$B$6,1),0),"")</f>
        <v/>
      </c>
      <c r="AS23" s="2" t="str" cm="1">
        <f t="array" ref="AS23">IF('NILAI CPL'!$B23&lt;&gt;"",IFERROR(_xlfn.IFS(V23&gt;='NILAI CPL'!$B$3,4,V23&gt;='NILAI CPL'!$B$4,3,V23&gt;='NILAI CPL'!$B$5,2,V23&gt;'NILAI CPL'!$B$6,1),0),"")</f>
        <v/>
      </c>
      <c r="AT23" s="2" t="str" cm="1">
        <f t="array" ref="AT23">IF('NILAI CPL'!$B23&lt;&gt;"",IFERROR(_xlfn.IFS(W23&gt;='NILAI CPL'!$B$3,4,W23&gt;='NILAI CPL'!$B$4,3,W23&gt;='NILAI CPL'!$B$5,2,W23&gt;'NILAI CPL'!$B$6,1),0),"")</f>
        <v/>
      </c>
      <c r="AU23" s="2" t="str" cm="1">
        <f t="array" ref="AU23">IF('NILAI CPL'!$B23&lt;&gt;"",IFERROR(_xlfn.IFS(X23&gt;='NILAI CPL'!$B$3,4,X23&gt;='NILAI CPL'!$B$4,3,X23&gt;='NILAI CPL'!$B$5,2,X23&gt;'NILAI CPL'!$B$6,1),0),"")</f>
        <v/>
      </c>
      <c r="AV23" s="2" t="str" cm="1">
        <f t="array" ref="AV23">IF('NILAI CPL'!$B23&lt;&gt;"",IFERROR(_xlfn.IFS(Y23&gt;='NILAI CPL'!$B$3,4,Y23&gt;='NILAI CPL'!$B$4,3,Y23&gt;='NILAI CPL'!$B$5,2,Y23&gt;'NILAI CPL'!$B$6,1),0),"")</f>
        <v/>
      </c>
      <c r="AW23" s="2" t="str" cm="1">
        <f t="array" ref="AW23">IF('NILAI CPL'!$B23&lt;&gt;"",IFERROR(_xlfn.IFS(Z23&gt;='NILAI CPL'!$B$3,4,Z23&gt;='NILAI CPL'!$B$4,3,Z23&gt;='NILAI CPL'!$B$5,2,Z23&gt;'NILAI CPL'!$B$6,1),0),"")</f>
        <v/>
      </c>
      <c r="AX23" s="2" t="str" cm="1">
        <f t="array" ref="AX23">IF('NILAI CPL'!$B23&lt;&gt;"",IFERROR(_xlfn.IFS(AA23&gt;='NILAI CPL'!$B$3,4,AA23&gt;='NILAI CPL'!$B$4,3,AA23&gt;='NILAI CPL'!$B$5,2,AA23&gt;'NILAI CPL'!$B$6,1),0),"")</f>
        <v/>
      </c>
      <c r="AY23" s="2" t="str" cm="1">
        <f t="array" ref="AY23">IF('NILAI CPL'!$B23&lt;&gt;"",IFERROR(_xlfn.IFS(AB23&gt;='NILAI CPL'!$B$3,4,AB23&gt;='NILAI CPL'!$B$4,3,AB23&gt;='NILAI CPL'!$B$5,2,AB23&gt;'NILAI CPL'!$B$6,1),0),"")</f>
        <v/>
      </c>
      <c r="AZ23" s="2" t="str" cm="1">
        <f t="array" ref="AZ23">IF('NILAI CPL'!$B23&lt;&gt;"",IFERROR(_xlfn.IFS(AC23&gt;='NILAI CPL'!$B$3,4,AC23&gt;='NILAI CPL'!$B$4,3,AC23&gt;='NILAI CPL'!$B$5,2,AC23&gt;'NILAI CPL'!$B$6,1),0),"")</f>
        <v/>
      </c>
      <c r="BA23" s="2" t="str" cm="1">
        <f t="array" ref="BA23">IF('NILAI CPL'!$B23&lt;&gt;"",IFERROR(_xlfn.IFS(AD23&gt;='NILAI CPL'!$B$3,4,AD23&gt;='NILAI CPL'!$B$4,3,AD23&gt;='NILAI CPL'!$B$5,2,AD23&gt;'NILAI CPL'!$B$6,1),0),"")</f>
        <v/>
      </c>
      <c r="BB23" s="2" t="str" cm="1">
        <f t="array" ref="BB23">IF('NILAI CPL'!$B23&lt;&gt;"",IFERROR(_xlfn.IFS(AE23&gt;='NILAI CPL'!$B$3,4,AE23&gt;='NILAI CPL'!$B$4,3,AE23&gt;='NILAI CPL'!$B$5,2,AE23&gt;'NILAI CPL'!$B$6,1),0),"")</f>
        <v/>
      </c>
      <c r="BC23" s="2" t="str" cm="1">
        <f t="array" ref="BC23">IF('NILAI CPL'!$B23&lt;&gt;"",IFERROR(_xlfn.IFS(AF23&gt;='NILAI CPL'!$B$3,4,AF23&gt;='NILAI CPL'!$B$4,3,AF23&gt;='NILAI CPL'!$B$5,2,AF23&gt;'NILAI CPL'!$B$6,1),0),"")</f>
        <v/>
      </c>
      <c r="BD23" s="2" t="str" cm="1">
        <f t="array" ref="BD23">IF('NILAI CPL'!$B23&lt;&gt;"",IFERROR(_xlfn.IFS(AG23&gt;='NILAI CPL'!$B$3,4,AG23&gt;='NILAI CPL'!$B$4,3,AG23&gt;='NILAI CPL'!$B$5,2,AG23&gt;'NILAI CPL'!$B$6,1),0),"")</f>
        <v/>
      </c>
      <c r="BE23" s="2" t="str" cm="1">
        <f t="array" ref="BE23">IF('NILAI CPL'!$B23&lt;&gt;"",IFERROR(_xlfn.IFS(AH23&gt;='NILAI CPL'!$B$3,4,AH23&gt;='NILAI CPL'!$B$4,3,AH23&gt;='NILAI CPL'!$B$5,2,AH23&gt;'NILAI CPL'!$B$6,1),0),"")</f>
        <v/>
      </c>
      <c r="BF23" s="2" t="str" cm="1">
        <f t="array" ref="BF23">IF('NILAI CPL'!$B23&lt;&gt;"",IFERROR(_xlfn.IFS(AI23&gt;='NILAI CPL'!$B$3,4,AI23&gt;='NILAI CPL'!$B$4,3,AI23&gt;='NILAI CPL'!$B$5,2,AI23&gt;'NILAI CPL'!$B$6,1),0),"")</f>
        <v/>
      </c>
      <c r="BG23" s="2" t="str" cm="1">
        <f t="array" ref="BG23">IF('NILAI CPL'!$B23&lt;&gt;"",IFERROR(_xlfn.IFS(AJ23&gt;='NILAI CPL'!$B$3,4,AJ23&gt;='NILAI CPL'!$B$4,3,AJ23&gt;='NILAI CPL'!$B$5,2,AJ23&gt;'NILAI CPL'!$B$6,1),0),"")</f>
        <v/>
      </c>
      <c r="BH23" s="2" t="str" cm="1">
        <f t="array" ref="BH23">IF('NILAI CPL'!$B23&lt;&gt;"",IFERROR(_xlfn.IFS(AK23&gt;='NILAI CPL'!$B$3,4,AK23&gt;='NILAI CPL'!$B$4,3,AK23&gt;='NILAI CPL'!$B$5,2,AK23&gt;'NILAI CPL'!$B$6,1),0),"")</f>
        <v/>
      </c>
      <c r="BI23" s="2" t="str" cm="1">
        <f t="array" ref="BI23">IF('NILAI CPL'!$B23&lt;&gt;"",IFERROR(_xlfn.IFS(AL23&gt;='NILAI CPL'!$B$3,4,AL23&gt;='NILAI CPL'!$B$4,3,AL23&gt;='NILAI CPL'!$B$5,2,AL23&gt;'NILAI CPL'!$B$6,1),0),"")</f>
        <v/>
      </c>
      <c r="BJ23" s="2" t="str" cm="1">
        <f t="array" ref="BJ23">IF('NILAI CPL'!$B23&lt;&gt;"",IFERROR(_xlfn.IFS(AM23&gt;='NILAI CPL'!$B$3,4,AM23&gt;='NILAI CPL'!$B$4,3,AM23&gt;='NILAI CPL'!$B$5,2,AM23&gt;'NILAI CPL'!$B$6,1),0),"")</f>
        <v/>
      </c>
      <c r="BK23" s="2" t="str" cm="1">
        <f t="array" ref="BK23">IF('NILAI CPL'!$B23&lt;&gt;"",IFERROR(_xlfn.IFS(AN23&gt;='NILAI CPL'!$B$3,4,AN23&gt;='NILAI CPL'!$B$4,3,AN23&gt;='NILAI CPL'!$B$5,2,AN23&gt;'NILAI CPL'!$B$6,1),0),"")</f>
        <v/>
      </c>
    </row>
    <row r="24" spans="1:63" x14ac:dyDescent="0.2">
      <c r="A24" s="2">
        <v>14</v>
      </c>
      <c r="B24" s="2" t="str">
        <f>IF(LEN(SUMMARY!B24)&gt;0, SUMMARY!B24, "")</f>
        <v/>
      </c>
      <c r="C24" s="2" t="str">
        <f>IF(LEN(SUMMARY!C24)&gt;0, SUMMARY!C24, "")</f>
        <v/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" t="str">
        <f t="shared" si="24"/>
        <v/>
      </c>
      <c r="S24" s="2" t="str">
        <f t="shared" si="2"/>
        <v/>
      </c>
      <c r="T24" s="2" t="str">
        <f t="shared" si="3"/>
        <v/>
      </c>
      <c r="U24" s="2" t="str">
        <f t="shared" si="4"/>
        <v/>
      </c>
      <c r="V24" s="2" t="str">
        <f t="shared" si="5"/>
        <v/>
      </c>
      <c r="W24" s="2" t="str">
        <f t="shared" si="6"/>
        <v/>
      </c>
      <c r="X24" s="2" t="str">
        <f t="shared" si="7"/>
        <v/>
      </c>
      <c r="Y24" s="2" t="str">
        <f t="shared" si="8"/>
        <v/>
      </c>
      <c r="Z24" s="2" t="str">
        <f t="shared" si="9"/>
        <v/>
      </c>
      <c r="AA24" s="2" t="str">
        <f t="shared" si="10"/>
        <v/>
      </c>
      <c r="AB24" s="2" t="str">
        <f t="shared" si="11"/>
        <v/>
      </c>
      <c r="AC24" s="2" t="str">
        <f t="shared" si="12"/>
        <v/>
      </c>
      <c r="AD24" s="2" t="str">
        <f t="shared" si="13"/>
        <v/>
      </c>
      <c r="AE24" s="2" t="str">
        <f t="shared" si="14"/>
        <v/>
      </c>
      <c r="AF24" s="2" t="str">
        <f t="shared" si="15"/>
        <v/>
      </c>
      <c r="AG24" s="2" t="str">
        <f t="shared" si="16"/>
        <v/>
      </c>
      <c r="AH24" s="2" t="str">
        <f t="shared" si="17"/>
        <v/>
      </c>
      <c r="AI24" s="2" t="str">
        <f t="shared" si="18"/>
        <v/>
      </c>
      <c r="AJ24" s="2" t="str">
        <f t="shared" si="19"/>
        <v/>
      </c>
      <c r="AK24" s="2" t="str">
        <f t="shared" si="20"/>
        <v/>
      </c>
      <c r="AL24" s="2" t="str">
        <f t="shared" si="21"/>
        <v/>
      </c>
      <c r="AM24" s="2" t="str">
        <f t="shared" si="22"/>
        <v/>
      </c>
      <c r="AN24" s="2" t="str">
        <f t="shared" si="23"/>
        <v/>
      </c>
      <c r="AP24" s="2" t="str" cm="1">
        <f t="array" ref="AP24">IF('NILAI CPL'!$B24&lt;&gt;"",IFERROR(_xlfn.IFS(S24&gt;='NILAI CPL'!$B$3,4,S24&gt;='NILAI CPL'!$B$4,3,S24&gt;='NILAI CPL'!$B$5,2,S24&gt;'NILAI CPL'!$B$6,1),0),"")</f>
        <v/>
      </c>
      <c r="AQ24" s="2" t="str" cm="1">
        <f t="array" ref="AQ24">IF('NILAI CPL'!$B24&lt;&gt;"",IFERROR(_xlfn.IFS(T24&gt;='NILAI CPL'!$B$3,4,T24&gt;='NILAI CPL'!$B$4,3,T24&gt;='NILAI CPL'!$B$5,2,T24&gt;'NILAI CPL'!$B$6,1),0),"")</f>
        <v/>
      </c>
      <c r="AR24" s="2" t="str" cm="1">
        <f t="array" ref="AR24">IF('NILAI CPL'!$B24&lt;&gt;"",IFERROR(_xlfn.IFS(U24&gt;='NILAI CPL'!$B$3,4,U24&gt;='NILAI CPL'!$B$4,3,U24&gt;='NILAI CPL'!$B$5,2,U24&gt;'NILAI CPL'!$B$6,1),0),"")</f>
        <v/>
      </c>
      <c r="AS24" s="2" t="str" cm="1">
        <f t="array" ref="AS24">IF('NILAI CPL'!$B24&lt;&gt;"",IFERROR(_xlfn.IFS(V24&gt;='NILAI CPL'!$B$3,4,V24&gt;='NILAI CPL'!$B$4,3,V24&gt;='NILAI CPL'!$B$5,2,V24&gt;'NILAI CPL'!$B$6,1),0),"")</f>
        <v/>
      </c>
      <c r="AT24" s="2" t="str" cm="1">
        <f t="array" ref="AT24">IF('NILAI CPL'!$B24&lt;&gt;"",IFERROR(_xlfn.IFS(W24&gt;='NILAI CPL'!$B$3,4,W24&gt;='NILAI CPL'!$B$4,3,W24&gt;='NILAI CPL'!$B$5,2,W24&gt;'NILAI CPL'!$B$6,1),0),"")</f>
        <v/>
      </c>
      <c r="AU24" s="2" t="str" cm="1">
        <f t="array" ref="AU24">IF('NILAI CPL'!$B24&lt;&gt;"",IFERROR(_xlfn.IFS(X24&gt;='NILAI CPL'!$B$3,4,X24&gt;='NILAI CPL'!$B$4,3,X24&gt;='NILAI CPL'!$B$5,2,X24&gt;'NILAI CPL'!$B$6,1),0),"")</f>
        <v/>
      </c>
      <c r="AV24" s="2" t="str" cm="1">
        <f t="array" ref="AV24">IF('NILAI CPL'!$B24&lt;&gt;"",IFERROR(_xlfn.IFS(Y24&gt;='NILAI CPL'!$B$3,4,Y24&gt;='NILAI CPL'!$B$4,3,Y24&gt;='NILAI CPL'!$B$5,2,Y24&gt;'NILAI CPL'!$B$6,1),0),"")</f>
        <v/>
      </c>
      <c r="AW24" s="2" t="str" cm="1">
        <f t="array" ref="AW24">IF('NILAI CPL'!$B24&lt;&gt;"",IFERROR(_xlfn.IFS(Z24&gt;='NILAI CPL'!$B$3,4,Z24&gt;='NILAI CPL'!$B$4,3,Z24&gt;='NILAI CPL'!$B$5,2,Z24&gt;'NILAI CPL'!$B$6,1),0),"")</f>
        <v/>
      </c>
      <c r="AX24" s="2" t="str" cm="1">
        <f t="array" ref="AX24">IF('NILAI CPL'!$B24&lt;&gt;"",IFERROR(_xlfn.IFS(AA24&gt;='NILAI CPL'!$B$3,4,AA24&gt;='NILAI CPL'!$B$4,3,AA24&gt;='NILAI CPL'!$B$5,2,AA24&gt;'NILAI CPL'!$B$6,1),0),"")</f>
        <v/>
      </c>
      <c r="AY24" s="2" t="str" cm="1">
        <f t="array" ref="AY24">IF('NILAI CPL'!$B24&lt;&gt;"",IFERROR(_xlfn.IFS(AB24&gt;='NILAI CPL'!$B$3,4,AB24&gt;='NILAI CPL'!$B$4,3,AB24&gt;='NILAI CPL'!$B$5,2,AB24&gt;'NILAI CPL'!$B$6,1),0),"")</f>
        <v/>
      </c>
      <c r="AZ24" s="2" t="str" cm="1">
        <f t="array" ref="AZ24">IF('NILAI CPL'!$B24&lt;&gt;"",IFERROR(_xlfn.IFS(AC24&gt;='NILAI CPL'!$B$3,4,AC24&gt;='NILAI CPL'!$B$4,3,AC24&gt;='NILAI CPL'!$B$5,2,AC24&gt;'NILAI CPL'!$B$6,1),0),"")</f>
        <v/>
      </c>
      <c r="BA24" s="2" t="str" cm="1">
        <f t="array" ref="BA24">IF('NILAI CPL'!$B24&lt;&gt;"",IFERROR(_xlfn.IFS(AD24&gt;='NILAI CPL'!$B$3,4,AD24&gt;='NILAI CPL'!$B$4,3,AD24&gt;='NILAI CPL'!$B$5,2,AD24&gt;'NILAI CPL'!$B$6,1),0),"")</f>
        <v/>
      </c>
      <c r="BB24" s="2" t="str" cm="1">
        <f t="array" ref="BB24">IF('NILAI CPL'!$B24&lt;&gt;"",IFERROR(_xlfn.IFS(AE24&gt;='NILAI CPL'!$B$3,4,AE24&gt;='NILAI CPL'!$B$4,3,AE24&gt;='NILAI CPL'!$B$5,2,AE24&gt;'NILAI CPL'!$B$6,1),0),"")</f>
        <v/>
      </c>
      <c r="BC24" s="2" t="str" cm="1">
        <f t="array" ref="BC24">IF('NILAI CPL'!$B24&lt;&gt;"",IFERROR(_xlfn.IFS(AF24&gt;='NILAI CPL'!$B$3,4,AF24&gt;='NILAI CPL'!$B$4,3,AF24&gt;='NILAI CPL'!$B$5,2,AF24&gt;'NILAI CPL'!$B$6,1),0),"")</f>
        <v/>
      </c>
      <c r="BD24" s="2" t="str" cm="1">
        <f t="array" ref="BD24">IF('NILAI CPL'!$B24&lt;&gt;"",IFERROR(_xlfn.IFS(AG24&gt;='NILAI CPL'!$B$3,4,AG24&gt;='NILAI CPL'!$B$4,3,AG24&gt;='NILAI CPL'!$B$5,2,AG24&gt;'NILAI CPL'!$B$6,1),0),"")</f>
        <v/>
      </c>
      <c r="BE24" s="2" t="str" cm="1">
        <f t="array" ref="BE24">IF('NILAI CPL'!$B24&lt;&gt;"",IFERROR(_xlfn.IFS(AH24&gt;='NILAI CPL'!$B$3,4,AH24&gt;='NILAI CPL'!$B$4,3,AH24&gt;='NILAI CPL'!$B$5,2,AH24&gt;'NILAI CPL'!$B$6,1),0),"")</f>
        <v/>
      </c>
      <c r="BF24" s="2" t="str" cm="1">
        <f t="array" ref="BF24">IF('NILAI CPL'!$B24&lt;&gt;"",IFERROR(_xlfn.IFS(AI24&gt;='NILAI CPL'!$B$3,4,AI24&gt;='NILAI CPL'!$B$4,3,AI24&gt;='NILAI CPL'!$B$5,2,AI24&gt;'NILAI CPL'!$B$6,1),0),"")</f>
        <v/>
      </c>
      <c r="BG24" s="2" t="str" cm="1">
        <f t="array" ref="BG24">IF('NILAI CPL'!$B24&lt;&gt;"",IFERROR(_xlfn.IFS(AJ24&gt;='NILAI CPL'!$B$3,4,AJ24&gt;='NILAI CPL'!$B$4,3,AJ24&gt;='NILAI CPL'!$B$5,2,AJ24&gt;'NILAI CPL'!$B$6,1),0),"")</f>
        <v/>
      </c>
      <c r="BH24" s="2" t="str" cm="1">
        <f t="array" ref="BH24">IF('NILAI CPL'!$B24&lt;&gt;"",IFERROR(_xlfn.IFS(AK24&gt;='NILAI CPL'!$B$3,4,AK24&gt;='NILAI CPL'!$B$4,3,AK24&gt;='NILAI CPL'!$B$5,2,AK24&gt;'NILAI CPL'!$B$6,1),0),"")</f>
        <v/>
      </c>
      <c r="BI24" s="2" t="str" cm="1">
        <f t="array" ref="BI24">IF('NILAI CPL'!$B24&lt;&gt;"",IFERROR(_xlfn.IFS(AL24&gt;='NILAI CPL'!$B$3,4,AL24&gt;='NILAI CPL'!$B$4,3,AL24&gt;='NILAI CPL'!$B$5,2,AL24&gt;'NILAI CPL'!$B$6,1),0),"")</f>
        <v/>
      </c>
      <c r="BJ24" s="2" t="str" cm="1">
        <f t="array" ref="BJ24">IF('NILAI CPL'!$B24&lt;&gt;"",IFERROR(_xlfn.IFS(AM24&gt;='NILAI CPL'!$B$3,4,AM24&gt;='NILAI CPL'!$B$4,3,AM24&gt;='NILAI CPL'!$B$5,2,AM24&gt;'NILAI CPL'!$B$6,1),0),"")</f>
        <v/>
      </c>
      <c r="BK24" s="2" t="str" cm="1">
        <f t="array" ref="BK24">IF('NILAI CPL'!$B24&lt;&gt;"",IFERROR(_xlfn.IFS(AN24&gt;='NILAI CPL'!$B$3,4,AN24&gt;='NILAI CPL'!$B$4,3,AN24&gt;='NILAI CPL'!$B$5,2,AN24&gt;'NILAI CPL'!$B$6,1),0),"")</f>
        <v/>
      </c>
    </row>
    <row r="25" spans="1:63" x14ac:dyDescent="0.2">
      <c r="A25" s="2">
        <v>15</v>
      </c>
      <c r="B25" s="2" t="str">
        <f>IF(LEN(SUMMARY!B25)&gt;0, SUMMARY!B25, "")</f>
        <v/>
      </c>
      <c r="C25" s="2" t="str">
        <f>IF(LEN(SUMMARY!C25)&gt;0, SUMMARY!C25, "")</f>
        <v/>
      </c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" t="str">
        <f t="shared" si="24"/>
        <v/>
      </c>
      <c r="S25" s="2" t="str">
        <f t="shared" si="2"/>
        <v/>
      </c>
      <c r="T25" s="2" t="str">
        <f t="shared" si="3"/>
        <v/>
      </c>
      <c r="U25" s="2" t="str">
        <f t="shared" si="4"/>
        <v/>
      </c>
      <c r="V25" s="2" t="str">
        <f t="shared" si="5"/>
        <v/>
      </c>
      <c r="W25" s="2" t="str">
        <f t="shared" si="6"/>
        <v/>
      </c>
      <c r="X25" s="2" t="str">
        <f t="shared" si="7"/>
        <v/>
      </c>
      <c r="Y25" s="2" t="str">
        <f t="shared" si="8"/>
        <v/>
      </c>
      <c r="Z25" s="2" t="str">
        <f t="shared" si="9"/>
        <v/>
      </c>
      <c r="AA25" s="2" t="str">
        <f t="shared" si="10"/>
        <v/>
      </c>
      <c r="AB25" s="2" t="str">
        <f t="shared" si="11"/>
        <v/>
      </c>
      <c r="AC25" s="2" t="str">
        <f t="shared" si="12"/>
        <v/>
      </c>
      <c r="AD25" s="2" t="str">
        <f t="shared" si="13"/>
        <v/>
      </c>
      <c r="AE25" s="2" t="str">
        <f t="shared" si="14"/>
        <v/>
      </c>
      <c r="AF25" s="2" t="str">
        <f t="shared" si="15"/>
        <v/>
      </c>
      <c r="AG25" s="2" t="str">
        <f t="shared" si="16"/>
        <v/>
      </c>
      <c r="AH25" s="2" t="str">
        <f t="shared" si="17"/>
        <v/>
      </c>
      <c r="AI25" s="2" t="str">
        <f t="shared" si="18"/>
        <v/>
      </c>
      <c r="AJ25" s="2" t="str">
        <f t="shared" si="19"/>
        <v/>
      </c>
      <c r="AK25" s="2" t="str">
        <f t="shared" si="20"/>
        <v/>
      </c>
      <c r="AL25" s="2" t="str">
        <f t="shared" si="21"/>
        <v/>
      </c>
      <c r="AM25" s="2" t="str">
        <f t="shared" si="22"/>
        <v/>
      </c>
      <c r="AN25" s="2" t="str">
        <f t="shared" si="23"/>
        <v/>
      </c>
      <c r="AP25" s="2" t="str" cm="1">
        <f t="array" ref="AP25">IF('NILAI CPL'!$B25&lt;&gt;"",IFERROR(_xlfn.IFS(S25&gt;='NILAI CPL'!$B$3,4,S25&gt;='NILAI CPL'!$B$4,3,S25&gt;='NILAI CPL'!$B$5,2,S25&gt;'NILAI CPL'!$B$6,1),0),"")</f>
        <v/>
      </c>
      <c r="AQ25" s="2" t="str" cm="1">
        <f t="array" ref="AQ25">IF('NILAI CPL'!$B25&lt;&gt;"",IFERROR(_xlfn.IFS(T25&gt;='NILAI CPL'!$B$3,4,T25&gt;='NILAI CPL'!$B$4,3,T25&gt;='NILAI CPL'!$B$5,2,T25&gt;'NILAI CPL'!$B$6,1),0),"")</f>
        <v/>
      </c>
      <c r="AR25" s="2" t="str" cm="1">
        <f t="array" ref="AR25">IF('NILAI CPL'!$B25&lt;&gt;"",IFERROR(_xlfn.IFS(U25&gt;='NILAI CPL'!$B$3,4,U25&gt;='NILAI CPL'!$B$4,3,U25&gt;='NILAI CPL'!$B$5,2,U25&gt;'NILAI CPL'!$B$6,1),0),"")</f>
        <v/>
      </c>
      <c r="AS25" s="2" t="str" cm="1">
        <f t="array" ref="AS25">IF('NILAI CPL'!$B25&lt;&gt;"",IFERROR(_xlfn.IFS(V25&gt;='NILAI CPL'!$B$3,4,V25&gt;='NILAI CPL'!$B$4,3,V25&gt;='NILAI CPL'!$B$5,2,V25&gt;'NILAI CPL'!$B$6,1),0),"")</f>
        <v/>
      </c>
      <c r="AT25" s="2" t="str" cm="1">
        <f t="array" ref="AT25">IF('NILAI CPL'!$B25&lt;&gt;"",IFERROR(_xlfn.IFS(W25&gt;='NILAI CPL'!$B$3,4,W25&gt;='NILAI CPL'!$B$4,3,W25&gt;='NILAI CPL'!$B$5,2,W25&gt;'NILAI CPL'!$B$6,1),0),"")</f>
        <v/>
      </c>
      <c r="AU25" s="2" t="str" cm="1">
        <f t="array" ref="AU25">IF('NILAI CPL'!$B25&lt;&gt;"",IFERROR(_xlfn.IFS(X25&gt;='NILAI CPL'!$B$3,4,X25&gt;='NILAI CPL'!$B$4,3,X25&gt;='NILAI CPL'!$B$5,2,X25&gt;'NILAI CPL'!$B$6,1),0),"")</f>
        <v/>
      </c>
      <c r="AV25" s="2" t="str" cm="1">
        <f t="array" ref="AV25">IF('NILAI CPL'!$B25&lt;&gt;"",IFERROR(_xlfn.IFS(Y25&gt;='NILAI CPL'!$B$3,4,Y25&gt;='NILAI CPL'!$B$4,3,Y25&gt;='NILAI CPL'!$B$5,2,Y25&gt;'NILAI CPL'!$B$6,1),0),"")</f>
        <v/>
      </c>
      <c r="AW25" s="2" t="str" cm="1">
        <f t="array" ref="AW25">IF('NILAI CPL'!$B25&lt;&gt;"",IFERROR(_xlfn.IFS(Z25&gt;='NILAI CPL'!$B$3,4,Z25&gt;='NILAI CPL'!$B$4,3,Z25&gt;='NILAI CPL'!$B$5,2,Z25&gt;'NILAI CPL'!$B$6,1),0),"")</f>
        <v/>
      </c>
      <c r="AX25" s="2" t="str" cm="1">
        <f t="array" ref="AX25">IF('NILAI CPL'!$B25&lt;&gt;"",IFERROR(_xlfn.IFS(AA25&gt;='NILAI CPL'!$B$3,4,AA25&gt;='NILAI CPL'!$B$4,3,AA25&gt;='NILAI CPL'!$B$5,2,AA25&gt;'NILAI CPL'!$B$6,1),0),"")</f>
        <v/>
      </c>
      <c r="AY25" s="2" t="str" cm="1">
        <f t="array" ref="AY25">IF('NILAI CPL'!$B25&lt;&gt;"",IFERROR(_xlfn.IFS(AB25&gt;='NILAI CPL'!$B$3,4,AB25&gt;='NILAI CPL'!$B$4,3,AB25&gt;='NILAI CPL'!$B$5,2,AB25&gt;'NILAI CPL'!$B$6,1),0),"")</f>
        <v/>
      </c>
      <c r="AZ25" s="2" t="str" cm="1">
        <f t="array" ref="AZ25">IF('NILAI CPL'!$B25&lt;&gt;"",IFERROR(_xlfn.IFS(AC25&gt;='NILAI CPL'!$B$3,4,AC25&gt;='NILAI CPL'!$B$4,3,AC25&gt;='NILAI CPL'!$B$5,2,AC25&gt;'NILAI CPL'!$B$6,1),0),"")</f>
        <v/>
      </c>
      <c r="BA25" s="2" t="str" cm="1">
        <f t="array" ref="BA25">IF('NILAI CPL'!$B25&lt;&gt;"",IFERROR(_xlfn.IFS(AD25&gt;='NILAI CPL'!$B$3,4,AD25&gt;='NILAI CPL'!$B$4,3,AD25&gt;='NILAI CPL'!$B$5,2,AD25&gt;'NILAI CPL'!$B$6,1),0),"")</f>
        <v/>
      </c>
      <c r="BB25" s="2" t="str" cm="1">
        <f t="array" ref="BB25">IF('NILAI CPL'!$B25&lt;&gt;"",IFERROR(_xlfn.IFS(AE25&gt;='NILAI CPL'!$B$3,4,AE25&gt;='NILAI CPL'!$B$4,3,AE25&gt;='NILAI CPL'!$B$5,2,AE25&gt;'NILAI CPL'!$B$6,1),0),"")</f>
        <v/>
      </c>
      <c r="BC25" s="2" t="str" cm="1">
        <f t="array" ref="BC25">IF('NILAI CPL'!$B25&lt;&gt;"",IFERROR(_xlfn.IFS(AF25&gt;='NILAI CPL'!$B$3,4,AF25&gt;='NILAI CPL'!$B$4,3,AF25&gt;='NILAI CPL'!$B$5,2,AF25&gt;'NILAI CPL'!$B$6,1),0),"")</f>
        <v/>
      </c>
      <c r="BD25" s="2" t="str" cm="1">
        <f t="array" ref="BD25">IF('NILAI CPL'!$B25&lt;&gt;"",IFERROR(_xlfn.IFS(AG25&gt;='NILAI CPL'!$B$3,4,AG25&gt;='NILAI CPL'!$B$4,3,AG25&gt;='NILAI CPL'!$B$5,2,AG25&gt;'NILAI CPL'!$B$6,1),0),"")</f>
        <v/>
      </c>
      <c r="BE25" s="2" t="str" cm="1">
        <f t="array" ref="BE25">IF('NILAI CPL'!$B25&lt;&gt;"",IFERROR(_xlfn.IFS(AH25&gt;='NILAI CPL'!$B$3,4,AH25&gt;='NILAI CPL'!$B$4,3,AH25&gt;='NILAI CPL'!$B$5,2,AH25&gt;'NILAI CPL'!$B$6,1),0),"")</f>
        <v/>
      </c>
      <c r="BF25" s="2" t="str" cm="1">
        <f t="array" ref="BF25">IF('NILAI CPL'!$B25&lt;&gt;"",IFERROR(_xlfn.IFS(AI25&gt;='NILAI CPL'!$B$3,4,AI25&gt;='NILAI CPL'!$B$4,3,AI25&gt;='NILAI CPL'!$B$5,2,AI25&gt;'NILAI CPL'!$B$6,1),0),"")</f>
        <v/>
      </c>
      <c r="BG25" s="2" t="str" cm="1">
        <f t="array" ref="BG25">IF('NILAI CPL'!$B25&lt;&gt;"",IFERROR(_xlfn.IFS(AJ25&gt;='NILAI CPL'!$B$3,4,AJ25&gt;='NILAI CPL'!$B$4,3,AJ25&gt;='NILAI CPL'!$B$5,2,AJ25&gt;'NILAI CPL'!$B$6,1),0),"")</f>
        <v/>
      </c>
      <c r="BH25" s="2" t="str" cm="1">
        <f t="array" ref="BH25">IF('NILAI CPL'!$B25&lt;&gt;"",IFERROR(_xlfn.IFS(AK25&gt;='NILAI CPL'!$B$3,4,AK25&gt;='NILAI CPL'!$B$4,3,AK25&gt;='NILAI CPL'!$B$5,2,AK25&gt;'NILAI CPL'!$B$6,1),0),"")</f>
        <v/>
      </c>
      <c r="BI25" s="2" t="str" cm="1">
        <f t="array" ref="BI25">IF('NILAI CPL'!$B25&lt;&gt;"",IFERROR(_xlfn.IFS(AL25&gt;='NILAI CPL'!$B$3,4,AL25&gt;='NILAI CPL'!$B$4,3,AL25&gt;='NILAI CPL'!$B$5,2,AL25&gt;'NILAI CPL'!$B$6,1),0),"")</f>
        <v/>
      </c>
      <c r="BJ25" s="2" t="str" cm="1">
        <f t="array" ref="BJ25">IF('NILAI CPL'!$B25&lt;&gt;"",IFERROR(_xlfn.IFS(AM25&gt;='NILAI CPL'!$B$3,4,AM25&gt;='NILAI CPL'!$B$4,3,AM25&gt;='NILAI CPL'!$B$5,2,AM25&gt;'NILAI CPL'!$B$6,1),0),"")</f>
        <v/>
      </c>
      <c r="BK25" s="2" t="str" cm="1">
        <f t="array" ref="BK25">IF('NILAI CPL'!$B25&lt;&gt;"",IFERROR(_xlfn.IFS(AN25&gt;='NILAI CPL'!$B$3,4,AN25&gt;='NILAI CPL'!$B$4,3,AN25&gt;='NILAI CPL'!$B$5,2,AN25&gt;'NILAI CPL'!$B$6,1),0),"")</f>
        <v/>
      </c>
    </row>
    <row r="26" spans="1:63" x14ac:dyDescent="0.2">
      <c r="A26" s="2">
        <v>16</v>
      </c>
      <c r="B26" s="2" t="str">
        <f>IF(LEN(SUMMARY!B26)&gt;0, SUMMARY!B26, "")</f>
        <v/>
      </c>
      <c r="C26" s="2" t="str">
        <f>IF(LEN(SUMMARY!C26)&gt;0, SUMMARY!C26, "")</f>
        <v/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" t="str">
        <f t="shared" si="24"/>
        <v/>
      </c>
      <c r="S26" s="2" t="str">
        <f t="shared" si="2"/>
        <v/>
      </c>
      <c r="T26" s="2" t="str">
        <f t="shared" si="3"/>
        <v/>
      </c>
      <c r="U26" s="2" t="str">
        <f t="shared" si="4"/>
        <v/>
      </c>
      <c r="V26" s="2" t="str">
        <f t="shared" si="5"/>
        <v/>
      </c>
      <c r="W26" s="2" t="str">
        <f t="shared" si="6"/>
        <v/>
      </c>
      <c r="X26" s="2" t="str">
        <f t="shared" si="7"/>
        <v/>
      </c>
      <c r="Y26" s="2" t="str">
        <f t="shared" si="8"/>
        <v/>
      </c>
      <c r="Z26" s="2" t="str">
        <f t="shared" si="9"/>
        <v/>
      </c>
      <c r="AA26" s="2" t="str">
        <f t="shared" si="10"/>
        <v/>
      </c>
      <c r="AB26" s="2" t="str">
        <f t="shared" si="11"/>
        <v/>
      </c>
      <c r="AC26" s="2" t="str">
        <f t="shared" si="12"/>
        <v/>
      </c>
      <c r="AD26" s="2" t="str">
        <f t="shared" si="13"/>
        <v/>
      </c>
      <c r="AE26" s="2" t="str">
        <f t="shared" si="14"/>
        <v/>
      </c>
      <c r="AF26" s="2" t="str">
        <f t="shared" si="15"/>
        <v/>
      </c>
      <c r="AG26" s="2" t="str">
        <f t="shared" si="16"/>
        <v/>
      </c>
      <c r="AH26" s="2" t="str">
        <f t="shared" si="17"/>
        <v/>
      </c>
      <c r="AI26" s="2" t="str">
        <f t="shared" si="18"/>
        <v/>
      </c>
      <c r="AJ26" s="2" t="str">
        <f t="shared" si="19"/>
        <v/>
      </c>
      <c r="AK26" s="2" t="str">
        <f t="shared" si="20"/>
        <v/>
      </c>
      <c r="AL26" s="2" t="str">
        <f t="shared" si="21"/>
        <v/>
      </c>
      <c r="AM26" s="2" t="str">
        <f t="shared" si="22"/>
        <v/>
      </c>
      <c r="AN26" s="2" t="str">
        <f t="shared" si="23"/>
        <v/>
      </c>
      <c r="AP26" s="2" t="str" cm="1">
        <f t="array" ref="AP26">IF('NILAI CPL'!$B26&lt;&gt;"",IFERROR(_xlfn.IFS(S26&gt;='NILAI CPL'!$B$3,4,S26&gt;='NILAI CPL'!$B$4,3,S26&gt;='NILAI CPL'!$B$5,2,S26&gt;'NILAI CPL'!$B$6,1),0),"")</f>
        <v/>
      </c>
      <c r="AQ26" s="2" t="str" cm="1">
        <f t="array" ref="AQ26">IF('NILAI CPL'!$B26&lt;&gt;"",IFERROR(_xlfn.IFS(T26&gt;='NILAI CPL'!$B$3,4,T26&gt;='NILAI CPL'!$B$4,3,T26&gt;='NILAI CPL'!$B$5,2,T26&gt;'NILAI CPL'!$B$6,1),0),"")</f>
        <v/>
      </c>
      <c r="AR26" s="2" t="str" cm="1">
        <f t="array" ref="AR26">IF('NILAI CPL'!$B26&lt;&gt;"",IFERROR(_xlfn.IFS(U26&gt;='NILAI CPL'!$B$3,4,U26&gt;='NILAI CPL'!$B$4,3,U26&gt;='NILAI CPL'!$B$5,2,U26&gt;'NILAI CPL'!$B$6,1),0),"")</f>
        <v/>
      </c>
      <c r="AS26" s="2" t="str" cm="1">
        <f t="array" ref="AS26">IF('NILAI CPL'!$B26&lt;&gt;"",IFERROR(_xlfn.IFS(V26&gt;='NILAI CPL'!$B$3,4,V26&gt;='NILAI CPL'!$B$4,3,V26&gt;='NILAI CPL'!$B$5,2,V26&gt;'NILAI CPL'!$B$6,1),0),"")</f>
        <v/>
      </c>
      <c r="AT26" s="2" t="str" cm="1">
        <f t="array" ref="AT26">IF('NILAI CPL'!$B26&lt;&gt;"",IFERROR(_xlfn.IFS(W26&gt;='NILAI CPL'!$B$3,4,W26&gt;='NILAI CPL'!$B$4,3,W26&gt;='NILAI CPL'!$B$5,2,W26&gt;'NILAI CPL'!$B$6,1),0),"")</f>
        <v/>
      </c>
      <c r="AU26" s="2" t="str" cm="1">
        <f t="array" ref="AU26">IF('NILAI CPL'!$B26&lt;&gt;"",IFERROR(_xlfn.IFS(X26&gt;='NILAI CPL'!$B$3,4,X26&gt;='NILAI CPL'!$B$4,3,X26&gt;='NILAI CPL'!$B$5,2,X26&gt;'NILAI CPL'!$B$6,1),0),"")</f>
        <v/>
      </c>
      <c r="AV26" s="2" t="str" cm="1">
        <f t="array" ref="AV26">IF('NILAI CPL'!$B26&lt;&gt;"",IFERROR(_xlfn.IFS(Y26&gt;='NILAI CPL'!$B$3,4,Y26&gt;='NILAI CPL'!$B$4,3,Y26&gt;='NILAI CPL'!$B$5,2,Y26&gt;'NILAI CPL'!$B$6,1),0),"")</f>
        <v/>
      </c>
      <c r="AW26" s="2" t="str" cm="1">
        <f t="array" ref="AW26">IF('NILAI CPL'!$B26&lt;&gt;"",IFERROR(_xlfn.IFS(Z26&gt;='NILAI CPL'!$B$3,4,Z26&gt;='NILAI CPL'!$B$4,3,Z26&gt;='NILAI CPL'!$B$5,2,Z26&gt;'NILAI CPL'!$B$6,1),0),"")</f>
        <v/>
      </c>
      <c r="AX26" s="2" t="str" cm="1">
        <f t="array" ref="AX26">IF('NILAI CPL'!$B26&lt;&gt;"",IFERROR(_xlfn.IFS(AA26&gt;='NILAI CPL'!$B$3,4,AA26&gt;='NILAI CPL'!$B$4,3,AA26&gt;='NILAI CPL'!$B$5,2,AA26&gt;'NILAI CPL'!$B$6,1),0),"")</f>
        <v/>
      </c>
      <c r="AY26" s="2" t="str" cm="1">
        <f t="array" ref="AY26">IF('NILAI CPL'!$B26&lt;&gt;"",IFERROR(_xlfn.IFS(AB26&gt;='NILAI CPL'!$B$3,4,AB26&gt;='NILAI CPL'!$B$4,3,AB26&gt;='NILAI CPL'!$B$5,2,AB26&gt;'NILAI CPL'!$B$6,1),0),"")</f>
        <v/>
      </c>
      <c r="AZ26" s="2" t="str" cm="1">
        <f t="array" ref="AZ26">IF('NILAI CPL'!$B26&lt;&gt;"",IFERROR(_xlfn.IFS(AC26&gt;='NILAI CPL'!$B$3,4,AC26&gt;='NILAI CPL'!$B$4,3,AC26&gt;='NILAI CPL'!$B$5,2,AC26&gt;'NILAI CPL'!$B$6,1),0),"")</f>
        <v/>
      </c>
      <c r="BA26" s="2" t="str" cm="1">
        <f t="array" ref="BA26">IF('NILAI CPL'!$B26&lt;&gt;"",IFERROR(_xlfn.IFS(AD26&gt;='NILAI CPL'!$B$3,4,AD26&gt;='NILAI CPL'!$B$4,3,AD26&gt;='NILAI CPL'!$B$5,2,AD26&gt;'NILAI CPL'!$B$6,1),0),"")</f>
        <v/>
      </c>
      <c r="BB26" s="2" t="str" cm="1">
        <f t="array" ref="BB26">IF('NILAI CPL'!$B26&lt;&gt;"",IFERROR(_xlfn.IFS(AE26&gt;='NILAI CPL'!$B$3,4,AE26&gt;='NILAI CPL'!$B$4,3,AE26&gt;='NILAI CPL'!$B$5,2,AE26&gt;'NILAI CPL'!$B$6,1),0),"")</f>
        <v/>
      </c>
      <c r="BC26" s="2" t="str" cm="1">
        <f t="array" ref="BC26">IF('NILAI CPL'!$B26&lt;&gt;"",IFERROR(_xlfn.IFS(AF26&gt;='NILAI CPL'!$B$3,4,AF26&gt;='NILAI CPL'!$B$4,3,AF26&gt;='NILAI CPL'!$B$5,2,AF26&gt;'NILAI CPL'!$B$6,1),0),"")</f>
        <v/>
      </c>
      <c r="BD26" s="2" t="str" cm="1">
        <f t="array" ref="BD26">IF('NILAI CPL'!$B26&lt;&gt;"",IFERROR(_xlfn.IFS(AG26&gt;='NILAI CPL'!$B$3,4,AG26&gt;='NILAI CPL'!$B$4,3,AG26&gt;='NILAI CPL'!$B$5,2,AG26&gt;'NILAI CPL'!$B$6,1),0),"")</f>
        <v/>
      </c>
      <c r="BE26" s="2" t="str" cm="1">
        <f t="array" ref="BE26">IF('NILAI CPL'!$B26&lt;&gt;"",IFERROR(_xlfn.IFS(AH26&gt;='NILAI CPL'!$B$3,4,AH26&gt;='NILAI CPL'!$B$4,3,AH26&gt;='NILAI CPL'!$B$5,2,AH26&gt;'NILAI CPL'!$B$6,1),0),"")</f>
        <v/>
      </c>
      <c r="BF26" s="2" t="str" cm="1">
        <f t="array" ref="BF26">IF('NILAI CPL'!$B26&lt;&gt;"",IFERROR(_xlfn.IFS(AI26&gt;='NILAI CPL'!$B$3,4,AI26&gt;='NILAI CPL'!$B$4,3,AI26&gt;='NILAI CPL'!$B$5,2,AI26&gt;'NILAI CPL'!$B$6,1),0),"")</f>
        <v/>
      </c>
      <c r="BG26" s="2" t="str" cm="1">
        <f t="array" ref="BG26">IF('NILAI CPL'!$B26&lt;&gt;"",IFERROR(_xlfn.IFS(AJ26&gt;='NILAI CPL'!$B$3,4,AJ26&gt;='NILAI CPL'!$B$4,3,AJ26&gt;='NILAI CPL'!$B$5,2,AJ26&gt;'NILAI CPL'!$B$6,1),0),"")</f>
        <v/>
      </c>
      <c r="BH26" s="2" t="str" cm="1">
        <f t="array" ref="BH26">IF('NILAI CPL'!$B26&lt;&gt;"",IFERROR(_xlfn.IFS(AK26&gt;='NILAI CPL'!$B$3,4,AK26&gt;='NILAI CPL'!$B$4,3,AK26&gt;='NILAI CPL'!$B$5,2,AK26&gt;'NILAI CPL'!$B$6,1),0),"")</f>
        <v/>
      </c>
      <c r="BI26" s="2" t="str" cm="1">
        <f t="array" ref="BI26">IF('NILAI CPL'!$B26&lt;&gt;"",IFERROR(_xlfn.IFS(AL26&gt;='NILAI CPL'!$B$3,4,AL26&gt;='NILAI CPL'!$B$4,3,AL26&gt;='NILAI CPL'!$B$5,2,AL26&gt;'NILAI CPL'!$B$6,1),0),"")</f>
        <v/>
      </c>
      <c r="BJ26" s="2" t="str" cm="1">
        <f t="array" ref="BJ26">IF('NILAI CPL'!$B26&lt;&gt;"",IFERROR(_xlfn.IFS(AM26&gt;='NILAI CPL'!$B$3,4,AM26&gt;='NILAI CPL'!$B$4,3,AM26&gt;='NILAI CPL'!$B$5,2,AM26&gt;'NILAI CPL'!$B$6,1),0),"")</f>
        <v/>
      </c>
      <c r="BK26" s="2" t="str" cm="1">
        <f t="array" ref="BK26">IF('NILAI CPL'!$B26&lt;&gt;"",IFERROR(_xlfn.IFS(AN26&gt;='NILAI CPL'!$B$3,4,AN26&gt;='NILAI CPL'!$B$4,3,AN26&gt;='NILAI CPL'!$B$5,2,AN26&gt;'NILAI CPL'!$B$6,1),0),"")</f>
        <v/>
      </c>
    </row>
    <row r="27" spans="1:63" x14ac:dyDescent="0.2">
      <c r="A27" s="2">
        <v>17</v>
      </c>
      <c r="B27" s="2" t="str">
        <f>IF(LEN(SUMMARY!B27)&gt;0, SUMMARY!B27, "")</f>
        <v/>
      </c>
      <c r="C27" s="2" t="str">
        <f>IF(LEN(SUMMARY!C27)&gt;0, SUMMARY!C27, "")</f>
        <v/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" t="str">
        <f t="shared" si="24"/>
        <v/>
      </c>
      <c r="S27" s="2" t="str">
        <f t="shared" si="2"/>
        <v/>
      </c>
      <c r="T27" s="2" t="str">
        <f t="shared" si="3"/>
        <v/>
      </c>
      <c r="U27" s="2" t="str">
        <f t="shared" si="4"/>
        <v/>
      </c>
      <c r="V27" s="2" t="str">
        <f t="shared" si="5"/>
        <v/>
      </c>
      <c r="W27" s="2" t="str">
        <f t="shared" si="6"/>
        <v/>
      </c>
      <c r="X27" s="2" t="str">
        <f t="shared" si="7"/>
        <v/>
      </c>
      <c r="Y27" s="2" t="str">
        <f t="shared" si="8"/>
        <v/>
      </c>
      <c r="Z27" s="2" t="str">
        <f t="shared" si="9"/>
        <v/>
      </c>
      <c r="AA27" s="2" t="str">
        <f t="shared" si="10"/>
        <v/>
      </c>
      <c r="AB27" s="2" t="str">
        <f t="shared" si="11"/>
        <v/>
      </c>
      <c r="AC27" s="2" t="str">
        <f t="shared" si="12"/>
        <v/>
      </c>
      <c r="AD27" s="2" t="str">
        <f t="shared" si="13"/>
        <v/>
      </c>
      <c r="AE27" s="2" t="str">
        <f t="shared" si="14"/>
        <v/>
      </c>
      <c r="AF27" s="2" t="str">
        <f t="shared" si="15"/>
        <v/>
      </c>
      <c r="AG27" s="2" t="str">
        <f t="shared" si="16"/>
        <v/>
      </c>
      <c r="AH27" s="2" t="str">
        <f t="shared" si="17"/>
        <v/>
      </c>
      <c r="AI27" s="2" t="str">
        <f t="shared" si="18"/>
        <v/>
      </c>
      <c r="AJ27" s="2" t="str">
        <f t="shared" si="19"/>
        <v/>
      </c>
      <c r="AK27" s="2" t="str">
        <f t="shared" si="20"/>
        <v/>
      </c>
      <c r="AL27" s="2" t="str">
        <f t="shared" si="21"/>
        <v/>
      </c>
      <c r="AM27" s="2" t="str">
        <f t="shared" si="22"/>
        <v/>
      </c>
      <c r="AN27" s="2" t="str">
        <f t="shared" si="23"/>
        <v/>
      </c>
      <c r="AP27" s="2" t="str" cm="1">
        <f t="array" ref="AP27">IF('NILAI CPL'!$B27&lt;&gt;"",IFERROR(_xlfn.IFS(S27&gt;='NILAI CPL'!$B$3,4,S27&gt;='NILAI CPL'!$B$4,3,S27&gt;='NILAI CPL'!$B$5,2,S27&gt;'NILAI CPL'!$B$6,1),0),"")</f>
        <v/>
      </c>
      <c r="AQ27" s="2" t="str" cm="1">
        <f t="array" ref="AQ27">IF('NILAI CPL'!$B27&lt;&gt;"",IFERROR(_xlfn.IFS(T27&gt;='NILAI CPL'!$B$3,4,T27&gt;='NILAI CPL'!$B$4,3,T27&gt;='NILAI CPL'!$B$5,2,T27&gt;'NILAI CPL'!$B$6,1),0),"")</f>
        <v/>
      </c>
      <c r="AR27" s="2" t="str" cm="1">
        <f t="array" ref="AR27">IF('NILAI CPL'!$B27&lt;&gt;"",IFERROR(_xlfn.IFS(U27&gt;='NILAI CPL'!$B$3,4,U27&gt;='NILAI CPL'!$B$4,3,U27&gt;='NILAI CPL'!$B$5,2,U27&gt;'NILAI CPL'!$B$6,1),0),"")</f>
        <v/>
      </c>
      <c r="AS27" s="2" t="str" cm="1">
        <f t="array" ref="AS27">IF('NILAI CPL'!$B27&lt;&gt;"",IFERROR(_xlfn.IFS(V27&gt;='NILAI CPL'!$B$3,4,V27&gt;='NILAI CPL'!$B$4,3,V27&gt;='NILAI CPL'!$B$5,2,V27&gt;'NILAI CPL'!$B$6,1),0),"")</f>
        <v/>
      </c>
      <c r="AT27" s="2" t="str" cm="1">
        <f t="array" ref="AT27">IF('NILAI CPL'!$B27&lt;&gt;"",IFERROR(_xlfn.IFS(W27&gt;='NILAI CPL'!$B$3,4,W27&gt;='NILAI CPL'!$B$4,3,W27&gt;='NILAI CPL'!$B$5,2,W27&gt;'NILAI CPL'!$B$6,1),0),"")</f>
        <v/>
      </c>
      <c r="AU27" s="2" t="str" cm="1">
        <f t="array" ref="AU27">IF('NILAI CPL'!$B27&lt;&gt;"",IFERROR(_xlfn.IFS(X27&gt;='NILAI CPL'!$B$3,4,X27&gt;='NILAI CPL'!$B$4,3,X27&gt;='NILAI CPL'!$B$5,2,X27&gt;'NILAI CPL'!$B$6,1),0),"")</f>
        <v/>
      </c>
      <c r="AV27" s="2" t="str" cm="1">
        <f t="array" ref="AV27">IF('NILAI CPL'!$B27&lt;&gt;"",IFERROR(_xlfn.IFS(Y27&gt;='NILAI CPL'!$B$3,4,Y27&gt;='NILAI CPL'!$B$4,3,Y27&gt;='NILAI CPL'!$B$5,2,Y27&gt;'NILAI CPL'!$B$6,1),0),"")</f>
        <v/>
      </c>
      <c r="AW27" s="2" t="str" cm="1">
        <f t="array" ref="AW27">IF('NILAI CPL'!$B27&lt;&gt;"",IFERROR(_xlfn.IFS(Z27&gt;='NILAI CPL'!$B$3,4,Z27&gt;='NILAI CPL'!$B$4,3,Z27&gt;='NILAI CPL'!$B$5,2,Z27&gt;'NILAI CPL'!$B$6,1),0),"")</f>
        <v/>
      </c>
      <c r="AX27" s="2" t="str" cm="1">
        <f t="array" ref="AX27">IF('NILAI CPL'!$B27&lt;&gt;"",IFERROR(_xlfn.IFS(AA27&gt;='NILAI CPL'!$B$3,4,AA27&gt;='NILAI CPL'!$B$4,3,AA27&gt;='NILAI CPL'!$B$5,2,AA27&gt;'NILAI CPL'!$B$6,1),0),"")</f>
        <v/>
      </c>
      <c r="AY27" s="2" t="str" cm="1">
        <f t="array" ref="AY27">IF('NILAI CPL'!$B27&lt;&gt;"",IFERROR(_xlfn.IFS(AB27&gt;='NILAI CPL'!$B$3,4,AB27&gt;='NILAI CPL'!$B$4,3,AB27&gt;='NILAI CPL'!$B$5,2,AB27&gt;'NILAI CPL'!$B$6,1),0),"")</f>
        <v/>
      </c>
      <c r="AZ27" s="2" t="str" cm="1">
        <f t="array" ref="AZ27">IF('NILAI CPL'!$B27&lt;&gt;"",IFERROR(_xlfn.IFS(AC27&gt;='NILAI CPL'!$B$3,4,AC27&gt;='NILAI CPL'!$B$4,3,AC27&gt;='NILAI CPL'!$B$5,2,AC27&gt;'NILAI CPL'!$B$6,1),0),"")</f>
        <v/>
      </c>
      <c r="BA27" s="2" t="str" cm="1">
        <f t="array" ref="BA27">IF('NILAI CPL'!$B27&lt;&gt;"",IFERROR(_xlfn.IFS(AD27&gt;='NILAI CPL'!$B$3,4,AD27&gt;='NILAI CPL'!$B$4,3,AD27&gt;='NILAI CPL'!$B$5,2,AD27&gt;'NILAI CPL'!$B$6,1),0),"")</f>
        <v/>
      </c>
      <c r="BB27" s="2" t="str" cm="1">
        <f t="array" ref="BB27">IF('NILAI CPL'!$B27&lt;&gt;"",IFERROR(_xlfn.IFS(AE27&gt;='NILAI CPL'!$B$3,4,AE27&gt;='NILAI CPL'!$B$4,3,AE27&gt;='NILAI CPL'!$B$5,2,AE27&gt;'NILAI CPL'!$B$6,1),0),"")</f>
        <v/>
      </c>
      <c r="BC27" s="2" t="str" cm="1">
        <f t="array" ref="BC27">IF('NILAI CPL'!$B27&lt;&gt;"",IFERROR(_xlfn.IFS(AF27&gt;='NILAI CPL'!$B$3,4,AF27&gt;='NILAI CPL'!$B$4,3,AF27&gt;='NILAI CPL'!$B$5,2,AF27&gt;'NILAI CPL'!$B$6,1),0),"")</f>
        <v/>
      </c>
      <c r="BD27" s="2" t="str" cm="1">
        <f t="array" ref="BD27">IF('NILAI CPL'!$B27&lt;&gt;"",IFERROR(_xlfn.IFS(AG27&gt;='NILAI CPL'!$B$3,4,AG27&gt;='NILAI CPL'!$B$4,3,AG27&gt;='NILAI CPL'!$B$5,2,AG27&gt;'NILAI CPL'!$B$6,1),0),"")</f>
        <v/>
      </c>
      <c r="BE27" s="2" t="str" cm="1">
        <f t="array" ref="BE27">IF('NILAI CPL'!$B27&lt;&gt;"",IFERROR(_xlfn.IFS(AH27&gt;='NILAI CPL'!$B$3,4,AH27&gt;='NILAI CPL'!$B$4,3,AH27&gt;='NILAI CPL'!$B$5,2,AH27&gt;'NILAI CPL'!$B$6,1),0),"")</f>
        <v/>
      </c>
      <c r="BF27" s="2" t="str" cm="1">
        <f t="array" ref="BF27">IF('NILAI CPL'!$B27&lt;&gt;"",IFERROR(_xlfn.IFS(AI27&gt;='NILAI CPL'!$B$3,4,AI27&gt;='NILAI CPL'!$B$4,3,AI27&gt;='NILAI CPL'!$B$5,2,AI27&gt;'NILAI CPL'!$B$6,1),0),"")</f>
        <v/>
      </c>
      <c r="BG27" s="2" t="str" cm="1">
        <f t="array" ref="BG27">IF('NILAI CPL'!$B27&lt;&gt;"",IFERROR(_xlfn.IFS(AJ27&gt;='NILAI CPL'!$B$3,4,AJ27&gt;='NILAI CPL'!$B$4,3,AJ27&gt;='NILAI CPL'!$B$5,2,AJ27&gt;'NILAI CPL'!$B$6,1),0),"")</f>
        <v/>
      </c>
      <c r="BH27" s="2" t="str" cm="1">
        <f t="array" ref="BH27">IF('NILAI CPL'!$B27&lt;&gt;"",IFERROR(_xlfn.IFS(AK27&gt;='NILAI CPL'!$B$3,4,AK27&gt;='NILAI CPL'!$B$4,3,AK27&gt;='NILAI CPL'!$B$5,2,AK27&gt;'NILAI CPL'!$B$6,1),0),"")</f>
        <v/>
      </c>
      <c r="BI27" s="2" t="str" cm="1">
        <f t="array" ref="BI27">IF('NILAI CPL'!$B27&lt;&gt;"",IFERROR(_xlfn.IFS(AL27&gt;='NILAI CPL'!$B$3,4,AL27&gt;='NILAI CPL'!$B$4,3,AL27&gt;='NILAI CPL'!$B$5,2,AL27&gt;'NILAI CPL'!$B$6,1),0),"")</f>
        <v/>
      </c>
      <c r="BJ27" s="2" t="str" cm="1">
        <f t="array" ref="BJ27">IF('NILAI CPL'!$B27&lt;&gt;"",IFERROR(_xlfn.IFS(AM27&gt;='NILAI CPL'!$B$3,4,AM27&gt;='NILAI CPL'!$B$4,3,AM27&gt;='NILAI CPL'!$B$5,2,AM27&gt;'NILAI CPL'!$B$6,1),0),"")</f>
        <v/>
      </c>
      <c r="BK27" s="2" t="str" cm="1">
        <f t="array" ref="BK27">IF('NILAI CPL'!$B27&lt;&gt;"",IFERROR(_xlfn.IFS(AN27&gt;='NILAI CPL'!$B$3,4,AN27&gt;='NILAI CPL'!$B$4,3,AN27&gt;='NILAI CPL'!$B$5,2,AN27&gt;'NILAI CPL'!$B$6,1),0),"")</f>
        <v/>
      </c>
    </row>
    <row r="28" spans="1:63" x14ac:dyDescent="0.2">
      <c r="A28" s="2">
        <v>18</v>
      </c>
      <c r="B28" s="2" t="str">
        <f>IF(LEN(SUMMARY!B28)&gt;0, SUMMARY!B28, "")</f>
        <v/>
      </c>
      <c r="C28" s="2" t="str">
        <f>IF(LEN(SUMMARY!C28)&gt;0, SUMMARY!C28, "")</f>
        <v/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" t="str">
        <f t="shared" si="24"/>
        <v/>
      </c>
      <c r="S28" s="2" t="str">
        <f t="shared" si="2"/>
        <v/>
      </c>
      <c r="T28" s="2" t="str">
        <f t="shared" si="3"/>
        <v/>
      </c>
      <c r="U28" s="2" t="str">
        <f t="shared" si="4"/>
        <v/>
      </c>
      <c r="V28" s="2" t="str">
        <f t="shared" si="5"/>
        <v/>
      </c>
      <c r="W28" s="2" t="str">
        <f t="shared" si="6"/>
        <v/>
      </c>
      <c r="X28" s="2" t="str">
        <f t="shared" si="7"/>
        <v/>
      </c>
      <c r="Y28" s="2" t="str">
        <f t="shared" si="8"/>
        <v/>
      </c>
      <c r="Z28" s="2" t="str">
        <f t="shared" si="9"/>
        <v/>
      </c>
      <c r="AA28" s="2" t="str">
        <f t="shared" si="10"/>
        <v/>
      </c>
      <c r="AB28" s="2" t="str">
        <f t="shared" si="11"/>
        <v/>
      </c>
      <c r="AC28" s="2" t="str">
        <f t="shared" si="12"/>
        <v/>
      </c>
      <c r="AD28" s="2" t="str">
        <f t="shared" si="13"/>
        <v/>
      </c>
      <c r="AE28" s="2" t="str">
        <f t="shared" si="14"/>
        <v/>
      </c>
      <c r="AF28" s="2" t="str">
        <f t="shared" si="15"/>
        <v/>
      </c>
      <c r="AG28" s="2" t="str">
        <f t="shared" si="16"/>
        <v/>
      </c>
      <c r="AH28" s="2" t="str">
        <f t="shared" si="17"/>
        <v/>
      </c>
      <c r="AI28" s="2" t="str">
        <f t="shared" si="18"/>
        <v/>
      </c>
      <c r="AJ28" s="2" t="str">
        <f t="shared" si="19"/>
        <v/>
      </c>
      <c r="AK28" s="2" t="str">
        <f t="shared" si="20"/>
        <v/>
      </c>
      <c r="AL28" s="2" t="str">
        <f t="shared" si="21"/>
        <v/>
      </c>
      <c r="AM28" s="2" t="str">
        <f t="shared" si="22"/>
        <v/>
      </c>
      <c r="AN28" s="2" t="str">
        <f t="shared" si="23"/>
        <v/>
      </c>
      <c r="AP28" s="2" t="str" cm="1">
        <f t="array" ref="AP28">IF('NILAI CPL'!$B28&lt;&gt;"",IFERROR(_xlfn.IFS(S28&gt;='NILAI CPL'!$B$3,4,S28&gt;='NILAI CPL'!$B$4,3,S28&gt;='NILAI CPL'!$B$5,2,S28&gt;'NILAI CPL'!$B$6,1),0),"")</f>
        <v/>
      </c>
      <c r="AQ28" s="2" t="str" cm="1">
        <f t="array" ref="AQ28">IF('NILAI CPL'!$B28&lt;&gt;"",IFERROR(_xlfn.IFS(T28&gt;='NILAI CPL'!$B$3,4,T28&gt;='NILAI CPL'!$B$4,3,T28&gt;='NILAI CPL'!$B$5,2,T28&gt;'NILAI CPL'!$B$6,1),0),"")</f>
        <v/>
      </c>
      <c r="AR28" s="2" t="str" cm="1">
        <f t="array" ref="AR28">IF('NILAI CPL'!$B28&lt;&gt;"",IFERROR(_xlfn.IFS(U28&gt;='NILAI CPL'!$B$3,4,U28&gt;='NILAI CPL'!$B$4,3,U28&gt;='NILAI CPL'!$B$5,2,U28&gt;'NILAI CPL'!$B$6,1),0),"")</f>
        <v/>
      </c>
      <c r="AS28" s="2" t="str" cm="1">
        <f t="array" ref="AS28">IF('NILAI CPL'!$B28&lt;&gt;"",IFERROR(_xlfn.IFS(V28&gt;='NILAI CPL'!$B$3,4,V28&gt;='NILAI CPL'!$B$4,3,V28&gt;='NILAI CPL'!$B$5,2,V28&gt;'NILAI CPL'!$B$6,1),0),"")</f>
        <v/>
      </c>
      <c r="AT28" s="2" t="str" cm="1">
        <f t="array" ref="AT28">IF('NILAI CPL'!$B28&lt;&gt;"",IFERROR(_xlfn.IFS(W28&gt;='NILAI CPL'!$B$3,4,W28&gt;='NILAI CPL'!$B$4,3,W28&gt;='NILAI CPL'!$B$5,2,W28&gt;'NILAI CPL'!$B$6,1),0),"")</f>
        <v/>
      </c>
      <c r="AU28" s="2" t="str" cm="1">
        <f t="array" ref="AU28">IF('NILAI CPL'!$B28&lt;&gt;"",IFERROR(_xlfn.IFS(X28&gt;='NILAI CPL'!$B$3,4,X28&gt;='NILAI CPL'!$B$4,3,X28&gt;='NILAI CPL'!$B$5,2,X28&gt;'NILAI CPL'!$B$6,1),0),"")</f>
        <v/>
      </c>
      <c r="AV28" s="2" t="str" cm="1">
        <f t="array" ref="AV28">IF('NILAI CPL'!$B28&lt;&gt;"",IFERROR(_xlfn.IFS(Y28&gt;='NILAI CPL'!$B$3,4,Y28&gt;='NILAI CPL'!$B$4,3,Y28&gt;='NILAI CPL'!$B$5,2,Y28&gt;'NILAI CPL'!$B$6,1),0),"")</f>
        <v/>
      </c>
      <c r="AW28" s="2" t="str" cm="1">
        <f t="array" ref="AW28">IF('NILAI CPL'!$B28&lt;&gt;"",IFERROR(_xlfn.IFS(Z28&gt;='NILAI CPL'!$B$3,4,Z28&gt;='NILAI CPL'!$B$4,3,Z28&gt;='NILAI CPL'!$B$5,2,Z28&gt;'NILAI CPL'!$B$6,1),0),"")</f>
        <v/>
      </c>
      <c r="AX28" s="2" t="str" cm="1">
        <f t="array" ref="AX28">IF('NILAI CPL'!$B28&lt;&gt;"",IFERROR(_xlfn.IFS(AA28&gt;='NILAI CPL'!$B$3,4,AA28&gt;='NILAI CPL'!$B$4,3,AA28&gt;='NILAI CPL'!$B$5,2,AA28&gt;'NILAI CPL'!$B$6,1),0),"")</f>
        <v/>
      </c>
      <c r="AY28" s="2" t="str" cm="1">
        <f t="array" ref="AY28">IF('NILAI CPL'!$B28&lt;&gt;"",IFERROR(_xlfn.IFS(AB28&gt;='NILAI CPL'!$B$3,4,AB28&gt;='NILAI CPL'!$B$4,3,AB28&gt;='NILAI CPL'!$B$5,2,AB28&gt;'NILAI CPL'!$B$6,1),0),"")</f>
        <v/>
      </c>
      <c r="AZ28" s="2" t="str" cm="1">
        <f t="array" ref="AZ28">IF('NILAI CPL'!$B28&lt;&gt;"",IFERROR(_xlfn.IFS(AC28&gt;='NILAI CPL'!$B$3,4,AC28&gt;='NILAI CPL'!$B$4,3,AC28&gt;='NILAI CPL'!$B$5,2,AC28&gt;'NILAI CPL'!$B$6,1),0),"")</f>
        <v/>
      </c>
      <c r="BA28" s="2" t="str" cm="1">
        <f t="array" ref="BA28">IF('NILAI CPL'!$B28&lt;&gt;"",IFERROR(_xlfn.IFS(AD28&gt;='NILAI CPL'!$B$3,4,AD28&gt;='NILAI CPL'!$B$4,3,AD28&gt;='NILAI CPL'!$B$5,2,AD28&gt;'NILAI CPL'!$B$6,1),0),"")</f>
        <v/>
      </c>
      <c r="BB28" s="2" t="str" cm="1">
        <f t="array" ref="BB28">IF('NILAI CPL'!$B28&lt;&gt;"",IFERROR(_xlfn.IFS(AE28&gt;='NILAI CPL'!$B$3,4,AE28&gt;='NILAI CPL'!$B$4,3,AE28&gt;='NILAI CPL'!$B$5,2,AE28&gt;'NILAI CPL'!$B$6,1),0),"")</f>
        <v/>
      </c>
      <c r="BC28" s="2" t="str" cm="1">
        <f t="array" ref="BC28">IF('NILAI CPL'!$B28&lt;&gt;"",IFERROR(_xlfn.IFS(AF28&gt;='NILAI CPL'!$B$3,4,AF28&gt;='NILAI CPL'!$B$4,3,AF28&gt;='NILAI CPL'!$B$5,2,AF28&gt;'NILAI CPL'!$B$6,1),0),"")</f>
        <v/>
      </c>
      <c r="BD28" s="2" t="str" cm="1">
        <f t="array" ref="BD28">IF('NILAI CPL'!$B28&lt;&gt;"",IFERROR(_xlfn.IFS(AG28&gt;='NILAI CPL'!$B$3,4,AG28&gt;='NILAI CPL'!$B$4,3,AG28&gt;='NILAI CPL'!$B$5,2,AG28&gt;'NILAI CPL'!$B$6,1),0),"")</f>
        <v/>
      </c>
      <c r="BE28" s="2" t="str" cm="1">
        <f t="array" ref="BE28">IF('NILAI CPL'!$B28&lt;&gt;"",IFERROR(_xlfn.IFS(AH28&gt;='NILAI CPL'!$B$3,4,AH28&gt;='NILAI CPL'!$B$4,3,AH28&gt;='NILAI CPL'!$B$5,2,AH28&gt;'NILAI CPL'!$B$6,1),0),"")</f>
        <v/>
      </c>
      <c r="BF28" s="2" t="str" cm="1">
        <f t="array" ref="BF28">IF('NILAI CPL'!$B28&lt;&gt;"",IFERROR(_xlfn.IFS(AI28&gt;='NILAI CPL'!$B$3,4,AI28&gt;='NILAI CPL'!$B$4,3,AI28&gt;='NILAI CPL'!$B$5,2,AI28&gt;'NILAI CPL'!$B$6,1),0),"")</f>
        <v/>
      </c>
      <c r="BG28" s="2" t="str" cm="1">
        <f t="array" ref="BG28">IF('NILAI CPL'!$B28&lt;&gt;"",IFERROR(_xlfn.IFS(AJ28&gt;='NILAI CPL'!$B$3,4,AJ28&gt;='NILAI CPL'!$B$4,3,AJ28&gt;='NILAI CPL'!$B$5,2,AJ28&gt;'NILAI CPL'!$B$6,1),0),"")</f>
        <v/>
      </c>
      <c r="BH28" s="2" t="str" cm="1">
        <f t="array" ref="BH28">IF('NILAI CPL'!$B28&lt;&gt;"",IFERROR(_xlfn.IFS(AK28&gt;='NILAI CPL'!$B$3,4,AK28&gt;='NILAI CPL'!$B$4,3,AK28&gt;='NILAI CPL'!$B$5,2,AK28&gt;'NILAI CPL'!$B$6,1),0),"")</f>
        <v/>
      </c>
      <c r="BI28" s="2" t="str" cm="1">
        <f t="array" ref="BI28">IF('NILAI CPL'!$B28&lt;&gt;"",IFERROR(_xlfn.IFS(AL28&gt;='NILAI CPL'!$B$3,4,AL28&gt;='NILAI CPL'!$B$4,3,AL28&gt;='NILAI CPL'!$B$5,2,AL28&gt;'NILAI CPL'!$B$6,1),0),"")</f>
        <v/>
      </c>
      <c r="BJ28" s="2" t="str" cm="1">
        <f t="array" ref="BJ28">IF('NILAI CPL'!$B28&lt;&gt;"",IFERROR(_xlfn.IFS(AM28&gt;='NILAI CPL'!$B$3,4,AM28&gt;='NILAI CPL'!$B$4,3,AM28&gt;='NILAI CPL'!$B$5,2,AM28&gt;'NILAI CPL'!$B$6,1),0),"")</f>
        <v/>
      </c>
      <c r="BK28" s="2" t="str" cm="1">
        <f t="array" ref="BK28">IF('NILAI CPL'!$B28&lt;&gt;"",IFERROR(_xlfn.IFS(AN28&gt;='NILAI CPL'!$B$3,4,AN28&gt;='NILAI CPL'!$B$4,3,AN28&gt;='NILAI CPL'!$B$5,2,AN28&gt;'NILAI CPL'!$B$6,1),0),"")</f>
        <v/>
      </c>
    </row>
    <row r="29" spans="1:63" x14ac:dyDescent="0.2">
      <c r="A29" s="2">
        <v>19</v>
      </c>
      <c r="B29" s="2" t="str">
        <f>IF(LEN(SUMMARY!B29)&gt;0, SUMMARY!B29, "")</f>
        <v/>
      </c>
      <c r="C29" s="2" t="str">
        <f>IF(LEN(SUMMARY!C29)&gt;0, SUMMARY!C29, "")</f>
        <v/>
      </c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" t="str">
        <f t="shared" si="24"/>
        <v/>
      </c>
      <c r="S29" s="2" t="str">
        <f t="shared" si="2"/>
        <v/>
      </c>
      <c r="T29" s="2" t="str">
        <f t="shared" si="3"/>
        <v/>
      </c>
      <c r="U29" s="2" t="str">
        <f t="shared" si="4"/>
        <v/>
      </c>
      <c r="V29" s="2" t="str">
        <f t="shared" si="5"/>
        <v/>
      </c>
      <c r="W29" s="2" t="str">
        <f t="shared" si="6"/>
        <v/>
      </c>
      <c r="X29" s="2" t="str">
        <f t="shared" si="7"/>
        <v/>
      </c>
      <c r="Y29" s="2" t="str">
        <f t="shared" si="8"/>
        <v/>
      </c>
      <c r="Z29" s="2" t="str">
        <f t="shared" si="9"/>
        <v/>
      </c>
      <c r="AA29" s="2" t="str">
        <f t="shared" si="10"/>
        <v/>
      </c>
      <c r="AB29" s="2" t="str">
        <f t="shared" si="11"/>
        <v/>
      </c>
      <c r="AC29" s="2" t="str">
        <f t="shared" si="12"/>
        <v/>
      </c>
      <c r="AD29" s="2" t="str">
        <f t="shared" si="13"/>
        <v/>
      </c>
      <c r="AE29" s="2" t="str">
        <f t="shared" si="14"/>
        <v/>
      </c>
      <c r="AF29" s="2" t="str">
        <f t="shared" si="15"/>
        <v/>
      </c>
      <c r="AG29" s="2" t="str">
        <f t="shared" si="16"/>
        <v/>
      </c>
      <c r="AH29" s="2" t="str">
        <f t="shared" si="17"/>
        <v/>
      </c>
      <c r="AI29" s="2" t="str">
        <f t="shared" si="18"/>
        <v/>
      </c>
      <c r="AJ29" s="2" t="str">
        <f t="shared" si="19"/>
        <v/>
      </c>
      <c r="AK29" s="2" t="str">
        <f t="shared" si="20"/>
        <v/>
      </c>
      <c r="AL29" s="2" t="str">
        <f t="shared" si="21"/>
        <v/>
      </c>
      <c r="AM29" s="2" t="str">
        <f t="shared" si="22"/>
        <v/>
      </c>
      <c r="AN29" s="2" t="str">
        <f t="shared" si="23"/>
        <v/>
      </c>
      <c r="AP29" s="2" t="str" cm="1">
        <f t="array" ref="AP29">IF('NILAI CPL'!$B29&lt;&gt;"",IFERROR(_xlfn.IFS(S29&gt;='NILAI CPL'!$B$3,4,S29&gt;='NILAI CPL'!$B$4,3,S29&gt;='NILAI CPL'!$B$5,2,S29&gt;'NILAI CPL'!$B$6,1),0),"")</f>
        <v/>
      </c>
      <c r="AQ29" s="2" t="str" cm="1">
        <f t="array" ref="AQ29">IF('NILAI CPL'!$B29&lt;&gt;"",IFERROR(_xlfn.IFS(T29&gt;='NILAI CPL'!$B$3,4,T29&gt;='NILAI CPL'!$B$4,3,T29&gt;='NILAI CPL'!$B$5,2,T29&gt;'NILAI CPL'!$B$6,1),0),"")</f>
        <v/>
      </c>
      <c r="AR29" s="2" t="str" cm="1">
        <f t="array" ref="AR29">IF('NILAI CPL'!$B29&lt;&gt;"",IFERROR(_xlfn.IFS(U29&gt;='NILAI CPL'!$B$3,4,U29&gt;='NILAI CPL'!$B$4,3,U29&gt;='NILAI CPL'!$B$5,2,U29&gt;'NILAI CPL'!$B$6,1),0),"")</f>
        <v/>
      </c>
      <c r="AS29" s="2" t="str" cm="1">
        <f t="array" ref="AS29">IF('NILAI CPL'!$B29&lt;&gt;"",IFERROR(_xlfn.IFS(V29&gt;='NILAI CPL'!$B$3,4,V29&gt;='NILAI CPL'!$B$4,3,V29&gt;='NILAI CPL'!$B$5,2,V29&gt;'NILAI CPL'!$B$6,1),0),"")</f>
        <v/>
      </c>
      <c r="AT29" s="2" t="str" cm="1">
        <f t="array" ref="AT29">IF('NILAI CPL'!$B29&lt;&gt;"",IFERROR(_xlfn.IFS(W29&gt;='NILAI CPL'!$B$3,4,W29&gt;='NILAI CPL'!$B$4,3,W29&gt;='NILAI CPL'!$B$5,2,W29&gt;'NILAI CPL'!$B$6,1),0),"")</f>
        <v/>
      </c>
      <c r="AU29" s="2" t="str" cm="1">
        <f t="array" ref="AU29">IF('NILAI CPL'!$B29&lt;&gt;"",IFERROR(_xlfn.IFS(X29&gt;='NILAI CPL'!$B$3,4,X29&gt;='NILAI CPL'!$B$4,3,X29&gt;='NILAI CPL'!$B$5,2,X29&gt;'NILAI CPL'!$B$6,1),0),"")</f>
        <v/>
      </c>
      <c r="AV29" s="2" t="str" cm="1">
        <f t="array" ref="AV29">IF('NILAI CPL'!$B29&lt;&gt;"",IFERROR(_xlfn.IFS(Y29&gt;='NILAI CPL'!$B$3,4,Y29&gt;='NILAI CPL'!$B$4,3,Y29&gt;='NILAI CPL'!$B$5,2,Y29&gt;'NILAI CPL'!$B$6,1),0),"")</f>
        <v/>
      </c>
      <c r="AW29" s="2" t="str" cm="1">
        <f t="array" ref="AW29">IF('NILAI CPL'!$B29&lt;&gt;"",IFERROR(_xlfn.IFS(Z29&gt;='NILAI CPL'!$B$3,4,Z29&gt;='NILAI CPL'!$B$4,3,Z29&gt;='NILAI CPL'!$B$5,2,Z29&gt;'NILAI CPL'!$B$6,1),0),"")</f>
        <v/>
      </c>
      <c r="AX29" s="2" t="str" cm="1">
        <f t="array" ref="AX29">IF('NILAI CPL'!$B29&lt;&gt;"",IFERROR(_xlfn.IFS(AA29&gt;='NILAI CPL'!$B$3,4,AA29&gt;='NILAI CPL'!$B$4,3,AA29&gt;='NILAI CPL'!$B$5,2,AA29&gt;'NILAI CPL'!$B$6,1),0),"")</f>
        <v/>
      </c>
      <c r="AY29" s="2" t="str" cm="1">
        <f t="array" ref="AY29">IF('NILAI CPL'!$B29&lt;&gt;"",IFERROR(_xlfn.IFS(AB29&gt;='NILAI CPL'!$B$3,4,AB29&gt;='NILAI CPL'!$B$4,3,AB29&gt;='NILAI CPL'!$B$5,2,AB29&gt;'NILAI CPL'!$B$6,1),0),"")</f>
        <v/>
      </c>
      <c r="AZ29" s="2" t="str" cm="1">
        <f t="array" ref="AZ29">IF('NILAI CPL'!$B29&lt;&gt;"",IFERROR(_xlfn.IFS(AC29&gt;='NILAI CPL'!$B$3,4,AC29&gt;='NILAI CPL'!$B$4,3,AC29&gt;='NILAI CPL'!$B$5,2,AC29&gt;'NILAI CPL'!$B$6,1),0),"")</f>
        <v/>
      </c>
      <c r="BA29" s="2" t="str" cm="1">
        <f t="array" ref="BA29">IF('NILAI CPL'!$B29&lt;&gt;"",IFERROR(_xlfn.IFS(AD29&gt;='NILAI CPL'!$B$3,4,AD29&gt;='NILAI CPL'!$B$4,3,AD29&gt;='NILAI CPL'!$B$5,2,AD29&gt;'NILAI CPL'!$B$6,1),0),"")</f>
        <v/>
      </c>
      <c r="BB29" s="2" t="str" cm="1">
        <f t="array" ref="BB29">IF('NILAI CPL'!$B29&lt;&gt;"",IFERROR(_xlfn.IFS(AE29&gt;='NILAI CPL'!$B$3,4,AE29&gt;='NILAI CPL'!$B$4,3,AE29&gt;='NILAI CPL'!$B$5,2,AE29&gt;'NILAI CPL'!$B$6,1),0),"")</f>
        <v/>
      </c>
      <c r="BC29" s="2" t="str" cm="1">
        <f t="array" ref="BC29">IF('NILAI CPL'!$B29&lt;&gt;"",IFERROR(_xlfn.IFS(AF29&gt;='NILAI CPL'!$B$3,4,AF29&gt;='NILAI CPL'!$B$4,3,AF29&gt;='NILAI CPL'!$B$5,2,AF29&gt;'NILAI CPL'!$B$6,1),0),"")</f>
        <v/>
      </c>
      <c r="BD29" s="2" t="str" cm="1">
        <f t="array" ref="BD29">IF('NILAI CPL'!$B29&lt;&gt;"",IFERROR(_xlfn.IFS(AG29&gt;='NILAI CPL'!$B$3,4,AG29&gt;='NILAI CPL'!$B$4,3,AG29&gt;='NILAI CPL'!$B$5,2,AG29&gt;'NILAI CPL'!$B$6,1),0),"")</f>
        <v/>
      </c>
      <c r="BE29" s="2" t="str" cm="1">
        <f t="array" ref="BE29">IF('NILAI CPL'!$B29&lt;&gt;"",IFERROR(_xlfn.IFS(AH29&gt;='NILAI CPL'!$B$3,4,AH29&gt;='NILAI CPL'!$B$4,3,AH29&gt;='NILAI CPL'!$B$5,2,AH29&gt;'NILAI CPL'!$B$6,1),0),"")</f>
        <v/>
      </c>
      <c r="BF29" s="2" t="str" cm="1">
        <f t="array" ref="BF29">IF('NILAI CPL'!$B29&lt;&gt;"",IFERROR(_xlfn.IFS(AI29&gt;='NILAI CPL'!$B$3,4,AI29&gt;='NILAI CPL'!$B$4,3,AI29&gt;='NILAI CPL'!$B$5,2,AI29&gt;'NILAI CPL'!$B$6,1),0),"")</f>
        <v/>
      </c>
      <c r="BG29" s="2" t="str" cm="1">
        <f t="array" ref="BG29">IF('NILAI CPL'!$B29&lt;&gt;"",IFERROR(_xlfn.IFS(AJ29&gt;='NILAI CPL'!$B$3,4,AJ29&gt;='NILAI CPL'!$B$4,3,AJ29&gt;='NILAI CPL'!$B$5,2,AJ29&gt;'NILAI CPL'!$B$6,1),0),"")</f>
        <v/>
      </c>
      <c r="BH29" s="2" t="str" cm="1">
        <f t="array" ref="BH29">IF('NILAI CPL'!$B29&lt;&gt;"",IFERROR(_xlfn.IFS(AK29&gt;='NILAI CPL'!$B$3,4,AK29&gt;='NILAI CPL'!$B$4,3,AK29&gt;='NILAI CPL'!$B$5,2,AK29&gt;'NILAI CPL'!$B$6,1),0),"")</f>
        <v/>
      </c>
      <c r="BI29" s="2" t="str" cm="1">
        <f t="array" ref="BI29">IF('NILAI CPL'!$B29&lt;&gt;"",IFERROR(_xlfn.IFS(AL29&gt;='NILAI CPL'!$B$3,4,AL29&gt;='NILAI CPL'!$B$4,3,AL29&gt;='NILAI CPL'!$B$5,2,AL29&gt;'NILAI CPL'!$B$6,1),0),"")</f>
        <v/>
      </c>
      <c r="BJ29" s="2" t="str" cm="1">
        <f t="array" ref="BJ29">IF('NILAI CPL'!$B29&lt;&gt;"",IFERROR(_xlfn.IFS(AM29&gt;='NILAI CPL'!$B$3,4,AM29&gt;='NILAI CPL'!$B$4,3,AM29&gt;='NILAI CPL'!$B$5,2,AM29&gt;'NILAI CPL'!$B$6,1),0),"")</f>
        <v/>
      </c>
      <c r="BK29" s="2" t="str" cm="1">
        <f t="array" ref="BK29">IF('NILAI CPL'!$B29&lt;&gt;"",IFERROR(_xlfn.IFS(AN29&gt;='NILAI CPL'!$B$3,4,AN29&gt;='NILAI CPL'!$B$4,3,AN29&gt;='NILAI CPL'!$B$5,2,AN29&gt;'NILAI CPL'!$B$6,1),0),"")</f>
        <v/>
      </c>
    </row>
    <row r="30" spans="1:63" x14ac:dyDescent="0.2">
      <c r="A30" s="2">
        <v>20</v>
      </c>
      <c r="B30" s="2" t="str">
        <f>IF(LEN(SUMMARY!B30)&gt;0, SUMMARY!B30, "")</f>
        <v/>
      </c>
      <c r="C30" s="2" t="str">
        <f>IF(LEN(SUMMARY!C30)&gt;0, SUMMARY!C30, "")</f>
        <v/>
      </c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" t="str">
        <f t="shared" si="24"/>
        <v/>
      </c>
      <c r="S30" s="2" t="str">
        <f t="shared" si="2"/>
        <v/>
      </c>
      <c r="T30" s="2" t="str">
        <f t="shared" si="3"/>
        <v/>
      </c>
      <c r="U30" s="2" t="str">
        <f t="shared" si="4"/>
        <v/>
      </c>
      <c r="V30" s="2" t="str">
        <f t="shared" si="5"/>
        <v/>
      </c>
      <c r="W30" s="2" t="str">
        <f t="shared" si="6"/>
        <v/>
      </c>
      <c r="X30" s="2" t="str">
        <f t="shared" si="7"/>
        <v/>
      </c>
      <c r="Y30" s="2" t="str">
        <f t="shared" si="8"/>
        <v/>
      </c>
      <c r="Z30" s="2" t="str">
        <f t="shared" si="9"/>
        <v/>
      </c>
      <c r="AA30" s="2" t="str">
        <f t="shared" si="10"/>
        <v/>
      </c>
      <c r="AB30" s="2" t="str">
        <f t="shared" si="11"/>
        <v/>
      </c>
      <c r="AC30" s="2" t="str">
        <f t="shared" si="12"/>
        <v/>
      </c>
      <c r="AD30" s="2" t="str">
        <f t="shared" si="13"/>
        <v/>
      </c>
      <c r="AE30" s="2" t="str">
        <f t="shared" si="14"/>
        <v/>
      </c>
      <c r="AF30" s="2" t="str">
        <f t="shared" si="15"/>
        <v/>
      </c>
      <c r="AG30" s="2" t="str">
        <f t="shared" si="16"/>
        <v/>
      </c>
      <c r="AH30" s="2" t="str">
        <f t="shared" si="17"/>
        <v/>
      </c>
      <c r="AI30" s="2" t="str">
        <f t="shared" si="18"/>
        <v/>
      </c>
      <c r="AJ30" s="2" t="str">
        <f t="shared" si="19"/>
        <v/>
      </c>
      <c r="AK30" s="2" t="str">
        <f t="shared" si="20"/>
        <v/>
      </c>
      <c r="AL30" s="2" t="str">
        <f t="shared" si="21"/>
        <v/>
      </c>
      <c r="AM30" s="2" t="str">
        <f t="shared" si="22"/>
        <v/>
      </c>
      <c r="AN30" s="2" t="str">
        <f t="shared" si="23"/>
        <v/>
      </c>
      <c r="AP30" s="2" t="str" cm="1">
        <f t="array" ref="AP30">IF('NILAI CPL'!$B30&lt;&gt;"",IFERROR(_xlfn.IFS(S30&gt;='NILAI CPL'!$B$3,4,S30&gt;='NILAI CPL'!$B$4,3,S30&gt;='NILAI CPL'!$B$5,2,S30&gt;'NILAI CPL'!$B$6,1),0),"")</f>
        <v/>
      </c>
      <c r="AQ30" s="2" t="str" cm="1">
        <f t="array" ref="AQ30">IF('NILAI CPL'!$B30&lt;&gt;"",IFERROR(_xlfn.IFS(T30&gt;='NILAI CPL'!$B$3,4,T30&gt;='NILAI CPL'!$B$4,3,T30&gt;='NILAI CPL'!$B$5,2,T30&gt;'NILAI CPL'!$B$6,1),0),"")</f>
        <v/>
      </c>
      <c r="AR30" s="2" t="str" cm="1">
        <f t="array" ref="AR30">IF('NILAI CPL'!$B30&lt;&gt;"",IFERROR(_xlfn.IFS(U30&gt;='NILAI CPL'!$B$3,4,U30&gt;='NILAI CPL'!$B$4,3,U30&gt;='NILAI CPL'!$B$5,2,U30&gt;'NILAI CPL'!$B$6,1),0),"")</f>
        <v/>
      </c>
      <c r="AS30" s="2" t="str" cm="1">
        <f t="array" ref="AS30">IF('NILAI CPL'!$B30&lt;&gt;"",IFERROR(_xlfn.IFS(V30&gt;='NILAI CPL'!$B$3,4,V30&gt;='NILAI CPL'!$B$4,3,V30&gt;='NILAI CPL'!$B$5,2,V30&gt;'NILAI CPL'!$B$6,1),0),"")</f>
        <v/>
      </c>
      <c r="AT30" s="2" t="str" cm="1">
        <f t="array" ref="AT30">IF('NILAI CPL'!$B30&lt;&gt;"",IFERROR(_xlfn.IFS(W30&gt;='NILAI CPL'!$B$3,4,W30&gt;='NILAI CPL'!$B$4,3,W30&gt;='NILAI CPL'!$B$5,2,W30&gt;'NILAI CPL'!$B$6,1),0),"")</f>
        <v/>
      </c>
      <c r="AU30" s="2" t="str" cm="1">
        <f t="array" ref="AU30">IF('NILAI CPL'!$B30&lt;&gt;"",IFERROR(_xlfn.IFS(X30&gt;='NILAI CPL'!$B$3,4,X30&gt;='NILAI CPL'!$B$4,3,X30&gt;='NILAI CPL'!$B$5,2,X30&gt;'NILAI CPL'!$B$6,1),0),"")</f>
        <v/>
      </c>
      <c r="AV30" s="2" t="str" cm="1">
        <f t="array" ref="AV30">IF('NILAI CPL'!$B30&lt;&gt;"",IFERROR(_xlfn.IFS(Y30&gt;='NILAI CPL'!$B$3,4,Y30&gt;='NILAI CPL'!$B$4,3,Y30&gt;='NILAI CPL'!$B$5,2,Y30&gt;'NILAI CPL'!$B$6,1),0),"")</f>
        <v/>
      </c>
      <c r="AW30" s="2" t="str" cm="1">
        <f t="array" ref="AW30">IF('NILAI CPL'!$B30&lt;&gt;"",IFERROR(_xlfn.IFS(Z30&gt;='NILAI CPL'!$B$3,4,Z30&gt;='NILAI CPL'!$B$4,3,Z30&gt;='NILAI CPL'!$B$5,2,Z30&gt;'NILAI CPL'!$B$6,1),0),"")</f>
        <v/>
      </c>
      <c r="AX30" s="2" t="str" cm="1">
        <f t="array" ref="AX30">IF('NILAI CPL'!$B30&lt;&gt;"",IFERROR(_xlfn.IFS(AA30&gt;='NILAI CPL'!$B$3,4,AA30&gt;='NILAI CPL'!$B$4,3,AA30&gt;='NILAI CPL'!$B$5,2,AA30&gt;'NILAI CPL'!$B$6,1),0),"")</f>
        <v/>
      </c>
      <c r="AY30" s="2" t="str" cm="1">
        <f t="array" ref="AY30">IF('NILAI CPL'!$B30&lt;&gt;"",IFERROR(_xlfn.IFS(AB30&gt;='NILAI CPL'!$B$3,4,AB30&gt;='NILAI CPL'!$B$4,3,AB30&gt;='NILAI CPL'!$B$5,2,AB30&gt;'NILAI CPL'!$B$6,1),0),"")</f>
        <v/>
      </c>
      <c r="AZ30" s="2" t="str" cm="1">
        <f t="array" ref="AZ30">IF('NILAI CPL'!$B30&lt;&gt;"",IFERROR(_xlfn.IFS(AC30&gt;='NILAI CPL'!$B$3,4,AC30&gt;='NILAI CPL'!$B$4,3,AC30&gt;='NILAI CPL'!$B$5,2,AC30&gt;'NILAI CPL'!$B$6,1),0),"")</f>
        <v/>
      </c>
      <c r="BA30" s="2" t="str" cm="1">
        <f t="array" ref="BA30">IF('NILAI CPL'!$B30&lt;&gt;"",IFERROR(_xlfn.IFS(AD30&gt;='NILAI CPL'!$B$3,4,AD30&gt;='NILAI CPL'!$B$4,3,AD30&gt;='NILAI CPL'!$B$5,2,AD30&gt;'NILAI CPL'!$B$6,1),0),"")</f>
        <v/>
      </c>
      <c r="BB30" s="2" t="str" cm="1">
        <f t="array" ref="BB30">IF('NILAI CPL'!$B30&lt;&gt;"",IFERROR(_xlfn.IFS(AE30&gt;='NILAI CPL'!$B$3,4,AE30&gt;='NILAI CPL'!$B$4,3,AE30&gt;='NILAI CPL'!$B$5,2,AE30&gt;'NILAI CPL'!$B$6,1),0),"")</f>
        <v/>
      </c>
      <c r="BC30" s="2" t="str" cm="1">
        <f t="array" ref="BC30">IF('NILAI CPL'!$B30&lt;&gt;"",IFERROR(_xlfn.IFS(AF30&gt;='NILAI CPL'!$B$3,4,AF30&gt;='NILAI CPL'!$B$4,3,AF30&gt;='NILAI CPL'!$B$5,2,AF30&gt;'NILAI CPL'!$B$6,1),0),"")</f>
        <v/>
      </c>
      <c r="BD30" s="2" t="str" cm="1">
        <f t="array" ref="BD30">IF('NILAI CPL'!$B30&lt;&gt;"",IFERROR(_xlfn.IFS(AG30&gt;='NILAI CPL'!$B$3,4,AG30&gt;='NILAI CPL'!$B$4,3,AG30&gt;='NILAI CPL'!$B$5,2,AG30&gt;'NILAI CPL'!$B$6,1),0),"")</f>
        <v/>
      </c>
      <c r="BE30" s="2" t="str" cm="1">
        <f t="array" ref="BE30">IF('NILAI CPL'!$B30&lt;&gt;"",IFERROR(_xlfn.IFS(AH30&gt;='NILAI CPL'!$B$3,4,AH30&gt;='NILAI CPL'!$B$4,3,AH30&gt;='NILAI CPL'!$B$5,2,AH30&gt;'NILAI CPL'!$B$6,1),0),"")</f>
        <v/>
      </c>
      <c r="BF30" s="2" t="str" cm="1">
        <f t="array" ref="BF30">IF('NILAI CPL'!$B30&lt;&gt;"",IFERROR(_xlfn.IFS(AI30&gt;='NILAI CPL'!$B$3,4,AI30&gt;='NILAI CPL'!$B$4,3,AI30&gt;='NILAI CPL'!$B$5,2,AI30&gt;'NILAI CPL'!$B$6,1),0),"")</f>
        <v/>
      </c>
      <c r="BG30" s="2" t="str" cm="1">
        <f t="array" ref="BG30">IF('NILAI CPL'!$B30&lt;&gt;"",IFERROR(_xlfn.IFS(AJ30&gt;='NILAI CPL'!$B$3,4,AJ30&gt;='NILAI CPL'!$B$4,3,AJ30&gt;='NILAI CPL'!$B$5,2,AJ30&gt;'NILAI CPL'!$B$6,1),0),"")</f>
        <v/>
      </c>
      <c r="BH30" s="2" t="str" cm="1">
        <f t="array" ref="BH30">IF('NILAI CPL'!$B30&lt;&gt;"",IFERROR(_xlfn.IFS(AK30&gt;='NILAI CPL'!$B$3,4,AK30&gt;='NILAI CPL'!$B$4,3,AK30&gt;='NILAI CPL'!$B$5,2,AK30&gt;'NILAI CPL'!$B$6,1),0),"")</f>
        <v/>
      </c>
      <c r="BI30" s="2" t="str" cm="1">
        <f t="array" ref="BI30">IF('NILAI CPL'!$B30&lt;&gt;"",IFERROR(_xlfn.IFS(AL30&gt;='NILAI CPL'!$B$3,4,AL30&gt;='NILAI CPL'!$B$4,3,AL30&gt;='NILAI CPL'!$B$5,2,AL30&gt;'NILAI CPL'!$B$6,1),0),"")</f>
        <v/>
      </c>
      <c r="BJ30" s="2" t="str" cm="1">
        <f t="array" ref="BJ30">IF('NILAI CPL'!$B30&lt;&gt;"",IFERROR(_xlfn.IFS(AM30&gt;='NILAI CPL'!$B$3,4,AM30&gt;='NILAI CPL'!$B$4,3,AM30&gt;='NILAI CPL'!$B$5,2,AM30&gt;'NILAI CPL'!$B$6,1),0),"")</f>
        <v/>
      </c>
      <c r="BK30" s="2" t="str" cm="1">
        <f t="array" ref="BK30">IF('NILAI CPL'!$B30&lt;&gt;"",IFERROR(_xlfn.IFS(AN30&gt;='NILAI CPL'!$B$3,4,AN30&gt;='NILAI CPL'!$B$4,3,AN30&gt;='NILAI CPL'!$B$5,2,AN30&gt;'NILAI CPL'!$B$6,1),0),"")</f>
        <v/>
      </c>
    </row>
    <row r="31" spans="1:63" x14ac:dyDescent="0.2">
      <c r="A31" s="2">
        <v>21</v>
      </c>
      <c r="B31" s="2" t="str">
        <f>IF(LEN(SUMMARY!B31)&gt;0, SUMMARY!B31, "")</f>
        <v/>
      </c>
      <c r="C31" s="2" t="str">
        <f>IF(LEN(SUMMARY!C31)&gt;0, SUMMARY!C31, "")</f>
        <v/>
      </c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" t="str">
        <f t="shared" si="24"/>
        <v/>
      </c>
      <c r="S31" s="2" t="str">
        <f t="shared" si="2"/>
        <v/>
      </c>
      <c r="T31" s="2" t="str">
        <f t="shared" si="3"/>
        <v/>
      </c>
      <c r="U31" s="2" t="str">
        <f t="shared" si="4"/>
        <v/>
      </c>
      <c r="V31" s="2" t="str">
        <f t="shared" si="5"/>
        <v/>
      </c>
      <c r="W31" s="2" t="str">
        <f t="shared" si="6"/>
        <v/>
      </c>
      <c r="X31" s="2" t="str">
        <f t="shared" si="7"/>
        <v/>
      </c>
      <c r="Y31" s="2" t="str">
        <f t="shared" si="8"/>
        <v/>
      </c>
      <c r="Z31" s="2" t="str">
        <f t="shared" si="9"/>
        <v/>
      </c>
      <c r="AA31" s="2" t="str">
        <f t="shared" si="10"/>
        <v/>
      </c>
      <c r="AB31" s="2" t="str">
        <f t="shared" si="11"/>
        <v/>
      </c>
      <c r="AC31" s="2" t="str">
        <f t="shared" si="12"/>
        <v/>
      </c>
      <c r="AD31" s="2" t="str">
        <f t="shared" si="13"/>
        <v/>
      </c>
      <c r="AE31" s="2" t="str">
        <f t="shared" si="14"/>
        <v/>
      </c>
      <c r="AF31" s="2" t="str">
        <f t="shared" si="15"/>
        <v/>
      </c>
      <c r="AG31" s="2" t="str">
        <f t="shared" si="16"/>
        <v/>
      </c>
      <c r="AH31" s="2" t="str">
        <f t="shared" si="17"/>
        <v/>
      </c>
      <c r="AI31" s="2" t="str">
        <f t="shared" si="18"/>
        <v/>
      </c>
      <c r="AJ31" s="2" t="str">
        <f t="shared" si="19"/>
        <v/>
      </c>
      <c r="AK31" s="2" t="str">
        <f t="shared" si="20"/>
        <v/>
      </c>
      <c r="AL31" s="2" t="str">
        <f t="shared" si="21"/>
        <v/>
      </c>
      <c r="AM31" s="2" t="str">
        <f t="shared" si="22"/>
        <v/>
      </c>
      <c r="AN31" s="2" t="str">
        <f t="shared" si="23"/>
        <v/>
      </c>
      <c r="AP31" s="2" t="str" cm="1">
        <f t="array" ref="AP31">IF('NILAI CPL'!$B31&lt;&gt;"",IFERROR(_xlfn.IFS(S31&gt;='NILAI CPL'!$B$3,4,S31&gt;='NILAI CPL'!$B$4,3,S31&gt;='NILAI CPL'!$B$5,2,S31&gt;'NILAI CPL'!$B$6,1),0),"")</f>
        <v/>
      </c>
      <c r="AQ31" s="2" t="str" cm="1">
        <f t="array" ref="AQ31">IF('NILAI CPL'!$B31&lt;&gt;"",IFERROR(_xlfn.IFS(T31&gt;='NILAI CPL'!$B$3,4,T31&gt;='NILAI CPL'!$B$4,3,T31&gt;='NILAI CPL'!$B$5,2,T31&gt;'NILAI CPL'!$B$6,1),0),"")</f>
        <v/>
      </c>
      <c r="AR31" s="2" t="str" cm="1">
        <f t="array" ref="AR31">IF('NILAI CPL'!$B31&lt;&gt;"",IFERROR(_xlfn.IFS(U31&gt;='NILAI CPL'!$B$3,4,U31&gt;='NILAI CPL'!$B$4,3,U31&gt;='NILAI CPL'!$B$5,2,U31&gt;'NILAI CPL'!$B$6,1),0),"")</f>
        <v/>
      </c>
      <c r="AS31" s="2" t="str" cm="1">
        <f t="array" ref="AS31">IF('NILAI CPL'!$B31&lt;&gt;"",IFERROR(_xlfn.IFS(V31&gt;='NILAI CPL'!$B$3,4,V31&gt;='NILAI CPL'!$B$4,3,V31&gt;='NILAI CPL'!$B$5,2,V31&gt;'NILAI CPL'!$B$6,1),0),"")</f>
        <v/>
      </c>
      <c r="AT31" s="2" t="str" cm="1">
        <f t="array" ref="AT31">IF('NILAI CPL'!$B31&lt;&gt;"",IFERROR(_xlfn.IFS(W31&gt;='NILAI CPL'!$B$3,4,W31&gt;='NILAI CPL'!$B$4,3,W31&gt;='NILAI CPL'!$B$5,2,W31&gt;'NILAI CPL'!$B$6,1),0),"")</f>
        <v/>
      </c>
      <c r="AU31" s="2" t="str" cm="1">
        <f t="array" ref="AU31">IF('NILAI CPL'!$B31&lt;&gt;"",IFERROR(_xlfn.IFS(X31&gt;='NILAI CPL'!$B$3,4,X31&gt;='NILAI CPL'!$B$4,3,X31&gt;='NILAI CPL'!$B$5,2,X31&gt;'NILAI CPL'!$B$6,1),0),"")</f>
        <v/>
      </c>
      <c r="AV31" s="2" t="str" cm="1">
        <f t="array" ref="AV31">IF('NILAI CPL'!$B31&lt;&gt;"",IFERROR(_xlfn.IFS(Y31&gt;='NILAI CPL'!$B$3,4,Y31&gt;='NILAI CPL'!$B$4,3,Y31&gt;='NILAI CPL'!$B$5,2,Y31&gt;'NILAI CPL'!$B$6,1),0),"")</f>
        <v/>
      </c>
      <c r="AW31" s="2" t="str" cm="1">
        <f t="array" ref="AW31">IF('NILAI CPL'!$B31&lt;&gt;"",IFERROR(_xlfn.IFS(Z31&gt;='NILAI CPL'!$B$3,4,Z31&gt;='NILAI CPL'!$B$4,3,Z31&gt;='NILAI CPL'!$B$5,2,Z31&gt;'NILAI CPL'!$B$6,1),0),"")</f>
        <v/>
      </c>
      <c r="AX31" s="2" t="str" cm="1">
        <f t="array" ref="AX31">IF('NILAI CPL'!$B31&lt;&gt;"",IFERROR(_xlfn.IFS(AA31&gt;='NILAI CPL'!$B$3,4,AA31&gt;='NILAI CPL'!$B$4,3,AA31&gt;='NILAI CPL'!$B$5,2,AA31&gt;'NILAI CPL'!$B$6,1),0),"")</f>
        <v/>
      </c>
      <c r="AY31" s="2" t="str" cm="1">
        <f t="array" ref="AY31">IF('NILAI CPL'!$B31&lt;&gt;"",IFERROR(_xlfn.IFS(AB31&gt;='NILAI CPL'!$B$3,4,AB31&gt;='NILAI CPL'!$B$4,3,AB31&gt;='NILAI CPL'!$B$5,2,AB31&gt;'NILAI CPL'!$B$6,1),0),"")</f>
        <v/>
      </c>
      <c r="AZ31" s="2" t="str" cm="1">
        <f t="array" ref="AZ31">IF('NILAI CPL'!$B31&lt;&gt;"",IFERROR(_xlfn.IFS(AC31&gt;='NILAI CPL'!$B$3,4,AC31&gt;='NILAI CPL'!$B$4,3,AC31&gt;='NILAI CPL'!$B$5,2,AC31&gt;'NILAI CPL'!$B$6,1),0),"")</f>
        <v/>
      </c>
      <c r="BA31" s="2" t="str" cm="1">
        <f t="array" ref="BA31">IF('NILAI CPL'!$B31&lt;&gt;"",IFERROR(_xlfn.IFS(AD31&gt;='NILAI CPL'!$B$3,4,AD31&gt;='NILAI CPL'!$B$4,3,AD31&gt;='NILAI CPL'!$B$5,2,AD31&gt;'NILAI CPL'!$B$6,1),0),"")</f>
        <v/>
      </c>
      <c r="BB31" s="2" t="str" cm="1">
        <f t="array" ref="BB31">IF('NILAI CPL'!$B31&lt;&gt;"",IFERROR(_xlfn.IFS(AE31&gt;='NILAI CPL'!$B$3,4,AE31&gt;='NILAI CPL'!$B$4,3,AE31&gt;='NILAI CPL'!$B$5,2,AE31&gt;'NILAI CPL'!$B$6,1),0),"")</f>
        <v/>
      </c>
      <c r="BC31" s="2" t="str" cm="1">
        <f t="array" ref="BC31">IF('NILAI CPL'!$B31&lt;&gt;"",IFERROR(_xlfn.IFS(AF31&gt;='NILAI CPL'!$B$3,4,AF31&gt;='NILAI CPL'!$B$4,3,AF31&gt;='NILAI CPL'!$B$5,2,AF31&gt;'NILAI CPL'!$B$6,1),0),"")</f>
        <v/>
      </c>
      <c r="BD31" s="2" t="str" cm="1">
        <f t="array" ref="BD31">IF('NILAI CPL'!$B31&lt;&gt;"",IFERROR(_xlfn.IFS(AG31&gt;='NILAI CPL'!$B$3,4,AG31&gt;='NILAI CPL'!$B$4,3,AG31&gt;='NILAI CPL'!$B$5,2,AG31&gt;'NILAI CPL'!$B$6,1),0),"")</f>
        <v/>
      </c>
      <c r="BE31" s="2" t="str" cm="1">
        <f t="array" ref="BE31">IF('NILAI CPL'!$B31&lt;&gt;"",IFERROR(_xlfn.IFS(AH31&gt;='NILAI CPL'!$B$3,4,AH31&gt;='NILAI CPL'!$B$4,3,AH31&gt;='NILAI CPL'!$B$5,2,AH31&gt;'NILAI CPL'!$B$6,1),0),"")</f>
        <v/>
      </c>
      <c r="BF31" s="2" t="str" cm="1">
        <f t="array" ref="BF31">IF('NILAI CPL'!$B31&lt;&gt;"",IFERROR(_xlfn.IFS(AI31&gt;='NILAI CPL'!$B$3,4,AI31&gt;='NILAI CPL'!$B$4,3,AI31&gt;='NILAI CPL'!$B$5,2,AI31&gt;'NILAI CPL'!$B$6,1),0),"")</f>
        <v/>
      </c>
      <c r="BG31" s="2" t="str" cm="1">
        <f t="array" ref="BG31">IF('NILAI CPL'!$B31&lt;&gt;"",IFERROR(_xlfn.IFS(AJ31&gt;='NILAI CPL'!$B$3,4,AJ31&gt;='NILAI CPL'!$B$4,3,AJ31&gt;='NILAI CPL'!$B$5,2,AJ31&gt;'NILAI CPL'!$B$6,1),0),"")</f>
        <v/>
      </c>
      <c r="BH31" s="2" t="str" cm="1">
        <f t="array" ref="BH31">IF('NILAI CPL'!$B31&lt;&gt;"",IFERROR(_xlfn.IFS(AK31&gt;='NILAI CPL'!$B$3,4,AK31&gt;='NILAI CPL'!$B$4,3,AK31&gt;='NILAI CPL'!$B$5,2,AK31&gt;'NILAI CPL'!$B$6,1),0),"")</f>
        <v/>
      </c>
      <c r="BI31" s="2" t="str" cm="1">
        <f t="array" ref="BI31">IF('NILAI CPL'!$B31&lt;&gt;"",IFERROR(_xlfn.IFS(AL31&gt;='NILAI CPL'!$B$3,4,AL31&gt;='NILAI CPL'!$B$4,3,AL31&gt;='NILAI CPL'!$B$5,2,AL31&gt;'NILAI CPL'!$B$6,1),0),"")</f>
        <v/>
      </c>
      <c r="BJ31" s="2" t="str" cm="1">
        <f t="array" ref="BJ31">IF('NILAI CPL'!$B31&lt;&gt;"",IFERROR(_xlfn.IFS(AM31&gt;='NILAI CPL'!$B$3,4,AM31&gt;='NILAI CPL'!$B$4,3,AM31&gt;='NILAI CPL'!$B$5,2,AM31&gt;'NILAI CPL'!$B$6,1),0),"")</f>
        <v/>
      </c>
      <c r="BK31" s="2" t="str" cm="1">
        <f t="array" ref="BK31">IF('NILAI CPL'!$B31&lt;&gt;"",IFERROR(_xlfn.IFS(AN31&gt;='NILAI CPL'!$B$3,4,AN31&gt;='NILAI CPL'!$B$4,3,AN31&gt;='NILAI CPL'!$B$5,2,AN31&gt;'NILAI CPL'!$B$6,1),0),"")</f>
        <v/>
      </c>
    </row>
    <row r="32" spans="1:63" x14ac:dyDescent="0.2">
      <c r="A32" s="2">
        <v>22</v>
      </c>
      <c r="B32" s="2" t="str">
        <f>IF(LEN(SUMMARY!B32)&gt;0, SUMMARY!B32, "")</f>
        <v/>
      </c>
      <c r="C32" s="2" t="str">
        <f>IF(LEN(SUMMARY!C32)&gt;0, SUMMARY!C32, "")</f>
        <v/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" t="str">
        <f t="shared" si="24"/>
        <v/>
      </c>
      <c r="S32" s="2" t="str">
        <f t="shared" si="2"/>
        <v/>
      </c>
      <c r="T32" s="2" t="str">
        <f t="shared" si="3"/>
        <v/>
      </c>
      <c r="U32" s="2" t="str">
        <f t="shared" si="4"/>
        <v/>
      </c>
      <c r="V32" s="2" t="str">
        <f t="shared" si="5"/>
        <v/>
      </c>
      <c r="W32" s="2" t="str">
        <f t="shared" si="6"/>
        <v/>
      </c>
      <c r="X32" s="2" t="str">
        <f t="shared" si="7"/>
        <v/>
      </c>
      <c r="Y32" s="2" t="str">
        <f t="shared" si="8"/>
        <v/>
      </c>
      <c r="Z32" s="2" t="str">
        <f t="shared" si="9"/>
        <v/>
      </c>
      <c r="AA32" s="2" t="str">
        <f t="shared" si="10"/>
        <v/>
      </c>
      <c r="AB32" s="2" t="str">
        <f t="shared" si="11"/>
        <v/>
      </c>
      <c r="AC32" s="2" t="str">
        <f t="shared" si="12"/>
        <v/>
      </c>
      <c r="AD32" s="2" t="str">
        <f t="shared" si="13"/>
        <v/>
      </c>
      <c r="AE32" s="2" t="str">
        <f t="shared" si="14"/>
        <v/>
      </c>
      <c r="AF32" s="2" t="str">
        <f t="shared" si="15"/>
        <v/>
      </c>
      <c r="AG32" s="2" t="str">
        <f t="shared" si="16"/>
        <v/>
      </c>
      <c r="AH32" s="2" t="str">
        <f t="shared" si="17"/>
        <v/>
      </c>
      <c r="AI32" s="2" t="str">
        <f t="shared" si="18"/>
        <v/>
      </c>
      <c r="AJ32" s="2" t="str">
        <f t="shared" si="19"/>
        <v/>
      </c>
      <c r="AK32" s="2" t="str">
        <f t="shared" si="20"/>
        <v/>
      </c>
      <c r="AL32" s="2" t="str">
        <f t="shared" si="21"/>
        <v/>
      </c>
      <c r="AM32" s="2" t="str">
        <f t="shared" si="22"/>
        <v/>
      </c>
      <c r="AN32" s="2" t="str">
        <f t="shared" si="23"/>
        <v/>
      </c>
      <c r="AP32" s="2" t="str" cm="1">
        <f t="array" ref="AP32">IF('NILAI CPL'!$B32&lt;&gt;"",IFERROR(_xlfn.IFS(S32&gt;='NILAI CPL'!$B$3,4,S32&gt;='NILAI CPL'!$B$4,3,S32&gt;='NILAI CPL'!$B$5,2,S32&gt;'NILAI CPL'!$B$6,1),0),"")</f>
        <v/>
      </c>
      <c r="AQ32" s="2" t="str" cm="1">
        <f t="array" ref="AQ32">IF('NILAI CPL'!$B32&lt;&gt;"",IFERROR(_xlfn.IFS(T32&gt;='NILAI CPL'!$B$3,4,T32&gt;='NILAI CPL'!$B$4,3,T32&gt;='NILAI CPL'!$B$5,2,T32&gt;'NILAI CPL'!$B$6,1),0),"")</f>
        <v/>
      </c>
      <c r="AR32" s="2" t="str" cm="1">
        <f t="array" ref="AR32">IF('NILAI CPL'!$B32&lt;&gt;"",IFERROR(_xlfn.IFS(U32&gt;='NILAI CPL'!$B$3,4,U32&gt;='NILAI CPL'!$B$4,3,U32&gt;='NILAI CPL'!$B$5,2,U32&gt;'NILAI CPL'!$B$6,1),0),"")</f>
        <v/>
      </c>
      <c r="AS32" s="2" t="str" cm="1">
        <f t="array" ref="AS32">IF('NILAI CPL'!$B32&lt;&gt;"",IFERROR(_xlfn.IFS(V32&gt;='NILAI CPL'!$B$3,4,V32&gt;='NILAI CPL'!$B$4,3,V32&gt;='NILAI CPL'!$B$5,2,V32&gt;'NILAI CPL'!$B$6,1),0),"")</f>
        <v/>
      </c>
      <c r="AT32" s="2" t="str" cm="1">
        <f t="array" ref="AT32">IF('NILAI CPL'!$B32&lt;&gt;"",IFERROR(_xlfn.IFS(W32&gt;='NILAI CPL'!$B$3,4,W32&gt;='NILAI CPL'!$B$4,3,W32&gt;='NILAI CPL'!$B$5,2,W32&gt;'NILAI CPL'!$B$6,1),0),"")</f>
        <v/>
      </c>
      <c r="AU32" s="2" t="str" cm="1">
        <f t="array" ref="AU32">IF('NILAI CPL'!$B32&lt;&gt;"",IFERROR(_xlfn.IFS(X32&gt;='NILAI CPL'!$B$3,4,X32&gt;='NILAI CPL'!$B$4,3,X32&gt;='NILAI CPL'!$B$5,2,X32&gt;'NILAI CPL'!$B$6,1),0),"")</f>
        <v/>
      </c>
      <c r="AV32" s="2" t="str" cm="1">
        <f t="array" ref="AV32">IF('NILAI CPL'!$B32&lt;&gt;"",IFERROR(_xlfn.IFS(Y32&gt;='NILAI CPL'!$B$3,4,Y32&gt;='NILAI CPL'!$B$4,3,Y32&gt;='NILAI CPL'!$B$5,2,Y32&gt;'NILAI CPL'!$B$6,1),0),"")</f>
        <v/>
      </c>
      <c r="AW32" s="2" t="str" cm="1">
        <f t="array" ref="AW32">IF('NILAI CPL'!$B32&lt;&gt;"",IFERROR(_xlfn.IFS(Z32&gt;='NILAI CPL'!$B$3,4,Z32&gt;='NILAI CPL'!$B$4,3,Z32&gt;='NILAI CPL'!$B$5,2,Z32&gt;'NILAI CPL'!$B$6,1),0),"")</f>
        <v/>
      </c>
      <c r="AX32" s="2" t="str" cm="1">
        <f t="array" ref="AX32">IF('NILAI CPL'!$B32&lt;&gt;"",IFERROR(_xlfn.IFS(AA32&gt;='NILAI CPL'!$B$3,4,AA32&gt;='NILAI CPL'!$B$4,3,AA32&gt;='NILAI CPL'!$B$5,2,AA32&gt;'NILAI CPL'!$B$6,1),0),"")</f>
        <v/>
      </c>
      <c r="AY32" s="2" t="str" cm="1">
        <f t="array" ref="AY32">IF('NILAI CPL'!$B32&lt;&gt;"",IFERROR(_xlfn.IFS(AB32&gt;='NILAI CPL'!$B$3,4,AB32&gt;='NILAI CPL'!$B$4,3,AB32&gt;='NILAI CPL'!$B$5,2,AB32&gt;'NILAI CPL'!$B$6,1),0),"")</f>
        <v/>
      </c>
      <c r="AZ32" s="2" t="str" cm="1">
        <f t="array" ref="AZ32">IF('NILAI CPL'!$B32&lt;&gt;"",IFERROR(_xlfn.IFS(AC32&gt;='NILAI CPL'!$B$3,4,AC32&gt;='NILAI CPL'!$B$4,3,AC32&gt;='NILAI CPL'!$B$5,2,AC32&gt;'NILAI CPL'!$B$6,1),0),"")</f>
        <v/>
      </c>
      <c r="BA32" s="2" t="str" cm="1">
        <f t="array" ref="BA32">IF('NILAI CPL'!$B32&lt;&gt;"",IFERROR(_xlfn.IFS(AD32&gt;='NILAI CPL'!$B$3,4,AD32&gt;='NILAI CPL'!$B$4,3,AD32&gt;='NILAI CPL'!$B$5,2,AD32&gt;'NILAI CPL'!$B$6,1),0),"")</f>
        <v/>
      </c>
      <c r="BB32" s="2" t="str" cm="1">
        <f t="array" ref="BB32">IF('NILAI CPL'!$B32&lt;&gt;"",IFERROR(_xlfn.IFS(AE32&gt;='NILAI CPL'!$B$3,4,AE32&gt;='NILAI CPL'!$B$4,3,AE32&gt;='NILAI CPL'!$B$5,2,AE32&gt;'NILAI CPL'!$B$6,1),0),"")</f>
        <v/>
      </c>
      <c r="BC32" s="2" t="str" cm="1">
        <f t="array" ref="BC32">IF('NILAI CPL'!$B32&lt;&gt;"",IFERROR(_xlfn.IFS(AF32&gt;='NILAI CPL'!$B$3,4,AF32&gt;='NILAI CPL'!$B$4,3,AF32&gt;='NILAI CPL'!$B$5,2,AF32&gt;'NILAI CPL'!$B$6,1),0),"")</f>
        <v/>
      </c>
      <c r="BD32" s="2" t="str" cm="1">
        <f t="array" ref="BD32">IF('NILAI CPL'!$B32&lt;&gt;"",IFERROR(_xlfn.IFS(AG32&gt;='NILAI CPL'!$B$3,4,AG32&gt;='NILAI CPL'!$B$4,3,AG32&gt;='NILAI CPL'!$B$5,2,AG32&gt;'NILAI CPL'!$B$6,1),0),"")</f>
        <v/>
      </c>
      <c r="BE32" s="2" t="str" cm="1">
        <f t="array" ref="BE32">IF('NILAI CPL'!$B32&lt;&gt;"",IFERROR(_xlfn.IFS(AH32&gt;='NILAI CPL'!$B$3,4,AH32&gt;='NILAI CPL'!$B$4,3,AH32&gt;='NILAI CPL'!$B$5,2,AH32&gt;'NILAI CPL'!$B$6,1),0),"")</f>
        <v/>
      </c>
      <c r="BF32" s="2" t="str" cm="1">
        <f t="array" ref="BF32">IF('NILAI CPL'!$B32&lt;&gt;"",IFERROR(_xlfn.IFS(AI32&gt;='NILAI CPL'!$B$3,4,AI32&gt;='NILAI CPL'!$B$4,3,AI32&gt;='NILAI CPL'!$B$5,2,AI32&gt;'NILAI CPL'!$B$6,1),0),"")</f>
        <v/>
      </c>
      <c r="BG32" s="2" t="str" cm="1">
        <f t="array" ref="BG32">IF('NILAI CPL'!$B32&lt;&gt;"",IFERROR(_xlfn.IFS(AJ32&gt;='NILAI CPL'!$B$3,4,AJ32&gt;='NILAI CPL'!$B$4,3,AJ32&gt;='NILAI CPL'!$B$5,2,AJ32&gt;'NILAI CPL'!$B$6,1),0),"")</f>
        <v/>
      </c>
      <c r="BH32" s="2" t="str" cm="1">
        <f t="array" ref="BH32">IF('NILAI CPL'!$B32&lt;&gt;"",IFERROR(_xlfn.IFS(AK32&gt;='NILAI CPL'!$B$3,4,AK32&gt;='NILAI CPL'!$B$4,3,AK32&gt;='NILAI CPL'!$B$5,2,AK32&gt;'NILAI CPL'!$B$6,1),0),"")</f>
        <v/>
      </c>
      <c r="BI32" s="2" t="str" cm="1">
        <f t="array" ref="BI32">IF('NILAI CPL'!$B32&lt;&gt;"",IFERROR(_xlfn.IFS(AL32&gt;='NILAI CPL'!$B$3,4,AL32&gt;='NILAI CPL'!$B$4,3,AL32&gt;='NILAI CPL'!$B$5,2,AL32&gt;'NILAI CPL'!$B$6,1),0),"")</f>
        <v/>
      </c>
      <c r="BJ32" s="2" t="str" cm="1">
        <f t="array" ref="BJ32">IF('NILAI CPL'!$B32&lt;&gt;"",IFERROR(_xlfn.IFS(AM32&gt;='NILAI CPL'!$B$3,4,AM32&gt;='NILAI CPL'!$B$4,3,AM32&gt;='NILAI CPL'!$B$5,2,AM32&gt;'NILAI CPL'!$B$6,1),0),"")</f>
        <v/>
      </c>
      <c r="BK32" s="2" t="str" cm="1">
        <f t="array" ref="BK32">IF('NILAI CPL'!$B32&lt;&gt;"",IFERROR(_xlfn.IFS(AN32&gt;='NILAI CPL'!$B$3,4,AN32&gt;='NILAI CPL'!$B$4,3,AN32&gt;='NILAI CPL'!$B$5,2,AN32&gt;'NILAI CPL'!$B$6,1),0),"")</f>
        <v/>
      </c>
    </row>
    <row r="33" spans="1:63" x14ac:dyDescent="0.2">
      <c r="A33" s="2">
        <v>23</v>
      </c>
      <c r="B33" s="2" t="str">
        <f>IF(LEN(SUMMARY!B33)&gt;0, SUMMARY!B33, "")</f>
        <v/>
      </c>
      <c r="C33" s="2" t="str">
        <f>IF(LEN(SUMMARY!C33)&gt;0, SUMMARY!C33, "")</f>
        <v/>
      </c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" t="str">
        <f t="shared" si="24"/>
        <v/>
      </c>
      <c r="S33" s="2" t="str">
        <f t="shared" si="2"/>
        <v/>
      </c>
      <c r="T33" s="2" t="str">
        <f t="shared" si="3"/>
        <v/>
      </c>
      <c r="U33" s="2" t="str">
        <f t="shared" si="4"/>
        <v/>
      </c>
      <c r="V33" s="2" t="str">
        <f t="shared" si="5"/>
        <v/>
      </c>
      <c r="W33" s="2" t="str">
        <f t="shared" si="6"/>
        <v/>
      </c>
      <c r="X33" s="2" t="str">
        <f t="shared" si="7"/>
        <v/>
      </c>
      <c r="Y33" s="2" t="str">
        <f t="shared" si="8"/>
        <v/>
      </c>
      <c r="Z33" s="2" t="str">
        <f t="shared" si="9"/>
        <v/>
      </c>
      <c r="AA33" s="2" t="str">
        <f t="shared" si="10"/>
        <v/>
      </c>
      <c r="AB33" s="2" t="str">
        <f t="shared" si="11"/>
        <v/>
      </c>
      <c r="AC33" s="2" t="str">
        <f t="shared" si="12"/>
        <v/>
      </c>
      <c r="AD33" s="2" t="str">
        <f t="shared" si="13"/>
        <v/>
      </c>
      <c r="AE33" s="2" t="str">
        <f t="shared" si="14"/>
        <v/>
      </c>
      <c r="AF33" s="2" t="str">
        <f t="shared" si="15"/>
        <v/>
      </c>
      <c r="AG33" s="2" t="str">
        <f t="shared" si="16"/>
        <v/>
      </c>
      <c r="AH33" s="2" t="str">
        <f t="shared" si="17"/>
        <v/>
      </c>
      <c r="AI33" s="2" t="str">
        <f t="shared" si="18"/>
        <v/>
      </c>
      <c r="AJ33" s="2" t="str">
        <f t="shared" si="19"/>
        <v/>
      </c>
      <c r="AK33" s="2" t="str">
        <f t="shared" si="20"/>
        <v/>
      </c>
      <c r="AL33" s="2" t="str">
        <f t="shared" si="21"/>
        <v/>
      </c>
      <c r="AM33" s="2" t="str">
        <f t="shared" si="22"/>
        <v/>
      </c>
      <c r="AN33" s="2" t="str">
        <f t="shared" si="23"/>
        <v/>
      </c>
      <c r="AP33" s="2" t="str" cm="1">
        <f t="array" ref="AP33">IF('NILAI CPL'!$B33&lt;&gt;"",IFERROR(_xlfn.IFS(S33&gt;='NILAI CPL'!$B$3,4,S33&gt;='NILAI CPL'!$B$4,3,S33&gt;='NILAI CPL'!$B$5,2,S33&gt;'NILAI CPL'!$B$6,1),0),"")</f>
        <v/>
      </c>
      <c r="AQ33" s="2" t="str" cm="1">
        <f t="array" ref="AQ33">IF('NILAI CPL'!$B33&lt;&gt;"",IFERROR(_xlfn.IFS(T33&gt;='NILAI CPL'!$B$3,4,T33&gt;='NILAI CPL'!$B$4,3,T33&gt;='NILAI CPL'!$B$5,2,T33&gt;'NILAI CPL'!$B$6,1),0),"")</f>
        <v/>
      </c>
      <c r="AR33" s="2" t="str" cm="1">
        <f t="array" ref="AR33">IF('NILAI CPL'!$B33&lt;&gt;"",IFERROR(_xlfn.IFS(U33&gt;='NILAI CPL'!$B$3,4,U33&gt;='NILAI CPL'!$B$4,3,U33&gt;='NILAI CPL'!$B$5,2,U33&gt;'NILAI CPL'!$B$6,1),0),"")</f>
        <v/>
      </c>
      <c r="AS33" s="2" t="str" cm="1">
        <f t="array" ref="AS33">IF('NILAI CPL'!$B33&lt;&gt;"",IFERROR(_xlfn.IFS(V33&gt;='NILAI CPL'!$B$3,4,V33&gt;='NILAI CPL'!$B$4,3,V33&gt;='NILAI CPL'!$B$5,2,V33&gt;'NILAI CPL'!$B$6,1),0),"")</f>
        <v/>
      </c>
      <c r="AT33" s="2" t="str" cm="1">
        <f t="array" ref="AT33">IF('NILAI CPL'!$B33&lt;&gt;"",IFERROR(_xlfn.IFS(W33&gt;='NILAI CPL'!$B$3,4,W33&gt;='NILAI CPL'!$B$4,3,W33&gt;='NILAI CPL'!$B$5,2,W33&gt;'NILAI CPL'!$B$6,1),0),"")</f>
        <v/>
      </c>
      <c r="AU33" s="2" t="str" cm="1">
        <f t="array" ref="AU33">IF('NILAI CPL'!$B33&lt;&gt;"",IFERROR(_xlfn.IFS(X33&gt;='NILAI CPL'!$B$3,4,X33&gt;='NILAI CPL'!$B$4,3,X33&gt;='NILAI CPL'!$B$5,2,X33&gt;'NILAI CPL'!$B$6,1),0),"")</f>
        <v/>
      </c>
      <c r="AV33" s="2" t="str" cm="1">
        <f t="array" ref="AV33">IF('NILAI CPL'!$B33&lt;&gt;"",IFERROR(_xlfn.IFS(Y33&gt;='NILAI CPL'!$B$3,4,Y33&gt;='NILAI CPL'!$B$4,3,Y33&gt;='NILAI CPL'!$B$5,2,Y33&gt;'NILAI CPL'!$B$6,1),0),"")</f>
        <v/>
      </c>
      <c r="AW33" s="2" t="str" cm="1">
        <f t="array" ref="AW33">IF('NILAI CPL'!$B33&lt;&gt;"",IFERROR(_xlfn.IFS(Z33&gt;='NILAI CPL'!$B$3,4,Z33&gt;='NILAI CPL'!$B$4,3,Z33&gt;='NILAI CPL'!$B$5,2,Z33&gt;'NILAI CPL'!$B$6,1),0),"")</f>
        <v/>
      </c>
      <c r="AX33" s="2" t="str" cm="1">
        <f t="array" ref="AX33">IF('NILAI CPL'!$B33&lt;&gt;"",IFERROR(_xlfn.IFS(AA33&gt;='NILAI CPL'!$B$3,4,AA33&gt;='NILAI CPL'!$B$4,3,AA33&gt;='NILAI CPL'!$B$5,2,AA33&gt;'NILAI CPL'!$B$6,1),0),"")</f>
        <v/>
      </c>
      <c r="AY33" s="2" t="str" cm="1">
        <f t="array" ref="AY33">IF('NILAI CPL'!$B33&lt;&gt;"",IFERROR(_xlfn.IFS(AB33&gt;='NILAI CPL'!$B$3,4,AB33&gt;='NILAI CPL'!$B$4,3,AB33&gt;='NILAI CPL'!$B$5,2,AB33&gt;'NILAI CPL'!$B$6,1),0),"")</f>
        <v/>
      </c>
      <c r="AZ33" s="2" t="str" cm="1">
        <f t="array" ref="AZ33">IF('NILAI CPL'!$B33&lt;&gt;"",IFERROR(_xlfn.IFS(AC33&gt;='NILAI CPL'!$B$3,4,AC33&gt;='NILAI CPL'!$B$4,3,AC33&gt;='NILAI CPL'!$B$5,2,AC33&gt;'NILAI CPL'!$B$6,1),0),"")</f>
        <v/>
      </c>
      <c r="BA33" s="2" t="str" cm="1">
        <f t="array" ref="BA33">IF('NILAI CPL'!$B33&lt;&gt;"",IFERROR(_xlfn.IFS(AD33&gt;='NILAI CPL'!$B$3,4,AD33&gt;='NILAI CPL'!$B$4,3,AD33&gt;='NILAI CPL'!$B$5,2,AD33&gt;'NILAI CPL'!$B$6,1),0),"")</f>
        <v/>
      </c>
      <c r="BB33" s="2" t="str" cm="1">
        <f t="array" ref="BB33">IF('NILAI CPL'!$B33&lt;&gt;"",IFERROR(_xlfn.IFS(AE33&gt;='NILAI CPL'!$B$3,4,AE33&gt;='NILAI CPL'!$B$4,3,AE33&gt;='NILAI CPL'!$B$5,2,AE33&gt;'NILAI CPL'!$B$6,1),0),"")</f>
        <v/>
      </c>
      <c r="BC33" s="2" t="str" cm="1">
        <f t="array" ref="BC33">IF('NILAI CPL'!$B33&lt;&gt;"",IFERROR(_xlfn.IFS(AF33&gt;='NILAI CPL'!$B$3,4,AF33&gt;='NILAI CPL'!$B$4,3,AF33&gt;='NILAI CPL'!$B$5,2,AF33&gt;'NILAI CPL'!$B$6,1),0),"")</f>
        <v/>
      </c>
      <c r="BD33" s="2" t="str" cm="1">
        <f t="array" ref="BD33">IF('NILAI CPL'!$B33&lt;&gt;"",IFERROR(_xlfn.IFS(AG33&gt;='NILAI CPL'!$B$3,4,AG33&gt;='NILAI CPL'!$B$4,3,AG33&gt;='NILAI CPL'!$B$5,2,AG33&gt;'NILAI CPL'!$B$6,1),0),"")</f>
        <v/>
      </c>
      <c r="BE33" s="2" t="str" cm="1">
        <f t="array" ref="BE33">IF('NILAI CPL'!$B33&lt;&gt;"",IFERROR(_xlfn.IFS(AH33&gt;='NILAI CPL'!$B$3,4,AH33&gt;='NILAI CPL'!$B$4,3,AH33&gt;='NILAI CPL'!$B$5,2,AH33&gt;'NILAI CPL'!$B$6,1),0),"")</f>
        <v/>
      </c>
      <c r="BF33" s="2" t="str" cm="1">
        <f t="array" ref="BF33">IF('NILAI CPL'!$B33&lt;&gt;"",IFERROR(_xlfn.IFS(AI33&gt;='NILAI CPL'!$B$3,4,AI33&gt;='NILAI CPL'!$B$4,3,AI33&gt;='NILAI CPL'!$B$5,2,AI33&gt;'NILAI CPL'!$B$6,1),0),"")</f>
        <v/>
      </c>
      <c r="BG33" s="2" t="str" cm="1">
        <f t="array" ref="BG33">IF('NILAI CPL'!$B33&lt;&gt;"",IFERROR(_xlfn.IFS(AJ33&gt;='NILAI CPL'!$B$3,4,AJ33&gt;='NILAI CPL'!$B$4,3,AJ33&gt;='NILAI CPL'!$B$5,2,AJ33&gt;'NILAI CPL'!$B$6,1),0),"")</f>
        <v/>
      </c>
      <c r="BH33" s="2" t="str" cm="1">
        <f t="array" ref="BH33">IF('NILAI CPL'!$B33&lt;&gt;"",IFERROR(_xlfn.IFS(AK33&gt;='NILAI CPL'!$B$3,4,AK33&gt;='NILAI CPL'!$B$4,3,AK33&gt;='NILAI CPL'!$B$5,2,AK33&gt;'NILAI CPL'!$B$6,1),0),"")</f>
        <v/>
      </c>
      <c r="BI33" s="2" t="str" cm="1">
        <f t="array" ref="BI33">IF('NILAI CPL'!$B33&lt;&gt;"",IFERROR(_xlfn.IFS(AL33&gt;='NILAI CPL'!$B$3,4,AL33&gt;='NILAI CPL'!$B$4,3,AL33&gt;='NILAI CPL'!$B$5,2,AL33&gt;'NILAI CPL'!$B$6,1),0),"")</f>
        <v/>
      </c>
      <c r="BJ33" s="2" t="str" cm="1">
        <f t="array" ref="BJ33">IF('NILAI CPL'!$B33&lt;&gt;"",IFERROR(_xlfn.IFS(AM33&gt;='NILAI CPL'!$B$3,4,AM33&gt;='NILAI CPL'!$B$4,3,AM33&gt;='NILAI CPL'!$B$5,2,AM33&gt;'NILAI CPL'!$B$6,1),0),"")</f>
        <v/>
      </c>
      <c r="BK33" s="2" t="str" cm="1">
        <f t="array" ref="BK33">IF('NILAI CPL'!$B33&lt;&gt;"",IFERROR(_xlfn.IFS(AN33&gt;='NILAI CPL'!$B$3,4,AN33&gt;='NILAI CPL'!$B$4,3,AN33&gt;='NILAI CPL'!$B$5,2,AN33&gt;'NILAI CPL'!$B$6,1),0),"")</f>
        <v/>
      </c>
    </row>
    <row r="34" spans="1:63" x14ac:dyDescent="0.2">
      <c r="A34" s="2">
        <v>24</v>
      </c>
      <c r="B34" s="2" t="str">
        <f>IF(LEN(SUMMARY!B34)&gt;0, SUMMARY!B34, "")</f>
        <v/>
      </c>
      <c r="C34" s="2" t="str">
        <f>IF(LEN(SUMMARY!C34)&gt;0, SUMMARY!C34, "")</f>
        <v/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" t="str">
        <f t="shared" si="24"/>
        <v/>
      </c>
      <c r="S34" s="2" t="str">
        <f t="shared" si="2"/>
        <v/>
      </c>
      <c r="T34" s="2" t="str">
        <f t="shared" si="3"/>
        <v/>
      </c>
      <c r="U34" s="2" t="str">
        <f t="shared" si="4"/>
        <v/>
      </c>
      <c r="V34" s="2" t="str">
        <f t="shared" si="5"/>
        <v/>
      </c>
      <c r="W34" s="2" t="str">
        <f t="shared" si="6"/>
        <v/>
      </c>
      <c r="X34" s="2" t="str">
        <f t="shared" si="7"/>
        <v/>
      </c>
      <c r="Y34" s="2" t="str">
        <f t="shared" si="8"/>
        <v/>
      </c>
      <c r="Z34" s="2" t="str">
        <f t="shared" si="9"/>
        <v/>
      </c>
      <c r="AA34" s="2" t="str">
        <f t="shared" si="10"/>
        <v/>
      </c>
      <c r="AB34" s="2" t="str">
        <f t="shared" si="11"/>
        <v/>
      </c>
      <c r="AC34" s="2" t="str">
        <f t="shared" si="12"/>
        <v/>
      </c>
      <c r="AD34" s="2" t="str">
        <f t="shared" si="13"/>
        <v/>
      </c>
      <c r="AE34" s="2" t="str">
        <f t="shared" si="14"/>
        <v/>
      </c>
      <c r="AF34" s="2" t="str">
        <f t="shared" si="15"/>
        <v/>
      </c>
      <c r="AG34" s="2" t="str">
        <f t="shared" si="16"/>
        <v/>
      </c>
      <c r="AH34" s="2" t="str">
        <f t="shared" si="17"/>
        <v/>
      </c>
      <c r="AI34" s="2" t="str">
        <f t="shared" si="18"/>
        <v/>
      </c>
      <c r="AJ34" s="2" t="str">
        <f t="shared" si="19"/>
        <v/>
      </c>
      <c r="AK34" s="2" t="str">
        <f t="shared" si="20"/>
        <v/>
      </c>
      <c r="AL34" s="2" t="str">
        <f t="shared" si="21"/>
        <v/>
      </c>
      <c r="AM34" s="2" t="str">
        <f t="shared" si="22"/>
        <v/>
      </c>
      <c r="AN34" s="2" t="str">
        <f t="shared" si="23"/>
        <v/>
      </c>
      <c r="AP34" s="2" t="str" cm="1">
        <f t="array" ref="AP34">IF('NILAI CPL'!$B34&lt;&gt;"",IFERROR(_xlfn.IFS(S34&gt;='NILAI CPL'!$B$3,4,S34&gt;='NILAI CPL'!$B$4,3,S34&gt;='NILAI CPL'!$B$5,2,S34&gt;'NILAI CPL'!$B$6,1),0),"")</f>
        <v/>
      </c>
      <c r="AQ34" s="2" t="str" cm="1">
        <f t="array" ref="AQ34">IF('NILAI CPL'!$B34&lt;&gt;"",IFERROR(_xlfn.IFS(T34&gt;='NILAI CPL'!$B$3,4,T34&gt;='NILAI CPL'!$B$4,3,T34&gt;='NILAI CPL'!$B$5,2,T34&gt;'NILAI CPL'!$B$6,1),0),"")</f>
        <v/>
      </c>
      <c r="AR34" s="2" t="str" cm="1">
        <f t="array" ref="AR34">IF('NILAI CPL'!$B34&lt;&gt;"",IFERROR(_xlfn.IFS(U34&gt;='NILAI CPL'!$B$3,4,U34&gt;='NILAI CPL'!$B$4,3,U34&gt;='NILAI CPL'!$B$5,2,U34&gt;'NILAI CPL'!$B$6,1),0),"")</f>
        <v/>
      </c>
      <c r="AS34" s="2" t="str" cm="1">
        <f t="array" ref="AS34">IF('NILAI CPL'!$B34&lt;&gt;"",IFERROR(_xlfn.IFS(V34&gt;='NILAI CPL'!$B$3,4,V34&gt;='NILAI CPL'!$B$4,3,V34&gt;='NILAI CPL'!$B$5,2,V34&gt;'NILAI CPL'!$B$6,1),0),"")</f>
        <v/>
      </c>
      <c r="AT34" s="2" t="str" cm="1">
        <f t="array" ref="AT34">IF('NILAI CPL'!$B34&lt;&gt;"",IFERROR(_xlfn.IFS(W34&gt;='NILAI CPL'!$B$3,4,W34&gt;='NILAI CPL'!$B$4,3,W34&gt;='NILAI CPL'!$B$5,2,W34&gt;'NILAI CPL'!$B$6,1),0),"")</f>
        <v/>
      </c>
      <c r="AU34" s="2" t="str" cm="1">
        <f t="array" ref="AU34">IF('NILAI CPL'!$B34&lt;&gt;"",IFERROR(_xlfn.IFS(X34&gt;='NILAI CPL'!$B$3,4,X34&gt;='NILAI CPL'!$B$4,3,X34&gt;='NILAI CPL'!$B$5,2,X34&gt;'NILAI CPL'!$B$6,1),0),"")</f>
        <v/>
      </c>
      <c r="AV34" s="2" t="str" cm="1">
        <f t="array" ref="AV34">IF('NILAI CPL'!$B34&lt;&gt;"",IFERROR(_xlfn.IFS(Y34&gt;='NILAI CPL'!$B$3,4,Y34&gt;='NILAI CPL'!$B$4,3,Y34&gt;='NILAI CPL'!$B$5,2,Y34&gt;'NILAI CPL'!$B$6,1),0),"")</f>
        <v/>
      </c>
      <c r="AW34" s="2" t="str" cm="1">
        <f t="array" ref="AW34">IF('NILAI CPL'!$B34&lt;&gt;"",IFERROR(_xlfn.IFS(Z34&gt;='NILAI CPL'!$B$3,4,Z34&gt;='NILAI CPL'!$B$4,3,Z34&gt;='NILAI CPL'!$B$5,2,Z34&gt;'NILAI CPL'!$B$6,1),0),"")</f>
        <v/>
      </c>
      <c r="AX34" s="2" t="str" cm="1">
        <f t="array" ref="AX34">IF('NILAI CPL'!$B34&lt;&gt;"",IFERROR(_xlfn.IFS(AA34&gt;='NILAI CPL'!$B$3,4,AA34&gt;='NILAI CPL'!$B$4,3,AA34&gt;='NILAI CPL'!$B$5,2,AA34&gt;'NILAI CPL'!$B$6,1),0),"")</f>
        <v/>
      </c>
      <c r="AY34" s="2" t="str" cm="1">
        <f t="array" ref="AY34">IF('NILAI CPL'!$B34&lt;&gt;"",IFERROR(_xlfn.IFS(AB34&gt;='NILAI CPL'!$B$3,4,AB34&gt;='NILAI CPL'!$B$4,3,AB34&gt;='NILAI CPL'!$B$5,2,AB34&gt;'NILAI CPL'!$B$6,1),0),"")</f>
        <v/>
      </c>
      <c r="AZ34" s="2" t="str" cm="1">
        <f t="array" ref="AZ34">IF('NILAI CPL'!$B34&lt;&gt;"",IFERROR(_xlfn.IFS(AC34&gt;='NILAI CPL'!$B$3,4,AC34&gt;='NILAI CPL'!$B$4,3,AC34&gt;='NILAI CPL'!$B$5,2,AC34&gt;'NILAI CPL'!$B$6,1),0),"")</f>
        <v/>
      </c>
      <c r="BA34" s="2" t="str" cm="1">
        <f t="array" ref="BA34">IF('NILAI CPL'!$B34&lt;&gt;"",IFERROR(_xlfn.IFS(AD34&gt;='NILAI CPL'!$B$3,4,AD34&gt;='NILAI CPL'!$B$4,3,AD34&gt;='NILAI CPL'!$B$5,2,AD34&gt;'NILAI CPL'!$B$6,1),0),"")</f>
        <v/>
      </c>
      <c r="BB34" s="2" t="str" cm="1">
        <f t="array" ref="BB34">IF('NILAI CPL'!$B34&lt;&gt;"",IFERROR(_xlfn.IFS(AE34&gt;='NILAI CPL'!$B$3,4,AE34&gt;='NILAI CPL'!$B$4,3,AE34&gt;='NILAI CPL'!$B$5,2,AE34&gt;'NILAI CPL'!$B$6,1),0),"")</f>
        <v/>
      </c>
      <c r="BC34" s="2" t="str" cm="1">
        <f t="array" ref="BC34">IF('NILAI CPL'!$B34&lt;&gt;"",IFERROR(_xlfn.IFS(AF34&gt;='NILAI CPL'!$B$3,4,AF34&gt;='NILAI CPL'!$B$4,3,AF34&gt;='NILAI CPL'!$B$5,2,AF34&gt;'NILAI CPL'!$B$6,1),0),"")</f>
        <v/>
      </c>
      <c r="BD34" s="2" t="str" cm="1">
        <f t="array" ref="BD34">IF('NILAI CPL'!$B34&lt;&gt;"",IFERROR(_xlfn.IFS(AG34&gt;='NILAI CPL'!$B$3,4,AG34&gt;='NILAI CPL'!$B$4,3,AG34&gt;='NILAI CPL'!$B$5,2,AG34&gt;'NILAI CPL'!$B$6,1),0),"")</f>
        <v/>
      </c>
      <c r="BE34" s="2" t="str" cm="1">
        <f t="array" ref="BE34">IF('NILAI CPL'!$B34&lt;&gt;"",IFERROR(_xlfn.IFS(AH34&gt;='NILAI CPL'!$B$3,4,AH34&gt;='NILAI CPL'!$B$4,3,AH34&gt;='NILAI CPL'!$B$5,2,AH34&gt;'NILAI CPL'!$B$6,1),0),"")</f>
        <v/>
      </c>
      <c r="BF34" s="2" t="str" cm="1">
        <f t="array" ref="BF34">IF('NILAI CPL'!$B34&lt;&gt;"",IFERROR(_xlfn.IFS(AI34&gt;='NILAI CPL'!$B$3,4,AI34&gt;='NILAI CPL'!$B$4,3,AI34&gt;='NILAI CPL'!$B$5,2,AI34&gt;'NILAI CPL'!$B$6,1),0),"")</f>
        <v/>
      </c>
      <c r="BG34" s="2" t="str" cm="1">
        <f t="array" ref="BG34">IF('NILAI CPL'!$B34&lt;&gt;"",IFERROR(_xlfn.IFS(AJ34&gt;='NILAI CPL'!$B$3,4,AJ34&gt;='NILAI CPL'!$B$4,3,AJ34&gt;='NILAI CPL'!$B$5,2,AJ34&gt;'NILAI CPL'!$B$6,1),0),"")</f>
        <v/>
      </c>
      <c r="BH34" s="2" t="str" cm="1">
        <f t="array" ref="BH34">IF('NILAI CPL'!$B34&lt;&gt;"",IFERROR(_xlfn.IFS(AK34&gt;='NILAI CPL'!$B$3,4,AK34&gt;='NILAI CPL'!$B$4,3,AK34&gt;='NILAI CPL'!$B$5,2,AK34&gt;'NILAI CPL'!$B$6,1),0),"")</f>
        <v/>
      </c>
      <c r="BI34" s="2" t="str" cm="1">
        <f t="array" ref="BI34">IF('NILAI CPL'!$B34&lt;&gt;"",IFERROR(_xlfn.IFS(AL34&gt;='NILAI CPL'!$B$3,4,AL34&gt;='NILAI CPL'!$B$4,3,AL34&gt;='NILAI CPL'!$B$5,2,AL34&gt;'NILAI CPL'!$B$6,1),0),"")</f>
        <v/>
      </c>
      <c r="BJ34" s="2" t="str" cm="1">
        <f t="array" ref="BJ34">IF('NILAI CPL'!$B34&lt;&gt;"",IFERROR(_xlfn.IFS(AM34&gt;='NILAI CPL'!$B$3,4,AM34&gt;='NILAI CPL'!$B$4,3,AM34&gt;='NILAI CPL'!$B$5,2,AM34&gt;'NILAI CPL'!$B$6,1),0),"")</f>
        <v/>
      </c>
      <c r="BK34" s="2" t="str" cm="1">
        <f t="array" ref="BK34">IF('NILAI CPL'!$B34&lt;&gt;"",IFERROR(_xlfn.IFS(AN34&gt;='NILAI CPL'!$B$3,4,AN34&gt;='NILAI CPL'!$B$4,3,AN34&gt;='NILAI CPL'!$B$5,2,AN34&gt;'NILAI CPL'!$B$6,1),0),"")</f>
        <v/>
      </c>
    </row>
    <row r="35" spans="1:63" x14ac:dyDescent="0.2">
      <c r="A35" s="2">
        <v>25</v>
      </c>
      <c r="B35" s="2" t="str">
        <f>IF(LEN(SUMMARY!B35)&gt;0, SUMMARY!B35, "")</f>
        <v/>
      </c>
      <c r="C35" s="2" t="str">
        <f>IF(LEN(SUMMARY!C35)&gt;0, SUMMARY!C35, "")</f>
        <v/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" t="str">
        <f t="shared" si="24"/>
        <v/>
      </c>
      <c r="S35" s="2" t="str">
        <f t="shared" si="2"/>
        <v/>
      </c>
      <c r="T35" s="2" t="str">
        <f t="shared" si="3"/>
        <v/>
      </c>
      <c r="U35" s="2" t="str">
        <f t="shared" si="4"/>
        <v/>
      </c>
      <c r="V35" s="2" t="str">
        <f t="shared" si="5"/>
        <v/>
      </c>
      <c r="W35" s="2" t="str">
        <f t="shared" si="6"/>
        <v/>
      </c>
      <c r="X35" s="2" t="str">
        <f t="shared" si="7"/>
        <v/>
      </c>
      <c r="Y35" s="2" t="str">
        <f t="shared" si="8"/>
        <v/>
      </c>
      <c r="Z35" s="2" t="str">
        <f t="shared" si="9"/>
        <v/>
      </c>
      <c r="AA35" s="2" t="str">
        <f t="shared" si="10"/>
        <v/>
      </c>
      <c r="AB35" s="2" t="str">
        <f t="shared" si="11"/>
        <v/>
      </c>
      <c r="AC35" s="2" t="str">
        <f t="shared" si="12"/>
        <v/>
      </c>
      <c r="AD35" s="2" t="str">
        <f t="shared" si="13"/>
        <v/>
      </c>
      <c r="AE35" s="2" t="str">
        <f t="shared" si="14"/>
        <v/>
      </c>
      <c r="AF35" s="2" t="str">
        <f t="shared" si="15"/>
        <v/>
      </c>
      <c r="AG35" s="2" t="str">
        <f t="shared" si="16"/>
        <v/>
      </c>
      <c r="AH35" s="2" t="str">
        <f t="shared" si="17"/>
        <v/>
      </c>
      <c r="AI35" s="2" t="str">
        <f t="shared" si="18"/>
        <v/>
      </c>
      <c r="AJ35" s="2" t="str">
        <f t="shared" si="19"/>
        <v/>
      </c>
      <c r="AK35" s="2" t="str">
        <f t="shared" si="20"/>
        <v/>
      </c>
      <c r="AL35" s="2" t="str">
        <f t="shared" si="21"/>
        <v/>
      </c>
      <c r="AM35" s="2" t="str">
        <f t="shared" si="22"/>
        <v/>
      </c>
      <c r="AN35" s="2" t="str">
        <f t="shared" si="23"/>
        <v/>
      </c>
      <c r="AP35" s="2" t="str" cm="1">
        <f t="array" ref="AP35">IF('NILAI CPL'!$B35&lt;&gt;"",IFERROR(_xlfn.IFS(S35&gt;='NILAI CPL'!$B$3,4,S35&gt;='NILAI CPL'!$B$4,3,S35&gt;='NILAI CPL'!$B$5,2,S35&gt;'NILAI CPL'!$B$6,1),0),"")</f>
        <v/>
      </c>
      <c r="AQ35" s="2" t="str" cm="1">
        <f t="array" ref="AQ35">IF('NILAI CPL'!$B35&lt;&gt;"",IFERROR(_xlfn.IFS(T35&gt;='NILAI CPL'!$B$3,4,T35&gt;='NILAI CPL'!$B$4,3,T35&gt;='NILAI CPL'!$B$5,2,T35&gt;'NILAI CPL'!$B$6,1),0),"")</f>
        <v/>
      </c>
      <c r="AR35" s="2" t="str" cm="1">
        <f t="array" ref="AR35">IF('NILAI CPL'!$B35&lt;&gt;"",IFERROR(_xlfn.IFS(U35&gt;='NILAI CPL'!$B$3,4,U35&gt;='NILAI CPL'!$B$4,3,U35&gt;='NILAI CPL'!$B$5,2,U35&gt;'NILAI CPL'!$B$6,1),0),"")</f>
        <v/>
      </c>
      <c r="AS35" s="2" t="str" cm="1">
        <f t="array" ref="AS35">IF('NILAI CPL'!$B35&lt;&gt;"",IFERROR(_xlfn.IFS(V35&gt;='NILAI CPL'!$B$3,4,V35&gt;='NILAI CPL'!$B$4,3,V35&gt;='NILAI CPL'!$B$5,2,V35&gt;'NILAI CPL'!$B$6,1),0),"")</f>
        <v/>
      </c>
      <c r="AT35" s="2" t="str" cm="1">
        <f t="array" ref="AT35">IF('NILAI CPL'!$B35&lt;&gt;"",IFERROR(_xlfn.IFS(W35&gt;='NILAI CPL'!$B$3,4,W35&gt;='NILAI CPL'!$B$4,3,W35&gt;='NILAI CPL'!$B$5,2,W35&gt;'NILAI CPL'!$B$6,1),0),"")</f>
        <v/>
      </c>
      <c r="AU35" s="2" t="str" cm="1">
        <f t="array" ref="AU35">IF('NILAI CPL'!$B35&lt;&gt;"",IFERROR(_xlfn.IFS(X35&gt;='NILAI CPL'!$B$3,4,X35&gt;='NILAI CPL'!$B$4,3,X35&gt;='NILAI CPL'!$B$5,2,X35&gt;'NILAI CPL'!$B$6,1),0),"")</f>
        <v/>
      </c>
      <c r="AV35" s="2" t="str" cm="1">
        <f t="array" ref="AV35">IF('NILAI CPL'!$B35&lt;&gt;"",IFERROR(_xlfn.IFS(Y35&gt;='NILAI CPL'!$B$3,4,Y35&gt;='NILAI CPL'!$B$4,3,Y35&gt;='NILAI CPL'!$B$5,2,Y35&gt;'NILAI CPL'!$B$6,1),0),"")</f>
        <v/>
      </c>
      <c r="AW35" s="2" t="str" cm="1">
        <f t="array" ref="AW35">IF('NILAI CPL'!$B35&lt;&gt;"",IFERROR(_xlfn.IFS(Z35&gt;='NILAI CPL'!$B$3,4,Z35&gt;='NILAI CPL'!$B$4,3,Z35&gt;='NILAI CPL'!$B$5,2,Z35&gt;'NILAI CPL'!$B$6,1),0),"")</f>
        <v/>
      </c>
      <c r="AX35" s="2" t="str" cm="1">
        <f t="array" ref="AX35">IF('NILAI CPL'!$B35&lt;&gt;"",IFERROR(_xlfn.IFS(AA35&gt;='NILAI CPL'!$B$3,4,AA35&gt;='NILAI CPL'!$B$4,3,AA35&gt;='NILAI CPL'!$B$5,2,AA35&gt;'NILAI CPL'!$B$6,1),0),"")</f>
        <v/>
      </c>
      <c r="AY35" s="2" t="str" cm="1">
        <f t="array" ref="AY35">IF('NILAI CPL'!$B35&lt;&gt;"",IFERROR(_xlfn.IFS(AB35&gt;='NILAI CPL'!$B$3,4,AB35&gt;='NILAI CPL'!$B$4,3,AB35&gt;='NILAI CPL'!$B$5,2,AB35&gt;'NILAI CPL'!$B$6,1),0),"")</f>
        <v/>
      </c>
      <c r="AZ35" s="2" t="str" cm="1">
        <f t="array" ref="AZ35">IF('NILAI CPL'!$B35&lt;&gt;"",IFERROR(_xlfn.IFS(AC35&gt;='NILAI CPL'!$B$3,4,AC35&gt;='NILAI CPL'!$B$4,3,AC35&gt;='NILAI CPL'!$B$5,2,AC35&gt;'NILAI CPL'!$B$6,1),0),"")</f>
        <v/>
      </c>
      <c r="BA35" s="2" t="str" cm="1">
        <f t="array" ref="BA35">IF('NILAI CPL'!$B35&lt;&gt;"",IFERROR(_xlfn.IFS(AD35&gt;='NILAI CPL'!$B$3,4,AD35&gt;='NILAI CPL'!$B$4,3,AD35&gt;='NILAI CPL'!$B$5,2,AD35&gt;'NILAI CPL'!$B$6,1),0),"")</f>
        <v/>
      </c>
      <c r="BB35" s="2" t="str" cm="1">
        <f t="array" ref="BB35">IF('NILAI CPL'!$B35&lt;&gt;"",IFERROR(_xlfn.IFS(AE35&gt;='NILAI CPL'!$B$3,4,AE35&gt;='NILAI CPL'!$B$4,3,AE35&gt;='NILAI CPL'!$B$5,2,AE35&gt;'NILAI CPL'!$B$6,1),0),"")</f>
        <v/>
      </c>
      <c r="BC35" s="2" t="str" cm="1">
        <f t="array" ref="BC35">IF('NILAI CPL'!$B35&lt;&gt;"",IFERROR(_xlfn.IFS(AF35&gt;='NILAI CPL'!$B$3,4,AF35&gt;='NILAI CPL'!$B$4,3,AF35&gt;='NILAI CPL'!$B$5,2,AF35&gt;'NILAI CPL'!$B$6,1),0),"")</f>
        <v/>
      </c>
      <c r="BD35" s="2" t="str" cm="1">
        <f t="array" ref="BD35">IF('NILAI CPL'!$B35&lt;&gt;"",IFERROR(_xlfn.IFS(AG35&gt;='NILAI CPL'!$B$3,4,AG35&gt;='NILAI CPL'!$B$4,3,AG35&gt;='NILAI CPL'!$B$5,2,AG35&gt;'NILAI CPL'!$B$6,1),0),"")</f>
        <v/>
      </c>
      <c r="BE35" s="2" t="str" cm="1">
        <f t="array" ref="BE35">IF('NILAI CPL'!$B35&lt;&gt;"",IFERROR(_xlfn.IFS(AH35&gt;='NILAI CPL'!$B$3,4,AH35&gt;='NILAI CPL'!$B$4,3,AH35&gt;='NILAI CPL'!$B$5,2,AH35&gt;'NILAI CPL'!$B$6,1),0),"")</f>
        <v/>
      </c>
      <c r="BF35" s="2" t="str" cm="1">
        <f t="array" ref="BF35">IF('NILAI CPL'!$B35&lt;&gt;"",IFERROR(_xlfn.IFS(AI35&gt;='NILAI CPL'!$B$3,4,AI35&gt;='NILAI CPL'!$B$4,3,AI35&gt;='NILAI CPL'!$B$5,2,AI35&gt;'NILAI CPL'!$B$6,1),0),"")</f>
        <v/>
      </c>
      <c r="BG35" s="2" t="str" cm="1">
        <f t="array" ref="BG35">IF('NILAI CPL'!$B35&lt;&gt;"",IFERROR(_xlfn.IFS(AJ35&gt;='NILAI CPL'!$B$3,4,AJ35&gt;='NILAI CPL'!$B$4,3,AJ35&gt;='NILAI CPL'!$B$5,2,AJ35&gt;'NILAI CPL'!$B$6,1),0),"")</f>
        <v/>
      </c>
      <c r="BH35" s="2" t="str" cm="1">
        <f t="array" ref="BH35">IF('NILAI CPL'!$B35&lt;&gt;"",IFERROR(_xlfn.IFS(AK35&gt;='NILAI CPL'!$B$3,4,AK35&gt;='NILAI CPL'!$B$4,3,AK35&gt;='NILAI CPL'!$B$5,2,AK35&gt;'NILAI CPL'!$B$6,1),0),"")</f>
        <v/>
      </c>
      <c r="BI35" s="2" t="str" cm="1">
        <f t="array" ref="BI35">IF('NILAI CPL'!$B35&lt;&gt;"",IFERROR(_xlfn.IFS(AL35&gt;='NILAI CPL'!$B$3,4,AL35&gt;='NILAI CPL'!$B$4,3,AL35&gt;='NILAI CPL'!$B$5,2,AL35&gt;'NILAI CPL'!$B$6,1),0),"")</f>
        <v/>
      </c>
      <c r="BJ35" s="2" t="str" cm="1">
        <f t="array" ref="BJ35">IF('NILAI CPL'!$B35&lt;&gt;"",IFERROR(_xlfn.IFS(AM35&gt;='NILAI CPL'!$B$3,4,AM35&gt;='NILAI CPL'!$B$4,3,AM35&gt;='NILAI CPL'!$B$5,2,AM35&gt;'NILAI CPL'!$B$6,1),0),"")</f>
        <v/>
      </c>
      <c r="BK35" s="2" t="str" cm="1">
        <f t="array" ref="BK35">IF('NILAI CPL'!$B35&lt;&gt;"",IFERROR(_xlfn.IFS(AN35&gt;='NILAI CPL'!$B$3,4,AN35&gt;='NILAI CPL'!$B$4,3,AN35&gt;='NILAI CPL'!$B$5,2,AN35&gt;'NILAI CPL'!$B$6,1),0),"")</f>
        <v/>
      </c>
    </row>
    <row r="36" spans="1:63" x14ac:dyDescent="0.2">
      <c r="A36" s="2">
        <v>26</v>
      </c>
      <c r="B36" s="2" t="str">
        <f>IF(LEN(SUMMARY!B36)&gt;0, SUMMARY!B36, "")</f>
        <v/>
      </c>
      <c r="C36" s="2" t="str">
        <f>IF(LEN(SUMMARY!C36)&gt;0, SUMMARY!C36, "")</f>
        <v/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" t="str">
        <f t="shared" si="24"/>
        <v/>
      </c>
      <c r="S36" s="2" t="str">
        <f t="shared" si="2"/>
        <v/>
      </c>
      <c r="T36" s="2" t="str">
        <f t="shared" si="3"/>
        <v/>
      </c>
      <c r="U36" s="2" t="str">
        <f t="shared" si="4"/>
        <v/>
      </c>
      <c r="V36" s="2" t="str">
        <f t="shared" si="5"/>
        <v/>
      </c>
      <c r="W36" s="2" t="str">
        <f t="shared" si="6"/>
        <v/>
      </c>
      <c r="X36" s="2" t="str">
        <f t="shared" si="7"/>
        <v/>
      </c>
      <c r="Y36" s="2" t="str">
        <f t="shared" si="8"/>
        <v/>
      </c>
      <c r="Z36" s="2" t="str">
        <f t="shared" si="9"/>
        <v/>
      </c>
      <c r="AA36" s="2" t="str">
        <f t="shared" si="10"/>
        <v/>
      </c>
      <c r="AB36" s="2" t="str">
        <f t="shared" si="11"/>
        <v/>
      </c>
      <c r="AC36" s="2" t="str">
        <f t="shared" si="12"/>
        <v/>
      </c>
      <c r="AD36" s="2" t="str">
        <f t="shared" si="13"/>
        <v/>
      </c>
      <c r="AE36" s="2" t="str">
        <f t="shared" si="14"/>
        <v/>
      </c>
      <c r="AF36" s="2" t="str">
        <f t="shared" si="15"/>
        <v/>
      </c>
      <c r="AG36" s="2" t="str">
        <f t="shared" si="16"/>
        <v/>
      </c>
      <c r="AH36" s="2" t="str">
        <f t="shared" si="17"/>
        <v/>
      </c>
      <c r="AI36" s="2" t="str">
        <f t="shared" si="18"/>
        <v/>
      </c>
      <c r="AJ36" s="2" t="str">
        <f t="shared" si="19"/>
        <v/>
      </c>
      <c r="AK36" s="2" t="str">
        <f t="shared" si="20"/>
        <v/>
      </c>
      <c r="AL36" s="2" t="str">
        <f t="shared" si="21"/>
        <v/>
      </c>
      <c r="AM36" s="2" t="str">
        <f t="shared" si="22"/>
        <v/>
      </c>
      <c r="AN36" s="2" t="str">
        <f t="shared" si="23"/>
        <v/>
      </c>
      <c r="AP36" s="2" t="str" cm="1">
        <f t="array" ref="AP36">IF('NILAI CPL'!$B36&lt;&gt;"",IFERROR(_xlfn.IFS(S36&gt;='NILAI CPL'!$B$3,4,S36&gt;='NILAI CPL'!$B$4,3,S36&gt;='NILAI CPL'!$B$5,2,S36&gt;'NILAI CPL'!$B$6,1),0),"")</f>
        <v/>
      </c>
      <c r="AQ36" s="2" t="str" cm="1">
        <f t="array" ref="AQ36">IF('NILAI CPL'!$B36&lt;&gt;"",IFERROR(_xlfn.IFS(T36&gt;='NILAI CPL'!$B$3,4,T36&gt;='NILAI CPL'!$B$4,3,T36&gt;='NILAI CPL'!$B$5,2,T36&gt;'NILAI CPL'!$B$6,1),0),"")</f>
        <v/>
      </c>
      <c r="AR36" s="2" t="str" cm="1">
        <f t="array" ref="AR36">IF('NILAI CPL'!$B36&lt;&gt;"",IFERROR(_xlfn.IFS(U36&gt;='NILAI CPL'!$B$3,4,U36&gt;='NILAI CPL'!$B$4,3,U36&gt;='NILAI CPL'!$B$5,2,U36&gt;'NILAI CPL'!$B$6,1),0),"")</f>
        <v/>
      </c>
      <c r="AS36" s="2" t="str" cm="1">
        <f t="array" ref="AS36">IF('NILAI CPL'!$B36&lt;&gt;"",IFERROR(_xlfn.IFS(V36&gt;='NILAI CPL'!$B$3,4,V36&gt;='NILAI CPL'!$B$4,3,V36&gt;='NILAI CPL'!$B$5,2,V36&gt;'NILAI CPL'!$B$6,1),0),"")</f>
        <v/>
      </c>
      <c r="AT36" s="2" t="str" cm="1">
        <f t="array" ref="AT36">IF('NILAI CPL'!$B36&lt;&gt;"",IFERROR(_xlfn.IFS(W36&gt;='NILAI CPL'!$B$3,4,W36&gt;='NILAI CPL'!$B$4,3,W36&gt;='NILAI CPL'!$B$5,2,W36&gt;'NILAI CPL'!$B$6,1),0),"")</f>
        <v/>
      </c>
      <c r="AU36" s="2" t="str" cm="1">
        <f t="array" ref="AU36">IF('NILAI CPL'!$B36&lt;&gt;"",IFERROR(_xlfn.IFS(X36&gt;='NILAI CPL'!$B$3,4,X36&gt;='NILAI CPL'!$B$4,3,X36&gt;='NILAI CPL'!$B$5,2,X36&gt;'NILAI CPL'!$B$6,1),0),"")</f>
        <v/>
      </c>
      <c r="AV36" s="2" t="str" cm="1">
        <f t="array" ref="AV36">IF('NILAI CPL'!$B36&lt;&gt;"",IFERROR(_xlfn.IFS(Y36&gt;='NILAI CPL'!$B$3,4,Y36&gt;='NILAI CPL'!$B$4,3,Y36&gt;='NILAI CPL'!$B$5,2,Y36&gt;'NILAI CPL'!$B$6,1),0),"")</f>
        <v/>
      </c>
      <c r="AW36" s="2" t="str" cm="1">
        <f t="array" ref="AW36">IF('NILAI CPL'!$B36&lt;&gt;"",IFERROR(_xlfn.IFS(Z36&gt;='NILAI CPL'!$B$3,4,Z36&gt;='NILAI CPL'!$B$4,3,Z36&gt;='NILAI CPL'!$B$5,2,Z36&gt;'NILAI CPL'!$B$6,1),0),"")</f>
        <v/>
      </c>
      <c r="AX36" s="2" t="str" cm="1">
        <f t="array" ref="AX36">IF('NILAI CPL'!$B36&lt;&gt;"",IFERROR(_xlfn.IFS(AA36&gt;='NILAI CPL'!$B$3,4,AA36&gt;='NILAI CPL'!$B$4,3,AA36&gt;='NILAI CPL'!$B$5,2,AA36&gt;'NILAI CPL'!$B$6,1),0),"")</f>
        <v/>
      </c>
      <c r="AY36" s="2" t="str" cm="1">
        <f t="array" ref="AY36">IF('NILAI CPL'!$B36&lt;&gt;"",IFERROR(_xlfn.IFS(AB36&gt;='NILAI CPL'!$B$3,4,AB36&gt;='NILAI CPL'!$B$4,3,AB36&gt;='NILAI CPL'!$B$5,2,AB36&gt;'NILAI CPL'!$B$6,1),0),"")</f>
        <v/>
      </c>
      <c r="AZ36" s="2" t="str" cm="1">
        <f t="array" ref="AZ36">IF('NILAI CPL'!$B36&lt;&gt;"",IFERROR(_xlfn.IFS(AC36&gt;='NILAI CPL'!$B$3,4,AC36&gt;='NILAI CPL'!$B$4,3,AC36&gt;='NILAI CPL'!$B$5,2,AC36&gt;'NILAI CPL'!$B$6,1),0),"")</f>
        <v/>
      </c>
      <c r="BA36" s="2" t="str" cm="1">
        <f t="array" ref="BA36">IF('NILAI CPL'!$B36&lt;&gt;"",IFERROR(_xlfn.IFS(AD36&gt;='NILAI CPL'!$B$3,4,AD36&gt;='NILAI CPL'!$B$4,3,AD36&gt;='NILAI CPL'!$B$5,2,AD36&gt;'NILAI CPL'!$B$6,1),0),"")</f>
        <v/>
      </c>
      <c r="BB36" s="2" t="str" cm="1">
        <f t="array" ref="BB36">IF('NILAI CPL'!$B36&lt;&gt;"",IFERROR(_xlfn.IFS(AE36&gt;='NILAI CPL'!$B$3,4,AE36&gt;='NILAI CPL'!$B$4,3,AE36&gt;='NILAI CPL'!$B$5,2,AE36&gt;'NILAI CPL'!$B$6,1),0),"")</f>
        <v/>
      </c>
      <c r="BC36" s="2" t="str" cm="1">
        <f t="array" ref="BC36">IF('NILAI CPL'!$B36&lt;&gt;"",IFERROR(_xlfn.IFS(AF36&gt;='NILAI CPL'!$B$3,4,AF36&gt;='NILAI CPL'!$B$4,3,AF36&gt;='NILAI CPL'!$B$5,2,AF36&gt;'NILAI CPL'!$B$6,1),0),"")</f>
        <v/>
      </c>
      <c r="BD36" s="2" t="str" cm="1">
        <f t="array" ref="BD36">IF('NILAI CPL'!$B36&lt;&gt;"",IFERROR(_xlfn.IFS(AG36&gt;='NILAI CPL'!$B$3,4,AG36&gt;='NILAI CPL'!$B$4,3,AG36&gt;='NILAI CPL'!$B$5,2,AG36&gt;'NILAI CPL'!$B$6,1),0),"")</f>
        <v/>
      </c>
      <c r="BE36" s="2" t="str" cm="1">
        <f t="array" ref="BE36">IF('NILAI CPL'!$B36&lt;&gt;"",IFERROR(_xlfn.IFS(AH36&gt;='NILAI CPL'!$B$3,4,AH36&gt;='NILAI CPL'!$B$4,3,AH36&gt;='NILAI CPL'!$B$5,2,AH36&gt;'NILAI CPL'!$B$6,1),0),"")</f>
        <v/>
      </c>
      <c r="BF36" s="2" t="str" cm="1">
        <f t="array" ref="BF36">IF('NILAI CPL'!$B36&lt;&gt;"",IFERROR(_xlfn.IFS(AI36&gt;='NILAI CPL'!$B$3,4,AI36&gt;='NILAI CPL'!$B$4,3,AI36&gt;='NILAI CPL'!$B$5,2,AI36&gt;'NILAI CPL'!$B$6,1),0),"")</f>
        <v/>
      </c>
      <c r="BG36" s="2" t="str" cm="1">
        <f t="array" ref="BG36">IF('NILAI CPL'!$B36&lt;&gt;"",IFERROR(_xlfn.IFS(AJ36&gt;='NILAI CPL'!$B$3,4,AJ36&gt;='NILAI CPL'!$B$4,3,AJ36&gt;='NILAI CPL'!$B$5,2,AJ36&gt;'NILAI CPL'!$B$6,1),0),"")</f>
        <v/>
      </c>
      <c r="BH36" s="2" t="str" cm="1">
        <f t="array" ref="BH36">IF('NILAI CPL'!$B36&lt;&gt;"",IFERROR(_xlfn.IFS(AK36&gt;='NILAI CPL'!$B$3,4,AK36&gt;='NILAI CPL'!$B$4,3,AK36&gt;='NILAI CPL'!$B$5,2,AK36&gt;'NILAI CPL'!$B$6,1),0),"")</f>
        <v/>
      </c>
      <c r="BI36" s="2" t="str" cm="1">
        <f t="array" ref="BI36">IF('NILAI CPL'!$B36&lt;&gt;"",IFERROR(_xlfn.IFS(AL36&gt;='NILAI CPL'!$B$3,4,AL36&gt;='NILAI CPL'!$B$4,3,AL36&gt;='NILAI CPL'!$B$5,2,AL36&gt;'NILAI CPL'!$B$6,1),0),"")</f>
        <v/>
      </c>
      <c r="BJ36" s="2" t="str" cm="1">
        <f t="array" ref="BJ36">IF('NILAI CPL'!$B36&lt;&gt;"",IFERROR(_xlfn.IFS(AM36&gt;='NILAI CPL'!$B$3,4,AM36&gt;='NILAI CPL'!$B$4,3,AM36&gt;='NILAI CPL'!$B$5,2,AM36&gt;'NILAI CPL'!$B$6,1),0),"")</f>
        <v/>
      </c>
      <c r="BK36" s="2" t="str" cm="1">
        <f t="array" ref="BK36">IF('NILAI CPL'!$B36&lt;&gt;"",IFERROR(_xlfn.IFS(AN36&gt;='NILAI CPL'!$B$3,4,AN36&gt;='NILAI CPL'!$B$4,3,AN36&gt;='NILAI CPL'!$B$5,2,AN36&gt;'NILAI CPL'!$B$6,1),0),"")</f>
        <v/>
      </c>
    </row>
    <row r="37" spans="1:63" x14ac:dyDescent="0.2">
      <c r="A37" s="2">
        <v>27</v>
      </c>
      <c r="B37" s="2" t="str">
        <f>IF(LEN(SUMMARY!B37)&gt;0, SUMMARY!B37, "")</f>
        <v/>
      </c>
      <c r="C37" s="2" t="str">
        <f>IF(LEN(SUMMARY!C37)&gt;0, SUMMARY!C37, "")</f>
        <v/>
      </c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" t="str">
        <f t="shared" si="24"/>
        <v/>
      </c>
      <c r="S37" s="2" t="str">
        <f t="shared" si="2"/>
        <v/>
      </c>
      <c r="T37" s="2" t="str">
        <f t="shared" si="3"/>
        <v/>
      </c>
      <c r="U37" s="2" t="str">
        <f t="shared" si="4"/>
        <v/>
      </c>
      <c r="V37" s="2" t="str">
        <f t="shared" si="5"/>
        <v/>
      </c>
      <c r="W37" s="2" t="str">
        <f t="shared" si="6"/>
        <v/>
      </c>
      <c r="X37" s="2" t="str">
        <f t="shared" si="7"/>
        <v/>
      </c>
      <c r="Y37" s="2" t="str">
        <f t="shared" si="8"/>
        <v/>
      </c>
      <c r="Z37" s="2" t="str">
        <f t="shared" si="9"/>
        <v/>
      </c>
      <c r="AA37" s="2" t="str">
        <f t="shared" si="10"/>
        <v/>
      </c>
      <c r="AB37" s="2" t="str">
        <f t="shared" si="11"/>
        <v/>
      </c>
      <c r="AC37" s="2" t="str">
        <f t="shared" si="12"/>
        <v/>
      </c>
      <c r="AD37" s="2" t="str">
        <f t="shared" si="13"/>
        <v/>
      </c>
      <c r="AE37" s="2" t="str">
        <f t="shared" si="14"/>
        <v/>
      </c>
      <c r="AF37" s="2" t="str">
        <f t="shared" si="15"/>
        <v/>
      </c>
      <c r="AG37" s="2" t="str">
        <f t="shared" si="16"/>
        <v/>
      </c>
      <c r="AH37" s="2" t="str">
        <f t="shared" si="17"/>
        <v/>
      </c>
      <c r="AI37" s="2" t="str">
        <f t="shared" si="18"/>
        <v/>
      </c>
      <c r="AJ37" s="2" t="str">
        <f t="shared" si="19"/>
        <v/>
      </c>
      <c r="AK37" s="2" t="str">
        <f t="shared" si="20"/>
        <v/>
      </c>
      <c r="AL37" s="2" t="str">
        <f t="shared" si="21"/>
        <v/>
      </c>
      <c r="AM37" s="2" t="str">
        <f t="shared" si="22"/>
        <v/>
      </c>
      <c r="AN37" s="2" t="str">
        <f t="shared" si="23"/>
        <v/>
      </c>
      <c r="AP37" s="2" t="str" cm="1">
        <f t="array" ref="AP37">IF('NILAI CPL'!$B37&lt;&gt;"",IFERROR(_xlfn.IFS(S37&gt;='NILAI CPL'!$B$3,4,S37&gt;='NILAI CPL'!$B$4,3,S37&gt;='NILAI CPL'!$B$5,2,S37&gt;'NILAI CPL'!$B$6,1),0),"")</f>
        <v/>
      </c>
      <c r="AQ37" s="2" t="str" cm="1">
        <f t="array" ref="AQ37">IF('NILAI CPL'!$B37&lt;&gt;"",IFERROR(_xlfn.IFS(T37&gt;='NILAI CPL'!$B$3,4,T37&gt;='NILAI CPL'!$B$4,3,T37&gt;='NILAI CPL'!$B$5,2,T37&gt;'NILAI CPL'!$B$6,1),0),"")</f>
        <v/>
      </c>
      <c r="AR37" s="2" t="str" cm="1">
        <f t="array" ref="AR37">IF('NILAI CPL'!$B37&lt;&gt;"",IFERROR(_xlfn.IFS(U37&gt;='NILAI CPL'!$B$3,4,U37&gt;='NILAI CPL'!$B$4,3,U37&gt;='NILAI CPL'!$B$5,2,U37&gt;'NILAI CPL'!$B$6,1),0),"")</f>
        <v/>
      </c>
      <c r="AS37" s="2" t="str" cm="1">
        <f t="array" ref="AS37">IF('NILAI CPL'!$B37&lt;&gt;"",IFERROR(_xlfn.IFS(V37&gt;='NILAI CPL'!$B$3,4,V37&gt;='NILAI CPL'!$B$4,3,V37&gt;='NILAI CPL'!$B$5,2,V37&gt;'NILAI CPL'!$B$6,1),0),"")</f>
        <v/>
      </c>
      <c r="AT37" s="2" t="str" cm="1">
        <f t="array" ref="AT37">IF('NILAI CPL'!$B37&lt;&gt;"",IFERROR(_xlfn.IFS(W37&gt;='NILAI CPL'!$B$3,4,W37&gt;='NILAI CPL'!$B$4,3,W37&gt;='NILAI CPL'!$B$5,2,W37&gt;'NILAI CPL'!$B$6,1),0),"")</f>
        <v/>
      </c>
      <c r="AU37" s="2" t="str" cm="1">
        <f t="array" ref="AU37">IF('NILAI CPL'!$B37&lt;&gt;"",IFERROR(_xlfn.IFS(X37&gt;='NILAI CPL'!$B$3,4,X37&gt;='NILAI CPL'!$B$4,3,X37&gt;='NILAI CPL'!$B$5,2,X37&gt;'NILAI CPL'!$B$6,1),0),"")</f>
        <v/>
      </c>
      <c r="AV37" s="2" t="str" cm="1">
        <f t="array" ref="AV37">IF('NILAI CPL'!$B37&lt;&gt;"",IFERROR(_xlfn.IFS(Y37&gt;='NILAI CPL'!$B$3,4,Y37&gt;='NILAI CPL'!$B$4,3,Y37&gt;='NILAI CPL'!$B$5,2,Y37&gt;'NILAI CPL'!$B$6,1),0),"")</f>
        <v/>
      </c>
      <c r="AW37" s="2" t="str" cm="1">
        <f t="array" ref="AW37">IF('NILAI CPL'!$B37&lt;&gt;"",IFERROR(_xlfn.IFS(Z37&gt;='NILAI CPL'!$B$3,4,Z37&gt;='NILAI CPL'!$B$4,3,Z37&gt;='NILAI CPL'!$B$5,2,Z37&gt;'NILAI CPL'!$B$6,1),0),"")</f>
        <v/>
      </c>
      <c r="AX37" s="2" t="str" cm="1">
        <f t="array" ref="AX37">IF('NILAI CPL'!$B37&lt;&gt;"",IFERROR(_xlfn.IFS(AA37&gt;='NILAI CPL'!$B$3,4,AA37&gt;='NILAI CPL'!$B$4,3,AA37&gt;='NILAI CPL'!$B$5,2,AA37&gt;'NILAI CPL'!$B$6,1),0),"")</f>
        <v/>
      </c>
      <c r="AY37" s="2" t="str" cm="1">
        <f t="array" ref="AY37">IF('NILAI CPL'!$B37&lt;&gt;"",IFERROR(_xlfn.IFS(AB37&gt;='NILAI CPL'!$B$3,4,AB37&gt;='NILAI CPL'!$B$4,3,AB37&gt;='NILAI CPL'!$B$5,2,AB37&gt;'NILAI CPL'!$B$6,1),0),"")</f>
        <v/>
      </c>
      <c r="AZ37" s="2" t="str" cm="1">
        <f t="array" ref="AZ37">IF('NILAI CPL'!$B37&lt;&gt;"",IFERROR(_xlfn.IFS(AC37&gt;='NILAI CPL'!$B$3,4,AC37&gt;='NILAI CPL'!$B$4,3,AC37&gt;='NILAI CPL'!$B$5,2,AC37&gt;'NILAI CPL'!$B$6,1),0),"")</f>
        <v/>
      </c>
      <c r="BA37" s="2" t="str" cm="1">
        <f t="array" ref="BA37">IF('NILAI CPL'!$B37&lt;&gt;"",IFERROR(_xlfn.IFS(AD37&gt;='NILAI CPL'!$B$3,4,AD37&gt;='NILAI CPL'!$B$4,3,AD37&gt;='NILAI CPL'!$B$5,2,AD37&gt;'NILAI CPL'!$B$6,1),0),"")</f>
        <v/>
      </c>
      <c r="BB37" s="2" t="str" cm="1">
        <f t="array" ref="BB37">IF('NILAI CPL'!$B37&lt;&gt;"",IFERROR(_xlfn.IFS(AE37&gt;='NILAI CPL'!$B$3,4,AE37&gt;='NILAI CPL'!$B$4,3,AE37&gt;='NILAI CPL'!$B$5,2,AE37&gt;'NILAI CPL'!$B$6,1),0),"")</f>
        <v/>
      </c>
      <c r="BC37" s="2" t="str" cm="1">
        <f t="array" ref="BC37">IF('NILAI CPL'!$B37&lt;&gt;"",IFERROR(_xlfn.IFS(AF37&gt;='NILAI CPL'!$B$3,4,AF37&gt;='NILAI CPL'!$B$4,3,AF37&gt;='NILAI CPL'!$B$5,2,AF37&gt;'NILAI CPL'!$B$6,1),0),"")</f>
        <v/>
      </c>
      <c r="BD37" s="2" t="str" cm="1">
        <f t="array" ref="BD37">IF('NILAI CPL'!$B37&lt;&gt;"",IFERROR(_xlfn.IFS(AG37&gt;='NILAI CPL'!$B$3,4,AG37&gt;='NILAI CPL'!$B$4,3,AG37&gt;='NILAI CPL'!$B$5,2,AG37&gt;'NILAI CPL'!$B$6,1),0),"")</f>
        <v/>
      </c>
      <c r="BE37" s="2" t="str" cm="1">
        <f t="array" ref="BE37">IF('NILAI CPL'!$B37&lt;&gt;"",IFERROR(_xlfn.IFS(AH37&gt;='NILAI CPL'!$B$3,4,AH37&gt;='NILAI CPL'!$B$4,3,AH37&gt;='NILAI CPL'!$B$5,2,AH37&gt;'NILAI CPL'!$B$6,1),0),"")</f>
        <v/>
      </c>
      <c r="BF37" s="2" t="str" cm="1">
        <f t="array" ref="BF37">IF('NILAI CPL'!$B37&lt;&gt;"",IFERROR(_xlfn.IFS(AI37&gt;='NILAI CPL'!$B$3,4,AI37&gt;='NILAI CPL'!$B$4,3,AI37&gt;='NILAI CPL'!$B$5,2,AI37&gt;'NILAI CPL'!$B$6,1),0),"")</f>
        <v/>
      </c>
      <c r="BG37" s="2" t="str" cm="1">
        <f t="array" ref="BG37">IF('NILAI CPL'!$B37&lt;&gt;"",IFERROR(_xlfn.IFS(AJ37&gt;='NILAI CPL'!$B$3,4,AJ37&gt;='NILAI CPL'!$B$4,3,AJ37&gt;='NILAI CPL'!$B$5,2,AJ37&gt;'NILAI CPL'!$B$6,1),0),"")</f>
        <v/>
      </c>
      <c r="BH37" s="2" t="str" cm="1">
        <f t="array" ref="BH37">IF('NILAI CPL'!$B37&lt;&gt;"",IFERROR(_xlfn.IFS(AK37&gt;='NILAI CPL'!$B$3,4,AK37&gt;='NILAI CPL'!$B$4,3,AK37&gt;='NILAI CPL'!$B$5,2,AK37&gt;'NILAI CPL'!$B$6,1),0),"")</f>
        <v/>
      </c>
      <c r="BI37" s="2" t="str" cm="1">
        <f t="array" ref="BI37">IF('NILAI CPL'!$B37&lt;&gt;"",IFERROR(_xlfn.IFS(AL37&gt;='NILAI CPL'!$B$3,4,AL37&gt;='NILAI CPL'!$B$4,3,AL37&gt;='NILAI CPL'!$B$5,2,AL37&gt;'NILAI CPL'!$B$6,1),0),"")</f>
        <v/>
      </c>
      <c r="BJ37" s="2" t="str" cm="1">
        <f t="array" ref="BJ37">IF('NILAI CPL'!$B37&lt;&gt;"",IFERROR(_xlfn.IFS(AM37&gt;='NILAI CPL'!$B$3,4,AM37&gt;='NILAI CPL'!$B$4,3,AM37&gt;='NILAI CPL'!$B$5,2,AM37&gt;'NILAI CPL'!$B$6,1),0),"")</f>
        <v/>
      </c>
      <c r="BK37" s="2" t="str" cm="1">
        <f t="array" ref="BK37">IF('NILAI CPL'!$B37&lt;&gt;"",IFERROR(_xlfn.IFS(AN37&gt;='NILAI CPL'!$B$3,4,AN37&gt;='NILAI CPL'!$B$4,3,AN37&gt;='NILAI CPL'!$B$5,2,AN37&gt;'NILAI CPL'!$B$6,1),0),"")</f>
        <v/>
      </c>
    </row>
    <row r="38" spans="1:63" x14ac:dyDescent="0.2">
      <c r="A38" s="2">
        <v>28</v>
      </c>
      <c r="B38" s="2" t="str">
        <f>IF(LEN(SUMMARY!B38)&gt;0, SUMMARY!B38, "")</f>
        <v/>
      </c>
      <c r="C38" s="2" t="str">
        <f>IF(LEN(SUMMARY!C38)&gt;0, SUMMARY!C38, "")</f>
        <v/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" t="str">
        <f t="shared" si="24"/>
        <v/>
      </c>
      <c r="S38" s="2" t="str">
        <f t="shared" si="2"/>
        <v/>
      </c>
      <c r="T38" s="2" t="str">
        <f t="shared" si="3"/>
        <v/>
      </c>
      <c r="U38" s="2" t="str">
        <f t="shared" si="4"/>
        <v/>
      </c>
      <c r="V38" s="2" t="str">
        <f t="shared" si="5"/>
        <v/>
      </c>
      <c r="W38" s="2" t="str">
        <f t="shared" si="6"/>
        <v/>
      </c>
      <c r="X38" s="2" t="str">
        <f t="shared" si="7"/>
        <v/>
      </c>
      <c r="Y38" s="2" t="str">
        <f t="shared" si="8"/>
        <v/>
      </c>
      <c r="Z38" s="2" t="str">
        <f t="shared" si="9"/>
        <v/>
      </c>
      <c r="AA38" s="2" t="str">
        <f t="shared" si="10"/>
        <v/>
      </c>
      <c r="AB38" s="2" t="str">
        <f t="shared" si="11"/>
        <v/>
      </c>
      <c r="AC38" s="2" t="str">
        <f t="shared" si="12"/>
        <v/>
      </c>
      <c r="AD38" s="2" t="str">
        <f t="shared" si="13"/>
        <v/>
      </c>
      <c r="AE38" s="2" t="str">
        <f t="shared" si="14"/>
        <v/>
      </c>
      <c r="AF38" s="2" t="str">
        <f t="shared" si="15"/>
        <v/>
      </c>
      <c r="AG38" s="2" t="str">
        <f t="shared" si="16"/>
        <v/>
      </c>
      <c r="AH38" s="2" t="str">
        <f t="shared" si="17"/>
        <v/>
      </c>
      <c r="AI38" s="2" t="str">
        <f t="shared" si="18"/>
        <v/>
      </c>
      <c r="AJ38" s="2" t="str">
        <f t="shared" si="19"/>
        <v/>
      </c>
      <c r="AK38" s="2" t="str">
        <f t="shared" si="20"/>
        <v/>
      </c>
      <c r="AL38" s="2" t="str">
        <f t="shared" si="21"/>
        <v/>
      </c>
      <c r="AM38" s="2" t="str">
        <f t="shared" si="22"/>
        <v/>
      </c>
      <c r="AN38" s="2" t="str">
        <f t="shared" si="23"/>
        <v/>
      </c>
      <c r="AP38" s="2" t="str" cm="1">
        <f t="array" ref="AP38">IF('NILAI CPL'!$B38&lt;&gt;"",IFERROR(_xlfn.IFS(S38&gt;='NILAI CPL'!$B$3,4,S38&gt;='NILAI CPL'!$B$4,3,S38&gt;='NILAI CPL'!$B$5,2,S38&gt;'NILAI CPL'!$B$6,1),0),"")</f>
        <v/>
      </c>
      <c r="AQ38" s="2" t="str" cm="1">
        <f t="array" ref="AQ38">IF('NILAI CPL'!$B38&lt;&gt;"",IFERROR(_xlfn.IFS(T38&gt;='NILAI CPL'!$B$3,4,T38&gt;='NILAI CPL'!$B$4,3,T38&gt;='NILAI CPL'!$B$5,2,T38&gt;'NILAI CPL'!$B$6,1),0),"")</f>
        <v/>
      </c>
      <c r="AR38" s="2" t="str" cm="1">
        <f t="array" ref="AR38">IF('NILAI CPL'!$B38&lt;&gt;"",IFERROR(_xlfn.IFS(U38&gt;='NILAI CPL'!$B$3,4,U38&gt;='NILAI CPL'!$B$4,3,U38&gt;='NILAI CPL'!$B$5,2,U38&gt;'NILAI CPL'!$B$6,1),0),"")</f>
        <v/>
      </c>
      <c r="AS38" s="2" t="str" cm="1">
        <f t="array" ref="AS38">IF('NILAI CPL'!$B38&lt;&gt;"",IFERROR(_xlfn.IFS(V38&gt;='NILAI CPL'!$B$3,4,V38&gt;='NILAI CPL'!$B$4,3,V38&gt;='NILAI CPL'!$B$5,2,V38&gt;'NILAI CPL'!$B$6,1),0),"")</f>
        <v/>
      </c>
      <c r="AT38" s="2" t="str" cm="1">
        <f t="array" ref="AT38">IF('NILAI CPL'!$B38&lt;&gt;"",IFERROR(_xlfn.IFS(W38&gt;='NILAI CPL'!$B$3,4,W38&gt;='NILAI CPL'!$B$4,3,W38&gt;='NILAI CPL'!$B$5,2,W38&gt;'NILAI CPL'!$B$6,1),0),"")</f>
        <v/>
      </c>
      <c r="AU38" s="2" t="str" cm="1">
        <f t="array" ref="AU38">IF('NILAI CPL'!$B38&lt;&gt;"",IFERROR(_xlfn.IFS(X38&gt;='NILAI CPL'!$B$3,4,X38&gt;='NILAI CPL'!$B$4,3,X38&gt;='NILAI CPL'!$B$5,2,X38&gt;'NILAI CPL'!$B$6,1),0),"")</f>
        <v/>
      </c>
      <c r="AV38" s="2" t="str" cm="1">
        <f t="array" ref="AV38">IF('NILAI CPL'!$B38&lt;&gt;"",IFERROR(_xlfn.IFS(Y38&gt;='NILAI CPL'!$B$3,4,Y38&gt;='NILAI CPL'!$B$4,3,Y38&gt;='NILAI CPL'!$B$5,2,Y38&gt;'NILAI CPL'!$B$6,1),0),"")</f>
        <v/>
      </c>
      <c r="AW38" s="2" t="str" cm="1">
        <f t="array" ref="AW38">IF('NILAI CPL'!$B38&lt;&gt;"",IFERROR(_xlfn.IFS(Z38&gt;='NILAI CPL'!$B$3,4,Z38&gt;='NILAI CPL'!$B$4,3,Z38&gt;='NILAI CPL'!$B$5,2,Z38&gt;'NILAI CPL'!$B$6,1),0),"")</f>
        <v/>
      </c>
      <c r="AX38" s="2" t="str" cm="1">
        <f t="array" ref="AX38">IF('NILAI CPL'!$B38&lt;&gt;"",IFERROR(_xlfn.IFS(AA38&gt;='NILAI CPL'!$B$3,4,AA38&gt;='NILAI CPL'!$B$4,3,AA38&gt;='NILAI CPL'!$B$5,2,AA38&gt;'NILAI CPL'!$B$6,1),0),"")</f>
        <v/>
      </c>
      <c r="AY38" s="2" t="str" cm="1">
        <f t="array" ref="AY38">IF('NILAI CPL'!$B38&lt;&gt;"",IFERROR(_xlfn.IFS(AB38&gt;='NILAI CPL'!$B$3,4,AB38&gt;='NILAI CPL'!$B$4,3,AB38&gt;='NILAI CPL'!$B$5,2,AB38&gt;'NILAI CPL'!$B$6,1),0),"")</f>
        <v/>
      </c>
      <c r="AZ38" s="2" t="str" cm="1">
        <f t="array" ref="AZ38">IF('NILAI CPL'!$B38&lt;&gt;"",IFERROR(_xlfn.IFS(AC38&gt;='NILAI CPL'!$B$3,4,AC38&gt;='NILAI CPL'!$B$4,3,AC38&gt;='NILAI CPL'!$B$5,2,AC38&gt;'NILAI CPL'!$B$6,1),0),"")</f>
        <v/>
      </c>
      <c r="BA38" s="2" t="str" cm="1">
        <f t="array" ref="BA38">IF('NILAI CPL'!$B38&lt;&gt;"",IFERROR(_xlfn.IFS(AD38&gt;='NILAI CPL'!$B$3,4,AD38&gt;='NILAI CPL'!$B$4,3,AD38&gt;='NILAI CPL'!$B$5,2,AD38&gt;'NILAI CPL'!$B$6,1),0),"")</f>
        <v/>
      </c>
      <c r="BB38" s="2" t="str" cm="1">
        <f t="array" ref="BB38">IF('NILAI CPL'!$B38&lt;&gt;"",IFERROR(_xlfn.IFS(AE38&gt;='NILAI CPL'!$B$3,4,AE38&gt;='NILAI CPL'!$B$4,3,AE38&gt;='NILAI CPL'!$B$5,2,AE38&gt;'NILAI CPL'!$B$6,1),0),"")</f>
        <v/>
      </c>
      <c r="BC38" s="2" t="str" cm="1">
        <f t="array" ref="BC38">IF('NILAI CPL'!$B38&lt;&gt;"",IFERROR(_xlfn.IFS(AF38&gt;='NILAI CPL'!$B$3,4,AF38&gt;='NILAI CPL'!$B$4,3,AF38&gt;='NILAI CPL'!$B$5,2,AF38&gt;'NILAI CPL'!$B$6,1),0),"")</f>
        <v/>
      </c>
      <c r="BD38" s="2" t="str" cm="1">
        <f t="array" ref="BD38">IF('NILAI CPL'!$B38&lt;&gt;"",IFERROR(_xlfn.IFS(AG38&gt;='NILAI CPL'!$B$3,4,AG38&gt;='NILAI CPL'!$B$4,3,AG38&gt;='NILAI CPL'!$B$5,2,AG38&gt;'NILAI CPL'!$B$6,1),0),"")</f>
        <v/>
      </c>
      <c r="BE38" s="2" t="str" cm="1">
        <f t="array" ref="BE38">IF('NILAI CPL'!$B38&lt;&gt;"",IFERROR(_xlfn.IFS(AH38&gt;='NILAI CPL'!$B$3,4,AH38&gt;='NILAI CPL'!$B$4,3,AH38&gt;='NILAI CPL'!$B$5,2,AH38&gt;'NILAI CPL'!$B$6,1),0),"")</f>
        <v/>
      </c>
      <c r="BF38" s="2" t="str" cm="1">
        <f t="array" ref="BF38">IF('NILAI CPL'!$B38&lt;&gt;"",IFERROR(_xlfn.IFS(AI38&gt;='NILAI CPL'!$B$3,4,AI38&gt;='NILAI CPL'!$B$4,3,AI38&gt;='NILAI CPL'!$B$5,2,AI38&gt;'NILAI CPL'!$B$6,1),0),"")</f>
        <v/>
      </c>
      <c r="BG38" s="2" t="str" cm="1">
        <f t="array" ref="BG38">IF('NILAI CPL'!$B38&lt;&gt;"",IFERROR(_xlfn.IFS(AJ38&gt;='NILAI CPL'!$B$3,4,AJ38&gt;='NILAI CPL'!$B$4,3,AJ38&gt;='NILAI CPL'!$B$5,2,AJ38&gt;'NILAI CPL'!$B$6,1),0),"")</f>
        <v/>
      </c>
      <c r="BH38" s="2" t="str" cm="1">
        <f t="array" ref="BH38">IF('NILAI CPL'!$B38&lt;&gt;"",IFERROR(_xlfn.IFS(AK38&gt;='NILAI CPL'!$B$3,4,AK38&gt;='NILAI CPL'!$B$4,3,AK38&gt;='NILAI CPL'!$B$5,2,AK38&gt;'NILAI CPL'!$B$6,1),0),"")</f>
        <v/>
      </c>
      <c r="BI38" s="2" t="str" cm="1">
        <f t="array" ref="BI38">IF('NILAI CPL'!$B38&lt;&gt;"",IFERROR(_xlfn.IFS(AL38&gt;='NILAI CPL'!$B$3,4,AL38&gt;='NILAI CPL'!$B$4,3,AL38&gt;='NILAI CPL'!$B$5,2,AL38&gt;'NILAI CPL'!$B$6,1),0),"")</f>
        <v/>
      </c>
      <c r="BJ38" s="2" t="str" cm="1">
        <f t="array" ref="BJ38">IF('NILAI CPL'!$B38&lt;&gt;"",IFERROR(_xlfn.IFS(AM38&gt;='NILAI CPL'!$B$3,4,AM38&gt;='NILAI CPL'!$B$4,3,AM38&gt;='NILAI CPL'!$B$5,2,AM38&gt;'NILAI CPL'!$B$6,1),0),"")</f>
        <v/>
      </c>
      <c r="BK38" s="2" t="str" cm="1">
        <f t="array" ref="BK38">IF('NILAI CPL'!$B38&lt;&gt;"",IFERROR(_xlfn.IFS(AN38&gt;='NILAI CPL'!$B$3,4,AN38&gt;='NILAI CPL'!$B$4,3,AN38&gt;='NILAI CPL'!$B$5,2,AN38&gt;'NILAI CPL'!$B$6,1),0),"")</f>
        <v/>
      </c>
    </row>
    <row r="39" spans="1:63" x14ac:dyDescent="0.2">
      <c r="A39" s="2">
        <v>29</v>
      </c>
      <c r="B39" s="2" t="str">
        <f>IF(LEN(SUMMARY!B39)&gt;0, SUMMARY!B39, "")</f>
        <v/>
      </c>
      <c r="C39" s="2" t="str">
        <f>IF(LEN(SUMMARY!C39)&gt;0, SUMMARY!C39, "")</f>
        <v/>
      </c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" t="str">
        <f t="shared" si="24"/>
        <v/>
      </c>
      <c r="S39" s="2" t="str">
        <f t="shared" si="2"/>
        <v/>
      </c>
      <c r="T39" s="2" t="str">
        <f t="shared" si="3"/>
        <v/>
      </c>
      <c r="U39" s="2" t="str">
        <f t="shared" si="4"/>
        <v/>
      </c>
      <c r="V39" s="2" t="str">
        <f t="shared" si="5"/>
        <v/>
      </c>
      <c r="W39" s="2" t="str">
        <f t="shared" si="6"/>
        <v/>
      </c>
      <c r="X39" s="2" t="str">
        <f t="shared" si="7"/>
        <v/>
      </c>
      <c r="Y39" s="2" t="str">
        <f t="shared" si="8"/>
        <v/>
      </c>
      <c r="Z39" s="2" t="str">
        <f t="shared" si="9"/>
        <v/>
      </c>
      <c r="AA39" s="2" t="str">
        <f t="shared" si="10"/>
        <v/>
      </c>
      <c r="AB39" s="2" t="str">
        <f t="shared" si="11"/>
        <v/>
      </c>
      <c r="AC39" s="2" t="str">
        <f t="shared" si="12"/>
        <v/>
      </c>
      <c r="AD39" s="2" t="str">
        <f t="shared" si="13"/>
        <v/>
      </c>
      <c r="AE39" s="2" t="str">
        <f t="shared" si="14"/>
        <v/>
      </c>
      <c r="AF39" s="2" t="str">
        <f t="shared" si="15"/>
        <v/>
      </c>
      <c r="AG39" s="2" t="str">
        <f t="shared" si="16"/>
        <v/>
      </c>
      <c r="AH39" s="2" t="str">
        <f t="shared" si="17"/>
        <v/>
      </c>
      <c r="AI39" s="2" t="str">
        <f t="shared" si="18"/>
        <v/>
      </c>
      <c r="AJ39" s="2" t="str">
        <f t="shared" si="19"/>
        <v/>
      </c>
      <c r="AK39" s="2" t="str">
        <f t="shared" si="20"/>
        <v/>
      </c>
      <c r="AL39" s="2" t="str">
        <f t="shared" si="21"/>
        <v/>
      </c>
      <c r="AM39" s="2" t="str">
        <f t="shared" si="22"/>
        <v/>
      </c>
      <c r="AN39" s="2" t="str">
        <f t="shared" si="23"/>
        <v/>
      </c>
      <c r="AP39" s="2" t="str" cm="1">
        <f t="array" ref="AP39">IF('NILAI CPL'!$B39&lt;&gt;"",IFERROR(_xlfn.IFS(S39&gt;='NILAI CPL'!$B$3,4,S39&gt;='NILAI CPL'!$B$4,3,S39&gt;='NILAI CPL'!$B$5,2,S39&gt;'NILAI CPL'!$B$6,1),0),"")</f>
        <v/>
      </c>
      <c r="AQ39" s="2" t="str" cm="1">
        <f t="array" ref="AQ39">IF('NILAI CPL'!$B39&lt;&gt;"",IFERROR(_xlfn.IFS(T39&gt;='NILAI CPL'!$B$3,4,T39&gt;='NILAI CPL'!$B$4,3,T39&gt;='NILAI CPL'!$B$5,2,T39&gt;'NILAI CPL'!$B$6,1),0),"")</f>
        <v/>
      </c>
      <c r="AR39" s="2" t="str" cm="1">
        <f t="array" ref="AR39">IF('NILAI CPL'!$B39&lt;&gt;"",IFERROR(_xlfn.IFS(U39&gt;='NILAI CPL'!$B$3,4,U39&gt;='NILAI CPL'!$B$4,3,U39&gt;='NILAI CPL'!$B$5,2,U39&gt;'NILAI CPL'!$B$6,1),0),"")</f>
        <v/>
      </c>
      <c r="AS39" s="2" t="str" cm="1">
        <f t="array" ref="AS39">IF('NILAI CPL'!$B39&lt;&gt;"",IFERROR(_xlfn.IFS(V39&gt;='NILAI CPL'!$B$3,4,V39&gt;='NILAI CPL'!$B$4,3,V39&gt;='NILAI CPL'!$B$5,2,V39&gt;'NILAI CPL'!$B$6,1),0),"")</f>
        <v/>
      </c>
      <c r="AT39" s="2" t="str" cm="1">
        <f t="array" ref="AT39">IF('NILAI CPL'!$B39&lt;&gt;"",IFERROR(_xlfn.IFS(W39&gt;='NILAI CPL'!$B$3,4,W39&gt;='NILAI CPL'!$B$4,3,W39&gt;='NILAI CPL'!$B$5,2,W39&gt;'NILAI CPL'!$B$6,1),0),"")</f>
        <v/>
      </c>
      <c r="AU39" s="2" t="str" cm="1">
        <f t="array" ref="AU39">IF('NILAI CPL'!$B39&lt;&gt;"",IFERROR(_xlfn.IFS(X39&gt;='NILAI CPL'!$B$3,4,X39&gt;='NILAI CPL'!$B$4,3,X39&gt;='NILAI CPL'!$B$5,2,X39&gt;'NILAI CPL'!$B$6,1),0),"")</f>
        <v/>
      </c>
      <c r="AV39" s="2" t="str" cm="1">
        <f t="array" ref="AV39">IF('NILAI CPL'!$B39&lt;&gt;"",IFERROR(_xlfn.IFS(Y39&gt;='NILAI CPL'!$B$3,4,Y39&gt;='NILAI CPL'!$B$4,3,Y39&gt;='NILAI CPL'!$B$5,2,Y39&gt;'NILAI CPL'!$B$6,1),0),"")</f>
        <v/>
      </c>
      <c r="AW39" s="2" t="str" cm="1">
        <f t="array" ref="AW39">IF('NILAI CPL'!$B39&lt;&gt;"",IFERROR(_xlfn.IFS(Z39&gt;='NILAI CPL'!$B$3,4,Z39&gt;='NILAI CPL'!$B$4,3,Z39&gt;='NILAI CPL'!$B$5,2,Z39&gt;'NILAI CPL'!$B$6,1),0),"")</f>
        <v/>
      </c>
      <c r="AX39" s="2" t="str" cm="1">
        <f t="array" ref="AX39">IF('NILAI CPL'!$B39&lt;&gt;"",IFERROR(_xlfn.IFS(AA39&gt;='NILAI CPL'!$B$3,4,AA39&gt;='NILAI CPL'!$B$4,3,AA39&gt;='NILAI CPL'!$B$5,2,AA39&gt;'NILAI CPL'!$B$6,1),0),"")</f>
        <v/>
      </c>
      <c r="AY39" s="2" t="str" cm="1">
        <f t="array" ref="AY39">IF('NILAI CPL'!$B39&lt;&gt;"",IFERROR(_xlfn.IFS(AB39&gt;='NILAI CPL'!$B$3,4,AB39&gt;='NILAI CPL'!$B$4,3,AB39&gt;='NILAI CPL'!$B$5,2,AB39&gt;'NILAI CPL'!$B$6,1),0),"")</f>
        <v/>
      </c>
      <c r="AZ39" s="2" t="str" cm="1">
        <f t="array" ref="AZ39">IF('NILAI CPL'!$B39&lt;&gt;"",IFERROR(_xlfn.IFS(AC39&gt;='NILAI CPL'!$B$3,4,AC39&gt;='NILAI CPL'!$B$4,3,AC39&gt;='NILAI CPL'!$B$5,2,AC39&gt;'NILAI CPL'!$B$6,1),0),"")</f>
        <v/>
      </c>
      <c r="BA39" s="2" t="str" cm="1">
        <f t="array" ref="BA39">IF('NILAI CPL'!$B39&lt;&gt;"",IFERROR(_xlfn.IFS(AD39&gt;='NILAI CPL'!$B$3,4,AD39&gt;='NILAI CPL'!$B$4,3,AD39&gt;='NILAI CPL'!$B$5,2,AD39&gt;'NILAI CPL'!$B$6,1),0),"")</f>
        <v/>
      </c>
      <c r="BB39" s="2" t="str" cm="1">
        <f t="array" ref="BB39">IF('NILAI CPL'!$B39&lt;&gt;"",IFERROR(_xlfn.IFS(AE39&gt;='NILAI CPL'!$B$3,4,AE39&gt;='NILAI CPL'!$B$4,3,AE39&gt;='NILAI CPL'!$B$5,2,AE39&gt;'NILAI CPL'!$B$6,1),0),"")</f>
        <v/>
      </c>
      <c r="BC39" s="2" t="str" cm="1">
        <f t="array" ref="BC39">IF('NILAI CPL'!$B39&lt;&gt;"",IFERROR(_xlfn.IFS(AF39&gt;='NILAI CPL'!$B$3,4,AF39&gt;='NILAI CPL'!$B$4,3,AF39&gt;='NILAI CPL'!$B$5,2,AF39&gt;'NILAI CPL'!$B$6,1),0),"")</f>
        <v/>
      </c>
      <c r="BD39" s="2" t="str" cm="1">
        <f t="array" ref="BD39">IF('NILAI CPL'!$B39&lt;&gt;"",IFERROR(_xlfn.IFS(AG39&gt;='NILAI CPL'!$B$3,4,AG39&gt;='NILAI CPL'!$B$4,3,AG39&gt;='NILAI CPL'!$B$5,2,AG39&gt;'NILAI CPL'!$B$6,1),0),"")</f>
        <v/>
      </c>
      <c r="BE39" s="2" t="str" cm="1">
        <f t="array" ref="BE39">IF('NILAI CPL'!$B39&lt;&gt;"",IFERROR(_xlfn.IFS(AH39&gt;='NILAI CPL'!$B$3,4,AH39&gt;='NILAI CPL'!$B$4,3,AH39&gt;='NILAI CPL'!$B$5,2,AH39&gt;'NILAI CPL'!$B$6,1),0),"")</f>
        <v/>
      </c>
      <c r="BF39" s="2" t="str" cm="1">
        <f t="array" ref="BF39">IF('NILAI CPL'!$B39&lt;&gt;"",IFERROR(_xlfn.IFS(AI39&gt;='NILAI CPL'!$B$3,4,AI39&gt;='NILAI CPL'!$B$4,3,AI39&gt;='NILAI CPL'!$B$5,2,AI39&gt;'NILAI CPL'!$B$6,1),0),"")</f>
        <v/>
      </c>
      <c r="BG39" s="2" t="str" cm="1">
        <f t="array" ref="BG39">IF('NILAI CPL'!$B39&lt;&gt;"",IFERROR(_xlfn.IFS(AJ39&gt;='NILAI CPL'!$B$3,4,AJ39&gt;='NILAI CPL'!$B$4,3,AJ39&gt;='NILAI CPL'!$B$5,2,AJ39&gt;'NILAI CPL'!$B$6,1),0),"")</f>
        <v/>
      </c>
      <c r="BH39" s="2" t="str" cm="1">
        <f t="array" ref="BH39">IF('NILAI CPL'!$B39&lt;&gt;"",IFERROR(_xlfn.IFS(AK39&gt;='NILAI CPL'!$B$3,4,AK39&gt;='NILAI CPL'!$B$4,3,AK39&gt;='NILAI CPL'!$B$5,2,AK39&gt;'NILAI CPL'!$B$6,1),0),"")</f>
        <v/>
      </c>
      <c r="BI39" s="2" t="str" cm="1">
        <f t="array" ref="BI39">IF('NILAI CPL'!$B39&lt;&gt;"",IFERROR(_xlfn.IFS(AL39&gt;='NILAI CPL'!$B$3,4,AL39&gt;='NILAI CPL'!$B$4,3,AL39&gt;='NILAI CPL'!$B$5,2,AL39&gt;'NILAI CPL'!$B$6,1),0),"")</f>
        <v/>
      </c>
      <c r="BJ39" s="2" t="str" cm="1">
        <f t="array" ref="BJ39">IF('NILAI CPL'!$B39&lt;&gt;"",IFERROR(_xlfn.IFS(AM39&gt;='NILAI CPL'!$B$3,4,AM39&gt;='NILAI CPL'!$B$4,3,AM39&gt;='NILAI CPL'!$B$5,2,AM39&gt;'NILAI CPL'!$B$6,1),0),"")</f>
        <v/>
      </c>
      <c r="BK39" s="2" t="str" cm="1">
        <f t="array" ref="BK39">IF('NILAI CPL'!$B39&lt;&gt;"",IFERROR(_xlfn.IFS(AN39&gt;='NILAI CPL'!$B$3,4,AN39&gt;='NILAI CPL'!$B$4,3,AN39&gt;='NILAI CPL'!$B$5,2,AN39&gt;'NILAI CPL'!$B$6,1),0),"")</f>
        <v/>
      </c>
    </row>
    <row r="40" spans="1:63" x14ac:dyDescent="0.2">
      <c r="A40" s="2">
        <v>30</v>
      </c>
      <c r="B40" s="2" t="str">
        <f>IF(LEN(SUMMARY!B40)&gt;0, SUMMARY!B40, "")</f>
        <v/>
      </c>
      <c r="C40" s="2" t="str">
        <f>IF(LEN(SUMMARY!C40)&gt;0, SUMMARY!C40, "")</f>
        <v/>
      </c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" t="str">
        <f t="shared" si="24"/>
        <v/>
      </c>
      <c r="S40" s="2" t="str">
        <f t="shared" si="2"/>
        <v/>
      </c>
      <c r="T40" s="2" t="str">
        <f t="shared" si="3"/>
        <v/>
      </c>
      <c r="U40" s="2" t="str">
        <f t="shared" si="4"/>
        <v/>
      </c>
      <c r="V40" s="2" t="str">
        <f t="shared" si="5"/>
        <v/>
      </c>
      <c r="W40" s="2" t="str">
        <f t="shared" si="6"/>
        <v/>
      </c>
      <c r="X40" s="2" t="str">
        <f t="shared" si="7"/>
        <v/>
      </c>
      <c r="Y40" s="2" t="str">
        <f t="shared" si="8"/>
        <v/>
      </c>
      <c r="Z40" s="2" t="str">
        <f t="shared" si="9"/>
        <v/>
      </c>
      <c r="AA40" s="2" t="str">
        <f t="shared" si="10"/>
        <v/>
      </c>
      <c r="AB40" s="2" t="str">
        <f t="shared" si="11"/>
        <v/>
      </c>
      <c r="AC40" s="2" t="str">
        <f t="shared" si="12"/>
        <v/>
      </c>
      <c r="AD40" s="2" t="str">
        <f t="shared" si="13"/>
        <v/>
      </c>
      <c r="AE40" s="2" t="str">
        <f t="shared" si="14"/>
        <v/>
      </c>
      <c r="AF40" s="2" t="str">
        <f t="shared" si="15"/>
        <v/>
      </c>
      <c r="AG40" s="2" t="str">
        <f t="shared" si="16"/>
        <v/>
      </c>
      <c r="AH40" s="2" t="str">
        <f t="shared" si="17"/>
        <v/>
      </c>
      <c r="AI40" s="2" t="str">
        <f t="shared" si="18"/>
        <v/>
      </c>
      <c r="AJ40" s="2" t="str">
        <f t="shared" si="19"/>
        <v/>
      </c>
      <c r="AK40" s="2" t="str">
        <f t="shared" si="20"/>
        <v/>
      </c>
      <c r="AL40" s="2" t="str">
        <f t="shared" si="21"/>
        <v/>
      </c>
      <c r="AM40" s="2" t="str">
        <f t="shared" si="22"/>
        <v/>
      </c>
      <c r="AN40" s="2" t="str">
        <f t="shared" si="23"/>
        <v/>
      </c>
      <c r="AP40" s="2" t="str" cm="1">
        <f t="array" ref="AP40">IF('NILAI CPL'!$B40&lt;&gt;"",IFERROR(_xlfn.IFS(S40&gt;='NILAI CPL'!$B$3,4,S40&gt;='NILAI CPL'!$B$4,3,S40&gt;='NILAI CPL'!$B$5,2,S40&gt;'NILAI CPL'!$B$6,1),0),"")</f>
        <v/>
      </c>
      <c r="AQ40" s="2" t="str" cm="1">
        <f t="array" ref="AQ40">IF('NILAI CPL'!$B40&lt;&gt;"",IFERROR(_xlfn.IFS(T40&gt;='NILAI CPL'!$B$3,4,T40&gt;='NILAI CPL'!$B$4,3,T40&gt;='NILAI CPL'!$B$5,2,T40&gt;'NILAI CPL'!$B$6,1),0),"")</f>
        <v/>
      </c>
      <c r="AR40" s="2" t="str" cm="1">
        <f t="array" ref="AR40">IF('NILAI CPL'!$B40&lt;&gt;"",IFERROR(_xlfn.IFS(U40&gt;='NILAI CPL'!$B$3,4,U40&gt;='NILAI CPL'!$B$4,3,U40&gt;='NILAI CPL'!$B$5,2,U40&gt;'NILAI CPL'!$B$6,1),0),"")</f>
        <v/>
      </c>
      <c r="AS40" s="2" t="str" cm="1">
        <f t="array" ref="AS40">IF('NILAI CPL'!$B40&lt;&gt;"",IFERROR(_xlfn.IFS(V40&gt;='NILAI CPL'!$B$3,4,V40&gt;='NILAI CPL'!$B$4,3,V40&gt;='NILAI CPL'!$B$5,2,V40&gt;'NILAI CPL'!$B$6,1),0),"")</f>
        <v/>
      </c>
      <c r="AT40" s="2" t="str" cm="1">
        <f t="array" ref="AT40">IF('NILAI CPL'!$B40&lt;&gt;"",IFERROR(_xlfn.IFS(W40&gt;='NILAI CPL'!$B$3,4,W40&gt;='NILAI CPL'!$B$4,3,W40&gt;='NILAI CPL'!$B$5,2,W40&gt;'NILAI CPL'!$B$6,1),0),"")</f>
        <v/>
      </c>
      <c r="AU40" s="2" t="str" cm="1">
        <f t="array" ref="AU40">IF('NILAI CPL'!$B40&lt;&gt;"",IFERROR(_xlfn.IFS(X40&gt;='NILAI CPL'!$B$3,4,X40&gt;='NILAI CPL'!$B$4,3,X40&gt;='NILAI CPL'!$B$5,2,X40&gt;'NILAI CPL'!$B$6,1),0),"")</f>
        <v/>
      </c>
      <c r="AV40" s="2" t="str" cm="1">
        <f t="array" ref="AV40">IF('NILAI CPL'!$B40&lt;&gt;"",IFERROR(_xlfn.IFS(Y40&gt;='NILAI CPL'!$B$3,4,Y40&gt;='NILAI CPL'!$B$4,3,Y40&gt;='NILAI CPL'!$B$5,2,Y40&gt;'NILAI CPL'!$B$6,1),0),"")</f>
        <v/>
      </c>
      <c r="AW40" s="2" t="str" cm="1">
        <f t="array" ref="AW40">IF('NILAI CPL'!$B40&lt;&gt;"",IFERROR(_xlfn.IFS(Z40&gt;='NILAI CPL'!$B$3,4,Z40&gt;='NILAI CPL'!$B$4,3,Z40&gt;='NILAI CPL'!$B$5,2,Z40&gt;'NILAI CPL'!$B$6,1),0),"")</f>
        <v/>
      </c>
      <c r="AX40" s="2" t="str" cm="1">
        <f t="array" ref="AX40">IF('NILAI CPL'!$B40&lt;&gt;"",IFERROR(_xlfn.IFS(AA40&gt;='NILAI CPL'!$B$3,4,AA40&gt;='NILAI CPL'!$B$4,3,AA40&gt;='NILAI CPL'!$B$5,2,AA40&gt;'NILAI CPL'!$B$6,1),0),"")</f>
        <v/>
      </c>
      <c r="AY40" s="2" t="str" cm="1">
        <f t="array" ref="AY40">IF('NILAI CPL'!$B40&lt;&gt;"",IFERROR(_xlfn.IFS(AB40&gt;='NILAI CPL'!$B$3,4,AB40&gt;='NILAI CPL'!$B$4,3,AB40&gt;='NILAI CPL'!$B$5,2,AB40&gt;'NILAI CPL'!$B$6,1),0),"")</f>
        <v/>
      </c>
      <c r="AZ40" s="2" t="str" cm="1">
        <f t="array" ref="AZ40">IF('NILAI CPL'!$B40&lt;&gt;"",IFERROR(_xlfn.IFS(AC40&gt;='NILAI CPL'!$B$3,4,AC40&gt;='NILAI CPL'!$B$4,3,AC40&gt;='NILAI CPL'!$B$5,2,AC40&gt;'NILAI CPL'!$B$6,1),0),"")</f>
        <v/>
      </c>
      <c r="BA40" s="2" t="str" cm="1">
        <f t="array" ref="BA40">IF('NILAI CPL'!$B40&lt;&gt;"",IFERROR(_xlfn.IFS(AD40&gt;='NILAI CPL'!$B$3,4,AD40&gt;='NILAI CPL'!$B$4,3,AD40&gt;='NILAI CPL'!$B$5,2,AD40&gt;'NILAI CPL'!$B$6,1),0),"")</f>
        <v/>
      </c>
      <c r="BB40" s="2" t="str" cm="1">
        <f t="array" ref="BB40">IF('NILAI CPL'!$B40&lt;&gt;"",IFERROR(_xlfn.IFS(AE40&gt;='NILAI CPL'!$B$3,4,AE40&gt;='NILAI CPL'!$B$4,3,AE40&gt;='NILAI CPL'!$B$5,2,AE40&gt;'NILAI CPL'!$B$6,1),0),"")</f>
        <v/>
      </c>
      <c r="BC40" s="2" t="str" cm="1">
        <f t="array" ref="BC40">IF('NILAI CPL'!$B40&lt;&gt;"",IFERROR(_xlfn.IFS(AF40&gt;='NILAI CPL'!$B$3,4,AF40&gt;='NILAI CPL'!$B$4,3,AF40&gt;='NILAI CPL'!$B$5,2,AF40&gt;'NILAI CPL'!$B$6,1),0),"")</f>
        <v/>
      </c>
      <c r="BD40" s="2" t="str" cm="1">
        <f t="array" ref="BD40">IF('NILAI CPL'!$B40&lt;&gt;"",IFERROR(_xlfn.IFS(AG40&gt;='NILAI CPL'!$B$3,4,AG40&gt;='NILAI CPL'!$B$4,3,AG40&gt;='NILAI CPL'!$B$5,2,AG40&gt;'NILAI CPL'!$B$6,1),0),"")</f>
        <v/>
      </c>
      <c r="BE40" s="2" t="str" cm="1">
        <f t="array" ref="BE40">IF('NILAI CPL'!$B40&lt;&gt;"",IFERROR(_xlfn.IFS(AH40&gt;='NILAI CPL'!$B$3,4,AH40&gt;='NILAI CPL'!$B$4,3,AH40&gt;='NILAI CPL'!$B$5,2,AH40&gt;'NILAI CPL'!$B$6,1),0),"")</f>
        <v/>
      </c>
      <c r="BF40" s="2" t="str" cm="1">
        <f t="array" ref="BF40">IF('NILAI CPL'!$B40&lt;&gt;"",IFERROR(_xlfn.IFS(AI40&gt;='NILAI CPL'!$B$3,4,AI40&gt;='NILAI CPL'!$B$4,3,AI40&gt;='NILAI CPL'!$B$5,2,AI40&gt;'NILAI CPL'!$B$6,1),0),"")</f>
        <v/>
      </c>
      <c r="BG40" s="2" t="str" cm="1">
        <f t="array" ref="BG40">IF('NILAI CPL'!$B40&lt;&gt;"",IFERROR(_xlfn.IFS(AJ40&gt;='NILAI CPL'!$B$3,4,AJ40&gt;='NILAI CPL'!$B$4,3,AJ40&gt;='NILAI CPL'!$B$5,2,AJ40&gt;'NILAI CPL'!$B$6,1),0),"")</f>
        <v/>
      </c>
      <c r="BH40" s="2" t="str" cm="1">
        <f t="array" ref="BH40">IF('NILAI CPL'!$B40&lt;&gt;"",IFERROR(_xlfn.IFS(AK40&gt;='NILAI CPL'!$B$3,4,AK40&gt;='NILAI CPL'!$B$4,3,AK40&gt;='NILAI CPL'!$B$5,2,AK40&gt;'NILAI CPL'!$B$6,1),0),"")</f>
        <v/>
      </c>
      <c r="BI40" s="2" t="str" cm="1">
        <f t="array" ref="BI40">IF('NILAI CPL'!$B40&lt;&gt;"",IFERROR(_xlfn.IFS(AL40&gt;='NILAI CPL'!$B$3,4,AL40&gt;='NILAI CPL'!$B$4,3,AL40&gt;='NILAI CPL'!$B$5,2,AL40&gt;'NILAI CPL'!$B$6,1),0),"")</f>
        <v/>
      </c>
      <c r="BJ40" s="2" t="str" cm="1">
        <f t="array" ref="BJ40">IF('NILAI CPL'!$B40&lt;&gt;"",IFERROR(_xlfn.IFS(AM40&gt;='NILAI CPL'!$B$3,4,AM40&gt;='NILAI CPL'!$B$4,3,AM40&gt;='NILAI CPL'!$B$5,2,AM40&gt;'NILAI CPL'!$B$6,1),0),"")</f>
        <v/>
      </c>
      <c r="BK40" s="2" t="str" cm="1">
        <f t="array" ref="BK40">IF('NILAI CPL'!$B40&lt;&gt;"",IFERROR(_xlfn.IFS(AN40&gt;='NILAI CPL'!$B$3,4,AN40&gt;='NILAI CPL'!$B$4,3,AN40&gt;='NILAI CPL'!$B$5,2,AN40&gt;'NILAI CPL'!$B$6,1),0),"")</f>
        <v/>
      </c>
    </row>
    <row r="41" spans="1:63" x14ac:dyDescent="0.2">
      <c r="A41" s="2">
        <v>31</v>
      </c>
      <c r="B41" s="2" t="str">
        <f>IF(LEN(SUMMARY!B41)&gt;0, SUMMARY!B41, "")</f>
        <v/>
      </c>
      <c r="C41" s="2" t="str">
        <f>IF(LEN(SUMMARY!C41)&gt;0, SUMMARY!C41, "")</f>
        <v/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" t="str">
        <f t="shared" si="24"/>
        <v/>
      </c>
      <c r="S41" s="2" t="str">
        <f t="shared" si="2"/>
        <v/>
      </c>
      <c r="T41" s="2" t="str">
        <f t="shared" si="3"/>
        <v/>
      </c>
      <c r="U41" s="2" t="str">
        <f t="shared" si="4"/>
        <v/>
      </c>
      <c r="V41" s="2" t="str">
        <f t="shared" si="5"/>
        <v/>
      </c>
      <c r="W41" s="2" t="str">
        <f t="shared" si="6"/>
        <v/>
      </c>
      <c r="X41" s="2" t="str">
        <f t="shared" si="7"/>
        <v/>
      </c>
      <c r="Y41" s="2" t="str">
        <f t="shared" si="8"/>
        <v/>
      </c>
      <c r="Z41" s="2" t="str">
        <f t="shared" si="9"/>
        <v/>
      </c>
      <c r="AA41" s="2" t="str">
        <f t="shared" si="10"/>
        <v/>
      </c>
      <c r="AB41" s="2" t="str">
        <f t="shared" si="11"/>
        <v/>
      </c>
      <c r="AC41" s="2" t="str">
        <f t="shared" si="12"/>
        <v/>
      </c>
      <c r="AD41" s="2" t="str">
        <f t="shared" si="13"/>
        <v/>
      </c>
      <c r="AE41" s="2" t="str">
        <f t="shared" si="14"/>
        <v/>
      </c>
      <c r="AF41" s="2" t="str">
        <f t="shared" si="15"/>
        <v/>
      </c>
      <c r="AG41" s="2" t="str">
        <f t="shared" si="16"/>
        <v/>
      </c>
      <c r="AH41" s="2" t="str">
        <f t="shared" si="17"/>
        <v/>
      </c>
      <c r="AI41" s="2" t="str">
        <f t="shared" si="18"/>
        <v/>
      </c>
      <c r="AJ41" s="2" t="str">
        <f t="shared" si="19"/>
        <v/>
      </c>
      <c r="AK41" s="2" t="str">
        <f t="shared" si="20"/>
        <v/>
      </c>
      <c r="AL41" s="2" t="str">
        <f t="shared" si="21"/>
        <v/>
      </c>
      <c r="AM41" s="2" t="str">
        <f t="shared" si="22"/>
        <v/>
      </c>
      <c r="AN41" s="2" t="str">
        <f t="shared" si="23"/>
        <v/>
      </c>
      <c r="AP41" s="2" t="str" cm="1">
        <f t="array" ref="AP41">IF('NILAI CPL'!$B41&lt;&gt;"",IFERROR(_xlfn.IFS(S41&gt;='NILAI CPL'!$B$3,4,S41&gt;='NILAI CPL'!$B$4,3,S41&gt;='NILAI CPL'!$B$5,2,S41&gt;'NILAI CPL'!$B$6,1),0),"")</f>
        <v/>
      </c>
      <c r="AQ41" s="2" t="str" cm="1">
        <f t="array" ref="AQ41">IF('NILAI CPL'!$B41&lt;&gt;"",IFERROR(_xlfn.IFS(T41&gt;='NILAI CPL'!$B$3,4,T41&gt;='NILAI CPL'!$B$4,3,T41&gt;='NILAI CPL'!$B$5,2,T41&gt;'NILAI CPL'!$B$6,1),0),"")</f>
        <v/>
      </c>
      <c r="AR41" s="2" t="str" cm="1">
        <f t="array" ref="AR41">IF('NILAI CPL'!$B41&lt;&gt;"",IFERROR(_xlfn.IFS(U41&gt;='NILAI CPL'!$B$3,4,U41&gt;='NILAI CPL'!$B$4,3,U41&gt;='NILAI CPL'!$B$5,2,U41&gt;'NILAI CPL'!$B$6,1),0),"")</f>
        <v/>
      </c>
      <c r="AS41" s="2" t="str" cm="1">
        <f t="array" ref="AS41">IF('NILAI CPL'!$B41&lt;&gt;"",IFERROR(_xlfn.IFS(V41&gt;='NILAI CPL'!$B$3,4,V41&gt;='NILAI CPL'!$B$4,3,V41&gt;='NILAI CPL'!$B$5,2,V41&gt;'NILAI CPL'!$B$6,1),0),"")</f>
        <v/>
      </c>
      <c r="AT41" s="2" t="str" cm="1">
        <f t="array" ref="AT41">IF('NILAI CPL'!$B41&lt;&gt;"",IFERROR(_xlfn.IFS(W41&gt;='NILAI CPL'!$B$3,4,W41&gt;='NILAI CPL'!$B$4,3,W41&gt;='NILAI CPL'!$B$5,2,W41&gt;'NILAI CPL'!$B$6,1),0),"")</f>
        <v/>
      </c>
      <c r="AU41" s="2" t="str" cm="1">
        <f t="array" ref="AU41">IF('NILAI CPL'!$B41&lt;&gt;"",IFERROR(_xlfn.IFS(X41&gt;='NILAI CPL'!$B$3,4,X41&gt;='NILAI CPL'!$B$4,3,X41&gt;='NILAI CPL'!$B$5,2,X41&gt;'NILAI CPL'!$B$6,1),0),"")</f>
        <v/>
      </c>
      <c r="AV41" s="2" t="str" cm="1">
        <f t="array" ref="AV41">IF('NILAI CPL'!$B41&lt;&gt;"",IFERROR(_xlfn.IFS(Y41&gt;='NILAI CPL'!$B$3,4,Y41&gt;='NILAI CPL'!$B$4,3,Y41&gt;='NILAI CPL'!$B$5,2,Y41&gt;'NILAI CPL'!$B$6,1),0),"")</f>
        <v/>
      </c>
      <c r="AW41" s="2" t="str" cm="1">
        <f t="array" ref="AW41">IF('NILAI CPL'!$B41&lt;&gt;"",IFERROR(_xlfn.IFS(Z41&gt;='NILAI CPL'!$B$3,4,Z41&gt;='NILAI CPL'!$B$4,3,Z41&gt;='NILAI CPL'!$B$5,2,Z41&gt;'NILAI CPL'!$B$6,1),0),"")</f>
        <v/>
      </c>
      <c r="AX41" s="2" t="str" cm="1">
        <f t="array" ref="AX41">IF('NILAI CPL'!$B41&lt;&gt;"",IFERROR(_xlfn.IFS(AA41&gt;='NILAI CPL'!$B$3,4,AA41&gt;='NILAI CPL'!$B$4,3,AA41&gt;='NILAI CPL'!$B$5,2,AA41&gt;'NILAI CPL'!$B$6,1),0),"")</f>
        <v/>
      </c>
      <c r="AY41" s="2" t="str" cm="1">
        <f t="array" ref="AY41">IF('NILAI CPL'!$B41&lt;&gt;"",IFERROR(_xlfn.IFS(AB41&gt;='NILAI CPL'!$B$3,4,AB41&gt;='NILAI CPL'!$B$4,3,AB41&gt;='NILAI CPL'!$B$5,2,AB41&gt;'NILAI CPL'!$B$6,1),0),"")</f>
        <v/>
      </c>
      <c r="AZ41" s="2" t="str" cm="1">
        <f t="array" ref="AZ41">IF('NILAI CPL'!$B41&lt;&gt;"",IFERROR(_xlfn.IFS(AC41&gt;='NILAI CPL'!$B$3,4,AC41&gt;='NILAI CPL'!$B$4,3,AC41&gt;='NILAI CPL'!$B$5,2,AC41&gt;'NILAI CPL'!$B$6,1),0),"")</f>
        <v/>
      </c>
      <c r="BA41" s="2" t="str" cm="1">
        <f t="array" ref="BA41">IF('NILAI CPL'!$B41&lt;&gt;"",IFERROR(_xlfn.IFS(AD41&gt;='NILAI CPL'!$B$3,4,AD41&gt;='NILAI CPL'!$B$4,3,AD41&gt;='NILAI CPL'!$B$5,2,AD41&gt;'NILAI CPL'!$B$6,1),0),"")</f>
        <v/>
      </c>
      <c r="BB41" s="2" t="str" cm="1">
        <f t="array" ref="BB41">IF('NILAI CPL'!$B41&lt;&gt;"",IFERROR(_xlfn.IFS(AE41&gt;='NILAI CPL'!$B$3,4,AE41&gt;='NILAI CPL'!$B$4,3,AE41&gt;='NILAI CPL'!$B$5,2,AE41&gt;'NILAI CPL'!$B$6,1),0),"")</f>
        <v/>
      </c>
      <c r="BC41" s="2" t="str" cm="1">
        <f t="array" ref="BC41">IF('NILAI CPL'!$B41&lt;&gt;"",IFERROR(_xlfn.IFS(AF41&gt;='NILAI CPL'!$B$3,4,AF41&gt;='NILAI CPL'!$B$4,3,AF41&gt;='NILAI CPL'!$B$5,2,AF41&gt;'NILAI CPL'!$B$6,1),0),"")</f>
        <v/>
      </c>
      <c r="BD41" s="2" t="str" cm="1">
        <f t="array" ref="BD41">IF('NILAI CPL'!$B41&lt;&gt;"",IFERROR(_xlfn.IFS(AG41&gt;='NILAI CPL'!$B$3,4,AG41&gt;='NILAI CPL'!$B$4,3,AG41&gt;='NILAI CPL'!$B$5,2,AG41&gt;'NILAI CPL'!$B$6,1),0),"")</f>
        <v/>
      </c>
      <c r="BE41" s="2" t="str" cm="1">
        <f t="array" ref="BE41">IF('NILAI CPL'!$B41&lt;&gt;"",IFERROR(_xlfn.IFS(AH41&gt;='NILAI CPL'!$B$3,4,AH41&gt;='NILAI CPL'!$B$4,3,AH41&gt;='NILAI CPL'!$B$5,2,AH41&gt;'NILAI CPL'!$B$6,1),0),"")</f>
        <v/>
      </c>
      <c r="BF41" s="2" t="str" cm="1">
        <f t="array" ref="BF41">IF('NILAI CPL'!$B41&lt;&gt;"",IFERROR(_xlfn.IFS(AI41&gt;='NILAI CPL'!$B$3,4,AI41&gt;='NILAI CPL'!$B$4,3,AI41&gt;='NILAI CPL'!$B$5,2,AI41&gt;'NILAI CPL'!$B$6,1),0),"")</f>
        <v/>
      </c>
      <c r="BG41" s="2" t="str" cm="1">
        <f t="array" ref="BG41">IF('NILAI CPL'!$B41&lt;&gt;"",IFERROR(_xlfn.IFS(AJ41&gt;='NILAI CPL'!$B$3,4,AJ41&gt;='NILAI CPL'!$B$4,3,AJ41&gt;='NILAI CPL'!$B$5,2,AJ41&gt;'NILAI CPL'!$B$6,1),0),"")</f>
        <v/>
      </c>
      <c r="BH41" s="2" t="str" cm="1">
        <f t="array" ref="BH41">IF('NILAI CPL'!$B41&lt;&gt;"",IFERROR(_xlfn.IFS(AK41&gt;='NILAI CPL'!$B$3,4,AK41&gt;='NILAI CPL'!$B$4,3,AK41&gt;='NILAI CPL'!$B$5,2,AK41&gt;'NILAI CPL'!$B$6,1),0),"")</f>
        <v/>
      </c>
      <c r="BI41" s="2" t="str" cm="1">
        <f t="array" ref="BI41">IF('NILAI CPL'!$B41&lt;&gt;"",IFERROR(_xlfn.IFS(AL41&gt;='NILAI CPL'!$B$3,4,AL41&gt;='NILAI CPL'!$B$4,3,AL41&gt;='NILAI CPL'!$B$5,2,AL41&gt;'NILAI CPL'!$B$6,1),0),"")</f>
        <v/>
      </c>
      <c r="BJ41" s="2" t="str" cm="1">
        <f t="array" ref="BJ41">IF('NILAI CPL'!$B41&lt;&gt;"",IFERROR(_xlfn.IFS(AM41&gt;='NILAI CPL'!$B$3,4,AM41&gt;='NILAI CPL'!$B$4,3,AM41&gt;='NILAI CPL'!$B$5,2,AM41&gt;'NILAI CPL'!$B$6,1),0),"")</f>
        <v/>
      </c>
      <c r="BK41" s="2" t="str" cm="1">
        <f t="array" ref="BK41">IF('NILAI CPL'!$B41&lt;&gt;"",IFERROR(_xlfn.IFS(AN41&gt;='NILAI CPL'!$B$3,4,AN41&gt;='NILAI CPL'!$B$4,3,AN41&gt;='NILAI CPL'!$B$5,2,AN41&gt;'NILAI CPL'!$B$6,1),0),"")</f>
        <v/>
      </c>
    </row>
    <row r="42" spans="1:63" x14ac:dyDescent="0.2">
      <c r="A42" s="2">
        <v>32</v>
      </c>
      <c r="B42" s="2" t="str">
        <f>IF(LEN(SUMMARY!B42)&gt;0, SUMMARY!B42, "")</f>
        <v/>
      </c>
      <c r="C42" s="2" t="str">
        <f>IF(LEN(SUMMARY!C42)&gt;0, SUMMARY!C42, "")</f>
        <v/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" t="str">
        <f t="shared" si="24"/>
        <v/>
      </c>
      <c r="S42" s="2" t="str">
        <f t="shared" si="2"/>
        <v/>
      </c>
      <c r="T42" s="2" t="str">
        <f t="shared" si="3"/>
        <v/>
      </c>
      <c r="U42" s="2" t="str">
        <f t="shared" si="4"/>
        <v/>
      </c>
      <c r="V42" s="2" t="str">
        <f t="shared" si="5"/>
        <v/>
      </c>
      <c r="W42" s="2" t="str">
        <f t="shared" si="6"/>
        <v/>
      </c>
      <c r="X42" s="2" t="str">
        <f t="shared" si="7"/>
        <v/>
      </c>
      <c r="Y42" s="2" t="str">
        <f t="shared" si="8"/>
        <v/>
      </c>
      <c r="Z42" s="2" t="str">
        <f t="shared" si="9"/>
        <v/>
      </c>
      <c r="AA42" s="2" t="str">
        <f t="shared" si="10"/>
        <v/>
      </c>
      <c r="AB42" s="2" t="str">
        <f t="shared" si="11"/>
        <v/>
      </c>
      <c r="AC42" s="2" t="str">
        <f t="shared" si="12"/>
        <v/>
      </c>
      <c r="AD42" s="2" t="str">
        <f t="shared" si="13"/>
        <v/>
      </c>
      <c r="AE42" s="2" t="str">
        <f t="shared" si="14"/>
        <v/>
      </c>
      <c r="AF42" s="2" t="str">
        <f t="shared" si="15"/>
        <v/>
      </c>
      <c r="AG42" s="2" t="str">
        <f t="shared" si="16"/>
        <v/>
      </c>
      <c r="AH42" s="2" t="str">
        <f t="shared" si="17"/>
        <v/>
      </c>
      <c r="AI42" s="2" t="str">
        <f t="shared" si="18"/>
        <v/>
      </c>
      <c r="AJ42" s="2" t="str">
        <f t="shared" si="19"/>
        <v/>
      </c>
      <c r="AK42" s="2" t="str">
        <f t="shared" si="20"/>
        <v/>
      </c>
      <c r="AL42" s="2" t="str">
        <f t="shared" si="21"/>
        <v/>
      </c>
      <c r="AM42" s="2" t="str">
        <f t="shared" si="22"/>
        <v/>
      </c>
      <c r="AN42" s="2" t="str">
        <f t="shared" si="23"/>
        <v/>
      </c>
      <c r="AP42" s="2" t="str" cm="1">
        <f t="array" ref="AP42">IF('NILAI CPL'!$B42&lt;&gt;"",IFERROR(_xlfn.IFS(S42&gt;='NILAI CPL'!$B$3,4,S42&gt;='NILAI CPL'!$B$4,3,S42&gt;='NILAI CPL'!$B$5,2,S42&gt;'NILAI CPL'!$B$6,1),0),"")</f>
        <v/>
      </c>
      <c r="AQ42" s="2" t="str" cm="1">
        <f t="array" ref="AQ42">IF('NILAI CPL'!$B42&lt;&gt;"",IFERROR(_xlfn.IFS(T42&gt;='NILAI CPL'!$B$3,4,T42&gt;='NILAI CPL'!$B$4,3,T42&gt;='NILAI CPL'!$B$5,2,T42&gt;'NILAI CPL'!$B$6,1),0),"")</f>
        <v/>
      </c>
      <c r="AR42" s="2" t="str" cm="1">
        <f t="array" ref="AR42">IF('NILAI CPL'!$B42&lt;&gt;"",IFERROR(_xlfn.IFS(U42&gt;='NILAI CPL'!$B$3,4,U42&gt;='NILAI CPL'!$B$4,3,U42&gt;='NILAI CPL'!$B$5,2,U42&gt;'NILAI CPL'!$B$6,1),0),"")</f>
        <v/>
      </c>
      <c r="AS42" s="2" t="str" cm="1">
        <f t="array" ref="AS42">IF('NILAI CPL'!$B42&lt;&gt;"",IFERROR(_xlfn.IFS(V42&gt;='NILAI CPL'!$B$3,4,V42&gt;='NILAI CPL'!$B$4,3,V42&gt;='NILAI CPL'!$B$5,2,V42&gt;'NILAI CPL'!$B$6,1),0),"")</f>
        <v/>
      </c>
      <c r="AT42" s="2" t="str" cm="1">
        <f t="array" ref="AT42">IF('NILAI CPL'!$B42&lt;&gt;"",IFERROR(_xlfn.IFS(W42&gt;='NILAI CPL'!$B$3,4,W42&gt;='NILAI CPL'!$B$4,3,W42&gt;='NILAI CPL'!$B$5,2,W42&gt;'NILAI CPL'!$B$6,1),0),"")</f>
        <v/>
      </c>
      <c r="AU42" s="2" t="str" cm="1">
        <f t="array" ref="AU42">IF('NILAI CPL'!$B42&lt;&gt;"",IFERROR(_xlfn.IFS(X42&gt;='NILAI CPL'!$B$3,4,X42&gt;='NILAI CPL'!$B$4,3,X42&gt;='NILAI CPL'!$B$5,2,X42&gt;'NILAI CPL'!$B$6,1),0),"")</f>
        <v/>
      </c>
      <c r="AV42" s="2" t="str" cm="1">
        <f t="array" ref="AV42">IF('NILAI CPL'!$B42&lt;&gt;"",IFERROR(_xlfn.IFS(Y42&gt;='NILAI CPL'!$B$3,4,Y42&gt;='NILAI CPL'!$B$4,3,Y42&gt;='NILAI CPL'!$B$5,2,Y42&gt;'NILAI CPL'!$B$6,1),0),"")</f>
        <v/>
      </c>
      <c r="AW42" s="2" t="str" cm="1">
        <f t="array" ref="AW42">IF('NILAI CPL'!$B42&lt;&gt;"",IFERROR(_xlfn.IFS(Z42&gt;='NILAI CPL'!$B$3,4,Z42&gt;='NILAI CPL'!$B$4,3,Z42&gt;='NILAI CPL'!$B$5,2,Z42&gt;'NILAI CPL'!$B$6,1),0),"")</f>
        <v/>
      </c>
      <c r="AX42" s="2" t="str" cm="1">
        <f t="array" ref="AX42">IF('NILAI CPL'!$B42&lt;&gt;"",IFERROR(_xlfn.IFS(AA42&gt;='NILAI CPL'!$B$3,4,AA42&gt;='NILAI CPL'!$B$4,3,AA42&gt;='NILAI CPL'!$B$5,2,AA42&gt;'NILAI CPL'!$B$6,1),0),"")</f>
        <v/>
      </c>
      <c r="AY42" s="2" t="str" cm="1">
        <f t="array" ref="AY42">IF('NILAI CPL'!$B42&lt;&gt;"",IFERROR(_xlfn.IFS(AB42&gt;='NILAI CPL'!$B$3,4,AB42&gt;='NILAI CPL'!$B$4,3,AB42&gt;='NILAI CPL'!$B$5,2,AB42&gt;'NILAI CPL'!$B$6,1),0),"")</f>
        <v/>
      </c>
      <c r="AZ42" s="2" t="str" cm="1">
        <f t="array" ref="AZ42">IF('NILAI CPL'!$B42&lt;&gt;"",IFERROR(_xlfn.IFS(AC42&gt;='NILAI CPL'!$B$3,4,AC42&gt;='NILAI CPL'!$B$4,3,AC42&gt;='NILAI CPL'!$B$5,2,AC42&gt;'NILAI CPL'!$B$6,1),0),"")</f>
        <v/>
      </c>
      <c r="BA42" s="2" t="str" cm="1">
        <f t="array" ref="BA42">IF('NILAI CPL'!$B42&lt;&gt;"",IFERROR(_xlfn.IFS(AD42&gt;='NILAI CPL'!$B$3,4,AD42&gt;='NILAI CPL'!$B$4,3,AD42&gt;='NILAI CPL'!$B$5,2,AD42&gt;'NILAI CPL'!$B$6,1),0),"")</f>
        <v/>
      </c>
      <c r="BB42" s="2" t="str" cm="1">
        <f t="array" ref="BB42">IF('NILAI CPL'!$B42&lt;&gt;"",IFERROR(_xlfn.IFS(AE42&gt;='NILAI CPL'!$B$3,4,AE42&gt;='NILAI CPL'!$B$4,3,AE42&gt;='NILAI CPL'!$B$5,2,AE42&gt;'NILAI CPL'!$B$6,1),0),"")</f>
        <v/>
      </c>
      <c r="BC42" s="2" t="str" cm="1">
        <f t="array" ref="BC42">IF('NILAI CPL'!$B42&lt;&gt;"",IFERROR(_xlfn.IFS(AF42&gt;='NILAI CPL'!$B$3,4,AF42&gt;='NILAI CPL'!$B$4,3,AF42&gt;='NILAI CPL'!$B$5,2,AF42&gt;'NILAI CPL'!$B$6,1),0),"")</f>
        <v/>
      </c>
      <c r="BD42" s="2" t="str" cm="1">
        <f t="array" ref="BD42">IF('NILAI CPL'!$B42&lt;&gt;"",IFERROR(_xlfn.IFS(AG42&gt;='NILAI CPL'!$B$3,4,AG42&gt;='NILAI CPL'!$B$4,3,AG42&gt;='NILAI CPL'!$B$5,2,AG42&gt;'NILAI CPL'!$B$6,1),0),"")</f>
        <v/>
      </c>
      <c r="BE42" s="2" t="str" cm="1">
        <f t="array" ref="BE42">IF('NILAI CPL'!$B42&lt;&gt;"",IFERROR(_xlfn.IFS(AH42&gt;='NILAI CPL'!$B$3,4,AH42&gt;='NILAI CPL'!$B$4,3,AH42&gt;='NILAI CPL'!$B$5,2,AH42&gt;'NILAI CPL'!$B$6,1),0),"")</f>
        <v/>
      </c>
      <c r="BF42" s="2" t="str" cm="1">
        <f t="array" ref="BF42">IF('NILAI CPL'!$B42&lt;&gt;"",IFERROR(_xlfn.IFS(AI42&gt;='NILAI CPL'!$B$3,4,AI42&gt;='NILAI CPL'!$B$4,3,AI42&gt;='NILAI CPL'!$B$5,2,AI42&gt;'NILAI CPL'!$B$6,1),0),"")</f>
        <v/>
      </c>
      <c r="BG42" s="2" t="str" cm="1">
        <f t="array" ref="BG42">IF('NILAI CPL'!$B42&lt;&gt;"",IFERROR(_xlfn.IFS(AJ42&gt;='NILAI CPL'!$B$3,4,AJ42&gt;='NILAI CPL'!$B$4,3,AJ42&gt;='NILAI CPL'!$B$5,2,AJ42&gt;'NILAI CPL'!$B$6,1),0),"")</f>
        <v/>
      </c>
      <c r="BH42" s="2" t="str" cm="1">
        <f t="array" ref="BH42">IF('NILAI CPL'!$B42&lt;&gt;"",IFERROR(_xlfn.IFS(AK42&gt;='NILAI CPL'!$B$3,4,AK42&gt;='NILAI CPL'!$B$4,3,AK42&gt;='NILAI CPL'!$B$5,2,AK42&gt;'NILAI CPL'!$B$6,1),0),"")</f>
        <v/>
      </c>
      <c r="BI42" s="2" t="str" cm="1">
        <f t="array" ref="BI42">IF('NILAI CPL'!$B42&lt;&gt;"",IFERROR(_xlfn.IFS(AL42&gt;='NILAI CPL'!$B$3,4,AL42&gt;='NILAI CPL'!$B$4,3,AL42&gt;='NILAI CPL'!$B$5,2,AL42&gt;'NILAI CPL'!$B$6,1),0),"")</f>
        <v/>
      </c>
      <c r="BJ42" s="2" t="str" cm="1">
        <f t="array" ref="BJ42">IF('NILAI CPL'!$B42&lt;&gt;"",IFERROR(_xlfn.IFS(AM42&gt;='NILAI CPL'!$B$3,4,AM42&gt;='NILAI CPL'!$B$4,3,AM42&gt;='NILAI CPL'!$B$5,2,AM42&gt;'NILAI CPL'!$B$6,1),0),"")</f>
        <v/>
      </c>
      <c r="BK42" s="2" t="str" cm="1">
        <f t="array" ref="BK42">IF('NILAI CPL'!$B42&lt;&gt;"",IFERROR(_xlfn.IFS(AN42&gt;='NILAI CPL'!$B$3,4,AN42&gt;='NILAI CPL'!$B$4,3,AN42&gt;='NILAI CPL'!$B$5,2,AN42&gt;'NILAI CPL'!$B$6,1),0),"")</f>
        <v/>
      </c>
    </row>
    <row r="43" spans="1:63" x14ac:dyDescent="0.2">
      <c r="A43" s="2">
        <v>33</v>
      </c>
      <c r="B43" s="2" t="str">
        <f>IF(LEN(SUMMARY!B43)&gt;0, SUMMARY!B43, "")</f>
        <v/>
      </c>
      <c r="C43" s="2" t="str">
        <f>IF(LEN(SUMMARY!C43)&gt;0, SUMMARY!C43, "")</f>
        <v/>
      </c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" t="str">
        <f t="shared" si="24"/>
        <v/>
      </c>
      <c r="S43" s="2" t="str">
        <f t="shared" si="2"/>
        <v/>
      </c>
      <c r="T43" s="2" t="str">
        <f t="shared" si="3"/>
        <v/>
      </c>
      <c r="U43" s="2" t="str">
        <f t="shared" si="4"/>
        <v/>
      </c>
      <c r="V43" s="2" t="str">
        <f t="shared" si="5"/>
        <v/>
      </c>
      <c r="W43" s="2" t="str">
        <f t="shared" si="6"/>
        <v/>
      </c>
      <c r="X43" s="2" t="str">
        <f t="shared" si="7"/>
        <v/>
      </c>
      <c r="Y43" s="2" t="str">
        <f t="shared" si="8"/>
        <v/>
      </c>
      <c r="Z43" s="2" t="str">
        <f t="shared" si="9"/>
        <v/>
      </c>
      <c r="AA43" s="2" t="str">
        <f t="shared" si="10"/>
        <v/>
      </c>
      <c r="AB43" s="2" t="str">
        <f t="shared" si="11"/>
        <v/>
      </c>
      <c r="AC43" s="2" t="str">
        <f t="shared" si="12"/>
        <v/>
      </c>
      <c r="AD43" s="2" t="str">
        <f t="shared" si="13"/>
        <v/>
      </c>
      <c r="AE43" s="2" t="str">
        <f t="shared" si="14"/>
        <v/>
      </c>
      <c r="AF43" s="2" t="str">
        <f t="shared" si="15"/>
        <v/>
      </c>
      <c r="AG43" s="2" t="str">
        <f t="shared" si="16"/>
        <v/>
      </c>
      <c r="AH43" s="2" t="str">
        <f t="shared" si="17"/>
        <v/>
      </c>
      <c r="AI43" s="2" t="str">
        <f t="shared" si="18"/>
        <v/>
      </c>
      <c r="AJ43" s="2" t="str">
        <f t="shared" si="19"/>
        <v/>
      </c>
      <c r="AK43" s="2" t="str">
        <f t="shared" si="20"/>
        <v/>
      </c>
      <c r="AL43" s="2" t="str">
        <f t="shared" si="21"/>
        <v/>
      </c>
      <c r="AM43" s="2" t="str">
        <f t="shared" si="22"/>
        <v/>
      </c>
      <c r="AN43" s="2" t="str">
        <f t="shared" si="23"/>
        <v/>
      </c>
      <c r="AP43" s="2" t="str" cm="1">
        <f t="array" ref="AP43">IF('NILAI CPL'!$B43&lt;&gt;"",IFERROR(_xlfn.IFS(S43&gt;='NILAI CPL'!$B$3,4,S43&gt;='NILAI CPL'!$B$4,3,S43&gt;='NILAI CPL'!$B$5,2,S43&gt;'NILAI CPL'!$B$6,1),0),"")</f>
        <v/>
      </c>
      <c r="AQ43" s="2" t="str" cm="1">
        <f t="array" ref="AQ43">IF('NILAI CPL'!$B43&lt;&gt;"",IFERROR(_xlfn.IFS(T43&gt;='NILAI CPL'!$B$3,4,T43&gt;='NILAI CPL'!$B$4,3,T43&gt;='NILAI CPL'!$B$5,2,T43&gt;'NILAI CPL'!$B$6,1),0),"")</f>
        <v/>
      </c>
      <c r="AR43" s="2" t="str" cm="1">
        <f t="array" ref="AR43">IF('NILAI CPL'!$B43&lt;&gt;"",IFERROR(_xlfn.IFS(U43&gt;='NILAI CPL'!$B$3,4,U43&gt;='NILAI CPL'!$B$4,3,U43&gt;='NILAI CPL'!$B$5,2,U43&gt;'NILAI CPL'!$B$6,1),0),"")</f>
        <v/>
      </c>
      <c r="AS43" s="2" t="str" cm="1">
        <f t="array" ref="AS43">IF('NILAI CPL'!$B43&lt;&gt;"",IFERROR(_xlfn.IFS(V43&gt;='NILAI CPL'!$B$3,4,V43&gt;='NILAI CPL'!$B$4,3,V43&gt;='NILAI CPL'!$B$5,2,V43&gt;'NILAI CPL'!$B$6,1),0),"")</f>
        <v/>
      </c>
      <c r="AT43" s="2" t="str" cm="1">
        <f t="array" ref="AT43">IF('NILAI CPL'!$B43&lt;&gt;"",IFERROR(_xlfn.IFS(W43&gt;='NILAI CPL'!$B$3,4,W43&gt;='NILAI CPL'!$B$4,3,W43&gt;='NILAI CPL'!$B$5,2,W43&gt;'NILAI CPL'!$B$6,1),0),"")</f>
        <v/>
      </c>
      <c r="AU43" s="2" t="str" cm="1">
        <f t="array" ref="AU43">IF('NILAI CPL'!$B43&lt;&gt;"",IFERROR(_xlfn.IFS(X43&gt;='NILAI CPL'!$B$3,4,X43&gt;='NILAI CPL'!$B$4,3,X43&gt;='NILAI CPL'!$B$5,2,X43&gt;'NILAI CPL'!$B$6,1),0),"")</f>
        <v/>
      </c>
      <c r="AV43" s="2" t="str" cm="1">
        <f t="array" ref="AV43">IF('NILAI CPL'!$B43&lt;&gt;"",IFERROR(_xlfn.IFS(Y43&gt;='NILAI CPL'!$B$3,4,Y43&gt;='NILAI CPL'!$B$4,3,Y43&gt;='NILAI CPL'!$B$5,2,Y43&gt;'NILAI CPL'!$B$6,1),0),"")</f>
        <v/>
      </c>
      <c r="AW43" s="2" t="str" cm="1">
        <f t="array" ref="AW43">IF('NILAI CPL'!$B43&lt;&gt;"",IFERROR(_xlfn.IFS(Z43&gt;='NILAI CPL'!$B$3,4,Z43&gt;='NILAI CPL'!$B$4,3,Z43&gt;='NILAI CPL'!$B$5,2,Z43&gt;'NILAI CPL'!$B$6,1),0),"")</f>
        <v/>
      </c>
      <c r="AX43" s="2" t="str" cm="1">
        <f t="array" ref="AX43">IF('NILAI CPL'!$B43&lt;&gt;"",IFERROR(_xlfn.IFS(AA43&gt;='NILAI CPL'!$B$3,4,AA43&gt;='NILAI CPL'!$B$4,3,AA43&gt;='NILAI CPL'!$B$5,2,AA43&gt;'NILAI CPL'!$B$6,1),0),"")</f>
        <v/>
      </c>
      <c r="AY43" s="2" t="str" cm="1">
        <f t="array" ref="AY43">IF('NILAI CPL'!$B43&lt;&gt;"",IFERROR(_xlfn.IFS(AB43&gt;='NILAI CPL'!$B$3,4,AB43&gt;='NILAI CPL'!$B$4,3,AB43&gt;='NILAI CPL'!$B$5,2,AB43&gt;'NILAI CPL'!$B$6,1),0),"")</f>
        <v/>
      </c>
      <c r="AZ43" s="2" t="str" cm="1">
        <f t="array" ref="AZ43">IF('NILAI CPL'!$B43&lt;&gt;"",IFERROR(_xlfn.IFS(AC43&gt;='NILAI CPL'!$B$3,4,AC43&gt;='NILAI CPL'!$B$4,3,AC43&gt;='NILAI CPL'!$B$5,2,AC43&gt;'NILAI CPL'!$B$6,1),0),"")</f>
        <v/>
      </c>
      <c r="BA43" s="2" t="str" cm="1">
        <f t="array" ref="BA43">IF('NILAI CPL'!$B43&lt;&gt;"",IFERROR(_xlfn.IFS(AD43&gt;='NILAI CPL'!$B$3,4,AD43&gt;='NILAI CPL'!$B$4,3,AD43&gt;='NILAI CPL'!$B$5,2,AD43&gt;'NILAI CPL'!$B$6,1),0),"")</f>
        <v/>
      </c>
      <c r="BB43" s="2" t="str" cm="1">
        <f t="array" ref="BB43">IF('NILAI CPL'!$B43&lt;&gt;"",IFERROR(_xlfn.IFS(AE43&gt;='NILAI CPL'!$B$3,4,AE43&gt;='NILAI CPL'!$B$4,3,AE43&gt;='NILAI CPL'!$B$5,2,AE43&gt;'NILAI CPL'!$B$6,1),0),"")</f>
        <v/>
      </c>
      <c r="BC43" s="2" t="str" cm="1">
        <f t="array" ref="BC43">IF('NILAI CPL'!$B43&lt;&gt;"",IFERROR(_xlfn.IFS(AF43&gt;='NILAI CPL'!$B$3,4,AF43&gt;='NILAI CPL'!$B$4,3,AF43&gt;='NILAI CPL'!$B$5,2,AF43&gt;'NILAI CPL'!$B$6,1),0),"")</f>
        <v/>
      </c>
      <c r="BD43" s="2" t="str" cm="1">
        <f t="array" ref="BD43">IF('NILAI CPL'!$B43&lt;&gt;"",IFERROR(_xlfn.IFS(AG43&gt;='NILAI CPL'!$B$3,4,AG43&gt;='NILAI CPL'!$B$4,3,AG43&gt;='NILAI CPL'!$B$5,2,AG43&gt;'NILAI CPL'!$B$6,1),0),"")</f>
        <v/>
      </c>
      <c r="BE43" s="2" t="str" cm="1">
        <f t="array" ref="BE43">IF('NILAI CPL'!$B43&lt;&gt;"",IFERROR(_xlfn.IFS(AH43&gt;='NILAI CPL'!$B$3,4,AH43&gt;='NILAI CPL'!$B$4,3,AH43&gt;='NILAI CPL'!$B$5,2,AH43&gt;'NILAI CPL'!$B$6,1),0),"")</f>
        <v/>
      </c>
      <c r="BF43" s="2" t="str" cm="1">
        <f t="array" ref="BF43">IF('NILAI CPL'!$B43&lt;&gt;"",IFERROR(_xlfn.IFS(AI43&gt;='NILAI CPL'!$B$3,4,AI43&gt;='NILAI CPL'!$B$4,3,AI43&gt;='NILAI CPL'!$B$5,2,AI43&gt;'NILAI CPL'!$B$6,1),0),"")</f>
        <v/>
      </c>
      <c r="BG43" s="2" t="str" cm="1">
        <f t="array" ref="BG43">IF('NILAI CPL'!$B43&lt;&gt;"",IFERROR(_xlfn.IFS(AJ43&gt;='NILAI CPL'!$B$3,4,AJ43&gt;='NILAI CPL'!$B$4,3,AJ43&gt;='NILAI CPL'!$B$5,2,AJ43&gt;'NILAI CPL'!$B$6,1),0),"")</f>
        <v/>
      </c>
      <c r="BH43" s="2" t="str" cm="1">
        <f t="array" ref="BH43">IF('NILAI CPL'!$B43&lt;&gt;"",IFERROR(_xlfn.IFS(AK43&gt;='NILAI CPL'!$B$3,4,AK43&gt;='NILAI CPL'!$B$4,3,AK43&gt;='NILAI CPL'!$B$5,2,AK43&gt;'NILAI CPL'!$B$6,1),0),"")</f>
        <v/>
      </c>
      <c r="BI43" s="2" t="str" cm="1">
        <f t="array" ref="BI43">IF('NILAI CPL'!$B43&lt;&gt;"",IFERROR(_xlfn.IFS(AL43&gt;='NILAI CPL'!$B$3,4,AL43&gt;='NILAI CPL'!$B$4,3,AL43&gt;='NILAI CPL'!$B$5,2,AL43&gt;'NILAI CPL'!$B$6,1),0),"")</f>
        <v/>
      </c>
      <c r="BJ43" s="2" t="str" cm="1">
        <f t="array" ref="BJ43">IF('NILAI CPL'!$B43&lt;&gt;"",IFERROR(_xlfn.IFS(AM43&gt;='NILAI CPL'!$B$3,4,AM43&gt;='NILAI CPL'!$B$4,3,AM43&gt;='NILAI CPL'!$B$5,2,AM43&gt;'NILAI CPL'!$B$6,1),0),"")</f>
        <v/>
      </c>
      <c r="BK43" s="2" t="str" cm="1">
        <f t="array" ref="BK43">IF('NILAI CPL'!$B43&lt;&gt;"",IFERROR(_xlfn.IFS(AN43&gt;='NILAI CPL'!$B$3,4,AN43&gt;='NILAI CPL'!$B$4,3,AN43&gt;='NILAI CPL'!$B$5,2,AN43&gt;'NILAI CPL'!$B$6,1),0),"")</f>
        <v/>
      </c>
    </row>
    <row r="44" spans="1:63" x14ac:dyDescent="0.2">
      <c r="A44" s="2">
        <v>34</v>
      </c>
      <c r="B44" s="2" t="str">
        <f>IF(LEN(SUMMARY!B44)&gt;0, SUMMARY!B44, "")</f>
        <v/>
      </c>
      <c r="C44" s="2" t="str">
        <f>IF(LEN(SUMMARY!C44)&gt;0, SUMMARY!C44, "")</f>
        <v/>
      </c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" t="str">
        <f t="shared" si="24"/>
        <v/>
      </c>
      <c r="S44" s="2" t="str">
        <f t="shared" si="2"/>
        <v/>
      </c>
      <c r="T44" s="2" t="str">
        <f t="shared" si="3"/>
        <v/>
      </c>
      <c r="U44" s="2" t="str">
        <f t="shared" si="4"/>
        <v/>
      </c>
      <c r="V44" s="2" t="str">
        <f t="shared" si="5"/>
        <v/>
      </c>
      <c r="W44" s="2" t="str">
        <f t="shared" si="6"/>
        <v/>
      </c>
      <c r="X44" s="2" t="str">
        <f t="shared" si="7"/>
        <v/>
      </c>
      <c r="Y44" s="2" t="str">
        <f t="shared" si="8"/>
        <v/>
      </c>
      <c r="Z44" s="2" t="str">
        <f t="shared" si="9"/>
        <v/>
      </c>
      <c r="AA44" s="2" t="str">
        <f t="shared" si="10"/>
        <v/>
      </c>
      <c r="AB44" s="2" t="str">
        <f t="shared" si="11"/>
        <v/>
      </c>
      <c r="AC44" s="2" t="str">
        <f t="shared" si="12"/>
        <v/>
      </c>
      <c r="AD44" s="2" t="str">
        <f t="shared" si="13"/>
        <v/>
      </c>
      <c r="AE44" s="2" t="str">
        <f t="shared" si="14"/>
        <v/>
      </c>
      <c r="AF44" s="2" t="str">
        <f t="shared" si="15"/>
        <v/>
      </c>
      <c r="AG44" s="2" t="str">
        <f t="shared" si="16"/>
        <v/>
      </c>
      <c r="AH44" s="2" t="str">
        <f t="shared" si="17"/>
        <v/>
      </c>
      <c r="AI44" s="2" t="str">
        <f t="shared" si="18"/>
        <v/>
      </c>
      <c r="AJ44" s="2" t="str">
        <f t="shared" si="19"/>
        <v/>
      </c>
      <c r="AK44" s="2" t="str">
        <f t="shared" si="20"/>
        <v/>
      </c>
      <c r="AL44" s="2" t="str">
        <f t="shared" si="21"/>
        <v/>
      </c>
      <c r="AM44" s="2" t="str">
        <f t="shared" si="22"/>
        <v/>
      </c>
      <c r="AN44" s="2" t="str">
        <f t="shared" si="23"/>
        <v/>
      </c>
      <c r="AP44" s="2" t="str" cm="1">
        <f t="array" ref="AP44">IF('NILAI CPL'!$B44&lt;&gt;"",IFERROR(_xlfn.IFS(S44&gt;='NILAI CPL'!$B$3,4,S44&gt;='NILAI CPL'!$B$4,3,S44&gt;='NILAI CPL'!$B$5,2,S44&gt;'NILAI CPL'!$B$6,1),0),"")</f>
        <v/>
      </c>
      <c r="AQ44" s="2" t="str" cm="1">
        <f t="array" ref="AQ44">IF('NILAI CPL'!$B44&lt;&gt;"",IFERROR(_xlfn.IFS(T44&gt;='NILAI CPL'!$B$3,4,T44&gt;='NILAI CPL'!$B$4,3,T44&gt;='NILAI CPL'!$B$5,2,T44&gt;'NILAI CPL'!$B$6,1),0),"")</f>
        <v/>
      </c>
      <c r="AR44" s="2" t="str" cm="1">
        <f t="array" ref="AR44">IF('NILAI CPL'!$B44&lt;&gt;"",IFERROR(_xlfn.IFS(U44&gt;='NILAI CPL'!$B$3,4,U44&gt;='NILAI CPL'!$B$4,3,U44&gt;='NILAI CPL'!$B$5,2,U44&gt;'NILAI CPL'!$B$6,1),0),"")</f>
        <v/>
      </c>
      <c r="AS44" s="2" t="str" cm="1">
        <f t="array" ref="AS44">IF('NILAI CPL'!$B44&lt;&gt;"",IFERROR(_xlfn.IFS(V44&gt;='NILAI CPL'!$B$3,4,V44&gt;='NILAI CPL'!$B$4,3,V44&gt;='NILAI CPL'!$B$5,2,V44&gt;'NILAI CPL'!$B$6,1),0),"")</f>
        <v/>
      </c>
      <c r="AT44" s="2" t="str" cm="1">
        <f t="array" ref="AT44">IF('NILAI CPL'!$B44&lt;&gt;"",IFERROR(_xlfn.IFS(W44&gt;='NILAI CPL'!$B$3,4,W44&gt;='NILAI CPL'!$B$4,3,W44&gt;='NILAI CPL'!$B$5,2,W44&gt;'NILAI CPL'!$B$6,1),0),"")</f>
        <v/>
      </c>
      <c r="AU44" s="2" t="str" cm="1">
        <f t="array" ref="AU44">IF('NILAI CPL'!$B44&lt;&gt;"",IFERROR(_xlfn.IFS(X44&gt;='NILAI CPL'!$B$3,4,X44&gt;='NILAI CPL'!$B$4,3,X44&gt;='NILAI CPL'!$B$5,2,X44&gt;'NILAI CPL'!$B$6,1),0),"")</f>
        <v/>
      </c>
      <c r="AV44" s="2" t="str" cm="1">
        <f t="array" ref="AV44">IF('NILAI CPL'!$B44&lt;&gt;"",IFERROR(_xlfn.IFS(Y44&gt;='NILAI CPL'!$B$3,4,Y44&gt;='NILAI CPL'!$B$4,3,Y44&gt;='NILAI CPL'!$B$5,2,Y44&gt;'NILAI CPL'!$B$6,1),0),"")</f>
        <v/>
      </c>
      <c r="AW44" s="2" t="str" cm="1">
        <f t="array" ref="AW44">IF('NILAI CPL'!$B44&lt;&gt;"",IFERROR(_xlfn.IFS(Z44&gt;='NILAI CPL'!$B$3,4,Z44&gt;='NILAI CPL'!$B$4,3,Z44&gt;='NILAI CPL'!$B$5,2,Z44&gt;'NILAI CPL'!$B$6,1),0),"")</f>
        <v/>
      </c>
      <c r="AX44" s="2" t="str" cm="1">
        <f t="array" ref="AX44">IF('NILAI CPL'!$B44&lt;&gt;"",IFERROR(_xlfn.IFS(AA44&gt;='NILAI CPL'!$B$3,4,AA44&gt;='NILAI CPL'!$B$4,3,AA44&gt;='NILAI CPL'!$B$5,2,AA44&gt;'NILAI CPL'!$B$6,1),0),"")</f>
        <v/>
      </c>
      <c r="AY44" s="2" t="str" cm="1">
        <f t="array" ref="AY44">IF('NILAI CPL'!$B44&lt;&gt;"",IFERROR(_xlfn.IFS(AB44&gt;='NILAI CPL'!$B$3,4,AB44&gt;='NILAI CPL'!$B$4,3,AB44&gt;='NILAI CPL'!$B$5,2,AB44&gt;'NILAI CPL'!$B$6,1),0),"")</f>
        <v/>
      </c>
      <c r="AZ44" s="2" t="str" cm="1">
        <f t="array" ref="AZ44">IF('NILAI CPL'!$B44&lt;&gt;"",IFERROR(_xlfn.IFS(AC44&gt;='NILAI CPL'!$B$3,4,AC44&gt;='NILAI CPL'!$B$4,3,AC44&gt;='NILAI CPL'!$B$5,2,AC44&gt;'NILAI CPL'!$B$6,1),0),"")</f>
        <v/>
      </c>
      <c r="BA44" s="2" t="str" cm="1">
        <f t="array" ref="BA44">IF('NILAI CPL'!$B44&lt;&gt;"",IFERROR(_xlfn.IFS(AD44&gt;='NILAI CPL'!$B$3,4,AD44&gt;='NILAI CPL'!$B$4,3,AD44&gt;='NILAI CPL'!$B$5,2,AD44&gt;'NILAI CPL'!$B$6,1),0),"")</f>
        <v/>
      </c>
      <c r="BB44" s="2" t="str" cm="1">
        <f t="array" ref="BB44">IF('NILAI CPL'!$B44&lt;&gt;"",IFERROR(_xlfn.IFS(AE44&gt;='NILAI CPL'!$B$3,4,AE44&gt;='NILAI CPL'!$B$4,3,AE44&gt;='NILAI CPL'!$B$5,2,AE44&gt;'NILAI CPL'!$B$6,1),0),"")</f>
        <v/>
      </c>
      <c r="BC44" s="2" t="str" cm="1">
        <f t="array" ref="BC44">IF('NILAI CPL'!$B44&lt;&gt;"",IFERROR(_xlfn.IFS(AF44&gt;='NILAI CPL'!$B$3,4,AF44&gt;='NILAI CPL'!$B$4,3,AF44&gt;='NILAI CPL'!$B$5,2,AF44&gt;'NILAI CPL'!$B$6,1),0),"")</f>
        <v/>
      </c>
      <c r="BD44" s="2" t="str" cm="1">
        <f t="array" ref="BD44">IF('NILAI CPL'!$B44&lt;&gt;"",IFERROR(_xlfn.IFS(AG44&gt;='NILAI CPL'!$B$3,4,AG44&gt;='NILAI CPL'!$B$4,3,AG44&gt;='NILAI CPL'!$B$5,2,AG44&gt;'NILAI CPL'!$B$6,1),0),"")</f>
        <v/>
      </c>
      <c r="BE44" s="2" t="str" cm="1">
        <f t="array" ref="BE44">IF('NILAI CPL'!$B44&lt;&gt;"",IFERROR(_xlfn.IFS(AH44&gt;='NILAI CPL'!$B$3,4,AH44&gt;='NILAI CPL'!$B$4,3,AH44&gt;='NILAI CPL'!$B$5,2,AH44&gt;'NILAI CPL'!$B$6,1),0),"")</f>
        <v/>
      </c>
      <c r="BF44" s="2" t="str" cm="1">
        <f t="array" ref="BF44">IF('NILAI CPL'!$B44&lt;&gt;"",IFERROR(_xlfn.IFS(AI44&gt;='NILAI CPL'!$B$3,4,AI44&gt;='NILAI CPL'!$B$4,3,AI44&gt;='NILAI CPL'!$B$5,2,AI44&gt;'NILAI CPL'!$B$6,1),0),"")</f>
        <v/>
      </c>
      <c r="BG44" s="2" t="str" cm="1">
        <f t="array" ref="BG44">IF('NILAI CPL'!$B44&lt;&gt;"",IFERROR(_xlfn.IFS(AJ44&gt;='NILAI CPL'!$B$3,4,AJ44&gt;='NILAI CPL'!$B$4,3,AJ44&gt;='NILAI CPL'!$B$5,2,AJ44&gt;'NILAI CPL'!$B$6,1),0),"")</f>
        <v/>
      </c>
      <c r="BH44" s="2" t="str" cm="1">
        <f t="array" ref="BH44">IF('NILAI CPL'!$B44&lt;&gt;"",IFERROR(_xlfn.IFS(AK44&gt;='NILAI CPL'!$B$3,4,AK44&gt;='NILAI CPL'!$B$4,3,AK44&gt;='NILAI CPL'!$B$5,2,AK44&gt;'NILAI CPL'!$B$6,1),0),"")</f>
        <v/>
      </c>
      <c r="BI44" s="2" t="str" cm="1">
        <f t="array" ref="BI44">IF('NILAI CPL'!$B44&lt;&gt;"",IFERROR(_xlfn.IFS(AL44&gt;='NILAI CPL'!$B$3,4,AL44&gt;='NILAI CPL'!$B$4,3,AL44&gt;='NILAI CPL'!$B$5,2,AL44&gt;'NILAI CPL'!$B$6,1),0),"")</f>
        <v/>
      </c>
      <c r="BJ44" s="2" t="str" cm="1">
        <f t="array" ref="BJ44">IF('NILAI CPL'!$B44&lt;&gt;"",IFERROR(_xlfn.IFS(AM44&gt;='NILAI CPL'!$B$3,4,AM44&gt;='NILAI CPL'!$B$4,3,AM44&gt;='NILAI CPL'!$B$5,2,AM44&gt;'NILAI CPL'!$B$6,1),0),"")</f>
        <v/>
      </c>
      <c r="BK44" s="2" t="str" cm="1">
        <f t="array" ref="BK44">IF('NILAI CPL'!$B44&lt;&gt;"",IFERROR(_xlfn.IFS(AN44&gt;='NILAI CPL'!$B$3,4,AN44&gt;='NILAI CPL'!$B$4,3,AN44&gt;='NILAI CPL'!$B$5,2,AN44&gt;'NILAI CPL'!$B$6,1),0),"")</f>
        <v/>
      </c>
    </row>
    <row r="45" spans="1:63" x14ac:dyDescent="0.2">
      <c r="A45" s="2">
        <v>35</v>
      </c>
      <c r="B45" s="2" t="str">
        <f>IF(LEN(SUMMARY!B45)&gt;0, SUMMARY!B45, "")</f>
        <v/>
      </c>
      <c r="C45" s="2" t="str">
        <f>IF(LEN(SUMMARY!C45)&gt;0, SUMMARY!C45, "")</f>
        <v/>
      </c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" t="str">
        <f t="shared" si="24"/>
        <v/>
      </c>
      <c r="S45" s="2" t="str">
        <f t="shared" si="2"/>
        <v/>
      </c>
      <c r="T45" s="2" t="str">
        <f t="shared" si="3"/>
        <v/>
      </c>
      <c r="U45" s="2" t="str">
        <f t="shared" si="4"/>
        <v/>
      </c>
      <c r="V45" s="2" t="str">
        <f t="shared" si="5"/>
        <v/>
      </c>
      <c r="W45" s="2" t="str">
        <f t="shared" si="6"/>
        <v/>
      </c>
      <c r="X45" s="2" t="str">
        <f t="shared" si="7"/>
        <v/>
      </c>
      <c r="Y45" s="2" t="str">
        <f t="shared" si="8"/>
        <v/>
      </c>
      <c r="Z45" s="2" t="str">
        <f t="shared" si="9"/>
        <v/>
      </c>
      <c r="AA45" s="2" t="str">
        <f t="shared" si="10"/>
        <v/>
      </c>
      <c r="AB45" s="2" t="str">
        <f t="shared" si="11"/>
        <v/>
      </c>
      <c r="AC45" s="2" t="str">
        <f t="shared" si="12"/>
        <v/>
      </c>
      <c r="AD45" s="2" t="str">
        <f t="shared" si="13"/>
        <v/>
      </c>
      <c r="AE45" s="2" t="str">
        <f t="shared" si="14"/>
        <v/>
      </c>
      <c r="AF45" s="2" t="str">
        <f t="shared" si="15"/>
        <v/>
      </c>
      <c r="AG45" s="2" t="str">
        <f t="shared" si="16"/>
        <v/>
      </c>
      <c r="AH45" s="2" t="str">
        <f t="shared" si="17"/>
        <v/>
      </c>
      <c r="AI45" s="2" t="str">
        <f t="shared" si="18"/>
        <v/>
      </c>
      <c r="AJ45" s="2" t="str">
        <f t="shared" si="19"/>
        <v/>
      </c>
      <c r="AK45" s="2" t="str">
        <f t="shared" si="20"/>
        <v/>
      </c>
      <c r="AL45" s="2" t="str">
        <f t="shared" si="21"/>
        <v/>
      </c>
      <c r="AM45" s="2" t="str">
        <f t="shared" si="22"/>
        <v/>
      </c>
      <c r="AN45" s="2" t="str">
        <f t="shared" si="23"/>
        <v/>
      </c>
      <c r="AP45" s="2" t="str" cm="1">
        <f t="array" ref="AP45">IF('NILAI CPL'!$B45&lt;&gt;"",IFERROR(_xlfn.IFS(S45&gt;='NILAI CPL'!$B$3,4,S45&gt;='NILAI CPL'!$B$4,3,S45&gt;='NILAI CPL'!$B$5,2,S45&gt;'NILAI CPL'!$B$6,1),0),"")</f>
        <v/>
      </c>
      <c r="AQ45" s="2" t="str" cm="1">
        <f t="array" ref="AQ45">IF('NILAI CPL'!$B45&lt;&gt;"",IFERROR(_xlfn.IFS(T45&gt;='NILAI CPL'!$B$3,4,T45&gt;='NILAI CPL'!$B$4,3,T45&gt;='NILAI CPL'!$B$5,2,T45&gt;'NILAI CPL'!$B$6,1),0),"")</f>
        <v/>
      </c>
      <c r="AR45" s="2" t="str" cm="1">
        <f t="array" ref="AR45">IF('NILAI CPL'!$B45&lt;&gt;"",IFERROR(_xlfn.IFS(U45&gt;='NILAI CPL'!$B$3,4,U45&gt;='NILAI CPL'!$B$4,3,U45&gt;='NILAI CPL'!$B$5,2,U45&gt;'NILAI CPL'!$B$6,1),0),"")</f>
        <v/>
      </c>
      <c r="AS45" s="2" t="str" cm="1">
        <f t="array" ref="AS45">IF('NILAI CPL'!$B45&lt;&gt;"",IFERROR(_xlfn.IFS(V45&gt;='NILAI CPL'!$B$3,4,V45&gt;='NILAI CPL'!$B$4,3,V45&gt;='NILAI CPL'!$B$5,2,V45&gt;'NILAI CPL'!$B$6,1),0),"")</f>
        <v/>
      </c>
      <c r="AT45" s="2" t="str" cm="1">
        <f t="array" ref="AT45">IF('NILAI CPL'!$B45&lt;&gt;"",IFERROR(_xlfn.IFS(W45&gt;='NILAI CPL'!$B$3,4,W45&gt;='NILAI CPL'!$B$4,3,W45&gt;='NILAI CPL'!$B$5,2,W45&gt;'NILAI CPL'!$B$6,1),0),"")</f>
        <v/>
      </c>
      <c r="AU45" s="2" t="str" cm="1">
        <f t="array" ref="AU45">IF('NILAI CPL'!$B45&lt;&gt;"",IFERROR(_xlfn.IFS(X45&gt;='NILAI CPL'!$B$3,4,X45&gt;='NILAI CPL'!$B$4,3,X45&gt;='NILAI CPL'!$B$5,2,X45&gt;'NILAI CPL'!$B$6,1),0),"")</f>
        <v/>
      </c>
      <c r="AV45" s="2" t="str" cm="1">
        <f t="array" ref="AV45">IF('NILAI CPL'!$B45&lt;&gt;"",IFERROR(_xlfn.IFS(Y45&gt;='NILAI CPL'!$B$3,4,Y45&gt;='NILAI CPL'!$B$4,3,Y45&gt;='NILAI CPL'!$B$5,2,Y45&gt;'NILAI CPL'!$B$6,1),0),"")</f>
        <v/>
      </c>
      <c r="AW45" s="2" t="str" cm="1">
        <f t="array" ref="AW45">IF('NILAI CPL'!$B45&lt;&gt;"",IFERROR(_xlfn.IFS(Z45&gt;='NILAI CPL'!$B$3,4,Z45&gt;='NILAI CPL'!$B$4,3,Z45&gt;='NILAI CPL'!$B$5,2,Z45&gt;'NILAI CPL'!$B$6,1),0),"")</f>
        <v/>
      </c>
      <c r="AX45" s="2" t="str" cm="1">
        <f t="array" ref="AX45">IF('NILAI CPL'!$B45&lt;&gt;"",IFERROR(_xlfn.IFS(AA45&gt;='NILAI CPL'!$B$3,4,AA45&gt;='NILAI CPL'!$B$4,3,AA45&gt;='NILAI CPL'!$B$5,2,AA45&gt;'NILAI CPL'!$B$6,1),0),"")</f>
        <v/>
      </c>
      <c r="AY45" s="2" t="str" cm="1">
        <f t="array" ref="AY45">IF('NILAI CPL'!$B45&lt;&gt;"",IFERROR(_xlfn.IFS(AB45&gt;='NILAI CPL'!$B$3,4,AB45&gt;='NILAI CPL'!$B$4,3,AB45&gt;='NILAI CPL'!$B$5,2,AB45&gt;'NILAI CPL'!$B$6,1),0),"")</f>
        <v/>
      </c>
      <c r="AZ45" s="2" t="str" cm="1">
        <f t="array" ref="AZ45">IF('NILAI CPL'!$B45&lt;&gt;"",IFERROR(_xlfn.IFS(AC45&gt;='NILAI CPL'!$B$3,4,AC45&gt;='NILAI CPL'!$B$4,3,AC45&gt;='NILAI CPL'!$B$5,2,AC45&gt;'NILAI CPL'!$B$6,1),0),"")</f>
        <v/>
      </c>
      <c r="BA45" s="2" t="str" cm="1">
        <f t="array" ref="BA45">IF('NILAI CPL'!$B45&lt;&gt;"",IFERROR(_xlfn.IFS(AD45&gt;='NILAI CPL'!$B$3,4,AD45&gt;='NILAI CPL'!$B$4,3,AD45&gt;='NILAI CPL'!$B$5,2,AD45&gt;'NILAI CPL'!$B$6,1),0),"")</f>
        <v/>
      </c>
      <c r="BB45" s="2" t="str" cm="1">
        <f t="array" ref="BB45">IF('NILAI CPL'!$B45&lt;&gt;"",IFERROR(_xlfn.IFS(AE45&gt;='NILAI CPL'!$B$3,4,AE45&gt;='NILAI CPL'!$B$4,3,AE45&gt;='NILAI CPL'!$B$5,2,AE45&gt;'NILAI CPL'!$B$6,1),0),"")</f>
        <v/>
      </c>
      <c r="BC45" s="2" t="str" cm="1">
        <f t="array" ref="BC45">IF('NILAI CPL'!$B45&lt;&gt;"",IFERROR(_xlfn.IFS(AF45&gt;='NILAI CPL'!$B$3,4,AF45&gt;='NILAI CPL'!$B$4,3,AF45&gt;='NILAI CPL'!$B$5,2,AF45&gt;'NILAI CPL'!$B$6,1),0),"")</f>
        <v/>
      </c>
      <c r="BD45" s="2" t="str" cm="1">
        <f t="array" ref="BD45">IF('NILAI CPL'!$B45&lt;&gt;"",IFERROR(_xlfn.IFS(AG45&gt;='NILAI CPL'!$B$3,4,AG45&gt;='NILAI CPL'!$B$4,3,AG45&gt;='NILAI CPL'!$B$5,2,AG45&gt;'NILAI CPL'!$B$6,1),0),"")</f>
        <v/>
      </c>
      <c r="BE45" s="2" t="str" cm="1">
        <f t="array" ref="BE45">IF('NILAI CPL'!$B45&lt;&gt;"",IFERROR(_xlfn.IFS(AH45&gt;='NILAI CPL'!$B$3,4,AH45&gt;='NILAI CPL'!$B$4,3,AH45&gt;='NILAI CPL'!$B$5,2,AH45&gt;'NILAI CPL'!$B$6,1),0),"")</f>
        <v/>
      </c>
      <c r="BF45" s="2" t="str" cm="1">
        <f t="array" ref="BF45">IF('NILAI CPL'!$B45&lt;&gt;"",IFERROR(_xlfn.IFS(AI45&gt;='NILAI CPL'!$B$3,4,AI45&gt;='NILAI CPL'!$B$4,3,AI45&gt;='NILAI CPL'!$B$5,2,AI45&gt;'NILAI CPL'!$B$6,1),0),"")</f>
        <v/>
      </c>
      <c r="BG45" s="2" t="str" cm="1">
        <f t="array" ref="BG45">IF('NILAI CPL'!$B45&lt;&gt;"",IFERROR(_xlfn.IFS(AJ45&gt;='NILAI CPL'!$B$3,4,AJ45&gt;='NILAI CPL'!$B$4,3,AJ45&gt;='NILAI CPL'!$B$5,2,AJ45&gt;'NILAI CPL'!$B$6,1),0),"")</f>
        <v/>
      </c>
      <c r="BH45" s="2" t="str" cm="1">
        <f t="array" ref="BH45">IF('NILAI CPL'!$B45&lt;&gt;"",IFERROR(_xlfn.IFS(AK45&gt;='NILAI CPL'!$B$3,4,AK45&gt;='NILAI CPL'!$B$4,3,AK45&gt;='NILAI CPL'!$B$5,2,AK45&gt;'NILAI CPL'!$B$6,1),0),"")</f>
        <v/>
      </c>
      <c r="BI45" s="2" t="str" cm="1">
        <f t="array" ref="BI45">IF('NILAI CPL'!$B45&lt;&gt;"",IFERROR(_xlfn.IFS(AL45&gt;='NILAI CPL'!$B$3,4,AL45&gt;='NILAI CPL'!$B$4,3,AL45&gt;='NILAI CPL'!$B$5,2,AL45&gt;'NILAI CPL'!$B$6,1),0),"")</f>
        <v/>
      </c>
      <c r="BJ45" s="2" t="str" cm="1">
        <f t="array" ref="BJ45">IF('NILAI CPL'!$B45&lt;&gt;"",IFERROR(_xlfn.IFS(AM45&gt;='NILAI CPL'!$B$3,4,AM45&gt;='NILAI CPL'!$B$4,3,AM45&gt;='NILAI CPL'!$B$5,2,AM45&gt;'NILAI CPL'!$B$6,1),0),"")</f>
        <v/>
      </c>
      <c r="BK45" s="2" t="str" cm="1">
        <f t="array" ref="BK45">IF('NILAI CPL'!$B45&lt;&gt;"",IFERROR(_xlfn.IFS(AN45&gt;='NILAI CPL'!$B$3,4,AN45&gt;='NILAI CPL'!$B$4,3,AN45&gt;='NILAI CPL'!$B$5,2,AN45&gt;'NILAI CPL'!$B$6,1),0),"")</f>
        <v/>
      </c>
    </row>
    <row r="46" spans="1:63" x14ac:dyDescent="0.2">
      <c r="A46" s="2">
        <v>36</v>
      </c>
      <c r="B46" s="2" t="str">
        <f>IF(LEN(SUMMARY!B46)&gt;0, SUMMARY!B46, "")</f>
        <v/>
      </c>
      <c r="C46" s="2" t="str">
        <f>IF(LEN(SUMMARY!C46)&gt;0, SUMMARY!C46, "")</f>
        <v/>
      </c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" t="str">
        <f t="shared" si="24"/>
        <v/>
      </c>
      <c r="S46" s="2" t="str">
        <f t="shared" si="2"/>
        <v/>
      </c>
      <c r="T46" s="2" t="str">
        <f t="shared" si="3"/>
        <v/>
      </c>
      <c r="U46" s="2" t="str">
        <f t="shared" si="4"/>
        <v/>
      </c>
      <c r="V46" s="2" t="str">
        <f t="shared" si="5"/>
        <v/>
      </c>
      <c r="W46" s="2" t="str">
        <f t="shared" si="6"/>
        <v/>
      </c>
      <c r="X46" s="2" t="str">
        <f t="shared" si="7"/>
        <v/>
      </c>
      <c r="Y46" s="2" t="str">
        <f t="shared" si="8"/>
        <v/>
      </c>
      <c r="Z46" s="2" t="str">
        <f t="shared" si="9"/>
        <v/>
      </c>
      <c r="AA46" s="2" t="str">
        <f t="shared" si="10"/>
        <v/>
      </c>
      <c r="AB46" s="2" t="str">
        <f t="shared" si="11"/>
        <v/>
      </c>
      <c r="AC46" s="2" t="str">
        <f t="shared" si="12"/>
        <v/>
      </c>
      <c r="AD46" s="2" t="str">
        <f t="shared" si="13"/>
        <v/>
      </c>
      <c r="AE46" s="2" t="str">
        <f t="shared" si="14"/>
        <v/>
      </c>
      <c r="AF46" s="2" t="str">
        <f t="shared" si="15"/>
        <v/>
      </c>
      <c r="AG46" s="2" t="str">
        <f t="shared" si="16"/>
        <v/>
      </c>
      <c r="AH46" s="2" t="str">
        <f t="shared" si="17"/>
        <v/>
      </c>
      <c r="AI46" s="2" t="str">
        <f t="shared" si="18"/>
        <v/>
      </c>
      <c r="AJ46" s="2" t="str">
        <f t="shared" si="19"/>
        <v/>
      </c>
      <c r="AK46" s="2" t="str">
        <f t="shared" si="20"/>
        <v/>
      </c>
      <c r="AL46" s="2" t="str">
        <f t="shared" si="21"/>
        <v/>
      </c>
      <c r="AM46" s="2" t="str">
        <f t="shared" si="22"/>
        <v/>
      </c>
      <c r="AN46" s="2" t="str">
        <f t="shared" si="23"/>
        <v/>
      </c>
      <c r="AP46" s="2" t="str" cm="1">
        <f t="array" ref="AP46">IF('NILAI CPL'!$B46&lt;&gt;"",IFERROR(_xlfn.IFS(S46&gt;='NILAI CPL'!$B$3,4,S46&gt;='NILAI CPL'!$B$4,3,S46&gt;='NILAI CPL'!$B$5,2,S46&gt;'NILAI CPL'!$B$6,1),0),"")</f>
        <v/>
      </c>
      <c r="AQ46" s="2" t="str" cm="1">
        <f t="array" ref="AQ46">IF('NILAI CPL'!$B46&lt;&gt;"",IFERROR(_xlfn.IFS(T46&gt;='NILAI CPL'!$B$3,4,T46&gt;='NILAI CPL'!$B$4,3,T46&gt;='NILAI CPL'!$B$5,2,T46&gt;'NILAI CPL'!$B$6,1),0),"")</f>
        <v/>
      </c>
      <c r="AR46" s="2" t="str" cm="1">
        <f t="array" ref="AR46">IF('NILAI CPL'!$B46&lt;&gt;"",IFERROR(_xlfn.IFS(U46&gt;='NILAI CPL'!$B$3,4,U46&gt;='NILAI CPL'!$B$4,3,U46&gt;='NILAI CPL'!$B$5,2,U46&gt;'NILAI CPL'!$B$6,1),0),"")</f>
        <v/>
      </c>
      <c r="AS46" s="2" t="str" cm="1">
        <f t="array" ref="AS46">IF('NILAI CPL'!$B46&lt;&gt;"",IFERROR(_xlfn.IFS(V46&gt;='NILAI CPL'!$B$3,4,V46&gt;='NILAI CPL'!$B$4,3,V46&gt;='NILAI CPL'!$B$5,2,V46&gt;'NILAI CPL'!$B$6,1),0),"")</f>
        <v/>
      </c>
      <c r="AT46" s="2" t="str" cm="1">
        <f t="array" ref="AT46">IF('NILAI CPL'!$B46&lt;&gt;"",IFERROR(_xlfn.IFS(W46&gt;='NILAI CPL'!$B$3,4,W46&gt;='NILAI CPL'!$B$4,3,W46&gt;='NILAI CPL'!$B$5,2,W46&gt;'NILAI CPL'!$B$6,1),0),"")</f>
        <v/>
      </c>
      <c r="AU46" s="2" t="str" cm="1">
        <f t="array" ref="AU46">IF('NILAI CPL'!$B46&lt;&gt;"",IFERROR(_xlfn.IFS(X46&gt;='NILAI CPL'!$B$3,4,X46&gt;='NILAI CPL'!$B$4,3,X46&gt;='NILAI CPL'!$B$5,2,X46&gt;'NILAI CPL'!$B$6,1),0),"")</f>
        <v/>
      </c>
      <c r="AV46" s="2" t="str" cm="1">
        <f t="array" ref="AV46">IF('NILAI CPL'!$B46&lt;&gt;"",IFERROR(_xlfn.IFS(Y46&gt;='NILAI CPL'!$B$3,4,Y46&gt;='NILAI CPL'!$B$4,3,Y46&gt;='NILAI CPL'!$B$5,2,Y46&gt;'NILAI CPL'!$B$6,1),0),"")</f>
        <v/>
      </c>
      <c r="AW46" s="2" t="str" cm="1">
        <f t="array" ref="AW46">IF('NILAI CPL'!$B46&lt;&gt;"",IFERROR(_xlfn.IFS(Z46&gt;='NILAI CPL'!$B$3,4,Z46&gt;='NILAI CPL'!$B$4,3,Z46&gt;='NILAI CPL'!$B$5,2,Z46&gt;'NILAI CPL'!$B$6,1),0),"")</f>
        <v/>
      </c>
      <c r="AX46" s="2" t="str" cm="1">
        <f t="array" ref="AX46">IF('NILAI CPL'!$B46&lt;&gt;"",IFERROR(_xlfn.IFS(AA46&gt;='NILAI CPL'!$B$3,4,AA46&gt;='NILAI CPL'!$B$4,3,AA46&gt;='NILAI CPL'!$B$5,2,AA46&gt;'NILAI CPL'!$B$6,1),0),"")</f>
        <v/>
      </c>
      <c r="AY46" s="2" t="str" cm="1">
        <f t="array" ref="AY46">IF('NILAI CPL'!$B46&lt;&gt;"",IFERROR(_xlfn.IFS(AB46&gt;='NILAI CPL'!$B$3,4,AB46&gt;='NILAI CPL'!$B$4,3,AB46&gt;='NILAI CPL'!$B$5,2,AB46&gt;'NILAI CPL'!$B$6,1),0),"")</f>
        <v/>
      </c>
      <c r="AZ46" s="2" t="str" cm="1">
        <f t="array" ref="AZ46">IF('NILAI CPL'!$B46&lt;&gt;"",IFERROR(_xlfn.IFS(AC46&gt;='NILAI CPL'!$B$3,4,AC46&gt;='NILAI CPL'!$B$4,3,AC46&gt;='NILAI CPL'!$B$5,2,AC46&gt;'NILAI CPL'!$B$6,1),0),"")</f>
        <v/>
      </c>
      <c r="BA46" s="2" t="str" cm="1">
        <f t="array" ref="BA46">IF('NILAI CPL'!$B46&lt;&gt;"",IFERROR(_xlfn.IFS(AD46&gt;='NILAI CPL'!$B$3,4,AD46&gt;='NILAI CPL'!$B$4,3,AD46&gt;='NILAI CPL'!$B$5,2,AD46&gt;'NILAI CPL'!$B$6,1),0),"")</f>
        <v/>
      </c>
      <c r="BB46" s="2" t="str" cm="1">
        <f t="array" ref="BB46">IF('NILAI CPL'!$B46&lt;&gt;"",IFERROR(_xlfn.IFS(AE46&gt;='NILAI CPL'!$B$3,4,AE46&gt;='NILAI CPL'!$B$4,3,AE46&gt;='NILAI CPL'!$B$5,2,AE46&gt;'NILAI CPL'!$B$6,1),0),"")</f>
        <v/>
      </c>
      <c r="BC46" s="2" t="str" cm="1">
        <f t="array" ref="BC46">IF('NILAI CPL'!$B46&lt;&gt;"",IFERROR(_xlfn.IFS(AF46&gt;='NILAI CPL'!$B$3,4,AF46&gt;='NILAI CPL'!$B$4,3,AF46&gt;='NILAI CPL'!$B$5,2,AF46&gt;'NILAI CPL'!$B$6,1),0),"")</f>
        <v/>
      </c>
      <c r="BD46" s="2" t="str" cm="1">
        <f t="array" ref="BD46">IF('NILAI CPL'!$B46&lt;&gt;"",IFERROR(_xlfn.IFS(AG46&gt;='NILAI CPL'!$B$3,4,AG46&gt;='NILAI CPL'!$B$4,3,AG46&gt;='NILAI CPL'!$B$5,2,AG46&gt;'NILAI CPL'!$B$6,1),0),"")</f>
        <v/>
      </c>
      <c r="BE46" s="2" t="str" cm="1">
        <f t="array" ref="BE46">IF('NILAI CPL'!$B46&lt;&gt;"",IFERROR(_xlfn.IFS(AH46&gt;='NILAI CPL'!$B$3,4,AH46&gt;='NILAI CPL'!$B$4,3,AH46&gt;='NILAI CPL'!$B$5,2,AH46&gt;'NILAI CPL'!$B$6,1),0),"")</f>
        <v/>
      </c>
      <c r="BF46" s="2" t="str" cm="1">
        <f t="array" ref="BF46">IF('NILAI CPL'!$B46&lt;&gt;"",IFERROR(_xlfn.IFS(AI46&gt;='NILAI CPL'!$B$3,4,AI46&gt;='NILAI CPL'!$B$4,3,AI46&gt;='NILAI CPL'!$B$5,2,AI46&gt;'NILAI CPL'!$B$6,1),0),"")</f>
        <v/>
      </c>
      <c r="BG46" s="2" t="str" cm="1">
        <f t="array" ref="BG46">IF('NILAI CPL'!$B46&lt;&gt;"",IFERROR(_xlfn.IFS(AJ46&gt;='NILAI CPL'!$B$3,4,AJ46&gt;='NILAI CPL'!$B$4,3,AJ46&gt;='NILAI CPL'!$B$5,2,AJ46&gt;'NILAI CPL'!$B$6,1),0),"")</f>
        <v/>
      </c>
      <c r="BH46" s="2" t="str" cm="1">
        <f t="array" ref="BH46">IF('NILAI CPL'!$B46&lt;&gt;"",IFERROR(_xlfn.IFS(AK46&gt;='NILAI CPL'!$B$3,4,AK46&gt;='NILAI CPL'!$B$4,3,AK46&gt;='NILAI CPL'!$B$5,2,AK46&gt;'NILAI CPL'!$B$6,1),0),"")</f>
        <v/>
      </c>
      <c r="BI46" s="2" t="str" cm="1">
        <f t="array" ref="BI46">IF('NILAI CPL'!$B46&lt;&gt;"",IFERROR(_xlfn.IFS(AL46&gt;='NILAI CPL'!$B$3,4,AL46&gt;='NILAI CPL'!$B$4,3,AL46&gt;='NILAI CPL'!$B$5,2,AL46&gt;'NILAI CPL'!$B$6,1),0),"")</f>
        <v/>
      </c>
      <c r="BJ46" s="2" t="str" cm="1">
        <f t="array" ref="BJ46">IF('NILAI CPL'!$B46&lt;&gt;"",IFERROR(_xlfn.IFS(AM46&gt;='NILAI CPL'!$B$3,4,AM46&gt;='NILAI CPL'!$B$4,3,AM46&gt;='NILAI CPL'!$B$5,2,AM46&gt;'NILAI CPL'!$B$6,1),0),"")</f>
        <v/>
      </c>
      <c r="BK46" s="2" t="str" cm="1">
        <f t="array" ref="BK46">IF('NILAI CPL'!$B46&lt;&gt;"",IFERROR(_xlfn.IFS(AN46&gt;='NILAI CPL'!$B$3,4,AN46&gt;='NILAI CPL'!$B$4,3,AN46&gt;='NILAI CPL'!$B$5,2,AN46&gt;'NILAI CPL'!$B$6,1),0),"")</f>
        <v/>
      </c>
    </row>
    <row r="47" spans="1:63" x14ac:dyDescent="0.2">
      <c r="A47" s="2">
        <v>37</v>
      </c>
      <c r="B47" s="2" t="str">
        <f>IF(LEN(SUMMARY!B47)&gt;0, SUMMARY!B47, "")</f>
        <v/>
      </c>
      <c r="C47" s="2" t="str">
        <f>IF(LEN(SUMMARY!C47)&gt;0, SUMMARY!C47, "")</f>
        <v/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" t="str">
        <f t="shared" si="24"/>
        <v/>
      </c>
      <c r="S47" s="2" t="str">
        <f t="shared" si="2"/>
        <v/>
      </c>
      <c r="T47" s="2" t="str">
        <f t="shared" si="3"/>
        <v/>
      </c>
      <c r="U47" s="2" t="str">
        <f t="shared" si="4"/>
        <v/>
      </c>
      <c r="V47" s="2" t="str">
        <f t="shared" si="5"/>
        <v/>
      </c>
      <c r="W47" s="2" t="str">
        <f t="shared" si="6"/>
        <v/>
      </c>
      <c r="X47" s="2" t="str">
        <f t="shared" si="7"/>
        <v/>
      </c>
      <c r="Y47" s="2" t="str">
        <f t="shared" si="8"/>
        <v/>
      </c>
      <c r="Z47" s="2" t="str">
        <f t="shared" si="9"/>
        <v/>
      </c>
      <c r="AA47" s="2" t="str">
        <f t="shared" si="10"/>
        <v/>
      </c>
      <c r="AB47" s="2" t="str">
        <f t="shared" si="11"/>
        <v/>
      </c>
      <c r="AC47" s="2" t="str">
        <f t="shared" si="12"/>
        <v/>
      </c>
      <c r="AD47" s="2" t="str">
        <f t="shared" si="13"/>
        <v/>
      </c>
      <c r="AE47" s="2" t="str">
        <f t="shared" si="14"/>
        <v/>
      </c>
      <c r="AF47" s="2" t="str">
        <f t="shared" si="15"/>
        <v/>
      </c>
      <c r="AG47" s="2" t="str">
        <f t="shared" si="16"/>
        <v/>
      </c>
      <c r="AH47" s="2" t="str">
        <f t="shared" si="17"/>
        <v/>
      </c>
      <c r="AI47" s="2" t="str">
        <f t="shared" si="18"/>
        <v/>
      </c>
      <c r="AJ47" s="2" t="str">
        <f t="shared" si="19"/>
        <v/>
      </c>
      <c r="AK47" s="2" t="str">
        <f t="shared" si="20"/>
        <v/>
      </c>
      <c r="AL47" s="2" t="str">
        <f t="shared" si="21"/>
        <v/>
      </c>
      <c r="AM47" s="2" t="str">
        <f t="shared" si="22"/>
        <v/>
      </c>
      <c r="AN47" s="2" t="str">
        <f t="shared" si="23"/>
        <v/>
      </c>
      <c r="AP47" s="2" t="str" cm="1">
        <f t="array" ref="AP47">IF('NILAI CPL'!$B47&lt;&gt;"",IFERROR(_xlfn.IFS(S47&gt;='NILAI CPL'!$B$3,4,S47&gt;='NILAI CPL'!$B$4,3,S47&gt;='NILAI CPL'!$B$5,2,S47&gt;'NILAI CPL'!$B$6,1),0),"")</f>
        <v/>
      </c>
      <c r="AQ47" s="2" t="str" cm="1">
        <f t="array" ref="AQ47">IF('NILAI CPL'!$B47&lt;&gt;"",IFERROR(_xlfn.IFS(T47&gt;='NILAI CPL'!$B$3,4,T47&gt;='NILAI CPL'!$B$4,3,T47&gt;='NILAI CPL'!$B$5,2,T47&gt;'NILAI CPL'!$B$6,1),0),"")</f>
        <v/>
      </c>
      <c r="AR47" s="2" t="str" cm="1">
        <f t="array" ref="AR47">IF('NILAI CPL'!$B47&lt;&gt;"",IFERROR(_xlfn.IFS(U47&gt;='NILAI CPL'!$B$3,4,U47&gt;='NILAI CPL'!$B$4,3,U47&gt;='NILAI CPL'!$B$5,2,U47&gt;'NILAI CPL'!$B$6,1),0),"")</f>
        <v/>
      </c>
      <c r="AS47" s="2" t="str" cm="1">
        <f t="array" ref="AS47">IF('NILAI CPL'!$B47&lt;&gt;"",IFERROR(_xlfn.IFS(V47&gt;='NILAI CPL'!$B$3,4,V47&gt;='NILAI CPL'!$B$4,3,V47&gt;='NILAI CPL'!$B$5,2,V47&gt;'NILAI CPL'!$B$6,1),0),"")</f>
        <v/>
      </c>
      <c r="AT47" s="2" t="str" cm="1">
        <f t="array" ref="AT47">IF('NILAI CPL'!$B47&lt;&gt;"",IFERROR(_xlfn.IFS(W47&gt;='NILAI CPL'!$B$3,4,W47&gt;='NILAI CPL'!$B$4,3,W47&gt;='NILAI CPL'!$B$5,2,W47&gt;'NILAI CPL'!$B$6,1),0),"")</f>
        <v/>
      </c>
      <c r="AU47" s="2" t="str" cm="1">
        <f t="array" ref="AU47">IF('NILAI CPL'!$B47&lt;&gt;"",IFERROR(_xlfn.IFS(X47&gt;='NILAI CPL'!$B$3,4,X47&gt;='NILAI CPL'!$B$4,3,X47&gt;='NILAI CPL'!$B$5,2,X47&gt;'NILAI CPL'!$B$6,1),0),"")</f>
        <v/>
      </c>
      <c r="AV47" s="2" t="str" cm="1">
        <f t="array" ref="AV47">IF('NILAI CPL'!$B47&lt;&gt;"",IFERROR(_xlfn.IFS(Y47&gt;='NILAI CPL'!$B$3,4,Y47&gt;='NILAI CPL'!$B$4,3,Y47&gt;='NILAI CPL'!$B$5,2,Y47&gt;'NILAI CPL'!$B$6,1),0),"")</f>
        <v/>
      </c>
      <c r="AW47" s="2" t="str" cm="1">
        <f t="array" ref="AW47">IF('NILAI CPL'!$B47&lt;&gt;"",IFERROR(_xlfn.IFS(Z47&gt;='NILAI CPL'!$B$3,4,Z47&gt;='NILAI CPL'!$B$4,3,Z47&gt;='NILAI CPL'!$B$5,2,Z47&gt;'NILAI CPL'!$B$6,1),0),"")</f>
        <v/>
      </c>
      <c r="AX47" s="2" t="str" cm="1">
        <f t="array" ref="AX47">IF('NILAI CPL'!$B47&lt;&gt;"",IFERROR(_xlfn.IFS(AA47&gt;='NILAI CPL'!$B$3,4,AA47&gt;='NILAI CPL'!$B$4,3,AA47&gt;='NILAI CPL'!$B$5,2,AA47&gt;'NILAI CPL'!$B$6,1),0),"")</f>
        <v/>
      </c>
      <c r="AY47" s="2" t="str" cm="1">
        <f t="array" ref="AY47">IF('NILAI CPL'!$B47&lt;&gt;"",IFERROR(_xlfn.IFS(AB47&gt;='NILAI CPL'!$B$3,4,AB47&gt;='NILAI CPL'!$B$4,3,AB47&gt;='NILAI CPL'!$B$5,2,AB47&gt;'NILAI CPL'!$B$6,1),0),"")</f>
        <v/>
      </c>
      <c r="AZ47" s="2" t="str" cm="1">
        <f t="array" ref="AZ47">IF('NILAI CPL'!$B47&lt;&gt;"",IFERROR(_xlfn.IFS(AC47&gt;='NILAI CPL'!$B$3,4,AC47&gt;='NILAI CPL'!$B$4,3,AC47&gt;='NILAI CPL'!$B$5,2,AC47&gt;'NILAI CPL'!$B$6,1),0),"")</f>
        <v/>
      </c>
      <c r="BA47" s="2" t="str" cm="1">
        <f t="array" ref="BA47">IF('NILAI CPL'!$B47&lt;&gt;"",IFERROR(_xlfn.IFS(AD47&gt;='NILAI CPL'!$B$3,4,AD47&gt;='NILAI CPL'!$B$4,3,AD47&gt;='NILAI CPL'!$B$5,2,AD47&gt;'NILAI CPL'!$B$6,1),0),"")</f>
        <v/>
      </c>
      <c r="BB47" s="2" t="str" cm="1">
        <f t="array" ref="BB47">IF('NILAI CPL'!$B47&lt;&gt;"",IFERROR(_xlfn.IFS(AE47&gt;='NILAI CPL'!$B$3,4,AE47&gt;='NILAI CPL'!$B$4,3,AE47&gt;='NILAI CPL'!$B$5,2,AE47&gt;'NILAI CPL'!$B$6,1),0),"")</f>
        <v/>
      </c>
      <c r="BC47" s="2" t="str" cm="1">
        <f t="array" ref="BC47">IF('NILAI CPL'!$B47&lt;&gt;"",IFERROR(_xlfn.IFS(AF47&gt;='NILAI CPL'!$B$3,4,AF47&gt;='NILAI CPL'!$B$4,3,AF47&gt;='NILAI CPL'!$B$5,2,AF47&gt;'NILAI CPL'!$B$6,1),0),"")</f>
        <v/>
      </c>
      <c r="BD47" s="2" t="str" cm="1">
        <f t="array" ref="BD47">IF('NILAI CPL'!$B47&lt;&gt;"",IFERROR(_xlfn.IFS(AG47&gt;='NILAI CPL'!$B$3,4,AG47&gt;='NILAI CPL'!$B$4,3,AG47&gt;='NILAI CPL'!$B$5,2,AG47&gt;'NILAI CPL'!$B$6,1),0),"")</f>
        <v/>
      </c>
      <c r="BE47" s="2" t="str" cm="1">
        <f t="array" ref="BE47">IF('NILAI CPL'!$B47&lt;&gt;"",IFERROR(_xlfn.IFS(AH47&gt;='NILAI CPL'!$B$3,4,AH47&gt;='NILAI CPL'!$B$4,3,AH47&gt;='NILAI CPL'!$B$5,2,AH47&gt;'NILAI CPL'!$B$6,1),0),"")</f>
        <v/>
      </c>
      <c r="BF47" s="2" t="str" cm="1">
        <f t="array" ref="BF47">IF('NILAI CPL'!$B47&lt;&gt;"",IFERROR(_xlfn.IFS(AI47&gt;='NILAI CPL'!$B$3,4,AI47&gt;='NILAI CPL'!$B$4,3,AI47&gt;='NILAI CPL'!$B$5,2,AI47&gt;'NILAI CPL'!$B$6,1),0),"")</f>
        <v/>
      </c>
      <c r="BG47" s="2" t="str" cm="1">
        <f t="array" ref="BG47">IF('NILAI CPL'!$B47&lt;&gt;"",IFERROR(_xlfn.IFS(AJ47&gt;='NILAI CPL'!$B$3,4,AJ47&gt;='NILAI CPL'!$B$4,3,AJ47&gt;='NILAI CPL'!$B$5,2,AJ47&gt;'NILAI CPL'!$B$6,1),0),"")</f>
        <v/>
      </c>
      <c r="BH47" s="2" t="str" cm="1">
        <f t="array" ref="BH47">IF('NILAI CPL'!$B47&lt;&gt;"",IFERROR(_xlfn.IFS(AK47&gt;='NILAI CPL'!$B$3,4,AK47&gt;='NILAI CPL'!$B$4,3,AK47&gt;='NILAI CPL'!$B$5,2,AK47&gt;'NILAI CPL'!$B$6,1),0),"")</f>
        <v/>
      </c>
      <c r="BI47" s="2" t="str" cm="1">
        <f t="array" ref="BI47">IF('NILAI CPL'!$B47&lt;&gt;"",IFERROR(_xlfn.IFS(AL47&gt;='NILAI CPL'!$B$3,4,AL47&gt;='NILAI CPL'!$B$4,3,AL47&gt;='NILAI CPL'!$B$5,2,AL47&gt;'NILAI CPL'!$B$6,1),0),"")</f>
        <v/>
      </c>
      <c r="BJ47" s="2" t="str" cm="1">
        <f t="array" ref="BJ47">IF('NILAI CPL'!$B47&lt;&gt;"",IFERROR(_xlfn.IFS(AM47&gt;='NILAI CPL'!$B$3,4,AM47&gt;='NILAI CPL'!$B$4,3,AM47&gt;='NILAI CPL'!$B$5,2,AM47&gt;'NILAI CPL'!$B$6,1),0),"")</f>
        <v/>
      </c>
      <c r="BK47" s="2" t="str" cm="1">
        <f t="array" ref="BK47">IF('NILAI CPL'!$B47&lt;&gt;"",IFERROR(_xlfn.IFS(AN47&gt;='NILAI CPL'!$B$3,4,AN47&gt;='NILAI CPL'!$B$4,3,AN47&gt;='NILAI CPL'!$B$5,2,AN47&gt;'NILAI CPL'!$B$6,1),0),"")</f>
        <v/>
      </c>
    </row>
    <row r="48" spans="1:63" x14ac:dyDescent="0.2">
      <c r="A48" s="2">
        <v>38</v>
      </c>
      <c r="B48" s="2" t="str">
        <f>IF(LEN(SUMMARY!B48)&gt;0, SUMMARY!B48, "")</f>
        <v/>
      </c>
      <c r="C48" s="2" t="str">
        <f>IF(LEN(SUMMARY!C48)&gt;0, SUMMARY!C48, "")</f>
        <v/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" t="str">
        <f t="shared" si="24"/>
        <v/>
      </c>
      <c r="S48" s="2" t="str">
        <f t="shared" si="2"/>
        <v/>
      </c>
      <c r="T48" s="2" t="str">
        <f t="shared" si="3"/>
        <v/>
      </c>
      <c r="U48" s="2" t="str">
        <f t="shared" si="4"/>
        <v/>
      </c>
      <c r="V48" s="2" t="str">
        <f t="shared" si="5"/>
        <v/>
      </c>
      <c r="W48" s="2" t="str">
        <f t="shared" si="6"/>
        <v/>
      </c>
      <c r="X48" s="2" t="str">
        <f t="shared" si="7"/>
        <v/>
      </c>
      <c r="Y48" s="2" t="str">
        <f t="shared" si="8"/>
        <v/>
      </c>
      <c r="Z48" s="2" t="str">
        <f t="shared" si="9"/>
        <v/>
      </c>
      <c r="AA48" s="2" t="str">
        <f t="shared" si="10"/>
        <v/>
      </c>
      <c r="AB48" s="2" t="str">
        <f t="shared" si="11"/>
        <v/>
      </c>
      <c r="AC48" s="2" t="str">
        <f t="shared" si="12"/>
        <v/>
      </c>
      <c r="AD48" s="2" t="str">
        <f t="shared" si="13"/>
        <v/>
      </c>
      <c r="AE48" s="2" t="str">
        <f t="shared" si="14"/>
        <v/>
      </c>
      <c r="AF48" s="2" t="str">
        <f t="shared" si="15"/>
        <v/>
      </c>
      <c r="AG48" s="2" t="str">
        <f t="shared" si="16"/>
        <v/>
      </c>
      <c r="AH48" s="2" t="str">
        <f t="shared" si="17"/>
        <v/>
      </c>
      <c r="AI48" s="2" t="str">
        <f t="shared" si="18"/>
        <v/>
      </c>
      <c r="AJ48" s="2" t="str">
        <f t="shared" si="19"/>
        <v/>
      </c>
      <c r="AK48" s="2" t="str">
        <f t="shared" si="20"/>
        <v/>
      </c>
      <c r="AL48" s="2" t="str">
        <f t="shared" si="21"/>
        <v/>
      </c>
      <c r="AM48" s="2" t="str">
        <f t="shared" si="22"/>
        <v/>
      </c>
      <c r="AN48" s="2" t="str">
        <f t="shared" si="23"/>
        <v/>
      </c>
      <c r="AP48" s="2" t="str" cm="1">
        <f t="array" ref="AP48">IF('NILAI CPL'!$B48&lt;&gt;"",IFERROR(_xlfn.IFS(S48&gt;='NILAI CPL'!$B$3,4,S48&gt;='NILAI CPL'!$B$4,3,S48&gt;='NILAI CPL'!$B$5,2,S48&gt;'NILAI CPL'!$B$6,1),0),"")</f>
        <v/>
      </c>
      <c r="AQ48" s="2" t="str" cm="1">
        <f t="array" ref="AQ48">IF('NILAI CPL'!$B48&lt;&gt;"",IFERROR(_xlfn.IFS(T48&gt;='NILAI CPL'!$B$3,4,T48&gt;='NILAI CPL'!$B$4,3,T48&gt;='NILAI CPL'!$B$5,2,T48&gt;'NILAI CPL'!$B$6,1),0),"")</f>
        <v/>
      </c>
      <c r="AR48" s="2" t="str" cm="1">
        <f t="array" ref="AR48">IF('NILAI CPL'!$B48&lt;&gt;"",IFERROR(_xlfn.IFS(U48&gt;='NILAI CPL'!$B$3,4,U48&gt;='NILAI CPL'!$B$4,3,U48&gt;='NILAI CPL'!$B$5,2,U48&gt;'NILAI CPL'!$B$6,1),0),"")</f>
        <v/>
      </c>
      <c r="AS48" s="2" t="str" cm="1">
        <f t="array" ref="AS48">IF('NILAI CPL'!$B48&lt;&gt;"",IFERROR(_xlfn.IFS(V48&gt;='NILAI CPL'!$B$3,4,V48&gt;='NILAI CPL'!$B$4,3,V48&gt;='NILAI CPL'!$B$5,2,V48&gt;'NILAI CPL'!$B$6,1),0),"")</f>
        <v/>
      </c>
      <c r="AT48" s="2" t="str" cm="1">
        <f t="array" ref="AT48">IF('NILAI CPL'!$B48&lt;&gt;"",IFERROR(_xlfn.IFS(W48&gt;='NILAI CPL'!$B$3,4,W48&gt;='NILAI CPL'!$B$4,3,W48&gt;='NILAI CPL'!$B$5,2,W48&gt;'NILAI CPL'!$B$6,1),0),"")</f>
        <v/>
      </c>
      <c r="AU48" s="2" t="str" cm="1">
        <f t="array" ref="AU48">IF('NILAI CPL'!$B48&lt;&gt;"",IFERROR(_xlfn.IFS(X48&gt;='NILAI CPL'!$B$3,4,X48&gt;='NILAI CPL'!$B$4,3,X48&gt;='NILAI CPL'!$B$5,2,X48&gt;'NILAI CPL'!$B$6,1),0),"")</f>
        <v/>
      </c>
      <c r="AV48" s="2" t="str" cm="1">
        <f t="array" ref="AV48">IF('NILAI CPL'!$B48&lt;&gt;"",IFERROR(_xlfn.IFS(Y48&gt;='NILAI CPL'!$B$3,4,Y48&gt;='NILAI CPL'!$B$4,3,Y48&gt;='NILAI CPL'!$B$5,2,Y48&gt;'NILAI CPL'!$B$6,1),0),"")</f>
        <v/>
      </c>
      <c r="AW48" s="2" t="str" cm="1">
        <f t="array" ref="AW48">IF('NILAI CPL'!$B48&lt;&gt;"",IFERROR(_xlfn.IFS(Z48&gt;='NILAI CPL'!$B$3,4,Z48&gt;='NILAI CPL'!$B$4,3,Z48&gt;='NILAI CPL'!$B$5,2,Z48&gt;'NILAI CPL'!$B$6,1),0),"")</f>
        <v/>
      </c>
      <c r="AX48" s="2" t="str" cm="1">
        <f t="array" ref="AX48">IF('NILAI CPL'!$B48&lt;&gt;"",IFERROR(_xlfn.IFS(AA48&gt;='NILAI CPL'!$B$3,4,AA48&gt;='NILAI CPL'!$B$4,3,AA48&gt;='NILAI CPL'!$B$5,2,AA48&gt;'NILAI CPL'!$B$6,1),0),"")</f>
        <v/>
      </c>
      <c r="AY48" s="2" t="str" cm="1">
        <f t="array" ref="AY48">IF('NILAI CPL'!$B48&lt;&gt;"",IFERROR(_xlfn.IFS(AB48&gt;='NILAI CPL'!$B$3,4,AB48&gt;='NILAI CPL'!$B$4,3,AB48&gt;='NILAI CPL'!$B$5,2,AB48&gt;'NILAI CPL'!$B$6,1),0),"")</f>
        <v/>
      </c>
      <c r="AZ48" s="2" t="str" cm="1">
        <f t="array" ref="AZ48">IF('NILAI CPL'!$B48&lt;&gt;"",IFERROR(_xlfn.IFS(AC48&gt;='NILAI CPL'!$B$3,4,AC48&gt;='NILAI CPL'!$B$4,3,AC48&gt;='NILAI CPL'!$B$5,2,AC48&gt;'NILAI CPL'!$B$6,1),0),"")</f>
        <v/>
      </c>
      <c r="BA48" s="2" t="str" cm="1">
        <f t="array" ref="BA48">IF('NILAI CPL'!$B48&lt;&gt;"",IFERROR(_xlfn.IFS(AD48&gt;='NILAI CPL'!$B$3,4,AD48&gt;='NILAI CPL'!$B$4,3,AD48&gt;='NILAI CPL'!$B$5,2,AD48&gt;'NILAI CPL'!$B$6,1),0),"")</f>
        <v/>
      </c>
      <c r="BB48" s="2" t="str" cm="1">
        <f t="array" ref="BB48">IF('NILAI CPL'!$B48&lt;&gt;"",IFERROR(_xlfn.IFS(AE48&gt;='NILAI CPL'!$B$3,4,AE48&gt;='NILAI CPL'!$B$4,3,AE48&gt;='NILAI CPL'!$B$5,2,AE48&gt;'NILAI CPL'!$B$6,1),0),"")</f>
        <v/>
      </c>
      <c r="BC48" s="2" t="str" cm="1">
        <f t="array" ref="BC48">IF('NILAI CPL'!$B48&lt;&gt;"",IFERROR(_xlfn.IFS(AF48&gt;='NILAI CPL'!$B$3,4,AF48&gt;='NILAI CPL'!$B$4,3,AF48&gt;='NILAI CPL'!$B$5,2,AF48&gt;'NILAI CPL'!$B$6,1),0),"")</f>
        <v/>
      </c>
      <c r="BD48" s="2" t="str" cm="1">
        <f t="array" ref="BD48">IF('NILAI CPL'!$B48&lt;&gt;"",IFERROR(_xlfn.IFS(AG48&gt;='NILAI CPL'!$B$3,4,AG48&gt;='NILAI CPL'!$B$4,3,AG48&gt;='NILAI CPL'!$B$5,2,AG48&gt;'NILAI CPL'!$B$6,1),0),"")</f>
        <v/>
      </c>
      <c r="BE48" s="2" t="str" cm="1">
        <f t="array" ref="BE48">IF('NILAI CPL'!$B48&lt;&gt;"",IFERROR(_xlfn.IFS(AH48&gt;='NILAI CPL'!$B$3,4,AH48&gt;='NILAI CPL'!$B$4,3,AH48&gt;='NILAI CPL'!$B$5,2,AH48&gt;'NILAI CPL'!$B$6,1),0),"")</f>
        <v/>
      </c>
      <c r="BF48" s="2" t="str" cm="1">
        <f t="array" ref="BF48">IF('NILAI CPL'!$B48&lt;&gt;"",IFERROR(_xlfn.IFS(AI48&gt;='NILAI CPL'!$B$3,4,AI48&gt;='NILAI CPL'!$B$4,3,AI48&gt;='NILAI CPL'!$B$5,2,AI48&gt;'NILAI CPL'!$B$6,1),0),"")</f>
        <v/>
      </c>
      <c r="BG48" s="2" t="str" cm="1">
        <f t="array" ref="BG48">IF('NILAI CPL'!$B48&lt;&gt;"",IFERROR(_xlfn.IFS(AJ48&gt;='NILAI CPL'!$B$3,4,AJ48&gt;='NILAI CPL'!$B$4,3,AJ48&gt;='NILAI CPL'!$B$5,2,AJ48&gt;'NILAI CPL'!$B$6,1),0),"")</f>
        <v/>
      </c>
      <c r="BH48" s="2" t="str" cm="1">
        <f t="array" ref="BH48">IF('NILAI CPL'!$B48&lt;&gt;"",IFERROR(_xlfn.IFS(AK48&gt;='NILAI CPL'!$B$3,4,AK48&gt;='NILAI CPL'!$B$4,3,AK48&gt;='NILAI CPL'!$B$5,2,AK48&gt;'NILAI CPL'!$B$6,1),0),"")</f>
        <v/>
      </c>
      <c r="BI48" s="2" t="str" cm="1">
        <f t="array" ref="BI48">IF('NILAI CPL'!$B48&lt;&gt;"",IFERROR(_xlfn.IFS(AL48&gt;='NILAI CPL'!$B$3,4,AL48&gt;='NILAI CPL'!$B$4,3,AL48&gt;='NILAI CPL'!$B$5,2,AL48&gt;'NILAI CPL'!$B$6,1),0),"")</f>
        <v/>
      </c>
      <c r="BJ48" s="2" t="str" cm="1">
        <f t="array" ref="BJ48">IF('NILAI CPL'!$B48&lt;&gt;"",IFERROR(_xlfn.IFS(AM48&gt;='NILAI CPL'!$B$3,4,AM48&gt;='NILAI CPL'!$B$4,3,AM48&gt;='NILAI CPL'!$B$5,2,AM48&gt;'NILAI CPL'!$B$6,1),0),"")</f>
        <v/>
      </c>
      <c r="BK48" s="2" t="str" cm="1">
        <f t="array" ref="BK48">IF('NILAI CPL'!$B48&lt;&gt;"",IFERROR(_xlfn.IFS(AN48&gt;='NILAI CPL'!$B$3,4,AN48&gt;='NILAI CPL'!$B$4,3,AN48&gt;='NILAI CPL'!$B$5,2,AN48&gt;'NILAI CPL'!$B$6,1),0),"")</f>
        <v/>
      </c>
    </row>
    <row r="49" spans="1:63" x14ac:dyDescent="0.2">
      <c r="A49" s="2">
        <v>39</v>
      </c>
      <c r="B49" s="2" t="str">
        <f>IF(LEN(SUMMARY!B49)&gt;0, SUMMARY!B49, "")</f>
        <v/>
      </c>
      <c r="C49" s="2" t="str">
        <f>IF(LEN(SUMMARY!C49)&gt;0, SUMMARY!C49, "")</f>
        <v/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" t="str">
        <f t="shared" si="24"/>
        <v/>
      </c>
      <c r="S49" s="2" t="str">
        <f t="shared" si="2"/>
        <v/>
      </c>
      <c r="T49" s="2" t="str">
        <f t="shared" si="3"/>
        <v/>
      </c>
      <c r="U49" s="2" t="str">
        <f t="shared" si="4"/>
        <v/>
      </c>
      <c r="V49" s="2" t="str">
        <f t="shared" si="5"/>
        <v/>
      </c>
      <c r="W49" s="2" t="str">
        <f t="shared" si="6"/>
        <v/>
      </c>
      <c r="X49" s="2" t="str">
        <f t="shared" si="7"/>
        <v/>
      </c>
      <c r="Y49" s="2" t="str">
        <f t="shared" si="8"/>
        <v/>
      </c>
      <c r="Z49" s="2" t="str">
        <f t="shared" si="9"/>
        <v/>
      </c>
      <c r="AA49" s="2" t="str">
        <f t="shared" si="10"/>
        <v/>
      </c>
      <c r="AB49" s="2" t="str">
        <f t="shared" si="11"/>
        <v/>
      </c>
      <c r="AC49" s="2" t="str">
        <f t="shared" si="12"/>
        <v/>
      </c>
      <c r="AD49" s="2" t="str">
        <f t="shared" si="13"/>
        <v/>
      </c>
      <c r="AE49" s="2" t="str">
        <f t="shared" si="14"/>
        <v/>
      </c>
      <c r="AF49" s="2" t="str">
        <f t="shared" si="15"/>
        <v/>
      </c>
      <c r="AG49" s="2" t="str">
        <f t="shared" si="16"/>
        <v/>
      </c>
      <c r="AH49" s="2" t="str">
        <f t="shared" si="17"/>
        <v/>
      </c>
      <c r="AI49" s="2" t="str">
        <f t="shared" si="18"/>
        <v/>
      </c>
      <c r="AJ49" s="2" t="str">
        <f t="shared" si="19"/>
        <v/>
      </c>
      <c r="AK49" s="2" t="str">
        <f t="shared" si="20"/>
        <v/>
      </c>
      <c r="AL49" s="2" t="str">
        <f t="shared" si="21"/>
        <v/>
      </c>
      <c r="AM49" s="2" t="str">
        <f t="shared" si="22"/>
        <v/>
      </c>
      <c r="AN49" s="2" t="str">
        <f t="shared" si="23"/>
        <v/>
      </c>
      <c r="AP49" s="2" t="str" cm="1">
        <f t="array" ref="AP49">IF('NILAI CPL'!$B49&lt;&gt;"",IFERROR(_xlfn.IFS(S49&gt;='NILAI CPL'!$B$3,4,S49&gt;='NILAI CPL'!$B$4,3,S49&gt;='NILAI CPL'!$B$5,2,S49&gt;'NILAI CPL'!$B$6,1),0),"")</f>
        <v/>
      </c>
      <c r="AQ49" s="2" t="str" cm="1">
        <f t="array" ref="AQ49">IF('NILAI CPL'!$B49&lt;&gt;"",IFERROR(_xlfn.IFS(T49&gt;='NILAI CPL'!$B$3,4,T49&gt;='NILAI CPL'!$B$4,3,T49&gt;='NILAI CPL'!$B$5,2,T49&gt;'NILAI CPL'!$B$6,1),0),"")</f>
        <v/>
      </c>
      <c r="AR49" s="2" t="str" cm="1">
        <f t="array" ref="AR49">IF('NILAI CPL'!$B49&lt;&gt;"",IFERROR(_xlfn.IFS(U49&gt;='NILAI CPL'!$B$3,4,U49&gt;='NILAI CPL'!$B$4,3,U49&gt;='NILAI CPL'!$B$5,2,U49&gt;'NILAI CPL'!$B$6,1),0),"")</f>
        <v/>
      </c>
      <c r="AS49" s="2" t="str" cm="1">
        <f t="array" ref="AS49">IF('NILAI CPL'!$B49&lt;&gt;"",IFERROR(_xlfn.IFS(V49&gt;='NILAI CPL'!$B$3,4,V49&gt;='NILAI CPL'!$B$4,3,V49&gt;='NILAI CPL'!$B$5,2,V49&gt;'NILAI CPL'!$B$6,1),0),"")</f>
        <v/>
      </c>
      <c r="AT49" s="2" t="str" cm="1">
        <f t="array" ref="AT49">IF('NILAI CPL'!$B49&lt;&gt;"",IFERROR(_xlfn.IFS(W49&gt;='NILAI CPL'!$B$3,4,W49&gt;='NILAI CPL'!$B$4,3,W49&gt;='NILAI CPL'!$B$5,2,W49&gt;'NILAI CPL'!$B$6,1),0),"")</f>
        <v/>
      </c>
      <c r="AU49" s="2" t="str" cm="1">
        <f t="array" ref="AU49">IF('NILAI CPL'!$B49&lt;&gt;"",IFERROR(_xlfn.IFS(X49&gt;='NILAI CPL'!$B$3,4,X49&gt;='NILAI CPL'!$B$4,3,X49&gt;='NILAI CPL'!$B$5,2,X49&gt;'NILAI CPL'!$B$6,1),0),"")</f>
        <v/>
      </c>
      <c r="AV49" s="2" t="str" cm="1">
        <f t="array" ref="AV49">IF('NILAI CPL'!$B49&lt;&gt;"",IFERROR(_xlfn.IFS(Y49&gt;='NILAI CPL'!$B$3,4,Y49&gt;='NILAI CPL'!$B$4,3,Y49&gt;='NILAI CPL'!$B$5,2,Y49&gt;'NILAI CPL'!$B$6,1),0),"")</f>
        <v/>
      </c>
      <c r="AW49" s="2" t="str" cm="1">
        <f t="array" ref="AW49">IF('NILAI CPL'!$B49&lt;&gt;"",IFERROR(_xlfn.IFS(Z49&gt;='NILAI CPL'!$B$3,4,Z49&gt;='NILAI CPL'!$B$4,3,Z49&gt;='NILAI CPL'!$B$5,2,Z49&gt;'NILAI CPL'!$B$6,1),0),"")</f>
        <v/>
      </c>
      <c r="AX49" s="2" t="str" cm="1">
        <f t="array" ref="AX49">IF('NILAI CPL'!$B49&lt;&gt;"",IFERROR(_xlfn.IFS(AA49&gt;='NILAI CPL'!$B$3,4,AA49&gt;='NILAI CPL'!$B$4,3,AA49&gt;='NILAI CPL'!$B$5,2,AA49&gt;'NILAI CPL'!$B$6,1),0),"")</f>
        <v/>
      </c>
      <c r="AY49" s="2" t="str" cm="1">
        <f t="array" ref="AY49">IF('NILAI CPL'!$B49&lt;&gt;"",IFERROR(_xlfn.IFS(AB49&gt;='NILAI CPL'!$B$3,4,AB49&gt;='NILAI CPL'!$B$4,3,AB49&gt;='NILAI CPL'!$B$5,2,AB49&gt;'NILAI CPL'!$B$6,1),0),"")</f>
        <v/>
      </c>
      <c r="AZ49" s="2" t="str" cm="1">
        <f t="array" ref="AZ49">IF('NILAI CPL'!$B49&lt;&gt;"",IFERROR(_xlfn.IFS(AC49&gt;='NILAI CPL'!$B$3,4,AC49&gt;='NILAI CPL'!$B$4,3,AC49&gt;='NILAI CPL'!$B$5,2,AC49&gt;'NILAI CPL'!$B$6,1),0),"")</f>
        <v/>
      </c>
      <c r="BA49" s="2" t="str" cm="1">
        <f t="array" ref="BA49">IF('NILAI CPL'!$B49&lt;&gt;"",IFERROR(_xlfn.IFS(AD49&gt;='NILAI CPL'!$B$3,4,AD49&gt;='NILAI CPL'!$B$4,3,AD49&gt;='NILAI CPL'!$B$5,2,AD49&gt;'NILAI CPL'!$B$6,1),0),"")</f>
        <v/>
      </c>
      <c r="BB49" s="2" t="str" cm="1">
        <f t="array" ref="BB49">IF('NILAI CPL'!$B49&lt;&gt;"",IFERROR(_xlfn.IFS(AE49&gt;='NILAI CPL'!$B$3,4,AE49&gt;='NILAI CPL'!$B$4,3,AE49&gt;='NILAI CPL'!$B$5,2,AE49&gt;'NILAI CPL'!$B$6,1),0),"")</f>
        <v/>
      </c>
      <c r="BC49" s="2" t="str" cm="1">
        <f t="array" ref="BC49">IF('NILAI CPL'!$B49&lt;&gt;"",IFERROR(_xlfn.IFS(AF49&gt;='NILAI CPL'!$B$3,4,AF49&gt;='NILAI CPL'!$B$4,3,AF49&gt;='NILAI CPL'!$B$5,2,AF49&gt;'NILAI CPL'!$B$6,1),0),"")</f>
        <v/>
      </c>
      <c r="BD49" s="2" t="str" cm="1">
        <f t="array" ref="BD49">IF('NILAI CPL'!$B49&lt;&gt;"",IFERROR(_xlfn.IFS(AG49&gt;='NILAI CPL'!$B$3,4,AG49&gt;='NILAI CPL'!$B$4,3,AG49&gt;='NILAI CPL'!$B$5,2,AG49&gt;'NILAI CPL'!$B$6,1),0),"")</f>
        <v/>
      </c>
      <c r="BE49" s="2" t="str" cm="1">
        <f t="array" ref="BE49">IF('NILAI CPL'!$B49&lt;&gt;"",IFERROR(_xlfn.IFS(AH49&gt;='NILAI CPL'!$B$3,4,AH49&gt;='NILAI CPL'!$B$4,3,AH49&gt;='NILAI CPL'!$B$5,2,AH49&gt;'NILAI CPL'!$B$6,1),0),"")</f>
        <v/>
      </c>
      <c r="BF49" s="2" t="str" cm="1">
        <f t="array" ref="BF49">IF('NILAI CPL'!$B49&lt;&gt;"",IFERROR(_xlfn.IFS(AI49&gt;='NILAI CPL'!$B$3,4,AI49&gt;='NILAI CPL'!$B$4,3,AI49&gt;='NILAI CPL'!$B$5,2,AI49&gt;'NILAI CPL'!$B$6,1),0),"")</f>
        <v/>
      </c>
      <c r="BG49" s="2" t="str" cm="1">
        <f t="array" ref="BG49">IF('NILAI CPL'!$B49&lt;&gt;"",IFERROR(_xlfn.IFS(AJ49&gt;='NILAI CPL'!$B$3,4,AJ49&gt;='NILAI CPL'!$B$4,3,AJ49&gt;='NILAI CPL'!$B$5,2,AJ49&gt;'NILAI CPL'!$B$6,1),0),"")</f>
        <v/>
      </c>
      <c r="BH49" s="2" t="str" cm="1">
        <f t="array" ref="BH49">IF('NILAI CPL'!$B49&lt;&gt;"",IFERROR(_xlfn.IFS(AK49&gt;='NILAI CPL'!$B$3,4,AK49&gt;='NILAI CPL'!$B$4,3,AK49&gt;='NILAI CPL'!$B$5,2,AK49&gt;'NILAI CPL'!$B$6,1),0),"")</f>
        <v/>
      </c>
      <c r="BI49" s="2" t="str" cm="1">
        <f t="array" ref="BI49">IF('NILAI CPL'!$B49&lt;&gt;"",IFERROR(_xlfn.IFS(AL49&gt;='NILAI CPL'!$B$3,4,AL49&gt;='NILAI CPL'!$B$4,3,AL49&gt;='NILAI CPL'!$B$5,2,AL49&gt;'NILAI CPL'!$B$6,1),0),"")</f>
        <v/>
      </c>
      <c r="BJ49" s="2" t="str" cm="1">
        <f t="array" ref="BJ49">IF('NILAI CPL'!$B49&lt;&gt;"",IFERROR(_xlfn.IFS(AM49&gt;='NILAI CPL'!$B$3,4,AM49&gt;='NILAI CPL'!$B$4,3,AM49&gt;='NILAI CPL'!$B$5,2,AM49&gt;'NILAI CPL'!$B$6,1),0),"")</f>
        <v/>
      </c>
      <c r="BK49" s="2" t="str" cm="1">
        <f t="array" ref="BK49">IF('NILAI CPL'!$B49&lt;&gt;"",IFERROR(_xlfn.IFS(AN49&gt;='NILAI CPL'!$B$3,4,AN49&gt;='NILAI CPL'!$B$4,3,AN49&gt;='NILAI CPL'!$B$5,2,AN49&gt;'NILAI CPL'!$B$6,1),0),"")</f>
        <v/>
      </c>
    </row>
    <row r="50" spans="1:63" x14ac:dyDescent="0.2">
      <c r="A50" s="2">
        <v>40</v>
      </c>
      <c r="B50" s="2" t="str">
        <f>IF(LEN(SUMMARY!B50)&gt;0, SUMMARY!B50, "")</f>
        <v/>
      </c>
      <c r="C50" s="2" t="str">
        <f>IF(LEN(SUMMARY!C50)&gt;0, SUMMARY!C50, "")</f>
        <v/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" t="str">
        <f t="shared" si="24"/>
        <v/>
      </c>
      <c r="S50" s="2" t="str">
        <f t="shared" si="2"/>
        <v/>
      </c>
      <c r="T50" s="2" t="str">
        <f t="shared" si="3"/>
        <v/>
      </c>
      <c r="U50" s="2" t="str">
        <f t="shared" si="4"/>
        <v/>
      </c>
      <c r="V50" s="2" t="str">
        <f t="shared" si="5"/>
        <v/>
      </c>
      <c r="W50" s="2" t="str">
        <f t="shared" si="6"/>
        <v/>
      </c>
      <c r="X50" s="2" t="str">
        <f t="shared" si="7"/>
        <v/>
      </c>
      <c r="Y50" s="2" t="str">
        <f t="shared" si="8"/>
        <v/>
      </c>
      <c r="Z50" s="2" t="str">
        <f t="shared" si="9"/>
        <v/>
      </c>
      <c r="AA50" s="2" t="str">
        <f t="shared" si="10"/>
        <v/>
      </c>
      <c r="AB50" s="2" t="str">
        <f t="shared" si="11"/>
        <v/>
      </c>
      <c r="AC50" s="2" t="str">
        <f t="shared" si="12"/>
        <v/>
      </c>
      <c r="AD50" s="2" t="str">
        <f t="shared" si="13"/>
        <v/>
      </c>
      <c r="AE50" s="2" t="str">
        <f t="shared" si="14"/>
        <v/>
      </c>
      <c r="AF50" s="2" t="str">
        <f t="shared" si="15"/>
        <v/>
      </c>
      <c r="AG50" s="2" t="str">
        <f t="shared" si="16"/>
        <v/>
      </c>
      <c r="AH50" s="2" t="str">
        <f t="shared" si="17"/>
        <v/>
      </c>
      <c r="AI50" s="2" t="str">
        <f t="shared" si="18"/>
        <v/>
      </c>
      <c r="AJ50" s="2" t="str">
        <f t="shared" si="19"/>
        <v/>
      </c>
      <c r="AK50" s="2" t="str">
        <f t="shared" si="20"/>
        <v/>
      </c>
      <c r="AL50" s="2" t="str">
        <f t="shared" si="21"/>
        <v/>
      </c>
      <c r="AM50" s="2" t="str">
        <f t="shared" si="22"/>
        <v/>
      </c>
      <c r="AN50" s="2" t="str">
        <f t="shared" si="23"/>
        <v/>
      </c>
      <c r="AP50" s="2" t="str" cm="1">
        <f t="array" ref="AP50">IF('NILAI CPL'!$B50&lt;&gt;"",IFERROR(_xlfn.IFS(S50&gt;='NILAI CPL'!$B$3,4,S50&gt;='NILAI CPL'!$B$4,3,S50&gt;='NILAI CPL'!$B$5,2,S50&gt;'NILAI CPL'!$B$6,1),0),"")</f>
        <v/>
      </c>
      <c r="AQ50" s="2" t="str" cm="1">
        <f t="array" ref="AQ50">IF('NILAI CPL'!$B50&lt;&gt;"",IFERROR(_xlfn.IFS(T50&gt;='NILAI CPL'!$B$3,4,T50&gt;='NILAI CPL'!$B$4,3,T50&gt;='NILAI CPL'!$B$5,2,T50&gt;'NILAI CPL'!$B$6,1),0),"")</f>
        <v/>
      </c>
      <c r="AR50" s="2" t="str" cm="1">
        <f t="array" ref="AR50">IF('NILAI CPL'!$B50&lt;&gt;"",IFERROR(_xlfn.IFS(U50&gt;='NILAI CPL'!$B$3,4,U50&gt;='NILAI CPL'!$B$4,3,U50&gt;='NILAI CPL'!$B$5,2,U50&gt;'NILAI CPL'!$B$6,1),0),"")</f>
        <v/>
      </c>
      <c r="AS50" s="2" t="str" cm="1">
        <f t="array" ref="AS50">IF('NILAI CPL'!$B50&lt;&gt;"",IFERROR(_xlfn.IFS(V50&gt;='NILAI CPL'!$B$3,4,V50&gt;='NILAI CPL'!$B$4,3,V50&gt;='NILAI CPL'!$B$5,2,V50&gt;'NILAI CPL'!$B$6,1),0),"")</f>
        <v/>
      </c>
      <c r="AT50" s="2" t="str" cm="1">
        <f t="array" ref="AT50">IF('NILAI CPL'!$B50&lt;&gt;"",IFERROR(_xlfn.IFS(W50&gt;='NILAI CPL'!$B$3,4,W50&gt;='NILAI CPL'!$B$4,3,W50&gt;='NILAI CPL'!$B$5,2,W50&gt;'NILAI CPL'!$B$6,1),0),"")</f>
        <v/>
      </c>
      <c r="AU50" s="2" t="str" cm="1">
        <f t="array" ref="AU50">IF('NILAI CPL'!$B50&lt;&gt;"",IFERROR(_xlfn.IFS(X50&gt;='NILAI CPL'!$B$3,4,X50&gt;='NILAI CPL'!$B$4,3,X50&gt;='NILAI CPL'!$B$5,2,X50&gt;'NILAI CPL'!$B$6,1),0),"")</f>
        <v/>
      </c>
      <c r="AV50" s="2" t="str" cm="1">
        <f t="array" ref="AV50">IF('NILAI CPL'!$B50&lt;&gt;"",IFERROR(_xlfn.IFS(Y50&gt;='NILAI CPL'!$B$3,4,Y50&gt;='NILAI CPL'!$B$4,3,Y50&gt;='NILAI CPL'!$B$5,2,Y50&gt;'NILAI CPL'!$B$6,1),0),"")</f>
        <v/>
      </c>
      <c r="AW50" s="2" t="str" cm="1">
        <f t="array" ref="AW50">IF('NILAI CPL'!$B50&lt;&gt;"",IFERROR(_xlfn.IFS(Z50&gt;='NILAI CPL'!$B$3,4,Z50&gt;='NILAI CPL'!$B$4,3,Z50&gt;='NILAI CPL'!$B$5,2,Z50&gt;'NILAI CPL'!$B$6,1),0),"")</f>
        <v/>
      </c>
      <c r="AX50" s="2" t="str" cm="1">
        <f t="array" ref="AX50">IF('NILAI CPL'!$B50&lt;&gt;"",IFERROR(_xlfn.IFS(AA50&gt;='NILAI CPL'!$B$3,4,AA50&gt;='NILAI CPL'!$B$4,3,AA50&gt;='NILAI CPL'!$B$5,2,AA50&gt;'NILAI CPL'!$B$6,1),0),"")</f>
        <v/>
      </c>
      <c r="AY50" s="2" t="str" cm="1">
        <f t="array" ref="AY50">IF('NILAI CPL'!$B50&lt;&gt;"",IFERROR(_xlfn.IFS(AB50&gt;='NILAI CPL'!$B$3,4,AB50&gt;='NILAI CPL'!$B$4,3,AB50&gt;='NILAI CPL'!$B$5,2,AB50&gt;'NILAI CPL'!$B$6,1),0),"")</f>
        <v/>
      </c>
      <c r="AZ50" s="2" t="str" cm="1">
        <f t="array" ref="AZ50">IF('NILAI CPL'!$B50&lt;&gt;"",IFERROR(_xlfn.IFS(AC50&gt;='NILAI CPL'!$B$3,4,AC50&gt;='NILAI CPL'!$B$4,3,AC50&gt;='NILAI CPL'!$B$5,2,AC50&gt;'NILAI CPL'!$B$6,1),0),"")</f>
        <v/>
      </c>
      <c r="BA50" s="2" t="str" cm="1">
        <f t="array" ref="BA50">IF('NILAI CPL'!$B50&lt;&gt;"",IFERROR(_xlfn.IFS(AD50&gt;='NILAI CPL'!$B$3,4,AD50&gt;='NILAI CPL'!$B$4,3,AD50&gt;='NILAI CPL'!$B$5,2,AD50&gt;'NILAI CPL'!$B$6,1),0),"")</f>
        <v/>
      </c>
      <c r="BB50" s="2" t="str" cm="1">
        <f t="array" ref="BB50">IF('NILAI CPL'!$B50&lt;&gt;"",IFERROR(_xlfn.IFS(AE50&gt;='NILAI CPL'!$B$3,4,AE50&gt;='NILAI CPL'!$B$4,3,AE50&gt;='NILAI CPL'!$B$5,2,AE50&gt;'NILAI CPL'!$B$6,1),0),"")</f>
        <v/>
      </c>
      <c r="BC50" s="2" t="str" cm="1">
        <f t="array" ref="BC50">IF('NILAI CPL'!$B50&lt;&gt;"",IFERROR(_xlfn.IFS(AF50&gt;='NILAI CPL'!$B$3,4,AF50&gt;='NILAI CPL'!$B$4,3,AF50&gt;='NILAI CPL'!$B$5,2,AF50&gt;'NILAI CPL'!$B$6,1),0),"")</f>
        <v/>
      </c>
      <c r="BD50" s="2" t="str" cm="1">
        <f t="array" ref="BD50">IF('NILAI CPL'!$B50&lt;&gt;"",IFERROR(_xlfn.IFS(AG50&gt;='NILAI CPL'!$B$3,4,AG50&gt;='NILAI CPL'!$B$4,3,AG50&gt;='NILAI CPL'!$B$5,2,AG50&gt;'NILAI CPL'!$B$6,1),0),"")</f>
        <v/>
      </c>
      <c r="BE50" s="2" t="str" cm="1">
        <f t="array" ref="BE50">IF('NILAI CPL'!$B50&lt;&gt;"",IFERROR(_xlfn.IFS(AH50&gt;='NILAI CPL'!$B$3,4,AH50&gt;='NILAI CPL'!$B$4,3,AH50&gt;='NILAI CPL'!$B$5,2,AH50&gt;'NILAI CPL'!$B$6,1),0),"")</f>
        <v/>
      </c>
      <c r="BF50" s="2" t="str" cm="1">
        <f t="array" ref="BF50">IF('NILAI CPL'!$B50&lt;&gt;"",IFERROR(_xlfn.IFS(AI50&gt;='NILAI CPL'!$B$3,4,AI50&gt;='NILAI CPL'!$B$4,3,AI50&gt;='NILAI CPL'!$B$5,2,AI50&gt;'NILAI CPL'!$B$6,1),0),"")</f>
        <v/>
      </c>
      <c r="BG50" s="2" t="str" cm="1">
        <f t="array" ref="BG50">IF('NILAI CPL'!$B50&lt;&gt;"",IFERROR(_xlfn.IFS(AJ50&gt;='NILAI CPL'!$B$3,4,AJ50&gt;='NILAI CPL'!$B$4,3,AJ50&gt;='NILAI CPL'!$B$5,2,AJ50&gt;'NILAI CPL'!$B$6,1),0),"")</f>
        <v/>
      </c>
      <c r="BH50" s="2" t="str" cm="1">
        <f t="array" ref="BH50">IF('NILAI CPL'!$B50&lt;&gt;"",IFERROR(_xlfn.IFS(AK50&gt;='NILAI CPL'!$B$3,4,AK50&gt;='NILAI CPL'!$B$4,3,AK50&gt;='NILAI CPL'!$B$5,2,AK50&gt;'NILAI CPL'!$B$6,1),0),"")</f>
        <v/>
      </c>
      <c r="BI50" s="2" t="str" cm="1">
        <f t="array" ref="BI50">IF('NILAI CPL'!$B50&lt;&gt;"",IFERROR(_xlfn.IFS(AL50&gt;='NILAI CPL'!$B$3,4,AL50&gt;='NILAI CPL'!$B$4,3,AL50&gt;='NILAI CPL'!$B$5,2,AL50&gt;'NILAI CPL'!$B$6,1),0),"")</f>
        <v/>
      </c>
      <c r="BJ50" s="2" t="str" cm="1">
        <f t="array" ref="BJ50">IF('NILAI CPL'!$B50&lt;&gt;"",IFERROR(_xlfn.IFS(AM50&gt;='NILAI CPL'!$B$3,4,AM50&gt;='NILAI CPL'!$B$4,3,AM50&gt;='NILAI CPL'!$B$5,2,AM50&gt;'NILAI CPL'!$B$6,1),0),"")</f>
        <v/>
      </c>
      <c r="BK50" s="2" t="str" cm="1">
        <f t="array" ref="BK50">IF('NILAI CPL'!$B50&lt;&gt;"",IFERROR(_xlfn.IFS(AN50&gt;='NILAI CPL'!$B$3,4,AN50&gt;='NILAI CPL'!$B$4,3,AN50&gt;='NILAI CPL'!$B$5,2,AN50&gt;'NILAI CPL'!$B$6,1),0),"")</f>
        <v/>
      </c>
    </row>
    <row r="51" spans="1:63" x14ac:dyDescent="0.2">
      <c r="A51" s="2">
        <v>41</v>
      </c>
      <c r="B51" s="2" t="str">
        <f>IF(LEN(SUMMARY!B51)&gt;0, SUMMARY!B51, "")</f>
        <v/>
      </c>
      <c r="C51" s="2" t="str">
        <f>IF(LEN(SUMMARY!C51)&gt;0, SUMMARY!C51, "")</f>
        <v/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" t="str">
        <f t="shared" si="24"/>
        <v/>
      </c>
      <c r="S51" s="2" t="str">
        <f t="shared" si="2"/>
        <v/>
      </c>
      <c r="T51" s="2" t="str">
        <f t="shared" si="3"/>
        <v/>
      </c>
      <c r="U51" s="2" t="str">
        <f t="shared" si="4"/>
        <v/>
      </c>
      <c r="V51" s="2" t="str">
        <f t="shared" si="5"/>
        <v/>
      </c>
      <c r="W51" s="2" t="str">
        <f t="shared" si="6"/>
        <v/>
      </c>
      <c r="X51" s="2" t="str">
        <f t="shared" si="7"/>
        <v/>
      </c>
      <c r="Y51" s="2" t="str">
        <f t="shared" si="8"/>
        <v/>
      </c>
      <c r="Z51" s="2" t="str">
        <f t="shared" si="9"/>
        <v/>
      </c>
      <c r="AA51" s="2" t="str">
        <f t="shared" si="10"/>
        <v/>
      </c>
      <c r="AB51" s="2" t="str">
        <f t="shared" si="11"/>
        <v/>
      </c>
      <c r="AC51" s="2" t="str">
        <f t="shared" si="12"/>
        <v/>
      </c>
      <c r="AD51" s="2" t="str">
        <f t="shared" si="13"/>
        <v/>
      </c>
      <c r="AE51" s="2" t="str">
        <f t="shared" si="14"/>
        <v/>
      </c>
      <c r="AF51" s="2" t="str">
        <f t="shared" si="15"/>
        <v/>
      </c>
      <c r="AG51" s="2" t="str">
        <f t="shared" si="16"/>
        <v/>
      </c>
      <c r="AH51" s="2" t="str">
        <f t="shared" si="17"/>
        <v/>
      </c>
      <c r="AI51" s="2" t="str">
        <f t="shared" si="18"/>
        <v/>
      </c>
      <c r="AJ51" s="2" t="str">
        <f t="shared" si="19"/>
        <v/>
      </c>
      <c r="AK51" s="2" t="str">
        <f t="shared" si="20"/>
        <v/>
      </c>
      <c r="AL51" s="2" t="str">
        <f t="shared" si="21"/>
        <v/>
      </c>
      <c r="AM51" s="2" t="str">
        <f t="shared" si="22"/>
        <v/>
      </c>
      <c r="AN51" s="2" t="str">
        <f t="shared" si="23"/>
        <v/>
      </c>
      <c r="AP51" s="2" t="str" cm="1">
        <f t="array" ref="AP51">IF('NILAI CPL'!$B51&lt;&gt;"",IFERROR(_xlfn.IFS(S51&gt;='NILAI CPL'!$B$3,4,S51&gt;='NILAI CPL'!$B$4,3,S51&gt;='NILAI CPL'!$B$5,2,S51&gt;'NILAI CPL'!$B$6,1),0),"")</f>
        <v/>
      </c>
      <c r="AQ51" s="2" t="str" cm="1">
        <f t="array" ref="AQ51">IF('NILAI CPL'!$B51&lt;&gt;"",IFERROR(_xlfn.IFS(T51&gt;='NILAI CPL'!$B$3,4,T51&gt;='NILAI CPL'!$B$4,3,T51&gt;='NILAI CPL'!$B$5,2,T51&gt;'NILAI CPL'!$B$6,1),0),"")</f>
        <v/>
      </c>
      <c r="AR51" s="2" t="str" cm="1">
        <f t="array" ref="AR51">IF('NILAI CPL'!$B51&lt;&gt;"",IFERROR(_xlfn.IFS(U51&gt;='NILAI CPL'!$B$3,4,U51&gt;='NILAI CPL'!$B$4,3,U51&gt;='NILAI CPL'!$B$5,2,U51&gt;'NILAI CPL'!$B$6,1),0),"")</f>
        <v/>
      </c>
      <c r="AS51" s="2" t="str" cm="1">
        <f t="array" ref="AS51">IF('NILAI CPL'!$B51&lt;&gt;"",IFERROR(_xlfn.IFS(V51&gt;='NILAI CPL'!$B$3,4,V51&gt;='NILAI CPL'!$B$4,3,V51&gt;='NILAI CPL'!$B$5,2,V51&gt;'NILAI CPL'!$B$6,1),0),"")</f>
        <v/>
      </c>
      <c r="AT51" s="2" t="str" cm="1">
        <f t="array" ref="AT51">IF('NILAI CPL'!$B51&lt;&gt;"",IFERROR(_xlfn.IFS(W51&gt;='NILAI CPL'!$B$3,4,W51&gt;='NILAI CPL'!$B$4,3,W51&gt;='NILAI CPL'!$B$5,2,W51&gt;'NILAI CPL'!$B$6,1),0),"")</f>
        <v/>
      </c>
      <c r="AU51" s="2" t="str" cm="1">
        <f t="array" ref="AU51">IF('NILAI CPL'!$B51&lt;&gt;"",IFERROR(_xlfn.IFS(X51&gt;='NILAI CPL'!$B$3,4,X51&gt;='NILAI CPL'!$B$4,3,X51&gt;='NILAI CPL'!$B$5,2,X51&gt;'NILAI CPL'!$B$6,1),0),"")</f>
        <v/>
      </c>
      <c r="AV51" s="2" t="str" cm="1">
        <f t="array" ref="AV51">IF('NILAI CPL'!$B51&lt;&gt;"",IFERROR(_xlfn.IFS(Y51&gt;='NILAI CPL'!$B$3,4,Y51&gt;='NILAI CPL'!$B$4,3,Y51&gt;='NILAI CPL'!$B$5,2,Y51&gt;'NILAI CPL'!$B$6,1),0),"")</f>
        <v/>
      </c>
      <c r="AW51" s="2" t="str" cm="1">
        <f t="array" ref="AW51">IF('NILAI CPL'!$B51&lt;&gt;"",IFERROR(_xlfn.IFS(Z51&gt;='NILAI CPL'!$B$3,4,Z51&gt;='NILAI CPL'!$B$4,3,Z51&gt;='NILAI CPL'!$B$5,2,Z51&gt;'NILAI CPL'!$B$6,1),0),"")</f>
        <v/>
      </c>
      <c r="AX51" s="2" t="str" cm="1">
        <f t="array" ref="AX51">IF('NILAI CPL'!$B51&lt;&gt;"",IFERROR(_xlfn.IFS(AA51&gt;='NILAI CPL'!$B$3,4,AA51&gt;='NILAI CPL'!$B$4,3,AA51&gt;='NILAI CPL'!$B$5,2,AA51&gt;'NILAI CPL'!$B$6,1),0),"")</f>
        <v/>
      </c>
      <c r="AY51" s="2" t="str" cm="1">
        <f t="array" ref="AY51">IF('NILAI CPL'!$B51&lt;&gt;"",IFERROR(_xlfn.IFS(AB51&gt;='NILAI CPL'!$B$3,4,AB51&gt;='NILAI CPL'!$B$4,3,AB51&gt;='NILAI CPL'!$B$5,2,AB51&gt;'NILAI CPL'!$B$6,1),0),"")</f>
        <v/>
      </c>
      <c r="AZ51" s="2" t="str" cm="1">
        <f t="array" ref="AZ51">IF('NILAI CPL'!$B51&lt;&gt;"",IFERROR(_xlfn.IFS(AC51&gt;='NILAI CPL'!$B$3,4,AC51&gt;='NILAI CPL'!$B$4,3,AC51&gt;='NILAI CPL'!$B$5,2,AC51&gt;'NILAI CPL'!$B$6,1),0),"")</f>
        <v/>
      </c>
      <c r="BA51" s="2" t="str" cm="1">
        <f t="array" ref="BA51">IF('NILAI CPL'!$B51&lt;&gt;"",IFERROR(_xlfn.IFS(AD51&gt;='NILAI CPL'!$B$3,4,AD51&gt;='NILAI CPL'!$B$4,3,AD51&gt;='NILAI CPL'!$B$5,2,AD51&gt;'NILAI CPL'!$B$6,1),0),"")</f>
        <v/>
      </c>
      <c r="BB51" s="2" t="str" cm="1">
        <f t="array" ref="BB51">IF('NILAI CPL'!$B51&lt;&gt;"",IFERROR(_xlfn.IFS(AE51&gt;='NILAI CPL'!$B$3,4,AE51&gt;='NILAI CPL'!$B$4,3,AE51&gt;='NILAI CPL'!$B$5,2,AE51&gt;'NILAI CPL'!$B$6,1),0),"")</f>
        <v/>
      </c>
      <c r="BC51" s="2" t="str" cm="1">
        <f t="array" ref="BC51">IF('NILAI CPL'!$B51&lt;&gt;"",IFERROR(_xlfn.IFS(AF51&gt;='NILAI CPL'!$B$3,4,AF51&gt;='NILAI CPL'!$B$4,3,AF51&gt;='NILAI CPL'!$B$5,2,AF51&gt;'NILAI CPL'!$B$6,1),0),"")</f>
        <v/>
      </c>
      <c r="BD51" s="2" t="str" cm="1">
        <f t="array" ref="BD51">IF('NILAI CPL'!$B51&lt;&gt;"",IFERROR(_xlfn.IFS(AG51&gt;='NILAI CPL'!$B$3,4,AG51&gt;='NILAI CPL'!$B$4,3,AG51&gt;='NILAI CPL'!$B$5,2,AG51&gt;'NILAI CPL'!$B$6,1),0),"")</f>
        <v/>
      </c>
      <c r="BE51" s="2" t="str" cm="1">
        <f t="array" ref="BE51">IF('NILAI CPL'!$B51&lt;&gt;"",IFERROR(_xlfn.IFS(AH51&gt;='NILAI CPL'!$B$3,4,AH51&gt;='NILAI CPL'!$B$4,3,AH51&gt;='NILAI CPL'!$B$5,2,AH51&gt;'NILAI CPL'!$B$6,1),0),"")</f>
        <v/>
      </c>
      <c r="BF51" s="2" t="str" cm="1">
        <f t="array" ref="BF51">IF('NILAI CPL'!$B51&lt;&gt;"",IFERROR(_xlfn.IFS(AI51&gt;='NILAI CPL'!$B$3,4,AI51&gt;='NILAI CPL'!$B$4,3,AI51&gt;='NILAI CPL'!$B$5,2,AI51&gt;'NILAI CPL'!$B$6,1),0),"")</f>
        <v/>
      </c>
      <c r="BG51" s="2" t="str" cm="1">
        <f t="array" ref="BG51">IF('NILAI CPL'!$B51&lt;&gt;"",IFERROR(_xlfn.IFS(AJ51&gt;='NILAI CPL'!$B$3,4,AJ51&gt;='NILAI CPL'!$B$4,3,AJ51&gt;='NILAI CPL'!$B$5,2,AJ51&gt;'NILAI CPL'!$B$6,1),0),"")</f>
        <v/>
      </c>
      <c r="BH51" s="2" t="str" cm="1">
        <f t="array" ref="BH51">IF('NILAI CPL'!$B51&lt;&gt;"",IFERROR(_xlfn.IFS(AK51&gt;='NILAI CPL'!$B$3,4,AK51&gt;='NILAI CPL'!$B$4,3,AK51&gt;='NILAI CPL'!$B$5,2,AK51&gt;'NILAI CPL'!$B$6,1),0),"")</f>
        <v/>
      </c>
      <c r="BI51" s="2" t="str" cm="1">
        <f t="array" ref="BI51">IF('NILAI CPL'!$B51&lt;&gt;"",IFERROR(_xlfn.IFS(AL51&gt;='NILAI CPL'!$B$3,4,AL51&gt;='NILAI CPL'!$B$4,3,AL51&gt;='NILAI CPL'!$B$5,2,AL51&gt;'NILAI CPL'!$B$6,1),0),"")</f>
        <v/>
      </c>
      <c r="BJ51" s="2" t="str" cm="1">
        <f t="array" ref="BJ51">IF('NILAI CPL'!$B51&lt;&gt;"",IFERROR(_xlfn.IFS(AM51&gt;='NILAI CPL'!$B$3,4,AM51&gt;='NILAI CPL'!$B$4,3,AM51&gt;='NILAI CPL'!$B$5,2,AM51&gt;'NILAI CPL'!$B$6,1),0),"")</f>
        <v/>
      </c>
      <c r="BK51" s="2" t="str" cm="1">
        <f t="array" ref="BK51">IF('NILAI CPL'!$B51&lt;&gt;"",IFERROR(_xlfn.IFS(AN51&gt;='NILAI CPL'!$B$3,4,AN51&gt;='NILAI CPL'!$B$4,3,AN51&gt;='NILAI CPL'!$B$5,2,AN51&gt;'NILAI CPL'!$B$6,1),0),"")</f>
        <v/>
      </c>
    </row>
    <row r="52" spans="1:63" x14ac:dyDescent="0.2">
      <c r="A52" s="2">
        <v>42</v>
      </c>
      <c r="B52" s="2" t="str">
        <f>IF(LEN(SUMMARY!B52)&gt;0, SUMMARY!B52, "")</f>
        <v/>
      </c>
      <c r="C52" s="2" t="str">
        <f>IF(LEN(SUMMARY!C52)&gt;0, SUMMARY!C52, "")</f>
        <v/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" t="str">
        <f t="shared" si="24"/>
        <v/>
      </c>
      <c r="S52" s="2" t="str">
        <f t="shared" si="2"/>
        <v/>
      </c>
      <c r="T52" s="2" t="str">
        <f t="shared" si="3"/>
        <v/>
      </c>
      <c r="U52" s="2" t="str">
        <f t="shared" si="4"/>
        <v/>
      </c>
      <c r="V52" s="2" t="str">
        <f t="shared" si="5"/>
        <v/>
      </c>
      <c r="W52" s="2" t="str">
        <f t="shared" si="6"/>
        <v/>
      </c>
      <c r="X52" s="2" t="str">
        <f t="shared" si="7"/>
        <v/>
      </c>
      <c r="Y52" s="2" t="str">
        <f t="shared" si="8"/>
        <v/>
      </c>
      <c r="Z52" s="2" t="str">
        <f t="shared" si="9"/>
        <v/>
      </c>
      <c r="AA52" s="2" t="str">
        <f t="shared" si="10"/>
        <v/>
      </c>
      <c r="AB52" s="2" t="str">
        <f t="shared" si="11"/>
        <v/>
      </c>
      <c r="AC52" s="2" t="str">
        <f t="shared" si="12"/>
        <v/>
      </c>
      <c r="AD52" s="2" t="str">
        <f t="shared" si="13"/>
        <v/>
      </c>
      <c r="AE52" s="2" t="str">
        <f t="shared" si="14"/>
        <v/>
      </c>
      <c r="AF52" s="2" t="str">
        <f t="shared" si="15"/>
        <v/>
      </c>
      <c r="AG52" s="2" t="str">
        <f t="shared" si="16"/>
        <v/>
      </c>
      <c r="AH52" s="2" t="str">
        <f t="shared" si="17"/>
        <v/>
      </c>
      <c r="AI52" s="2" t="str">
        <f t="shared" si="18"/>
        <v/>
      </c>
      <c r="AJ52" s="2" t="str">
        <f t="shared" si="19"/>
        <v/>
      </c>
      <c r="AK52" s="2" t="str">
        <f t="shared" si="20"/>
        <v/>
      </c>
      <c r="AL52" s="2" t="str">
        <f t="shared" si="21"/>
        <v/>
      </c>
      <c r="AM52" s="2" t="str">
        <f t="shared" si="22"/>
        <v/>
      </c>
      <c r="AN52" s="2" t="str">
        <f t="shared" si="23"/>
        <v/>
      </c>
      <c r="AP52" s="2" t="str" cm="1">
        <f t="array" ref="AP52">IF('NILAI CPL'!$B52&lt;&gt;"",IFERROR(_xlfn.IFS(S52&gt;='NILAI CPL'!$B$3,4,S52&gt;='NILAI CPL'!$B$4,3,S52&gt;='NILAI CPL'!$B$5,2,S52&gt;'NILAI CPL'!$B$6,1),0),"")</f>
        <v/>
      </c>
      <c r="AQ52" s="2" t="str" cm="1">
        <f t="array" ref="AQ52">IF('NILAI CPL'!$B52&lt;&gt;"",IFERROR(_xlfn.IFS(T52&gt;='NILAI CPL'!$B$3,4,T52&gt;='NILAI CPL'!$B$4,3,T52&gt;='NILAI CPL'!$B$5,2,T52&gt;'NILAI CPL'!$B$6,1),0),"")</f>
        <v/>
      </c>
      <c r="AR52" s="2" t="str" cm="1">
        <f t="array" ref="AR52">IF('NILAI CPL'!$B52&lt;&gt;"",IFERROR(_xlfn.IFS(U52&gt;='NILAI CPL'!$B$3,4,U52&gt;='NILAI CPL'!$B$4,3,U52&gt;='NILAI CPL'!$B$5,2,U52&gt;'NILAI CPL'!$B$6,1),0),"")</f>
        <v/>
      </c>
      <c r="AS52" s="2" t="str" cm="1">
        <f t="array" ref="AS52">IF('NILAI CPL'!$B52&lt;&gt;"",IFERROR(_xlfn.IFS(V52&gt;='NILAI CPL'!$B$3,4,V52&gt;='NILAI CPL'!$B$4,3,V52&gt;='NILAI CPL'!$B$5,2,V52&gt;'NILAI CPL'!$B$6,1),0),"")</f>
        <v/>
      </c>
      <c r="AT52" s="2" t="str" cm="1">
        <f t="array" ref="AT52">IF('NILAI CPL'!$B52&lt;&gt;"",IFERROR(_xlfn.IFS(W52&gt;='NILAI CPL'!$B$3,4,W52&gt;='NILAI CPL'!$B$4,3,W52&gt;='NILAI CPL'!$B$5,2,W52&gt;'NILAI CPL'!$B$6,1),0),"")</f>
        <v/>
      </c>
      <c r="AU52" s="2" t="str" cm="1">
        <f t="array" ref="AU52">IF('NILAI CPL'!$B52&lt;&gt;"",IFERROR(_xlfn.IFS(X52&gt;='NILAI CPL'!$B$3,4,X52&gt;='NILAI CPL'!$B$4,3,X52&gt;='NILAI CPL'!$B$5,2,X52&gt;'NILAI CPL'!$B$6,1),0),"")</f>
        <v/>
      </c>
      <c r="AV52" s="2" t="str" cm="1">
        <f t="array" ref="AV52">IF('NILAI CPL'!$B52&lt;&gt;"",IFERROR(_xlfn.IFS(Y52&gt;='NILAI CPL'!$B$3,4,Y52&gt;='NILAI CPL'!$B$4,3,Y52&gt;='NILAI CPL'!$B$5,2,Y52&gt;'NILAI CPL'!$B$6,1),0),"")</f>
        <v/>
      </c>
      <c r="AW52" s="2" t="str" cm="1">
        <f t="array" ref="AW52">IF('NILAI CPL'!$B52&lt;&gt;"",IFERROR(_xlfn.IFS(Z52&gt;='NILAI CPL'!$B$3,4,Z52&gt;='NILAI CPL'!$B$4,3,Z52&gt;='NILAI CPL'!$B$5,2,Z52&gt;'NILAI CPL'!$B$6,1),0),"")</f>
        <v/>
      </c>
      <c r="AX52" s="2" t="str" cm="1">
        <f t="array" ref="AX52">IF('NILAI CPL'!$B52&lt;&gt;"",IFERROR(_xlfn.IFS(AA52&gt;='NILAI CPL'!$B$3,4,AA52&gt;='NILAI CPL'!$B$4,3,AA52&gt;='NILAI CPL'!$B$5,2,AA52&gt;'NILAI CPL'!$B$6,1),0),"")</f>
        <v/>
      </c>
      <c r="AY52" s="2" t="str" cm="1">
        <f t="array" ref="AY52">IF('NILAI CPL'!$B52&lt;&gt;"",IFERROR(_xlfn.IFS(AB52&gt;='NILAI CPL'!$B$3,4,AB52&gt;='NILAI CPL'!$B$4,3,AB52&gt;='NILAI CPL'!$B$5,2,AB52&gt;'NILAI CPL'!$B$6,1),0),"")</f>
        <v/>
      </c>
      <c r="AZ52" s="2" t="str" cm="1">
        <f t="array" ref="AZ52">IF('NILAI CPL'!$B52&lt;&gt;"",IFERROR(_xlfn.IFS(AC52&gt;='NILAI CPL'!$B$3,4,AC52&gt;='NILAI CPL'!$B$4,3,AC52&gt;='NILAI CPL'!$B$5,2,AC52&gt;'NILAI CPL'!$B$6,1),0),"")</f>
        <v/>
      </c>
      <c r="BA52" s="2" t="str" cm="1">
        <f t="array" ref="BA52">IF('NILAI CPL'!$B52&lt;&gt;"",IFERROR(_xlfn.IFS(AD52&gt;='NILAI CPL'!$B$3,4,AD52&gt;='NILAI CPL'!$B$4,3,AD52&gt;='NILAI CPL'!$B$5,2,AD52&gt;'NILAI CPL'!$B$6,1),0),"")</f>
        <v/>
      </c>
      <c r="BB52" s="2" t="str" cm="1">
        <f t="array" ref="BB52">IF('NILAI CPL'!$B52&lt;&gt;"",IFERROR(_xlfn.IFS(AE52&gt;='NILAI CPL'!$B$3,4,AE52&gt;='NILAI CPL'!$B$4,3,AE52&gt;='NILAI CPL'!$B$5,2,AE52&gt;'NILAI CPL'!$B$6,1),0),"")</f>
        <v/>
      </c>
      <c r="BC52" s="2" t="str" cm="1">
        <f t="array" ref="BC52">IF('NILAI CPL'!$B52&lt;&gt;"",IFERROR(_xlfn.IFS(AF52&gt;='NILAI CPL'!$B$3,4,AF52&gt;='NILAI CPL'!$B$4,3,AF52&gt;='NILAI CPL'!$B$5,2,AF52&gt;'NILAI CPL'!$B$6,1),0),"")</f>
        <v/>
      </c>
      <c r="BD52" s="2" t="str" cm="1">
        <f t="array" ref="BD52">IF('NILAI CPL'!$B52&lt;&gt;"",IFERROR(_xlfn.IFS(AG52&gt;='NILAI CPL'!$B$3,4,AG52&gt;='NILAI CPL'!$B$4,3,AG52&gt;='NILAI CPL'!$B$5,2,AG52&gt;'NILAI CPL'!$B$6,1),0),"")</f>
        <v/>
      </c>
      <c r="BE52" s="2" t="str" cm="1">
        <f t="array" ref="BE52">IF('NILAI CPL'!$B52&lt;&gt;"",IFERROR(_xlfn.IFS(AH52&gt;='NILAI CPL'!$B$3,4,AH52&gt;='NILAI CPL'!$B$4,3,AH52&gt;='NILAI CPL'!$B$5,2,AH52&gt;'NILAI CPL'!$B$6,1),0),"")</f>
        <v/>
      </c>
      <c r="BF52" s="2" t="str" cm="1">
        <f t="array" ref="BF52">IF('NILAI CPL'!$B52&lt;&gt;"",IFERROR(_xlfn.IFS(AI52&gt;='NILAI CPL'!$B$3,4,AI52&gt;='NILAI CPL'!$B$4,3,AI52&gt;='NILAI CPL'!$B$5,2,AI52&gt;'NILAI CPL'!$B$6,1),0),"")</f>
        <v/>
      </c>
      <c r="BG52" s="2" t="str" cm="1">
        <f t="array" ref="BG52">IF('NILAI CPL'!$B52&lt;&gt;"",IFERROR(_xlfn.IFS(AJ52&gt;='NILAI CPL'!$B$3,4,AJ52&gt;='NILAI CPL'!$B$4,3,AJ52&gt;='NILAI CPL'!$B$5,2,AJ52&gt;'NILAI CPL'!$B$6,1),0),"")</f>
        <v/>
      </c>
      <c r="BH52" s="2" t="str" cm="1">
        <f t="array" ref="BH52">IF('NILAI CPL'!$B52&lt;&gt;"",IFERROR(_xlfn.IFS(AK52&gt;='NILAI CPL'!$B$3,4,AK52&gt;='NILAI CPL'!$B$4,3,AK52&gt;='NILAI CPL'!$B$5,2,AK52&gt;'NILAI CPL'!$B$6,1),0),"")</f>
        <v/>
      </c>
      <c r="BI52" s="2" t="str" cm="1">
        <f t="array" ref="BI52">IF('NILAI CPL'!$B52&lt;&gt;"",IFERROR(_xlfn.IFS(AL52&gt;='NILAI CPL'!$B$3,4,AL52&gt;='NILAI CPL'!$B$4,3,AL52&gt;='NILAI CPL'!$B$5,2,AL52&gt;'NILAI CPL'!$B$6,1),0),"")</f>
        <v/>
      </c>
      <c r="BJ52" s="2" t="str" cm="1">
        <f t="array" ref="BJ52">IF('NILAI CPL'!$B52&lt;&gt;"",IFERROR(_xlfn.IFS(AM52&gt;='NILAI CPL'!$B$3,4,AM52&gt;='NILAI CPL'!$B$4,3,AM52&gt;='NILAI CPL'!$B$5,2,AM52&gt;'NILAI CPL'!$B$6,1),0),"")</f>
        <v/>
      </c>
      <c r="BK52" s="2" t="str" cm="1">
        <f t="array" ref="BK52">IF('NILAI CPL'!$B52&lt;&gt;"",IFERROR(_xlfn.IFS(AN52&gt;='NILAI CPL'!$B$3,4,AN52&gt;='NILAI CPL'!$B$4,3,AN52&gt;='NILAI CPL'!$B$5,2,AN52&gt;'NILAI CPL'!$B$6,1),0),"")</f>
        <v/>
      </c>
    </row>
    <row r="53" spans="1:63" x14ac:dyDescent="0.2">
      <c r="A53" s="2">
        <v>43</v>
      </c>
      <c r="B53" s="2" t="str">
        <f>IF(LEN(SUMMARY!B53)&gt;0, SUMMARY!B53, "")</f>
        <v/>
      </c>
      <c r="C53" s="2" t="str">
        <f>IF(LEN(SUMMARY!C53)&gt;0, SUMMARY!C53, "")</f>
        <v/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" t="str">
        <f t="shared" si="24"/>
        <v/>
      </c>
      <c r="S53" s="2" t="str">
        <f t="shared" si="2"/>
        <v/>
      </c>
      <c r="T53" s="2" t="str">
        <f t="shared" si="3"/>
        <v/>
      </c>
      <c r="U53" s="2" t="str">
        <f t="shared" si="4"/>
        <v/>
      </c>
      <c r="V53" s="2" t="str">
        <f t="shared" si="5"/>
        <v/>
      </c>
      <c r="W53" s="2" t="str">
        <f t="shared" si="6"/>
        <v/>
      </c>
      <c r="X53" s="2" t="str">
        <f t="shared" si="7"/>
        <v/>
      </c>
      <c r="Y53" s="2" t="str">
        <f t="shared" si="8"/>
        <v/>
      </c>
      <c r="Z53" s="2" t="str">
        <f t="shared" si="9"/>
        <v/>
      </c>
      <c r="AA53" s="2" t="str">
        <f t="shared" si="10"/>
        <v/>
      </c>
      <c r="AB53" s="2" t="str">
        <f t="shared" si="11"/>
        <v/>
      </c>
      <c r="AC53" s="2" t="str">
        <f t="shared" si="12"/>
        <v/>
      </c>
      <c r="AD53" s="2" t="str">
        <f t="shared" si="13"/>
        <v/>
      </c>
      <c r="AE53" s="2" t="str">
        <f t="shared" si="14"/>
        <v/>
      </c>
      <c r="AF53" s="2" t="str">
        <f t="shared" si="15"/>
        <v/>
      </c>
      <c r="AG53" s="2" t="str">
        <f t="shared" si="16"/>
        <v/>
      </c>
      <c r="AH53" s="2" t="str">
        <f t="shared" si="17"/>
        <v/>
      </c>
      <c r="AI53" s="2" t="str">
        <f t="shared" si="18"/>
        <v/>
      </c>
      <c r="AJ53" s="2" t="str">
        <f t="shared" si="19"/>
        <v/>
      </c>
      <c r="AK53" s="2" t="str">
        <f t="shared" si="20"/>
        <v/>
      </c>
      <c r="AL53" s="2" t="str">
        <f t="shared" si="21"/>
        <v/>
      </c>
      <c r="AM53" s="2" t="str">
        <f t="shared" si="22"/>
        <v/>
      </c>
      <c r="AN53" s="2" t="str">
        <f t="shared" si="23"/>
        <v/>
      </c>
      <c r="AP53" s="2" t="str" cm="1">
        <f t="array" ref="AP53">IF('NILAI CPL'!$B53&lt;&gt;"",IFERROR(_xlfn.IFS(S53&gt;='NILAI CPL'!$B$3,4,S53&gt;='NILAI CPL'!$B$4,3,S53&gt;='NILAI CPL'!$B$5,2,S53&gt;'NILAI CPL'!$B$6,1),0),"")</f>
        <v/>
      </c>
      <c r="AQ53" s="2" t="str" cm="1">
        <f t="array" ref="AQ53">IF('NILAI CPL'!$B53&lt;&gt;"",IFERROR(_xlfn.IFS(T53&gt;='NILAI CPL'!$B$3,4,T53&gt;='NILAI CPL'!$B$4,3,T53&gt;='NILAI CPL'!$B$5,2,T53&gt;'NILAI CPL'!$B$6,1),0),"")</f>
        <v/>
      </c>
      <c r="AR53" s="2" t="str" cm="1">
        <f t="array" ref="AR53">IF('NILAI CPL'!$B53&lt;&gt;"",IFERROR(_xlfn.IFS(U53&gt;='NILAI CPL'!$B$3,4,U53&gt;='NILAI CPL'!$B$4,3,U53&gt;='NILAI CPL'!$B$5,2,U53&gt;'NILAI CPL'!$B$6,1),0),"")</f>
        <v/>
      </c>
      <c r="AS53" s="2" t="str" cm="1">
        <f t="array" ref="AS53">IF('NILAI CPL'!$B53&lt;&gt;"",IFERROR(_xlfn.IFS(V53&gt;='NILAI CPL'!$B$3,4,V53&gt;='NILAI CPL'!$B$4,3,V53&gt;='NILAI CPL'!$B$5,2,V53&gt;'NILAI CPL'!$B$6,1),0),"")</f>
        <v/>
      </c>
      <c r="AT53" s="2" t="str" cm="1">
        <f t="array" ref="AT53">IF('NILAI CPL'!$B53&lt;&gt;"",IFERROR(_xlfn.IFS(W53&gt;='NILAI CPL'!$B$3,4,W53&gt;='NILAI CPL'!$B$4,3,W53&gt;='NILAI CPL'!$B$5,2,W53&gt;'NILAI CPL'!$B$6,1),0),"")</f>
        <v/>
      </c>
      <c r="AU53" s="2" t="str" cm="1">
        <f t="array" ref="AU53">IF('NILAI CPL'!$B53&lt;&gt;"",IFERROR(_xlfn.IFS(X53&gt;='NILAI CPL'!$B$3,4,X53&gt;='NILAI CPL'!$B$4,3,X53&gt;='NILAI CPL'!$B$5,2,X53&gt;'NILAI CPL'!$B$6,1),0),"")</f>
        <v/>
      </c>
      <c r="AV53" s="2" t="str" cm="1">
        <f t="array" ref="AV53">IF('NILAI CPL'!$B53&lt;&gt;"",IFERROR(_xlfn.IFS(Y53&gt;='NILAI CPL'!$B$3,4,Y53&gt;='NILAI CPL'!$B$4,3,Y53&gt;='NILAI CPL'!$B$5,2,Y53&gt;'NILAI CPL'!$B$6,1),0),"")</f>
        <v/>
      </c>
      <c r="AW53" s="2" t="str" cm="1">
        <f t="array" ref="AW53">IF('NILAI CPL'!$B53&lt;&gt;"",IFERROR(_xlfn.IFS(Z53&gt;='NILAI CPL'!$B$3,4,Z53&gt;='NILAI CPL'!$B$4,3,Z53&gt;='NILAI CPL'!$B$5,2,Z53&gt;'NILAI CPL'!$B$6,1),0),"")</f>
        <v/>
      </c>
      <c r="AX53" s="2" t="str" cm="1">
        <f t="array" ref="AX53">IF('NILAI CPL'!$B53&lt;&gt;"",IFERROR(_xlfn.IFS(AA53&gt;='NILAI CPL'!$B$3,4,AA53&gt;='NILAI CPL'!$B$4,3,AA53&gt;='NILAI CPL'!$B$5,2,AA53&gt;'NILAI CPL'!$B$6,1),0),"")</f>
        <v/>
      </c>
      <c r="AY53" s="2" t="str" cm="1">
        <f t="array" ref="AY53">IF('NILAI CPL'!$B53&lt;&gt;"",IFERROR(_xlfn.IFS(AB53&gt;='NILAI CPL'!$B$3,4,AB53&gt;='NILAI CPL'!$B$4,3,AB53&gt;='NILAI CPL'!$B$5,2,AB53&gt;'NILAI CPL'!$B$6,1),0),"")</f>
        <v/>
      </c>
      <c r="AZ53" s="2" t="str" cm="1">
        <f t="array" ref="AZ53">IF('NILAI CPL'!$B53&lt;&gt;"",IFERROR(_xlfn.IFS(AC53&gt;='NILAI CPL'!$B$3,4,AC53&gt;='NILAI CPL'!$B$4,3,AC53&gt;='NILAI CPL'!$B$5,2,AC53&gt;'NILAI CPL'!$B$6,1),0),"")</f>
        <v/>
      </c>
      <c r="BA53" s="2" t="str" cm="1">
        <f t="array" ref="BA53">IF('NILAI CPL'!$B53&lt;&gt;"",IFERROR(_xlfn.IFS(AD53&gt;='NILAI CPL'!$B$3,4,AD53&gt;='NILAI CPL'!$B$4,3,AD53&gt;='NILAI CPL'!$B$5,2,AD53&gt;'NILAI CPL'!$B$6,1),0),"")</f>
        <v/>
      </c>
      <c r="BB53" s="2" t="str" cm="1">
        <f t="array" ref="BB53">IF('NILAI CPL'!$B53&lt;&gt;"",IFERROR(_xlfn.IFS(AE53&gt;='NILAI CPL'!$B$3,4,AE53&gt;='NILAI CPL'!$B$4,3,AE53&gt;='NILAI CPL'!$B$5,2,AE53&gt;'NILAI CPL'!$B$6,1),0),"")</f>
        <v/>
      </c>
      <c r="BC53" s="2" t="str" cm="1">
        <f t="array" ref="BC53">IF('NILAI CPL'!$B53&lt;&gt;"",IFERROR(_xlfn.IFS(AF53&gt;='NILAI CPL'!$B$3,4,AF53&gt;='NILAI CPL'!$B$4,3,AF53&gt;='NILAI CPL'!$B$5,2,AF53&gt;'NILAI CPL'!$B$6,1),0),"")</f>
        <v/>
      </c>
      <c r="BD53" s="2" t="str" cm="1">
        <f t="array" ref="BD53">IF('NILAI CPL'!$B53&lt;&gt;"",IFERROR(_xlfn.IFS(AG53&gt;='NILAI CPL'!$B$3,4,AG53&gt;='NILAI CPL'!$B$4,3,AG53&gt;='NILAI CPL'!$B$5,2,AG53&gt;'NILAI CPL'!$B$6,1),0),"")</f>
        <v/>
      </c>
      <c r="BE53" s="2" t="str" cm="1">
        <f t="array" ref="BE53">IF('NILAI CPL'!$B53&lt;&gt;"",IFERROR(_xlfn.IFS(AH53&gt;='NILAI CPL'!$B$3,4,AH53&gt;='NILAI CPL'!$B$4,3,AH53&gt;='NILAI CPL'!$B$5,2,AH53&gt;'NILAI CPL'!$B$6,1),0),"")</f>
        <v/>
      </c>
      <c r="BF53" s="2" t="str" cm="1">
        <f t="array" ref="BF53">IF('NILAI CPL'!$B53&lt;&gt;"",IFERROR(_xlfn.IFS(AI53&gt;='NILAI CPL'!$B$3,4,AI53&gt;='NILAI CPL'!$B$4,3,AI53&gt;='NILAI CPL'!$B$5,2,AI53&gt;'NILAI CPL'!$B$6,1),0),"")</f>
        <v/>
      </c>
      <c r="BG53" s="2" t="str" cm="1">
        <f t="array" ref="BG53">IF('NILAI CPL'!$B53&lt;&gt;"",IFERROR(_xlfn.IFS(AJ53&gt;='NILAI CPL'!$B$3,4,AJ53&gt;='NILAI CPL'!$B$4,3,AJ53&gt;='NILAI CPL'!$B$5,2,AJ53&gt;'NILAI CPL'!$B$6,1),0),"")</f>
        <v/>
      </c>
      <c r="BH53" s="2" t="str" cm="1">
        <f t="array" ref="BH53">IF('NILAI CPL'!$B53&lt;&gt;"",IFERROR(_xlfn.IFS(AK53&gt;='NILAI CPL'!$B$3,4,AK53&gt;='NILAI CPL'!$B$4,3,AK53&gt;='NILAI CPL'!$B$5,2,AK53&gt;'NILAI CPL'!$B$6,1),0),"")</f>
        <v/>
      </c>
      <c r="BI53" s="2" t="str" cm="1">
        <f t="array" ref="BI53">IF('NILAI CPL'!$B53&lt;&gt;"",IFERROR(_xlfn.IFS(AL53&gt;='NILAI CPL'!$B$3,4,AL53&gt;='NILAI CPL'!$B$4,3,AL53&gt;='NILAI CPL'!$B$5,2,AL53&gt;'NILAI CPL'!$B$6,1),0),"")</f>
        <v/>
      </c>
      <c r="BJ53" s="2" t="str" cm="1">
        <f t="array" ref="BJ53">IF('NILAI CPL'!$B53&lt;&gt;"",IFERROR(_xlfn.IFS(AM53&gt;='NILAI CPL'!$B$3,4,AM53&gt;='NILAI CPL'!$B$4,3,AM53&gt;='NILAI CPL'!$B$5,2,AM53&gt;'NILAI CPL'!$B$6,1),0),"")</f>
        <v/>
      </c>
      <c r="BK53" s="2" t="str" cm="1">
        <f t="array" ref="BK53">IF('NILAI CPL'!$B53&lt;&gt;"",IFERROR(_xlfn.IFS(AN53&gt;='NILAI CPL'!$B$3,4,AN53&gt;='NILAI CPL'!$B$4,3,AN53&gt;='NILAI CPL'!$B$5,2,AN53&gt;'NILAI CPL'!$B$6,1),0),"")</f>
        <v/>
      </c>
    </row>
    <row r="54" spans="1:63" x14ac:dyDescent="0.2">
      <c r="A54" s="2">
        <v>44</v>
      </c>
      <c r="B54" s="2" t="str">
        <f>IF(LEN(SUMMARY!B54)&gt;0, SUMMARY!B54, "")</f>
        <v/>
      </c>
      <c r="C54" s="2" t="str">
        <f>IF(LEN(SUMMARY!C54)&gt;0, SUMMARY!C54, "")</f>
        <v/>
      </c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" t="str">
        <f t="shared" si="24"/>
        <v/>
      </c>
      <c r="S54" s="2" t="str">
        <f t="shared" si="2"/>
        <v/>
      </c>
      <c r="T54" s="2" t="str">
        <f t="shared" si="3"/>
        <v/>
      </c>
      <c r="U54" s="2" t="str">
        <f t="shared" si="4"/>
        <v/>
      </c>
      <c r="V54" s="2" t="str">
        <f t="shared" si="5"/>
        <v/>
      </c>
      <c r="W54" s="2" t="str">
        <f t="shared" si="6"/>
        <v/>
      </c>
      <c r="X54" s="2" t="str">
        <f t="shared" si="7"/>
        <v/>
      </c>
      <c r="Y54" s="2" t="str">
        <f t="shared" si="8"/>
        <v/>
      </c>
      <c r="Z54" s="2" t="str">
        <f t="shared" si="9"/>
        <v/>
      </c>
      <c r="AA54" s="2" t="str">
        <f t="shared" si="10"/>
        <v/>
      </c>
      <c r="AB54" s="2" t="str">
        <f t="shared" si="11"/>
        <v/>
      </c>
      <c r="AC54" s="2" t="str">
        <f t="shared" si="12"/>
        <v/>
      </c>
      <c r="AD54" s="2" t="str">
        <f t="shared" si="13"/>
        <v/>
      </c>
      <c r="AE54" s="2" t="str">
        <f t="shared" si="14"/>
        <v/>
      </c>
      <c r="AF54" s="2" t="str">
        <f t="shared" si="15"/>
        <v/>
      </c>
      <c r="AG54" s="2" t="str">
        <f t="shared" si="16"/>
        <v/>
      </c>
      <c r="AH54" s="2" t="str">
        <f t="shared" si="17"/>
        <v/>
      </c>
      <c r="AI54" s="2" t="str">
        <f t="shared" si="18"/>
        <v/>
      </c>
      <c r="AJ54" s="2" t="str">
        <f t="shared" si="19"/>
        <v/>
      </c>
      <c r="AK54" s="2" t="str">
        <f t="shared" si="20"/>
        <v/>
      </c>
      <c r="AL54" s="2" t="str">
        <f t="shared" si="21"/>
        <v/>
      </c>
      <c r="AM54" s="2" t="str">
        <f t="shared" si="22"/>
        <v/>
      </c>
      <c r="AN54" s="2" t="str">
        <f t="shared" si="23"/>
        <v/>
      </c>
      <c r="AP54" s="2" t="str" cm="1">
        <f t="array" ref="AP54">IF('NILAI CPL'!$B54&lt;&gt;"",IFERROR(_xlfn.IFS(S54&gt;='NILAI CPL'!$B$3,4,S54&gt;='NILAI CPL'!$B$4,3,S54&gt;='NILAI CPL'!$B$5,2,S54&gt;'NILAI CPL'!$B$6,1),0),"")</f>
        <v/>
      </c>
      <c r="AQ54" s="2" t="str" cm="1">
        <f t="array" ref="AQ54">IF('NILAI CPL'!$B54&lt;&gt;"",IFERROR(_xlfn.IFS(T54&gt;='NILAI CPL'!$B$3,4,T54&gt;='NILAI CPL'!$B$4,3,T54&gt;='NILAI CPL'!$B$5,2,T54&gt;'NILAI CPL'!$B$6,1),0),"")</f>
        <v/>
      </c>
      <c r="AR54" s="2" t="str" cm="1">
        <f t="array" ref="AR54">IF('NILAI CPL'!$B54&lt;&gt;"",IFERROR(_xlfn.IFS(U54&gt;='NILAI CPL'!$B$3,4,U54&gt;='NILAI CPL'!$B$4,3,U54&gt;='NILAI CPL'!$B$5,2,U54&gt;'NILAI CPL'!$B$6,1),0),"")</f>
        <v/>
      </c>
      <c r="AS54" s="2" t="str" cm="1">
        <f t="array" ref="AS54">IF('NILAI CPL'!$B54&lt;&gt;"",IFERROR(_xlfn.IFS(V54&gt;='NILAI CPL'!$B$3,4,V54&gt;='NILAI CPL'!$B$4,3,V54&gt;='NILAI CPL'!$B$5,2,V54&gt;'NILAI CPL'!$B$6,1),0),"")</f>
        <v/>
      </c>
      <c r="AT54" s="2" t="str" cm="1">
        <f t="array" ref="AT54">IF('NILAI CPL'!$B54&lt;&gt;"",IFERROR(_xlfn.IFS(W54&gt;='NILAI CPL'!$B$3,4,W54&gt;='NILAI CPL'!$B$4,3,W54&gt;='NILAI CPL'!$B$5,2,W54&gt;'NILAI CPL'!$B$6,1),0),"")</f>
        <v/>
      </c>
      <c r="AU54" s="2" t="str" cm="1">
        <f t="array" ref="AU54">IF('NILAI CPL'!$B54&lt;&gt;"",IFERROR(_xlfn.IFS(X54&gt;='NILAI CPL'!$B$3,4,X54&gt;='NILAI CPL'!$B$4,3,X54&gt;='NILAI CPL'!$B$5,2,X54&gt;'NILAI CPL'!$B$6,1),0),"")</f>
        <v/>
      </c>
      <c r="AV54" s="2" t="str" cm="1">
        <f t="array" ref="AV54">IF('NILAI CPL'!$B54&lt;&gt;"",IFERROR(_xlfn.IFS(Y54&gt;='NILAI CPL'!$B$3,4,Y54&gt;='NILAI CPL'!$B$4,3,Y54&gt;='NILAI CPL'!$B$5,2,Y54&gt;'NILAI CPL'!$B$6,1),0),"")</f>
        <v/>
      </c>
      <c r="AW54" s="2" t="str" cm="1">
        <f t="array" ref="AW54">IF('NILAI CPL'!$B54&lt;&gt;"",IFERROR(_xlfn.IFS(Z54&gt;='NILAI CPL'!$B$3,4,Z54&gt;='NILAI CPL'!$B$4,3,Z54&gt;='NILAI CPL'!$B$5,2,Z54&gt;'NILAI CPL'!$B$6,1),0),"")</f>
        <v/>
      </c>
      <c r="AX54" s="2" t="str" cm="1">
        <f t="array" ref="AX54">IF('NILAI CPL'!$B54&lt;&gt;"",IFERROR(_xlfn.IFS(AA54&gt;='NILAI CPL'!$B$3,4,AA54&gt;='NILAI CPL'!$B$4,3,AA54&gt;='NILAI CPL'!$B$5,2,AA54&gt;'NILAI CPL'!$B$6,1),0),"")</f>
        <v/>
      </c>
      <c r="AY54" s="2" t="str" cm="1">
        <f t="array" ref="AY54">IF('NILAI CPL'!$B54&lt;&gt;"",IFERROR(_xlfn.IFS(AB54&gt;='NILAI CPL'!$B$3,4,AB54&gt;='NILAI CPL'!$B$4,3,AB54&gt;='NILAI CPL'!$B$5,2,AB54&gt;'NILAI CPL'!$B$6,1),0),"")</f>
        <v/>
      </c>
      <c r="AZ54" s="2" t="str" cm="1">
        <f t="array" ref="AZ54">IF('NILAI CPL'!$B54&lt;&gt;"",IFERROR(_xlfn.IFS(AC54&gt;='NILAI CPL'!$B$3,4,AC54&gt;='NILAI CPL'!$B$4,3,AC54&gt;='NILAI CPL'!$B$5,2,AC54&gt;'NILAI CPL'!$B$6,1),0),"")</f>
        <v/>
      </c>
      <c r="BA54" s="2" t="str" cm="1">
        <f t="array" ref="BA54">IF('NILAI CPL'!$B54&lt;&gt;"",IFERROR(_xlfn.IFS(AD54&gt;='NILAI CPL'!$B$3,4,AD54&gt;='NILAI CPL'!$B$4,3,AD54&gt;='NILAI CPL'!$B$5,2,AD54&gt;'NILAI CPL'!$B$6,1),0),"")</f>
        <v/>
      </c>
      <c r="BB54" s="2" t="str" cm="1">
        <f t="array" ref="BB54">IF('NILAI CPL'!$B54&lt;&gt;"",IFERROR(_xlfn.IFS(AE54&gt;='NILAI CPL'!$B$3,4,AE54&gt;='NILAI CPL'!$B$4,3,AE54&gt;='NILAI CPL'!$B$5,2,AE54&gt;'NILAI CPL'!$B$6,1),0),"")</f>
        <v/>
      </c>
      <c r="BC54" s="2" t="str" cm="1">
        <f t="array" ref="BC54">IF('NILAI CPL'!$B54&lt;&gt;"",IFERROR(_xlfn.IFS(AF54&gt;='NILAI CPL'!$B$3,4,AF54&gt;='NILAI CPL'!$B$4,3,AF54&gt;='NILAI CPL'!$B$5,2,AF54&gt;'NILAI CPL'!$B$6,1),0),"")</f>
        <v/>
      </c>
      <c r="BD54" s="2" t="str" cm="1">
        <f t="array" ref="BD54">IF('NILAI CPL'!$B54&lt;&gt;"",IFERROR(_xlfn.IFS(AG54&gt;='NILAI CPL'!$B$3,4,AG54&gt;='NILAI CPL'!$B$4,3,AG54&gt;='NILAI CPL'!$B$5,2,AG54&gt;'NILAI CPL'!$B$6,1),0),"")</f>
        <v/>
      </c>
      <c r="BE54" s="2" t="str" cm="1">
        <f t="array" ref="BE54">IF('NILAI CPL'!$B54&lt;&gt;"",IFERROR(_xlfn.IFS(AH54&gt;='NILAI CPL'!$B$3,4,AH54&gt;='NILAI CPL'!$B$4,3,AH54&gt;='NILAI CPL'!$B$5,2,AH54&gt;'NILAI CPL'!$B$6,1),0),"")</f>
        <v/>
      </c>
      <c r="BF54" s="2" t="str" cm="1">
        <f t="array" ref="BF54">IF('NILAI CPL'!$B54&lt;&gt;"",IFERROR(_xlfn.IFS(AI54&gt;='NILAI CPL'!$B$3,4,AI54&gt;='NILAI CPL'!$B$4,3,AI54&gt;='NILAI CPL'!$B$5,2,AI54&gt;'NILAI CPL'!$B$6,1),0),"")</f>
        <v/>
      </c>
      <c r="BG54" s="2" t="str" cm="1">
        <f t="array" ref="BG54">IF('NILAI CPL'!$B54&lt;&gt;"",IFERROR(_xlfn.IFS(AJ54&gt;='NILAI CPL'!$B$3,4,AJ54&gt;='NILAI CPL'!$B$4,3,AJ54&gt;='NILAI CPL'!$B$5,2,AJ54&gt;'NILAI CPL'!$B$6,1),0),"")</f>
        <v/>
      </c>
      <c r="BH54" s="2" t="str" cm="1">
        <f t="array" ref="BH54">IF('NILAI CPL'!$B54&lt;&gt;"",IFERROR(_xlfn.IFS(AK54&gt;='NILAI CPL'!$B$3,4,AK54&gt;='NILAI CPL'!$B$4,3,AK54&gt;='NILAI CPL'!$B$5,2,AK54&gt;'NILAI CPL'!$B$6,1),0),"")</f>
        <v/>
      </c>
      <c r="BI54" s="2" t="str" cm="1">
        <f t="array" ref="BI54">IF('NILAI CPL'!$B54&lt;&gt;"",IFERROR(_xlfn.IFS(AL54&gt;='NILAI CPL'!$B$3,4,AL54&gt;='NILAI CPL'!$B$4,3,AL54&gt;='NILAI CPL'!$B$5,2,AL54&gt;'NILAI CPL'!$B$6,1),0),"")</f>
        <v/>
      </c>
      <c r="BJ54" s="2" t="str" cm="1">
        <f t="array" ref="BJ54">IF('NILAI CPL'!$B54&lt;&gt;"",IFERROR(_xlfn.IFS(AM54&gt;='NILAI CPL'!$B$3,4,AM54&gt;='NILAI CPL'!$B$4,3,AM54&gt;='NILAI CPL'!$B$5,2,AM54&gt;'NILAI CPL'!$B$6,1),0),"")</f>
        <v/>
      </c>
      <c r="BK54" s="2" t="str" cm="1">
        <f t="array" ref="BK54">IF('NILAI CPL'!$B54&lt;&gt;"",IFERROR(_xlfn.IFS(AN54&gt;='NILAI CPL'!$B$3,4,AN54&gt;='NILAI CPL'!$B$4,3,AN54&gt;='NILAI CPL'!$B$5,2,AN54&gt;'NILAI CPL'!$B$6,1),0),"")</f>
        <v/>
      </c>
    </row>
    <row r="55" spans="1:63" x14ac:dyDescent="0.2">
      <c r="A55" s="2">
        <v>45</v>
      </c>
      <c r="B55" s="2" t="str">
        <f>IF(LEN(SUMMARY!B55)&gt;0, SUMMARY!B55, "")</f>
        <v/>
      </c>
      <c r="C55" s="2" t="str">
        <f>IF(LEN(SUMMARY!C55)&gt;0, SUMMARY!C55, "")</f>
        <v/>
      </c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" t="str">
        <f t="shared" si="24"/>
        <v/>
      </c>
      <c r="S55" s="2" t="str">
        <f t="shared" si="2"/>
        <v/>
      </c>
      <c r="T55" s="2" t="str">
        <f t="shared" si="3"/>
        <v/>
      </c>
      <c r="U55" s="2" t="str">
        <f t="shared" si="4"/>
        <v/>
      </c>
      <c r="V55" s="2" t="str">
        <f t="shared" si="5"/>
        <v/>
      </c>
      <c r="W55" s="2" t="str">
        <f t="shared" si="6"/>
        <v/>
      </c>
      <c r="X55" s="2" t="str">
        <f t="shared" si="7"/>
        <v/>
      </c>
      <c r="Y55" s="2" t="str">
        <f t="shared" si="8"/>
        <v/>
      </c>
      <c r="Z55" s="2" t="str">
        <f t="shared" si="9"/>
        <v/>
      </c>
      <c r="AA55" s="2" t="str">
        <f t="shared" si="10"/>
        <v/>
      </c>
      <c r="AB55" s="2" t="str">
        <f t="shared" si="11"/>
        <v/>
      </c>
      <c r="AC55" s="2" t="str">
        <f t="shared" si="12"/>
        <v/>
      </c>
      <c r="AD55" s="2" t="str">
        <f t="shared" si="13"/>
        <v/>
      </c>
      <c r="AE55" s="2" t="str">
        <f t="shared" si="14"/>
        <v/>
      </c>
      <c r="AF55" s="2" t="str">
        <f t="shared" si="15"/>
        <v/>
      </c>
      <c r="AG55" s="2" t="str">
        <f t="shared" si="16"/>
        <v/>
      </c>
      <c r="AH55" s="2" t="str">
        <f t="shared" si="17"/>
        <v/>
      </c>
      <c r="AI55" s="2" t="str">
        <f t="shared" si="18"/>
        <v/>
      </c>
      <c r="AJ55" s="2" t="str">
        <f t="shared" si="19"/>
        <v/>
      </c>
      <c r="AK55" s="2" t="str">
        <f t="shared" si="20"/>
        <v/>
      </c>
      <c r="AL55" s="2" t="str">
        <f t="shared" si="21"/>
        <v/>
      </c>
      <c r="AM55" s="2" t="str">
        <f t="shared" si="22"/>
        <v/>
      </c>
      <c r="AN55" s="2" t="str">
        <f t="shared" si="23"/>
        <v/>
      </c>
      <c r="AP55" s="2" t="str" cm="1">
        <f t="array" ref="AP55">IF('NILAI CPL'!$B55&lt;&gt;"",IFERROR(_xlfn.IFS(S55&gt;='NILAI CPL'!$B$3,4,S55&gt;='NILAI CPL'!$B$4,3,S55&gt;='NILAI CPL'!$B$5,2,S55&gt;'NILAI CPL'!$B$6,1),0),"")</f>
        <v/>
      </c>
      <c r="AQ55" s="2" t="str" cm="1">
        <f t="array" ref="AQ55">IF('NILAI CPL'!$B55&lt;&gt;"",IFERROR(_xlfn.IFS(T55&gt;='NILAI CPL'!$B$3,4,T55&gt;='NILAI CPL'!$B$4,3,T55&gt;='NILAI CPL'!$B$5,2,T55&gt;'NILAI CPL'!$B$6,1),0),"")</f>
        <v/>
      </c>
      <c r="AR55" s="2" t="str" cm="1">
        <f t="array" ref="AR55">IF('NILAI CPL'!$B55&lt;&gt;"",IFERROR(_xlfn.IFS(U55&gt;='NILAI CPL'!$B$3,4,U55&gt;='NILAI CPL'!$B$4,3,U55&gt;='NILAI CPL'!$B$5,2,U55&gt;'NILAI CPL'!$B$6,1),0),"")</f>
        <v/>
      </c>
      <c r="AS55" s="2" t="str" cm="1">
        <f t="array" ref="AS55">IF('NILAI CPL'!$B55&lt;&gt;"",IFERROR(_xlfn.IFS(V55&gt;='NILAI CPL'!$B$3,4,V55&gt;='NILAI CPL'!$B$4,3,V55&gt;='NILAI CPL'!$B$5,2,V55&gt;'NILAI CPL'!$B$6,1),0),"")</f>
        <v/>
      </c>
      <c r="AT55" s="2" t="str" cm="1">
        <f t="array" ref="AT55">IF('NILAI CPL'!$B55&lt;&gt;"",IFERROR(_xlfn.IFS(W55&gt;='NILAI CPL'!$B$3,4,W55&gt;='NILAI CPL'!$B$4,3,W55&gt;='NILAI CPL'!$B$5,2,W55&gt;'NILAI CPL'!$B$6,1),0),"")</f>
        <v/>
      </c>
      <c r="AU55" s="2" t="str" cm="1">
        <f t="array" ref="AU55">IF('NILAI CPL'!$B55&lt;&gt;"",IFERROR(_xlfn.IFS(X55&gt;='NILAI CPL'!$B$3,4,X55&gt;='NILAI CPL'!$B$4,3,X55&gt;='NILAI CPL'!$B$5,2,X55&gt;'NILAI CPL'!$B$6,1),0),"")</f>
        <v/>
      </c>
      <c r="AV55" s="2" t="str" cm="1">
        <f t="array" ref="AV55">IF('NILAI CPL'!$B55&lt;&gt;"",IFERROR(_xlfn.IFS(Y55&gt;='NILAI CPL'!$B$3,4,Y55&gt;='NILAI CPL'!$B$4,3,Y55&gt;='NILAI CPL'!$B$5,2,Y55&gt;'NILAI CPL'!$B$6,1),0),"")</f>
        <v/>
      </c>
      <c r="AW55" s="2" t="str" cm="1">
        <f t="array" ref="AW55">IF('NILAI CPL'!$B55&lt;&gt;"",IFERROR(_xlfn.IFS(Z55&gt;='NILAI CPL'!$B$3,4,Z55&gt;='NILAI CPL'!$B$4,3,Z55&gt;='NILAI CPL'!$B$5,2,Z55&gt;'NILAI CPL'!$B$6,1),0),"")</f>
        <v/>
      </c>
      <c r="AX55" s="2" t="str" cm="1">
        <f t="array" ref="AX55">IF('NILAI CPL'!$B55&lt;&gt;"",IFERROR(_xlfn.IFS(AA55&gt;='NILAI CPL'!$B$3,4,AA55&gt;='NILAI CPL'!$B$4,3,AA55&gt;='NILAI CPL'!$B$5,2,AA55&gt;'NILAI CPL'!$B$6,1),0),"")</f>
        <v/>
      </c>
      <c r="AY55" s="2" t="str" cm="1">
        <f t="array" ref="AY55">IF('NILAI CPL'!$B55&lt;&gt;"",IFERROR(_xlfn.IFS(AB55&gt;='NILAI CPL'!$B$3,4,AB55&gt;='NILAI CPL'!$B$4,3,AB55&gt;='NILAI CPL'!$B$5,2,AB55&gt;'NILAI CPL'!$B$6,1),0),"")</f>
        <v/>
      </c>
      <c r="AZ55" s="2" t="str" cm="1">
        <f t="array" ref="AZ55">IF('NILAI CPL'!$B55&lt;&gt;"",IFERROR(_xlfn.IFS(AC55&gt;='NILAI CPL'!$B$3,4,AC55&gt;='NILAI CPL'!$B$4,3,AC55&gt;='NILAI CPL'!$B$5,2,AC55&gt;'NILAI CPL'!$B$6,1),0),"")</f>
        <v/>
      </c>
      <c r="BA55" s="2" t="str" cm="1">
        <f t="array" ref="BA55">IF('NILAI CPL'!$B55&lt;&gt;"",IFERROR(_xlfn.IFS(AD55&gt;='NILAI CPL'!$B$3,4,AD55&gt;='NILAI CPL'!$B$4,3,AD55&gt;='NILAI CPL'!$B$5,2,AD55&gt;'NILAI CPL'!$B$6,1),0),"")</f>
        <v/>
      </c>
      <c r="BB55" s="2" t="str" cm="1">
        <f t="array" ref="BB55">IF('NILAI CPL'!$B55&lt;&gt;"",IFERROR(_xlfn.IFS(AE55&gt;='NILAI CPL'!$B$3,4,AE55&gt;='NILAI CPL'!$B$4,3,AE55&gt;='NILAI CPL'!$B$5,2,AE55&gt;'NILAI CPL'!$B$6,1),0),"")</f>
        <v/>
      </c>
      <c r="BC55" s="2" t="str" cm="1">
        <f t="array" ref="BC55">IF('NILAI CPL'!$B55&lt;&gt;"",IFERROR(_xlfn.IFS(AF55&gt;='NILAI CPL'!$B$3,4,AF55&gt;='NILAI CPL'!$B$4,3,AF55&gt;='NILAI CPL'!$B$5,2,AF55&gt;'NILAI CPL'!$B$6,1),0),"")</f>
        <v/>
      </c>
      <c r="BD55" s="2" t="str" cm="1">
        <f t="array" ref="BD55">IF('NILAI CPL'!$B55&lt;&gt;"",IFERROR(_xlfn.IFS(AG55&gt;='NILAI CPL'!$B$3,4,AG55&gt;='NILAI CPL'!$B$4,3,AG55&gt;='NILAI CPL'!$B$5,2,AG55&gt;'NILAI CPL'!$B$6,1),0),"")</f>
        <v/>
      </c>
      <c r="BE55" s="2" t="str" cm="1">
        <f t="array" ref="BE55">IF('NILAI CPL'!$B55&lt;&gt;"",IFERROR(_xlfn.IFS(AH55&gt;='NILAI CPL'!$B$3,4,AH55&gt;='NILAI CPL'!$B$4,3,AH55&gt;='NILAI CPL'!$B$5,2,AH55&gt;'NILAI CPL'!$B$6,1),0),"")</f>
        <v/>
      </c>
      <c r="BF55" s="2" t="str" cm="1">
        <f t="array" ref="BF55">IF('NILAI CPL'!$B55&lt;&gt;"",IFERROR(_xlfn.IFS(AI55&gt;='NILAI CPL'!$B$3,4,AI55&gt;='NILAI CPL'!$B$4,3,AI55&gt;='NILAI CPL'!$B$5,2,AI55&gt;'NILAI CPL'!$B$6,1),0),"")</f>
        <v/>
      </c>
      <c r="BG55" s="2" t="str" cm="1">
        <f t="array" ref="BG55">IF('NILAI CPL'!$B55&lt;&gt;"",IFERROR(_xlfn.IFS(AJ55&gt;='NILAI CPL'!$B$3,4,AJ55&gt;='NILAI CPL'!$B$4,3,AJ55&gt;='NILAI CPL'!$B$5,2,AJ55&gt;'NILAI CPL'!$B$6,1),0),"")</f>
        <v/>
      </c>
      <c r="BH55" s="2" t="str" cm="1">
        <f t="array" ref="BH55">IF('NILAI CPL'!$B55&lt;&gt;"",IFERROR(_xlfn.IFS(AK55&gt;='NILAI CPL'!$B$3,4,AK55&gt;='NILAI CPL'!$B$4,3,AK55&gt;='NILAI CPL'!$B$5,2,AK55&gt;'NILAI CPL'!$B$6,1),0),"")</f>
        <v/>
      </c>
      <c r="BI55" s="2" t="str" cm="1">
        <f t="array" ref="BI55">IF('NILAI CPL'!$B55&lt;&gt;"",IFERROR(_xlfn.IFS(AL55&gt;='NILAI CPL'!$B$3,4,AL55&gt;='NILAI CPL'!$B$4,3,AL55&gt;='NILAI CPL'!$B$5,2,AL55&gt;'NILAI CPL'!$B$6,1),0),"")</f>
        <v/>
      </c>
      <c r="BJ55" s="2" t="str" cm="1">
        <f t="array" ref="BJ55">IF('NILAI CPL'!$B55&lt;&gt;"",IFERROR(_xlfn.IFS(AM55&gt;='NILAI CPL'!$B$3,4,AM55&gt;='NILAI CPL'!$B$4,3,AM55&gt;='NILAI CPL'!$B$5,2,AM55&gt;'NILAI CPL'!$B$6,1),0),"")</f>
        <v/>
      </c>
      <c r="BK55" s="2" t="str" cm="1">
        <f t="array" ref="BK55">IF('NILAI CPL'!$B55&lt;&gt;"",IFERROR(_xlfn.IFS(AN55&gt;='NILAI CPL'!$B$3,4,AN55&gt;='NILAI CPL'!$B$4,3,AN55&gt;='NILAI CPL'!$B$5,2,AN55&gt;'NILAI CPL'!$B$6,1),0),"")</f>
        <v/>
      </c>
    </row>
    <row r="56" spans="1:63" x14ac:dyDescent="0.2">
      <c r="A56" s="2">
        <v>46</v>
      </c>
      <c r="B56" s="2" t="str">
        <f>IF(LEN(SUMMARY!B56)&gt;0, SUMMARY!B56, "")</f>
        <v/>
      </c>
      <c r="C56" s="2" t="str">
        <f>IF(LEN(SUMMARY!C56)&gt;0, SUMMARY!C56, "")</f>
        <v/>
      </c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" t="str">
        <f t="shared" si="24"/>
        <v/>
      </c>
      <c r="S56" s="2" t="str">
        <f t="shared" si="2"/>
        <v/>
      </c>
      <c r="T56" s="2" t="str">
        <f t="shared" si="3"/>
        <v/>
      </c>
      <c r="U56" s="2" t="str">
        <f t="shared" si="4"/>
        <v/>
      </c>
      <c r="V56" s="2" t="str">
        <f t="shared" si="5"/>
        <v/>
      </c>
      <c r="W56" s="2" t="str">
        <f t="shared" si="6"/>
        <v/>
      </c>
      <c r="X56" s="2" t="str">
        <f t="shared" si="7"/>
        <v/>
      </c>
      <c r="Y56" s="2" t="str">
        <f t="shared" si="8"/>
        <v/>
      </c>
      <c r="Z56" s="2" t="str">
        <f t="shared" si="9"/>
        <v/>
      </c>
      <c r="AA56" s="2" t="str">
        <f t="shared" si="10"/>
        <v/>
      </c>
      <c r="AB56" s="2" t="str">
        <f t="shared" si="11"/>
        <v/>
      </c>
      <c r="AC56" s="2" t="str">
        <f t="shared" si="12"/>
        <v/>
      </c>
      <c r="AD56" s="2" t="str">
        <f t="shared" si="13"/>
        <v/>
      </c>
      <c r="AE56" s="2" t="str">
        <f t="shared" si="14"/>
        <v/>
      </c>
      <c r="AF56" s="2" t="str">
        <f t="shared" si="15"/>
        <v/>
      </c>
      <c r="AG56" s="2" t="str">
        <f t="shared" si="16"/>
        <v/>
      </c>
      <c r="AH56" s="2" t="str">
        <f t="shared" si="17"/>
        <v/>
      </c>
      <c r="AI56" s="2" t="str">
        <f t="shared" si="18"/>
        <v/>
      </c>
      <c r="AJ56" s="2" t="str">
        <f t="shared" si="19"/>
        <v/>
      </c>
      <c r="AK56" s="2" t="str">
        <f t="shared" si="20"/>
        <v/>
      </c>
      <c r="AL56" s="2" t="str">
        <f t="shared" si="21"/>
        <v/>
      </c>
      <c r="AM56" s="2" t="str">
        <f t="shared" si="22"/>
        <v/>
      </c>
      <c r="AN56" s="2" t="str">
        <f t="shared" si="23"/>
        <v/>
      </c>
      <c r="AP56" s="2" t="str" cm="1">
        <f t="array" ref="AP56">IF('NILAI CPL'!$B56&lt;&gt;"",IFERROR(_xlfn.IFS(S56&gt;='NILAI CPL'!$B$3,4,S56&gt;='NILAI CPL'!$B$4,3,S56&gt;='NILAI CPL'!$B$5,2,S56&gt;'NILAI CPL'!$B$6,1),0),"")</f>
        <v/>
      </c>
      <c r="AQ56" s="2" t="str" cm="1">
        <f t="array" ref="AQ56">IF('NILAI CPL'!$B56&lt;&gt;"",IFERROR(_xlfn.IFS(T56&gt;='NILAI CPL'!$B$3,4,T56&gt;='NILAI CPL'!$B$4,3,T56&gt;='NILAI CPL'!$B$5,2,T56&gt;'NILAI CPL'!$B$6,1),0),"")</f>
        <v/>
      </c>
      <c r="AR56" s="2" t="str" cm="1">
        <f t="array" ref="AR56">IF('NILAI CPL'!$B56&lt;&gt;"",IFERROR(_xlfn.IFS(U56&gt;='NILAI CPL'!$B$3,4,U56&gt;='NILAI CPL'!$B$4,3,U56&gt;='NILAI CPL'!$B$5,2,U56&gt;'NILAI CPL'!$B$6,1),0),"")</f>
        <v/>
      </c>
      <c r="AS56" s="2" t="str" cm="1">
        <f t="array" ref="AS56">IF('NILAI CPL'!$B56&lt;&gt;"",IFERROR(_xlfn.IFS(V56&gt;='NILAI CPL'!$B$3,4,V56&gt;='NILAI CPL'!$B$4,3,V56&gt;='NILAI CPL'!$B$5,2,V56&gt;'NILAI CPL'!$B$6,1),0),"")</f>
        <v/>
      </c>
      <c r="AT56" s="2" t="str" cm="1">
        <f t="array" ref="AT56">IF('NILAI CPL'!$B56&lt;&gt;"",IFERROR(_xlfn.IFS(W56&gt;='NILAI CPL'!$B$3,4,W56&gt;='NILAI CPL'!$B$4,3,W56&gt;='NILAI CPL'!$B$5,2,W56&gt;'NILAI CPL'!$B$6,1),0),"")</f>
        <v/>
      </c>
      <c r="AU56" s="2" t="str" cm="1">
        <f t="array" ref="AU56">IF('NILAI CPL'!$B56&lt;&gt;"",IFERROR(_xlfn.IFS(X56&gt;='NILAI CPL'!$B$3,4,X56&gt;='NILAI CPL'!$B$4,3,X56&gt;='NILAI CPL'!$B$5,2,X56&gt;'NILAI CPL'!$B$6,1),0),"")</f>
        <v/>
      </c>
      <c r="AV56" s="2" t="str" cm="1">
        <f t="array" ref="AV56">IF('NILAI CPL'!$B56&lt;&gt;"",IFERROR(_xlfn.IFS(Y56&gt;='NILAI CPL'!$B$3,4,Y56&gt;='NILAI CPL'!$B$4,3,Y56&gt;='NILAI CPL'!$B$5,2,Y56&gt;'NILAI CPL'!$B$6,1),0),"")</f>
        <v/>
      </c>
      <c r="AW56" s="2" t="str" cm="1">
        <f t="array" ref="AW56">IF('NILAI CPL'!$B56&lt;&gt;"",IFERROR(_xlfn.IFS(Z56&gt;='NILAI CPL'!$B$3,4,Z56&gt;='NILAI CPL'!$B$4,3,Z56&gt;='NILAI CPL'!$B$5,2,Z56&gt;'NILAI CPL'!$B$6,1),0),"")</f>
        <v/>
      </c>
      <c r="AX56" s="2" t="str" cm="1">
        <f t="array" ref="AX56">IF('NILAI CPL'!$B56&lt;&gt;"",IFERROR(_xlfn.IFS(AA56&gt;='NILAI CPL'!$B$3,4,AA56&gt;='NILAI CPL'!$B$4,3,AA56&gt;='NILAI CPL'!$B$5,2,AA56&gt;'NILAI CPL'!$B$6,1),0),"")</f>
        <v/>
      </c>
      <c r="AY56" s="2" t="str" cm="1">
        <f t="array" ref="AY56">IF('NILAI CPL'!$B56&lt;&gt;"",IFERROR(_xlfn.IFS(AB56&gt;='NILAI CPL'!$B$3,4,AB56&gt;='NILAI CPL'!$B$4,3,AB56&gt;='NILAI CPL'!$B$5,2,AB56&gt;'NILAI CPL'!$B$6,1),0),"")</f>
        <v/>
      </c>
      <c r="AZ56" s="2" t="str" cm="1">
        <f t="array" ref="AZ56">IF('NILAI CPL'!$B56&lt;&gt;"",IFERROR(_xlfn.IFS(AC56&gt;='NILAI CPL'!$B$3,4,AC56&gt;='NILAI CPL'!$B$4,3,AC56&gt;='NILAI CPL'!$B$5,2,AC56&gt;'NILAI CPL'!$B$6,1),0),"")</f>
        <v/>
      </c>
      <c r="BA56" s="2" t="str" cm="1">
        <f t="array" ref="BA56">IF('NILAI CPL'!$B56&lt;&gt;"",IFERROR(_xlfn.IFS(AD56&gt;='NILAI CPL'!$B$3,4,AD56&gt;='NILAI CPL'!$B$4,3,AD56&gt;='NILAI CPL'!$B$5,2,AD56&gt;'NILAI CPL'!$B$6,1),0),"")</f>
        <v/>
      </c>
      <c r="BB56" s="2" t="str" cm="1">
        <f t="array" ref="BB56">IF('NILAI CPL'!$B56&lt;&gt;"",IFERROR(_xlfn.IFS(AE56&gt;='NILAI CPL'!$B$3,4,AE56&gt;='NILAI CPL'!$B$4,3,AE56&gt;='NILAI CPL'!$B$5,2,AE56&gt;'NILAI CPL'!$B$6,1),0),"")</f>
        <v/>
      </c>
      <c r="BC56" s="2" t="str" cm="1">
        <f t="array" ref="BC56">IF('NILAI CPL'!$B56&lt;&gt;"",IFERROR(_xlfn.IFS(AF56&gt;='NILAI CPL'!$B$3,4,AF56&gt;='NILAI CPL'!$B$4,3,AF56&gt;='NILAI CPL'!$B$5,2,AF56&gt;'NILAI CPL'!$B$6,1),0),"")</f>
        <v/>
      </c>
      <c r="BD56" s="2" t="str" cm="1">
        <f t="array" ref="BD56">IF('NILAI CPL'!$B56&lt;&gt;"",IFERROR(_xlfn.IFS(AG56&gt;='NILAI CPL'!$B$3,4,AG56&gt;='NILAI CPL'!$B$4,3,AG56&gt;='NILAI CPL'!$B$5,2,AG56&gt;'NILAI CPL'!$B$6,1),0),"")</f>
        <v/>
      </c>
      <c r="BE56" s="2" t="str" cm="1">
        <f t="array" ref="BE56">IF('NILAI CPL'!$B56&lt;&gt;"",IFERROR(_xlfn.IFS(AH56&gt;='NILAI CPL'!$B$3,4,AH56&gt;='NILAI CPL'!$B$4,3,AH56&gt;='NILAI CPL'!$B$5,2,AH56&gt;'NILAI CPL'!$B$6,1),0),"")</f>
        <v/>
      </c>
      <c r="BF56" s="2" t="str" cm="1">
        <f t="array" ref="BF56">IF('NILAI CPL'!$B56&lt;&gt;"",IFERROR(_xlfn.IFS(AI56&gt;='NILAI CPL'!$B$3,4,AI56&gt;='NILAI CPL'!$B$4,3,AI56&gt;='NILAI CPL'!$B$5,2,AI56&gt;'NILAI CPL'!$B$6,1),0),"")</f>
        <v/>
      </c>
      <c r="BG56" s="2" t="str" cm="1">
        <f t="array" ref="BG56">IF('NILAI CPL'!$B56&lt;&gt;"",IFERROR(_xlfn.IFS(AJ56&gt;='NILAI CPL'!$B$3,4,AJ56&gt;='NILAI CPL'!$B$4,3,AJ56&gt;='NILAI CPL'!$B$5,2,AJ56&gt;'NILAI CPL'!$B$6,1),0),"")</f>
        <v/>
      </c>
      <c r="BH56" s="2" t="str" cm="1">
        <f t="array" ref="BH56">IF('NILAI CPL'!$B56&lt;&gt;"",IFERROR(_xlfn.IFS(AK56&gt;='NILAI CPL'!$B$3,4,AK56&gt;='NILAI CPL'!$B$4,3,AK56&gt;='NILAI CPL'!$B$5,2,AK56&gt;'NILAI CPL'!$B$6,1),0),"")</f>
        <v/>
      </c>
      <c r="BI56" s="2" t="str" cm="1">
        <f t="array" ref="BI56">IF('NILAI CPL'!$B56&lt;&gt;"",IFERROR(_xlfn.IFS(AL56&gt;='NILAI CPL'!$B$3,4,AL56&gt;='NILAI CPL'!$B$4,3,AL56&gt;='NILAI CPL'!$B$5,2,AL56&gt;'NILAI CPL'!$B$6,1),0),"")</f>
        <v/>
      </c>
      <c r="BJ56" s="2" t="str" cm="1">
        <f t="array" ref="BJ56">IF('NILAI CPL'!$B56&lt;&gt;"",IFERROR(_xlfn.IFS(AM56&gt;='NILAI CPL'!$B$3,4,AM56&gt;='NILAI CPL'!$B$4,3,AM56&gt;='NILAI CPL'!$B$5,2,AM56&gt;'NILAI CPL'!$B$6,1),0),"")</f>
        <v/>
      </c>
      <c r="BK56" s="2" t="str" cm="1">
        <f t="array" ref="BK56">IF('NILAI CPL'!$B56&lt;&gt;"",IFERROR(_xlfn.IFS(AN56&gt;='NILAI CPL'!$B$3,4,AN56&gt;='NILAI CPL'!$B$4,3,AN56&gt;='NILAI CPL'!$B$5,2,AN56&gt;'NILAI CPL'!$B$6,1),0),"")</f>
        <v/>
      </c>
    </row>
    <row r="57" spans="1:63" x14ac:dyDescent="0.2">
      <c r="A57" s="2">
        <v>47</v>
      </c>
      <c r="B57" s="2" t="str">
        <f>IF(LEN(SUMMARY!B57)&gt;0, SUMMARY!B57, "")</f>
        <v/>
      </c>
      <c r="C57" s="2" t="str">
        <f>IF(LEN(SUMMARY!C57)&gt;0, SUMMARY!C57, "")</f>
        <v/>
      </c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" t="str">
        <f t="shared" si="24"/>
        <v/>
      </c>
      <c r="S57" s="2" t="str">
        <f t="shared" si="2"/>
        <v/>
      </c>
      <c r="T57" s="2" t="str">
        <f t="shared" si="3"/>
        <v/>
      </c>
      <c r="U57" s="2" t="str">
        <f t="shared" si="4"/>
        <v/>
      </c>
      <c r="V57" s="2" t="str">
        <f t="shared" si="5"/>
        <v/>
      </c>
      <c r="W57" s="2" t="str">
        <f t="shared" si="6"/>
        <v/>
      </c>
      <c r="X57" s="2" t="str">
        <f t="shared" si="7"/>
        <v/>
      </c>
      <c r="Y57" s="2" t="str">
        <f t="shared" si="8"/>
        <v/>
      </c>
      <c r="Z57" s="2" t="str">
        <f t="shared" si="9"/>
        <v/>
      </c>
      <c r="AA57" s="2" t="str">
        <f t="shared" si="10"/>
        <v/>
      </c>
      <c r="AB57" s="2" t="str">
        <f t="shared" si="11"/>
        <v/>
      </c>
      <c r="AC57" s="2" t="str">
        <f t="shared" si="12"/>
        <v/>
      </c>
      <c r="AD57" s="2" t="str">
        <f t="shared" si="13"/>
        <v/>
      </c>
      <c r="AE57" s="2" t="str">
        <f t="shared" si="14"/>
        <v/>
      </c>
      <c r="AF57" s="2" t="str">
        <f t="shared" si="15"/>
        <v/>
      </c>
      <c r="AG57" s="2" t="str">
        <f t="shared" si="16"/>
        <v/>
      </c>
      <c r="AH57" s="2" t="str">
        <f t="shared" si="17"/>
        <v/>
      </c>
      <c r="AI57" s="2" t="str">
        <f t="shared" si="18"/>
        <v/>
      </c>
      <c r="AJ57" s="2" t="str">
        <f t="shared" si="19"/>
        <v/>
      </c>
      <c r="AK57" s="2" t="str">
        <f t="shared" si="20"/>
        <v/>
      </c>
      <c r="AL57" s="2" t="str">
        <f t="shared" si="21"/>
        <v/>
      </c>
      <c r="AM57" s="2" t="str">
        <f t="shared" si="22"/>
        <v/>
      </c>
      <c r="AN57" s="2" t="str">
        <f t="shared" si="23"/>
        <v/>
      </c>
      <c r="AP57" s="2" t="str" cm="1">
        <f t="array" ref="AP57">IF('NILAI CPL'!$B57&lt;&gt;"",IFERROR(_xlfn.IFS(S57&gt;='NILAI CPL'!$B$3,4,S57&gt;='NILAI CPL'!$B$4,3,S57&gt;='NILAI CPL'!$B$5,2,S57&gt;'NILAI CPL'!$B$6,1),0),"")</f>
        <v/>
      </c>
      <c r="AQ57" s="2" t="str" cm="1">
        <f t="array" ref="AQ57">IF('NILAI CPL'!$B57&lt;&gt;"",IFERROR(_xlfn.IFS(T57&gt;='NILAI CPL'!$B$3,4,T57&gt;='NILAI CPL'!$B$4,3,T57&gt;='NILAI CPL'!$B$5,2,T57&gt;'NILAI CPL'!$B$6,1),0),"")</f>
        <v/>
      </c>
      <c r="AR57" s="2" t="str" cm="1">
        <f t="array" ref="AR57">IF('NILAI CPL'!$B57&lt;&gt;"",IFERROR(_xlfn.IFS(U57&gt;='NILAI CPL'!$B$3,4,U57&gt;='NILAI CPL'!$B$4,3,U57&gt;='NILAI CPL'!$B$5,2,U57&gt;'NILAI CPL'!$B$6,1),0),"")</f>
        <v/>
      </c>
      <c r="AS57" s="2" t="str" cm="1">
        <f t="array" ref="AS57">IF('NILAI CPL'!$B57&lt;&gt;"",IFERROR(_xlfn.IFS(V57&gt;='NILAI CPL'!$B$3,4,V57&gt;='NILAI CPL'!$B$4,3,V57&gt;='NILAI CPL'!$B$5,2,V57&gt;'NILAI CPL'!$B$6,1),0),"")</f>
        <v/>
      </c>
      <c r="AT57" s="2" t="str" cm="1">
        <f t="array" ref="AT57">IF('NILAI CPL'!$B57&lt;&gt;"",IFERROR(_xlfn.IFS(W57&gt;='NILAI CPL'!$B$3,4,W57&gt;='NILAI CPL'!$B$4,3,W57&gt;='NILAI CPL'!$B$5,2,W57&gt;'NILAI CPL'!$B$6,1),0),"")</f>
        <v/>
      </c>
      <c r="AU57" s="2" t="str" cm="1">
        <f t="array" ref="AU57">IF('NILAI CPL'!$B57&lt;&gt;"",IFERROR(_xlfn.IFS(X57&gt;='NILAI CPL'!$B$3,4,X57&gt;='NILAI CPL'!$B$4,3,X57&gt;='NILAI CPL'!$B$5,2,X57&gt;'NILAI CPL'!$B$6,1),0),"")</f>
        <v/>
      </c>
      <c r="AV57" s="2" t="str" cm="1">
        <f t="array" ref="AV57">IF('NILAI CPL'!$B57&lt;&gt;"",IFERROR(_xlfn.IFS(Y57&gt;='NILAI CPL'!$B$3,4,Y57&gt;='NILAI CPL'!$B$4,3,Y57&gt;='NILAI CPL'!$B$5,2,Y57&gt;'NILAI CPL'!$B$6,1),0),"")</f>
        <v/>
      </c>
      <c r="AW57" s="2" t="str" cm="1">
        <f t="array" ref="AW57">IF('NILAI CPL'!$B57&lt;&gt;"",IFERROR(_xlfn.IFS(Z57&gt;='NILAI CPL'!$B$3,4,Z57&gt;='NILAI CPL'!$B$4,3,Z57&gt;='NILAI CPL'!$B$5,2,Z57&gt;'NILAI CPL'!$B$6,1),0),"")</f>
        <v/>
      </c>
      <c r="AX57" s="2" t="str" cm="1">
        <f t="array" ref="AX57">IF('NILAI CPL'!$B57&lt;&gt;"",IFERROR(_xlfn.IFS(AA57&gt;='NILAI CPL'!$B$3,4,AA57&gt;='NILAI CPL'!$B$4,3,AA57&gt;='NILAI CPL'!$B$5,2,AA57&gt;'NILAI CPL'!$B$6,1),0),"")</f>
        <v/>
      </c>
      <c r="AY57" s="2" t="str" cm="1">
        <f t="array" ref="AY57">IF('NILAI CPL'!$B57&lt;&gt;"",IFERROR(_xlfn.IFS(AB57&gt;='NILAI CPL'!$B$3,4,AB57&gt;='NILAI CPL'!$B$4,3,AB57&gt;='NILAI CPL'!$B$5,2,AB57&gt;'NILAI CPL'!$B$6,1),0),"")</f>
        <v/>
      </c>
      <c r="AZ57" s="2" t="str" cm="1">
        <f t="array" ref="AZ57">IF('NILAI CPL'!$B57&lt;&gt;"",IFERROR(_xlfn.IFS(AC57&gt;='NILAI CPL'!$B$3,4,AC57&gt;='NILAI CPL'!$B$4,3,AC57&gt;='NILAI CPL'!$B$5,2,AC57&gt;'NILAI CPL'!$B$6,1),0),"")</f>
        <v/>
      </c>
      <c r="BA57" s="2" t="str" cm="1">
        <f t="array" ref="BA57">IF('NILAI CPL'!$B57&lt;&gt;"",IFERROR(_xlfn.IFS(AD57&gt;='NILAI CPL'!$B$3,4,AD57&gt;='NILAI CPL'!$B$4,3,AD57&gt;='NILAI CPL'!$B$5,2,AD57&gt;'NILAI CPL'!$B$6,1),0),"")</f>
        <v/>
      </c>
      <c r="BB57" s="2" t="str" cm="1">
        <f t="array" ref="BB57">IF('NILAI CPL'!$B57&lt;&gt;"",IFERROR(_xlfn.IFS(AE57&gt;='NILAI CPL'!$B$3,4,AE57&gt;='NILAI CPL'!$B$4,3,AE57&gt;='NILAI CPL'!$B$5,2,AE57&gt;'NILAI CPL'!$B$6,1),0),"")</f>
        <v/>
      </c>
      <c r="BC57" s="2" t="str" cm="1">
        <f t="array" ref="BC57">IF('NILAI CPL'!$B57&lt;&gt;"",IFERROR(_xlfn.IFS(AF57&gt;='NILAI CPL'!$B$3,4,AF57&gt;='NILAI CPL'!$B$4,3,AF57&gt;='NILAI CPL'!$B$5,2,AF57&gt;'NILAI CPL'!$B$6,1),0),"")</f>
        <v/>
      </c>
      <c r="BD57" s="2" t="str" cm="1">
        <f t="array" ref="BD57">IF('NILAI CPL'!$B57&lt;&gt;"",IFERROR(_xlfn.IFS(AG57&gt;='NILAI CPL'!$B$3,4,AG57&gt;='NILAI CPL'!$B$4,3,AG57&gt;='NILAI CPL'!$B$5,2,AG57&gt;'NILAI CPL'!$B$6,1),0),"")</f>
        <v/>
      </c>
      <c r="BE57" s="2" t="str" cm="1">
        <f t="array" ref="BE57">IF('NILAI CPL'!$B57&lt;&gt;"",IFERROR(_xlfn.IFS(AH57&gt;='NILAI CPL'!$B$3,4,AH57&gt;='NILAI CPL'!$B$4,3,AH57&gt;='NILAI CPL'!$B$5,2,AH57&gt;'NILAI CPL'!$B$6,1),0),"")</f>
        <v/>
      </c>
      <c r="BF57" s="2" t="str" cm="1">
        <f t="array" ref="BF57">IF('NILAI CPL'!$B57&lt;&gt;"",IFERROR(_xlfn.IFS(AI57&gt;='NILAI CPL'!$B$3,4,AI57&gt;='NILAI CPL'!$B$4,3,AI57&gt;='NILAI CPL'!$B$5,2,AI57&gt;'NILAI CPL'!$B$6,1),0),"")</f>
        <v/>
      </c>
      <c r="BG57" s="2" t="str" cm="1">
        <f t="array" ref="BG57">IF('NILAI CPL'!$B57&lt;&gt;"",IFERROR(_xlfn.IFS(AJ57&gt;='NILAI CPL'!$B$3,4,AJ57&gt;='NILAI CPL'!$B$4,3,AJ57&gt;='NILAI CPL'!$B$5,2,AJ57&gt;'NILAI CPL'!$B$6,1),0),"")</f>
        <v/>
      </c>
      <c r="BH57" s="2" t="str" cm="1">
        <f t="array" ref="BH57">IF('NILAI CPL'!$B57&lt;&gt;"",IFERROR(_xlfn.IFS(AK57&gt;='NILAI CPL'!$B$3,4,AK57&gt;='NILAI CPL'!$B$4,3,AK57&gt;='NILAI CPL'!$B$5,2,AK57&gt;'NILAI CPL'!$B$6,1),0),"")</f>
        <v/>
      </c>
      <c r="BI57" s="2" t="str" cm="1">
        <f t="array" ref="BI57">IF('NILAI CPL'!$B57&lt;&gt;"",IFERROR(_xlfn.IFS(AL57&gt;='NILAI CPL'!$B$3,4,AL57&gt;='NILAI CPL'!$B$4,3,AL57&gt;='NILAI CPL'!$B$5,2,AL57&gt;'NILAI CPL'!$B$6,1),0),"")</f>
        <v/>
      </c>
      <c r="BJ57" s="2" t="str" cm="1">
        <f t="array" ref="BJ57">IF('NILAI CPL'!$B57&lt;&gt;"",IFERROR(_xlfn.IFS(AM57&gt;='NILAI CPL'!$B$3,4,AM57&gt;='NILAI CPL'!$B$4,3,AM57&gt;='NILAI CPL'!$B$5,2,AM57&gt;'NILAI CPL'!$B$6,1),0),"")</f>
        <v/>
      </c>
      <c r="BK57" s="2" t="str" cm="1">
        <f t="array" ref="BK57">IF('NILAI CPL'!$B57&lt;&gt;"",IFERROR(_xlfn.IFS(AN57&gt;='NILAI CPL'!$B$3,4,AN57&gt;='NILAI CPL'!$B$4,3,AN57&gt;='NILAI CPL'!$B$5,2,AN57&gt;'NILAI CPL'!$B$6,1),0),"")</f>
        <v/>
      </c>
    </row>
    <row r="58" spans="1:63" x14ac:dyDescent="0.2">
      <c r="A58" s="2">
        <v>48</v>
      </c>
      <c r="B58" s="2" t="str">
        <f>IF(LEN(SUMMARY!B58)&gt;0, SUMMARY!B58, "")</f>
        <v/>
      </c>
      <c r="C58" s="2" t="str">
        <f>IF(LEN(SUMMARY!C58)&gt;0, SUMMARY!C58, "")</f>
        <v/>
      </c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" t="str">
        <f t="shared" si="24"/>
        <v/>
      </c>
      <c r="S58" s="2" t="str">
        <f t="shared" si="2"/>
        <v/>
      </c>
      <c r="T58" s="2" t="str">
        <f t="shared" si="3"/>
        <v/>
      </c>
      <c r="U58" s="2" t="str">
        <f t="shared" si="4"/>
        <v/>
      </c>
      <c r="V58" s="2" t="str">
        <f t="shared" si="5"/>
        <v/>
      </c>
      <c r="W58" s="2" t="str">
        <f t="shared" si="6"/>
        <v/>
      </c>
      <c r="X58" s="2" t="str">
        <f t="shared" si="7"/>
        <v/>
      </c>
      <c r="Y58" s="2" t="str">
        <f t="shared" si="8"/>
        <v/>
      </c>
      <c r="Z58" s="2" t="str">
        <f t="shared" si="9"/>
        <v/>
      </c>
      <c r="AA58" s="2" t="str">
        <f t="shared" si="10"/>
        <v/>
      </c>
      <c r="AB58" s="2" t="str">
        <f t="shared" si="11"/>
        <v/>
      </c>
      <c r="AC58" s="2" t="str">
        <f t="shared" si="12"/>
        <v/>
      </c>
      <c r="AD58" s="2" t="str">
        <f t="shared" si="13"/>
        <v/>
      </c>
      <c r="AE58" s="2" t="str">
        <f t="shared" si="14"/>
        <v/>
      </c>
      <c r="AF58" s="2" t="str">
        <f t="shared" si="15"/>
        <v/>
      </c>
      <c r="AG58" s="2" t="str">
        <f t="shared" si="16"/>
        <v/>
      </c>
      <c r="AH58" s="2" t="str">
        <f t="shared" si="17"/>
        <v/>
      </c>
      <c r="AI58" s="2" t="str">
        <f t="shared" si="18"/>
        <v/>
      </c>
      <c r="AJ58" s="2" t="str">
        <f t="shared" si="19"/>
        <v/>
      </c>
      <c r="AK58" s="2" t="str">
        <f t="shared" si="20"/>
        <v/>
      </c>
      <c r="AL58" s="2" t="str">
        <f t="shared" si="21"/>
        <v/>
      </c>
      <c r="AM58" s="2" t="str">
        <f t="shared" si="22"/>
        <v/>
      </c>
      <c r="AN58" s="2" t="str">
        <f t="shared" si="23"/>
        <v/>
      </c>
      <c r="AP58" s="2" t="str" cm="1">
        <f t="array" ref="AP58">IF('NILAI CPL'!$B58&lt;&gt;"",IFERROR(_xlfn.IFS(S58&gt;='NILAI CPL'!$B$3,4,S58&gt;='NILAI CPL'!$B$4,3,S58&gt;='NILAI CPL'!$B$5,2,S58&gt;'NILAI CPL'!$B$6,1),0),"")</f>
        <v/>
      </c>
      <c r="AQ58" s="2" t="str" cm="1">
        <f t="array" ref="AQ58">IF('NILAI CPL'!$B58&lt;&gt;"",IFERROR(_xlfn.IFS(T58&gt;='NILAI CPL'!$B$3,4,T58&gt;='NILAI CPL'!$B$4,3,T58&gt;='NILAI CPL'!$B$5,2,T58&gt;'NILAI CPL'!$B$6,1),0),"")</f>
        <v/>
      </c>
      <c r="AR58" s="2" t="str" cm="1">
        <f t="array" ref="AR58">IF('NILAI CPL'!$B58&lt;&gt;"",IFERROR(_xlfn.IFS(U58&gt;='NILAI CPL'!$B$3,4,U58&gt;='NILAI CPL'!$B$4,3,U58&gt;='NILAI CPL'!$B$5,2,U58&gt;'NILAI CPL'!$B$6,1),0),"")</f>
        <v/>
      </c>
      <c r="AS58" s="2" t="str" cm="1">
        <f t="array" ref="AS58">IF('NILAI CPL'!$B58&lt;&gt;"",IFERROR(_xlfn.IFS(V58&gt;='NILAI CPL'!$B$3,4,V58&gt;='NILAI CPL'!$B$4,3,V58&gt;='NILAI CPL'!$B$5,2,V58&gt;'NILAI CPL'!$B$6,1),0),"")</f>
        <v/>
      </c>
      <c r="AT58" s="2" t="str" cm="1">
        <f t="array" ref="AT58">IF('NILAI CPL'!$B58&lt;&gt;"",IFERROR(_xlfn.IFS(W58&gt;='NILAI CPL'!$B$3,4,W58&gt;='NILAI CPL'!$B$4,3,W58&gt;='NILAI CPL'!$B$5,2,W58&gt;'NILAI CPL'!$B$6,1),0),"")</f>
        <v/>
      </c>
      <c r="AU58" s="2" t="str" cm="1">
        <f t="array" ref="AU58">IF('NILAI CPL'!$B58&lt;&gt;"",IFERROR(_xlfn.IFS(X58&gt;='NILAI CPL'!$B$3,4,X58&gt;='NILAI CPL'!$B$4,3,X58&gt;='NILAI CPL'!$B$5,2,X58&gt;'NILAI CPL'!$B$6,1),0),"")</f>
        <v/>
      </c>
      <c r="AV58" s="2" t="str" cm="1">
        <f t="array" ref="AV58">IF('NILAI CPL'!$B58&lt;&gt;"",IFERROR(_xlfn.IFS(Y58&gt;='NILAI CPL'!$B$3,4,Y58&gt;='NILAI CPL'!$B$4,3,Y58&gt;='NILAI CPL'!$B$5,2,Y58&gt;'NILAI CPL'!$B$6,1),0),"")</f>
        <v/>
      </c>
      <c r="AW58" s="2" t="str" cm="1">
        <f t="array" ref="AW58">IF('NILAI CPL'!$B58&lt;&gt;"",IFERROR(_xlfn.IFS(Z58&gt;='NILAI CPL'!$B$3,4,Z58&gt;='NILAI CPL'!$B$4,3,Z58&gt;='NILAI CPL'!$B$5,2,Z58&gt;'NILAI CPL'!$B$6,1),0),"")</f>
        <v/>
      </c>
      <c r="AX58" s="2" t="str" cm="1">
        <f t="array" ref="AX58">IF('NILAI CPL'!$B58&lt;&gt;"",IFERROR(_xlfn.IFS(AA58&gt;='NILAI CPL'!$B$3,4,AA58&gt;='NILAI CPL'!$B$4,3,AA58&gt;='NILAI CPL'!$B$5,2,AA58&gt;'NILAI CPL'!$B$6,1),0),"")</f>
        <v/>
      </c>
      <c r="AY58" s="2" t="str" cm="1">
        <f t="array" ref="AY58">IF('NILAI CPL'!$B58&lt;&gt;"",IFERROR(_xlfn.IFS(AB58&gt;='NILAI CPL'!$B$3,4,AB58&gt;='NILAI CPL'!$B$4,3,AB58&gt;='NILAI CPL'!$B$5,2,AB58&gt;'NILAI CPL'!$B$6,1),0),"")</f>
        <v/>
      </c>
      <c r="AZ58" s="2" t="str" cm="1">
        <f t="array" ref="AZ58">IF('NILAI CPL'!$B58&lt;&gt;"",IFERROR(_xlfn.IFS(AC58&gt;='NILAI CPL'!$B$3,4,AC58&gt;='NILAI CPL'!$B$4,3,AC58&gt;='NILAI CPL'!$B$5,2,AC58&gt;'NILAI CPL'!$B$6,1),0),"")</f>
        <v/>
      </c>
      <c r="BA58" s="2" t="str" cm="1">
        <f t="array" ref="BA58">IF('NILAI CPL'!$B58&lt;&gt;"",IFERROR(_xlfn.IFS(AD58&gt;='NILAI CPL'!$B$3,4,AD58&gt;='NILAI CPL'!$B$4,3,AD58&gt;='NILAI CPL'!$B$5,2,AD58&gt;'NILAI CPL'!$B$6,1),0),"")</f>
        <v/>
      </c>
      <c r="BB58" s="2" t="str" cm="1">
        <f t="array" ref="BB58">IF('NILAI CPL'!$B58&lt;&gt;"",IFERROR(_xlfn.IFS(AE58&gt;='NILAI CPL'!$B$3,4,AE58&gt;='NILAI CPL'!$B$4,3,AE58&gt;='NILAI CPL'!$B$5,2,AE58&gt;'NILAI CPL'!$B$6,1),0),"")</f>
        <v/>
      </c>
      <c r="BC58" s="2" t="str" cm="1">
        <f t="array" ref="BC58">IF('NILAI CPL'!$B58&lt;&gt;"",IFERROR(_xlfn.IFS(AF58&gt;='NILAI CPL'!$B$3,4,AF58&gt;='NILAI CPL'!$B$4,3,AF58&gt;='NILAI CPL'!$B$5,2,AF58&gt;'NILAI CPL'!$B$6,1),0),"")</f>
        <v/>
      </c>
      <c r="BD58" s="2" t="str" cm="1">
        <f t="array" ref="BD58">IF('NILAI CPL'!$B58&lt;&gt;"",IFERROR(_xlfn.IFS(AG58&gt;='NILAI CPL'!$B$3,4,AG58&gt;='NILAI CPL'!$B$4,3,AG58&gt;='NILAI CPL'!$B$5,2,AG58&gt;'NILAI CPL'!$B$6,1),0),"")</f>
        <v/>
      </c>
      <c r="BE58" s="2" t="str" cm="1">
        <f t="array" ref="BE58">IF('NILAI CPL'!$B58&lt;&gt;"",IFERROR(_xlfn.IFS(AH58&gt;='NILAI CPL'!$B$3,4,AH58&gt;='NILAI CPL'!$B$4,3,AH58&gt;='NILAI CPL'!$B$5,2,AH58&gt;'NILAI CPL'!$B$6,1),0),"")</f>
        <v/>
      </c>
      <c r="BF58" s="2" t="str" cm="1">
        <f t="array" ref="BF58">IF('NILAI CPL'!$B58&lt;&gt;"",IFERROR(_xlfn.IFS(AI58&gt;='NILAI CPL'!$B$3,4,AI58&gt;='NILAI CPL'!$B$4,3,AI58&gt;='NILAI CPL'!$B$5,2,AI58&gt;'NILAI CPL'!$B$6,1),0),"")</f>
        <v/>
      </c>
      <c r="BG58" s="2" t="str" cm="1">
        <f t="array" ref="BG58">IF('NILAI CPL'!$B58&lt;&gt;"",IFERROR(_xlfn.IFS(AJ58&gt;='NILAI CPL'!$B$3,4,AJ58&gt;='NILAI CPL'!$B$4,3,AJ58&gt;='NILAI CPL'!$B$5,2,AJ58&gt;'NILAI CPL'!$B$6,1),0),"")</f>
        <v/>
      </c>
      <c r="BH58" s="2" t="str" cm="1">
        <f t="array" ref="BH58">IF('NILAI CPL'!$B58&lt;&gt;"",IFERROR(_xlfn.IFS(AK58&gt;='NILAI CPL'!$B$3,4,AK58&gt;='NILAI CPL'!$B$4,3,AK58&gt;='NILAI CPL'!$B$5,2,AK58&gt;'NILAI CPL'!$B$6,1),0),"")</f>
        <v/>
      </c>
      <c r="BI58" s="2" t="str" cm="1">
        <f t="array" ref="BI58">IF('NILAI CPL'!$B58&lt;&gt;"",IFERROR(_xlfn.IFS(AL58&gt;='NILAI CPL'!$B$3,4,AL58&gt;='NILAI CPL'!$B$4,3,AL58&gt;='NILAI CPL'!$B$5,2,AL58&gt;'NILAI CPL'!$B$6,1),0),"")</f>
        <v/>
      </c>
      <c r="BJ58" s="2" t="str" cm="1">
        <f t="array" ref="BJ58">IF('NILAI CPL'!$B58&lt;&gt;"",IFERROR(_xlfn.IFS(AM58&gt;='NILAI CPL'!$B$3,4,AM58&gt;='NILAI CPL'!$B$4,3,AM58&gt;='NILAI CPL'!$B$5,2,AM58&gt;'NILAI CPL'!$B$6,1),0),"")</f>
        <v/>
      </c>
      <c r="BK58" s="2" t="str" cm="1">
        <f t="array" ref="BK58">IF('NILAI CPL'!$B58&lt;&gt;"",IFERROR(_xlfn.IFS(AN58&gt;='NILAI CPL'!$B$3,4,AN58&gt;='NILAI CPL'!$B$4,3,AN58&gt;='NILAI CPL'!$B$5,2,AN58&gt;'NILAI CPL'!$B$6,1),0),"")</f>
        <v/>
      </c>
    </row>
    <row r="59" spans="1:63" x14ac:dyDescent="0.2">
      <c r="A59" s="2">
        <v>49</v>
      </c>
      <c r="B59" s="2" t="str">
        <f>IF(LEN(SUMMARY!B59)&gt;0, SUMMARY!B59, "")</f>
        <v/>
      </c>
      <c r="C59" s="2" t="str">
        <f>IF(LEN(SUMMARY!C59)&gt;0, SUMMARY!C59, "")</f>
        <v/>
      </c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" t="str">
        <f t="shared" si="24"/>
        <v/>
      </c>
      <c r="S59" s="2" t="str">
        <f t="shared" si="2"/>
        <v/>
      </c>
      <c r="T59" s="2" t="str">
        <f t="shared" si="3"/>
        <v/>
      </c>
      <c r="U59" s="2" t="str">
        <f t="shared" si="4"/>
        <v/>
      </c>
      <c r="V59" s="2" t="str">
        <f t="shared" si="5"/>
        <v/>
      </c>
      <c r="W59" s="2" t="str">
        <f t="shared" si="6"/>
        <v/>
      </c>
      <c r="X59" s="2" t="str">
        <f t="shared" si="7"/>
        <v/>
      </c>
      <c r="Y59" s="2" t="str">
        <f t="shared" si="8"/>
        <v/>
      </c>
      <c r="Z59" s="2" t="str">
        <f t="shared" si="9"/>
        <v/>
      </c>
      <c r="AA59" s="2" t="str">
        <f t="shared" si="10"/>
        <v/>
      </c>
      <c r="AB59" s="2" t="str">
        <f t="shared" si="11"/>
        <v/>
      </c>
      <c r="AC59" s="2" t="str">
        <f t="shared" si="12"/>
        <v/>
      </c>
      <c r="AD59" s="2" t="str">
        <f t="shared" si="13"/>
        <v/>
      </c>
      <c r="AE59" s="2" t="str">
        <f t="shared" si="14"/>
        <v/>
      </c>
      <c r="AF59" s="2" t="str">
        <f t="shared" si="15"/>
        <v/>
      </c>
      <c r="AG59" s="2" t="str">
        <f t="shared" si="16"/>
        <v/>
      </c>
      <c r="AH59" s="2" t="str">
        <f t="shared" si="17"/>
        <v/>
      </c>
      <c r="AI59" s="2" t="str">
        <f t="shared" si="18"/>
        <v/>
      </c>
      <c r="AJ59" s="2" t="str">
        <f t="shared" si="19"/>
        <v/>
      </c>
      <c r="AK59" s="2" t="str">
        <f t="shared" si="20"/>
        <v/>
      </c>
      <c r="AL59" s="2" t="str">
        <f t="shared" si="21"/>
        <v/>
      </c>
      <c r="AM59" s="2" t="str">
        <f t="shared" si="22"/>
        <v/>
      </c>
      <c r="AN59" s="2" t="str">
        <f t="shared" si="23"/>
        <v/>
      </c>
      <c r="AP59" s="2" t="str" cm="1">
        <f t="array" ref="AP59">IF('NILAI CPL'!$B59&lt;&gt;"",IFERROR(_xlfn.IFS(S59&gt;='NILAI CPL'!$B$3,4,S59&gt;='NILAI CPL'!$B$4,3,S59&gt;='NILAI CPL'!$B$5,2,S59&gt;'NILAI CPL'!$B$6,1),0),"")</f>
        <v/>
      </c>
      <c r="AQ59" s="2" t="str" cm="1">
        <f t="array" ref="AQ59">IF('NILAI CPL'!$B59&lt;&gt;"",IFERROR(_xlfn.IFS(T59&gt;='NILAI CPL'!$B$3,4,T59&gt;='NILAI CPL'!$B$4,3,T59&gt;='NILAI CPL'!$B$5,2,T59&gt;'NILAI CPL'!$B$6,1),0),"")</f>
        <v/>
      </c>
      <c r="AR59" s="2" t="str" cm="1">
        <f t="array" ref="AR59">IF('NILAI CPL'!$B59&lt;&gt;"",IFERROR(_xlfn.IFS(U59&gt;='NILAI CPL'!$B$3,4,U59&gt;='NILAI CPL'!$B$4,3,U59&gt;='NILAI CPL'!$B$5,2,U59&gt;'NILAI CPL'!$B$6,1),0),"")</f>
        <v/>
      </c>
      <c r="AS59" s="2" t="str" cm="1">
        <f t="array" ref="AS59">IF('NILAI CPL'!$B59&lt;&gt;"",IFERROR(_xlfn.IFS(V59&gt;='NILAI CPL'!$B$3,4,V59&gt;='NILAI CPL'!$B$4,3,V59&gt;='NILAI CPL'!$B$5,2,V59&gt;'NILAI CPL'!$B$6,1),0),"")</f>
        <v/>
      </c>
      <c r="AT59" s="2" t="str" cm="1">
        <f t="array" ref="AT59">IF('NILAI CPL'!$B59&lt;&gt;"",IFERROR(_xlfn.IFS(W59&gt;='NILAI CPL'!$B$3,4,W59&gt;='NILAI CPL'!$B$4,3,W59&gt;='NILAI CPL'!$B$5,2,W59&gt;'NILAI CPL'!$B$6,1),0),"")</f>
        <v/>
      </c>
      <c r="AU59" s="2" t="str" cm="1">
        <f t="array" ref="AU59">IF('NILAI CPL'!$B59&lt;&gt;"",IFERROR(_xlfn.IFS(X59&gt;='NILAI CPL'!$B$3,4,X59&gt;='NILAI CPL'!$B$4,3,X59&gt;='NILAI CPL'!$B$5,2,X59&gt;'NILAI CPL'!$B$6,1),0),"")</f>
        <v/>
      </c>
      <c r="AV59" s="2" t="str" cm="1">
        <f t="array" ref="AV59">IF('NILAI CPL'!$B59&lt;&gt;"",IFERROR(_xlfn.IFS(Y59&gt;='NILAI CPL'!$B$3,4,Y59&gt;='NILAI CPL'!$B$4,3,Y59&gt;='NILAI CPL'!$B$5,2,Y59&gt;'NILAI CPL'!$B$6,1),0),"")</f>
        <v/>
      </c>
      <c r="AW59" s="2" t="str" cm="1">
        <f t="array" ref="AW59">IF('NILAI CPL'!$B59&lt;&gt;"",IFERROR(_xlfn.IFS(Z59&gt;='NILAI CPL'!$B$3,4,Z59&gt;='NILAI CPL'!$B$4,3,Z59&gt;='NILAI CPL'!$B$5,2,Z59&gt;'NILAI CPL'!$B$6,1),0),"")</f>
        <v/>
      </c>
      <c r="AX59" s="2" t="str" cm="1">
        <f t="array" ref="AX59">IF('NILAI CPL'!$B59&lt;&gt;"",IFERROR(_xlfn.IFS(AA59&gt;='NILAI CPL'!$B$3,4,AA59&gt;='NILAI CPL'!$B$4,3,AA59&gt;='NILAI CPL'!$B$5,2,AA59&gt;'NILAI CPL'!$B$6,1),0),"")</f>
        <v/>
      </c>
      <c r="AY59" s="2" t="str" cm="1">
        <f t="array" ref="AY59">IF('NILAI CPL'!$B59&lt;&gt;"",IFERROR(_xlfn.IFS(AB59&gt;='NILAI CPL'!$B$3,4,AB59&gt;='NILAI CPL'!$B$4,3,AB59&gt;='NILAI CPL'!$B$5,2,AB59&gt;'NILAI CPL'!$B$6,1),0),"")</f>
        <v/>
      </c>
      <c r="AZ59" s="2" t="str" cm="1">
        <f t="array" ref="AZ59">IF('NILAI CPL'!$B59&lt;&gt;"",IFERROR(_xlfn.IFS(AC59&gt;='NILAI CPL'!$B$3,4,AC59&gt;='NILAI CPL'!$B$4,3,AC59&gt;='NILAI CPL'!$B$5,2,AC59&gt;'NILAI CPL'!$B$6,1),0),"")</f>
        <v/>
      </c>
      <c r="BA59" s="2" t="str" cm="1">
        <f t="array" ref="BA59">IF('NILAI CPL'!$B59&lt;&gt;"",IFERROR(_xlfn.IFS(AD59&gt;='NILAI CPL'!$B$3,4,AD59&gt;='NILAI CPL'!$B$4,3,AD59&gt;='NILAI CPL'!$B$5,2,AD59&gt;'NILAI CPL'!$B$6,1),0),"")</f>
        <v/>
      </c>
      <c r="BB59" s="2" t="str" cm="1">
        <f t="array" ref="BB59">IF('NILAI CPL'!$B59&lt;&gt;"",IFERROR(_xlfn.IFS(AE59&gt;='NILAI CPL'!$B$3,4,AE59&gt;='NILAI CPL'!$B$4,3,AE59&gt;='NILAI CPL'!$B$5,2,AE59&gt;'NILAI CPL'!$B$6,1),0),"")</f>
        <v/>
      </c>
      <c r="BC59" s="2" t="str" cm="1">
        <f t="array" ref="BC59">IF('NILAI CPL'!$B59&lt;&gt;"",IFERROR(_xlfn.IFS(AF59&gt;='NILAI CPL'!$B$3,4,AF59&gt;='NILAI CPL'!$B$4,3,AF59&gt;='NILAI CPL'!$B$5,2,AF59&gt;'NILAI CPL'!$B$6,1),0),"")</f>
        <v/>
      </c>
      <c r="BD59" s="2" t="str" cm="1">
        <f t="array" ref="BD59">IF('NILAI CPL'!$B59&lt;&gt;"",IFERROR(_xlfn.IFS(AG59&gt;='NILAI CPL'!$B$3,4,AG59&gt;='NILAI CPL'!$B$4,3,AG59&gt;='NILAI CPL'!$B$5,2,AG59&gt;'NILAI CPL'!$B$6,1),0),"")</f>
        <v/>
      </c>
      <c r="BE59" s="2" t="str" cm="1">
        <f t="array" ref="BE59">IF('NILAI CPL'!$B59&lt;&gt;"",IFERROR(_xlfn.IFS(AH59&gt;='NILAI CPL'!$B$3,4,AH59&gt;='NILAI CPL'!$B$4,3,AH59&gt;='NILAI CPL'!$B$5,2,AH59&gt;'NILAI CPL'!$B$6,1),0),"")</f>
        <v/>
      </c>
      <c r="BF59" s="2" t="str" cm="1">
        <f t="array" ref="BF59">IF('NILAI CPL'!$B59&lt;&gt;"",IFERROR(_xlfn.IFS(AI59&gt;='NILAI CPL'!$B$3,4,AI59&gt;='NILAI CPL'!$B$4,3,AI59&gt;='NILAI CPL'!$B$5,2,AI59&gt;'NILAI CPL'!$B$6,1),0),"")</f>
        <v/>
      </c>
      <c r="BG59" s="2" t="str" cm="1">
        <f t="array" ref="BG59">IF('NILAI CPL'!$B59&lt;&gt;"",IFERROR(_xlfn.IFS(AJ59&gt;='NILAI CPL'!$B$3,4,AJ59&gt;='NILAI CPL'!$B$4,3,AJ59&gt;='NILAI CPL'!$B$5,2,AJ59&gt;'NILAI CPL'!$B$6,1),0),"")</f>
        <v/>
      </c>
      <c r="BH59" s="2" t="str" cm="1">
        <f t="array" ref="BH59">IF('NILAI CPL'!$B59&lt;&gt;"",IFERROR(_xlfn.IFS(AK59&gt;='NILAI CPL'!$B$3,4,AK59&gt;='NILAI CPL'!$B$4,3,AK59&gt;='NILAI CPL'!$B$5,2,AK59&gt;'NILAI CPL'!$B$6,1),0),"")</f>
        <v/>
      </c>
      <c r="BI59" s="2" t="str" cm="1">
        <f t="array" ref="BI59">IF('NILAI CPL'!$B59&lt;&gt;"",IFERROR(_xlfn.IFS(AL59&gt;='NILAI CPL'!$B$3,4,AL59&gt;='NILAI CPL'!$B$4,3,AL59&gt;='NILAI CPL'!$B$5,2,AL59&gt;'NILAI CPL'!$B$6,1),0),"")</f>
        <v/>
      </c>
      <c r="BJ59" s="2" t="str" cm="1">
        <f t="array" ref="BJ59">IF('NILAI CPL'!$B59&lt;&gt;"",IFERROR(_xlfn.IFS(AM59&gt;='NILAI CPL'!$B$3,4,AM59&gt;='NILAI CPL'!$B$4,3,AM59&gt;='NILAI CPL'!$B$5,2,AM59&gt;'NILAI CPL'!$B$6,1),0),"")</f>
        <v/>
      </c>
      <c r="BK59" s="2" t="str" cm="1">
        <f t="array" ref="BK59">IF('NILAI CPL'!$B59&lt;&gt;"",IFERROR(_xlfn.IFS(AN59&gt;='NILAI CPL'!$B$3,4,AN59&gt;='NILAI CPL'!$B$4,3,AN59&gt;='NILAI CPL'!$B$5,2,AN59&gt;'NILAI CPL'!$B$6,1),0),"")</f>
        <v/>
      </c>
    </row>
    <row r="60" spans="1:63" x14ac:dyDescent="0.2">
      <c r="A60" s="2">
        <v>50</v>
      </c>
      <c r="B60" s="2" t="str">
        <f>IF(LEN(SUMMARY!B60)&gt;0, SUMMARY!B60, "")</f>
        <v/>
      </c>
      <c r="C60" s="2" t="str">
        <f>IF(LEN(SUMMARY!C60)&gt;0, SUMMARY!C60, "")</f>
        <v/>
      </c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" t="str">
        <f t="shared" si="24"/>
        <v/>
      </c>
      <c r="S60" s="2" t="str">
        <f t="shared" si="2"/>
        <v/>
      </c>
      <c r="T60" s="2" t="str">
        <f t="shared" si="3"/>
        <v/>
      </c>
      <c r="U60" s="2" t="str">
        <f t="shared" si="4"/>
        <v/>
      </c>
      <c r="V60" s="2" t="str">
        <f t="shared" si="5"/>
        <v/>
      </c>
      <c r="W60" s="2" t="str">
        <f t="shared" si="6"/>
        <v/>
      </c>
      <c r="X60" s="2" t="str">
        <f t="shared" si="7"/>
        <v/>
      </c>
      <c r="Y60" s="2" t="str">
        <f t="shared" si="8"/>
        <v/>
      </c>
      <c r="Z60" s="2" t="str">
        <f t="shared" si="9"/>
        <v/>
      </c>
      <c r="AA60" s="2" t="str">
        <f t="shared" si="10"/>
        <v/>
      </c>
      <c r="AB60" s="2" t="str">
        <f t="shared" si="11"/>
        <v/>
      </c>
      <c r="AC60" s="2" t="str">
        <f t="shared" si="12"/>
        <v/>
      </c>
      <c r="AD60" s="2" t="str">
        <f t="shared" si="13"/>
        <v/>
      </c>
      <c r="AE60" s="2" t="str">
        <f t="shared" si="14"/>
        <v/>
      </c>
      <c r="AF60" s="2" t="str">
        <f t="shared" si="15"/>
        <v/>
      </c>
      <c r="AG60" s="2" t="str">
        <f t="shared" si="16"/>
        <v/>
      </c>
      <c r="AH60" s="2" t="str">
        <f t="shared" si="17"/>
        <v/>
      </c>
      <c r="AI60" s="2" t="str">
        <f t="shared" si="18"/>
        <v/>
      </c>
      <c r="AJ60" s="2" t="str">
        <f t="shared" si="19"/>
        <v/>
      </c>
      <c r="AK60" s="2" t="str">
        <f t="shared" si="20"/>
        <v/>
      </c>
      <c r="AL60" s="2" t="str">
        <f t="shared" si="21"/>
        <v/>
      </c>
      <c r="AM60" s="2" t="str">
        <f t="shared" si="22"/>
        <v/>
      </c>
      <c r="AN60" s="2" t="str">
        <f t="shared" si="23"/>
        <v/>
      </c>
      <c r="AP60" s="2" t="str" cm="1">
        <f t="array" ref="AP60">IF('NILAI CPL'!$B60&lt;&gt;"",IFERROR(_xlfn.IFS(S60&gt;='NILAI CPL'!$B$3,4,S60&gt;='NILAI CPL'!$B$4,3,S60&gt;='NILAI CPL'!$B$5,2,S60&gt;'NILAI CPL'!$B$6,1),0),"")</f>
        <v/>
      </c>
      <c r="AQ60" s="2" t="str" cm="1">
        <f t="array" ref="AQ60">IF('NILAI CPL'!$B60&lt;&gt;"",IFERROR(_xlfn.IFS(T60&gt;='NILAI CPL'!$B$3,4,T60&gt;='NILAI CPL'!$B$4,3,T60&gt;='NILAI CPL'!$B$5,2,T60&gt;'NILAI CPL'!$B$6,1),0),"")</f>
        <v/>
      </c>
      <c r="AR60" s="2" t="str" cm="1">
        <f t="array" ref="AR60">IF('NILAI CPL'!$B60&lt;&gt;"",IFERROR(_xlfn.IFS(U60&gt;='NILAI CPL'!$B$3,4,U60&gt;='NILAI CPL'!$B$4,3,U60&gt;='NILAI CPL'!$B$5,2,U60&gt;'NILAI CPL'!$B$6,1),0),"")</f>
        <v/>
      </c>
      <c r="AS60" s="2" t="str" cm="1">
        <f t="array" ref="AS60">IF('NILAI CPL'!$B60&lt;&gt;"",IFERROR(_xlfn.IFS(V60&gt;='NILAI CPL'!$B$3,4,V60&gt;='NILAI CPL'!$B$4,3,V60&gt;='NILAI CPL'!$B$5,2,V60&gt;'NILAI CPL'!$B$6,1),0),"")</f>
        <v/>
      </c>
      <c r="AT60" s="2" t="str" cm="1">
        <f t="array" ref="AT60">IF('NILAI CPL'!$B60&lt;&gt;"",IFERROR(_xlfn.IFS(W60&gt;='NILAI CPL'!$B$3,4,W60&gt;='NILAI CPL'!$B$4,3,W60&gt;='NILAI CPL'!$B$5,2,W60&gt;'NILAI CPL'!$B$6,1),0),"")</f>
        <v/>
      </c>
      <c r="AU60" s="2" t="str" cm="1">
        <f t="array" ref="AU60">IF('NILAI CPL'!$B60&lt;&gt;"",IFERROR(_xlfn.IFS(X60&gt;='NILAI CPL'!$B$3,4,X60&gt;='NILAI CPL'!$B$4,3,X60&gt;='NILAI CPL'!$B$5,2,X60&gt;'NILAI CPL'!$B$6,1),0),"")</f>
        <v/>
      </c>
      <c r="AV60" s="2" t="str" cm="1">
        <f t="array" ref="AV60">IF('NILAI CPL'!$B60&lt;&gt;"",IFERROR(_xlfn.IFS(Y60&gt;='NILAI CPL'!$B$3,4,Y60&gt;='NILAI CPL'!$B$4,3,Y60&gt;='NILAI CPL'!$B$5,2,Y60&gt;'NILAI CPL'!$B$6,1),0),"")</f>
        <v/>
      </c>
      <c r="AW60" s="2" t="str" cm="1">
        <f t="array" ref="AW60">IF('NILAI CPL'!$B60&lt;&gt;"",IFERROR(_xlfn.IFS(Z60&gt;='NILAI CPL'!$B$3,4,Z60&gt;='NILAI CPL'!$B$4,3,Z60&gt;='NILAI CPL'!$B$5,2,Z60&gt;'NILAI CPL'!$B$6,1),0),"")</f>
        <v/>
      </c>
      <c r="AX60" s="2" t="str" cm="1">
        <f t="array" ref="AX60">IF('NILAI CPL'!$B60&lt;&gt;"",IFERROR(_xlfn.IFS(AA60&gt;='NILAI CPL'!$B$3,4,AA60&gt;='NILAI CPL'!$B$4,3,AA60&gt;='NILAI CPL'!$B$5,2,AA60&gt;'NILAI CPL'!$B$6,1),0),"")</f>
        <v/>
      </c>
      <c r="AY60" s="2" t="str" cm="1">
        <f t="array" ref="AY60">IF('NILAI CPL'!$B60&lt;&gt;"",IFERROR(_xlfn.IFS(AB60&gt;='NILAI CPL'!$B$3,4,AB60&gt;='NILAI CPL'!$B$4,3,AB60&gt;='NILAI CPL'!$B$5,2,AB60&gt;'NILAI CPL'!$B$6,1),0),"")</f>
        <v/>
      </c>
      <c r="AZ60" s="2" t="str" cm="1">
        <f t="array" ref="AZ60">IF('NILAI CPL'!$B60&lt;&gt;"",IFERROR(_xlfn.IFS(AC60&gt;='NILAI CPL'!$B$3,4,AC60&gt;='NILAI CPL'!$B$4,3,AC60&gt;='NILAI CPL'!$B$5,2,AC60&gt;'NILAI CPL'!$B$6,1),0),"")</f>
        <v/>
      </c>
      <c r="BA60" s="2" t="str" cm="1">
        <f t="array" ref="BA60">IF('NILAI CPL'!$B60&lt;&gt;"",IFERROR(_xlfn.IFS(AD60&gt;='NILAI CPL'!$B$3,4,AD60&gt;='NILAI CPL'!$B$4,3,AD60&gt;='NILAI CPL'!$B$5,2,AD60&gt;'NILAI CPL'!$B$6,1),0),"")</f>
        <v/>
      </c>
      <c r="BB60" s="2" t="str" cm="1">
        <f t="array" ref="BB60">IF('NILAI CPL'!$B60&lt;&gt;"",IFERROR(_xlfn.IFS(AE60&gt;='NILAI CPL'!$B$3,4,AE60&gt;='NILAI CPL'!$B$4,3,AE60&gt;='NILAI CPL'!$B$5,2,AE60&gt;'NILAI CPL'!$B$6,1),0),"")</f>
        <v/>
      </c>
      <c r="BC60" s="2" t="str" cm="1">
        <f t="array" ref="BC60">IF('NILAI CPL'!$B60&lt;&gt;"",IFERROR(_xlfn.IFS(AF60&gt;='NILAI CPL'!$B$3,4,AF60&gt;='NILAI CPL'!$B$4,3,AF60&gt;='NILAI CPL'!$B$5,2,AF60&gt;'NILAI CPL'!$B$6,1),0),"")</f>
        <v/>
      </c>
      <c r="BD60" s="2" t="str" cm="1">
        <f t="array" ref="BD60">IF('NILAI CPL'!$B60&lt;&gt;"",IFERROR(_xlfn.IFS(AG60&gt;='NILAI CPL'!$B$3,4,AG60&gt;='NILAI CPL'!$B$4,3,AG60&gt;='NILAI CPL'!$B$5,2,AG60&gt;'NILAI CPL'!$B$6,1),0),"")</f>
        <v/>
      </c>
      <c r="BE60" s="2" t="str" cm="1">
        <f t="array" ref="BE60">IF('NILAI CPL'!$B60&lt;&gt;"",IFERROR(_xlfn.IFS(AH60&gt;='NILAI CPL'!$B$3,4,AH60&gt;='NILAI CPL'!$B$4,3,AH60&gt;='NILAI CPL'!$B$5,2,AH60&gt;'NILAI CPL'!$B$6,1),0),"")</f>
        <v/>
      </c>
      <c r="BF60" s="2" t="str" cm="1">
        <f t="array" ref="BF60">IF('NILAI CPL'!$B60&lt;&gt;"",IFERROR(_xlfn.IFS(AI60&gt;='NILAI CPL'!$B$3,4,AI60&gt;='NILAI CPL'!$B$4,3,AI60&gt;='NILAI CPL'!$B$5,2,AI60&gt;'NILAI CPL'!$B$6,1),0),"")</f>
        <v/>
      </c>
      <c r="BG60" s="2" t="str" cm="1">
        <f t="array" ref="BG60">IF('NILAI CPL'!$B60&lt;&gt;"",IFERROR(_xlfn.IFS(AJ60&gt;='NILAI CPL'!$B$3,4,AJ60&gt;='NILAI CPL'!$B$4,3,AJ60&gt;='NILAI CPL'!$B$5,2,AJ60&gt;'NILAI CPL'!$B$6,1),0),"")</f>
        <v/>
      </c>
      <c r="BH60" s="2" t="str" cm="1">
        <f t="array" ref="BH60">IF('NILAI CPL'!$B60&lt;&gt;"",IFERROR(_xlfn.IFS(AK60&gt;='NILAI CPL'!$B$3,4,AK60&gt;='NILAI CPL'!$B$4,3,AK60&gt;='NILAI CPL'!$B$5,2,AK60&gt;'NILAI CPL'!$B$6,1),0),"")</f>
        <v/>
      </c>
      <c r="BI60" s="2" t="str" cm="1">
        <f t="array" ref="BI60">IF('NILAI CPL'!$B60&lt;&gt;"",IFERROR(_xlfn.IFS(AL60&gt;='NILAI CPL'!$B$3,4,AL60&gt;='NILAI CPL'!$B$4,3,AL60&gt;='NILAI CPL'!$B$5,2,AL60&gt;'NILAI CPL'!$B$6,1),0),"")</f>
        <v/>
      </c>
      <c r="BJ60" s="2" t="str" cm="1">
        <f t="array" ref="BJ60">IF('NILAI CPL'!$B60&lt;&gt;"",IFERROR(_xlfn.IFS(AM60&gt;='NILAI CPL'!$B$3,4,AM60&gt;='NILAI CPL'!$B$4,3,AM60&gt;='NILAI CPL'!$B$5,2,AM60&gt;'NILAI CPL'!$B$6,1),0),"")</f>
        <v/>
      </c>
      <c r="BK60" s="2" t="str" cm="1">
        <f t="array" ref="BK60">IF('NILAI CPL'!$B60&lt;&gt;"",IFERROR(_xlfn.IFS(AN60&gt;='NILAI CPL'!$B$3,4,AN60&gt;='NILAI CPL'!$B$4,3,AN60&gt;='NILAI CPL'!$B$5,2,AN60&gt;'NILAI CPL'!$B$6,1),0),"")</f>
        <v/>
      </c>
    </row>
    <row r="61" spans="1:63" x14ac:dyDescent="0.2">
      <c r="A61" s="2">
        <v>51</v>
      </c>
      <c r="B61" s="2" t="str">
        <f>IF(LEN(SUMMARY!B61)&gt;0, SUMMARY!B61, "")</f>
        <v/>
      </c>
      <c r="C61" s="2" t="str">
        <f>IF(LEN(SUMMARY!C61)&gt;0, SUMMARY!C61, "")</f>
        <v/>
      </c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" t="str">
        <f t="shared" si="24"/>
        <v/>
      </c>
      <c r="S61" s="2" t="str">
        <f t="shared" si="2"/>
        <v/>
      </c>
      <c r="T61" s="2" t="str">
        <f t="shared" si="3"/>
        <v/>
      </c>
      <c r="U61" s="2" t="str">
        <f t="shared" si="4"/>
        <v/>
      </c>
      <c r="V61" s="2" t="str">
        <f t="shared" si="5"/>
        <v/>
      </c>
      <c r="W61" s="2" t="str">
        <f t="shared" si="6"/>
        <v/>
      </c>
      <c r="X61" s="2" t="str">
        <f t="shared" si="7"/>
        <v/>
      </c>
      <c r="Y61" s="2" t="str">
        <f t="shared" si="8"/>
        <v/>
      </c>
      <c r="Z61" s="2" t="str">
        <f t="shared" si="9"/>
        <v/>
      </c>
      <c r="AA61" s="2" t="str">
        <f t="shared" si="10"/>
        <v/>
      </c>
      <c r="AB61" s="2" t="str">
        <f t="shared" si="11"/>
        <v/>
      </c>
      <c r="AC61" s="2" t="str">
        <f t="shared" si="12"/>
        <v/>
      </c>
      <c r="AD61" s="2" t="str">
        <f t="shared" si="13"/>
        <v/>
      </c>
      <c r="AE61" s="2" t="str">
        <f t="shared" si="14"/>
        <v/>
      </c>
      <c r="AF61" s="2" t="str">
        <f t="shared" si="15"/>
        <v/>
      </c>
      <c r="AG61" s="2" t="str">
        <f t="shared" si="16"/>
        <v/>
      </c>
      <c r="AH61" s="2" t="str">
        <f t="shared" si="17"/>
        <v/>
      </c>
      <c r="AI61" s="2" t="str">
        <f t="shared" si="18"/>
        <v/>
      </c>
      <c r="AJ61" s="2" t="str">
        <f t="shared" si="19"/>
        <v/>
      </c>
      <c r="AK61" s="2" t="str">
        <f t="shared" si="20"/>
        <v/>
      </c>
      <c r="AL61" s="2" t="str">
        <f t="shared" si="21"/>
        <v/>
      </c>
      <c r="AM61" s="2" t="str">
        <f t="shared" si="22"/>
        <v/>
      </c>
      <c r="AN61" s="2" t="str">
        <f t="shared" si="23"/>
        <v/>
      </c>
      <c r="AP61" s="2" t="str" cm="1">
        <f t="array" ref="AP61">IF('NILAI CPL'!$B61&lt;&gt;"",IFERROR(_xlfn.IFS(S61&gt;='NILAI CPL'!$B$3,4,S61&gt;='NILAI CPL'!$B$4,3,S61&gt;='NILAI CPL'!$B$5,2,S61&gt;'NILAI CPL'!$B$6,1),0),"")</f>
        <v/>
      </c>
      <c r="AQ61" s="2" t="str" cm="1">
        <f t="array" ref="AQ61">IF('NILAI CPL'!$B61&lt;&gt;"",IFERROR(_xlfn.IFS(T61&gt;='NILAI CPL'!$B$3,4,T61&gt;='NILAI CPL'!$B$4,3,T61&gt;='NILAI CPL'!$B$5,2,T61&gt;'NILAI CPL'!$B$6,1),0),"")</f>
        <v/>
      </c>
      <c r="AR61" s="2" t="str" cm="1">
        <f t="array" ref="AR61">IF('NILAI CPL'!$B61&lt;&gt;"",IFERROR(_xlfn.IFS(U61&gt;='NILAI CPL'!$B$3,4,U61&gt;='NILAI CPL'!$B$4,3,U61&gt;='NILAI CPL'!$B$5,2,U61&gt;'NILAI CPL'!$B$6,1),0),"")</f>
        <v/>
      </c>
      <c r="AS61" s="2" t="str" cm="1">
        <f t="array" ref="AS61">IF('NILAI CPL'!$B61&lt;&gt;"",IFERROR(_xlfn.IFS(V61&gt;='NILAI CPL'!$B$3,4,V61&gt;='NILAI CPL'!$B$4,3,V61&gt;='NILAI CPL'!$B$5,2,V61&gt;'NILAI CPL'!$B$6,1),0),"")</f>
        <v/>
      </c>
      <c r="AT61" s="2" t="str" cm="1">
        <f t="array" ref="AT61">IF('NILAI CPL'!$B61&lt;&gt;"",IFERROR(_xlfn.IFS(W61&gt;='NILAI CPL'!$B$3,4,W61&gt;='NILAI CPL'!$B$4,3,W61&gt;='NILAI CPL'!$B$5,2,W61&gt;'NILAI CPL'!$B$6,1),0),"")</f>
        <v/>
      </c>
      <c r="AU61" s="2" t="str" cm="1">
        <f t="array" ref="AU61">IF('NILAI CPL'!$B61&lt;&gt;"",IFERROR(_xlfn.IFS(X61&gt;='NILAI CPL'!$B$3,4,X61&gt;='NILAI CPL'!$B$4,3,X61&gt;='NILAI CPL'!$B$5,2,X61&gt;'NILAI CPL'!$B$6,1),0),"")</f>
        <v/>
      </c>
      <c r="AV61" s="2" t="str" cm="1">
        <f t="array" ref="AV61">IF('NILAI CPL'!$B61&lt;&gt;"",IFERROR(_xlfn.IFS(Y61&gt;='NILAI CPL'!$B$3,4,Y61&gt;='NILAI CPL'!$B$4,3,Y61&gt;='NILAI CPL'!$B$5,2,Y61&gt;'NILAI CPL'!$B$6,1),0),"")</f>
        <v/>
      </c>
      <c r="AW61" s="2" t="str" cm="1">
        <f t="array" ref="AW61">IF('NILAI CPL'!$B61&lt;&gt;"",IFERROR(_xlfn.IFS(Z61&gt;='NILAI CPL'!$B$3,4,Z61&gt;='NILAI CPL'!$B$4,3,Z61&gt;='NILAI CPL'!$B$5,2,Z61&gt;'NILAI CPL'!$B$6,1),0),"")</f>
        <v/>
      </c>
      <c r="AX61" s="2" t="str" cm="1">
        <f t="array" ref="AX61">IF('NILAI CPL'!$B61&lt;&gt;"",IFERROR(_xlfn.IFS(AA61&gt;='NILAI CPL'!$B$3,4,AA61&gt;='NILAI CPL'!$B$4,3,AA61&gt;='NILAI CPL'!$B$5,2,AA61&gt;'NILAI CPL'!$B$6,1),0),"")</f>
        <v/>
      </c>
      <c r="AY61" s="2" t="str" cm="1">
        <f t="array" ref="AY61">IF('NILAI CPL'!$B61&lt;&gt;"",IFERROR(_xlfn.IFS(AB61&gt;='NILAI CPL'!$B$3,4,AB61&gt;='NILAI CPL'!$B$4,3,AB61&gt;='NILAI CPL'!$B$5,2,AB61&gt;'NILAI CPL'!$B$6,1),0),"")</f>
        <v/>
      </c>
      <c r="AZ61" s="2" t="str" cm="1">
        <f t="array" ref="AZ61">IF('NILAI CPL'!$B61&lt;&gt;"",IFERROR(_xlfn.IFS(AC61&gt;='NILAI CPL'!$B$3,4,AC61&gt;='NILAI CPL'!$B$4,3,AC61&gt;='NILAI CPL'!$B$5,2,AC61&gt;'NILAI CPL'!$B$6,1),0),"")</f>
        <v/>
      </c>
      <c r="BA61" s="2" t="str" cm="1">
        <f t="array" ref="BA61">IF('NILAI CPL'!$B61&lt;&gt;"",IFERROR(_xlfn.IFS(AD61&gt;='NILAI CPL'!$B$3,4,AD61&gt;='NILAI CPL'!$B$4,3,AD61&gt;='NILAI CPL'!$B$5,2,AD61&gt;'NILAI CPL'!$B$6,1),0),"")</f>
        <v/>
      </c>
      <c r="BB61" s="2" t="str" cm="1">
        <f t="array" ref="BB61">IF('NILAI CPL'!$B61&lt;&gt;"",IFERROR(_xlfn.IFS(AE61&gt;='NILAI CPL'!$B$3,4,AE61&gt;='NILAI CPL'!$B$4,3,AE61&gt;='NILAI CPL'!$B$5,2,AE61&gt;'NILAI CPL'!$B$6,1),0),"")</f>
        <v/>
      </c>
      <c r="BC61" s="2" t="str" cm="1">
        <f t="array" ref="BC61">IF('NILAI CPL'!$B61&lt;&gt;"",IFERROR(_xlfn.IFS(AF61&gt;='NILAI CPL'!$B$3,4,AF61&gt;='NILAI CPL'!$B$4,3,AF61&gt;='NILAI CPL'!$B$5,2,AF61&gt;'NILAI CPL'!$B$6,1),0),"")</f>
        <v/>
      </c>
      <c r="BD61" s="2" t="str" cm="1">
        <f t="array" ref="BD61">IF('NILAI CPL'!$B61&lt;&gt;"",IFERROR(_xlfn.IFS(AG61&gt;='NILAI CPL'!$B$3,4,AG61&gt;='NILAI CPL'!$B$4,3,AG61&gt;='NILAI CPL'!$B$5,2,AG61&gt;'NILAI CPL'!$B$6,1),0),"")</f>
        <v/>
      </c>
      <c r="BE61" s="2" t="str" cm="1">
        <f t="array" ref="BE61">IF('NILAI CPL'!$B61&lt;&gt;"",IFERROR(_xlfn.IFS(AH61&gt;='NILAI CPL'!$B$3,4,AH61&gt;='NILAI CPL'!$B$4,3,AH61&gt;='NILAI CPL'!$B$5,2,AH61&gt;'NILAI CPL'!$B$6,1),0),"")</f>
        <v/>
      </c>
      <c r="BF61" s="2" t="str" cm="1">
        <f t="array" ref="BF61">IF('NILAI CPL'!$B61&lt;&gt;"",IFERROR(_xlfn.IFS(AI61&gt;='NILAI CPL'!$B$3,4,AI61&gt;='NILAI CPL'!$B$4,3,AI61&gt;='NILAI CPL'!$B$5,2,AI61&gt;'NILAI CPL'!$B$6,1),0),"")</f>
        <v/>
      </c>
      <c r="BG61" s="2" t="str" cm="1">
        <f t="array" ref="BG61">IF('NILAI CPL'!$B61&lt;&gt;"",IFERROR(_xlfn.IFS(AJ61&gt;='NILAI CPL'!$B$3,4,AJ61&gt;='NILAI CPL'!$B$4,3,AJ61&gt;='NILAI CPL'!$B$5,2,AJ61&gt;'NILAI CPL'!$B$6,1),0),"")</f>
        <v/>
      </c>
      <c r="BH61" s="2" t="str" cm="1">
        <f t="array" ref="BH61">IF('NILAI CPL'!$B61&lt;&gt;"",IFERROR(_xlfn.IFS(AK61&gt;='NILAI CPL'!$B$3,4,AK61&gt;='NILAI CPL'!$B$4,3,AK61&gt;='NILAI CPL'!$B$5,2,AK61&gt;'NILAI CPL'!$B$6,1),0),"")</f>
        <v/>
      </c>
      <c r="BI61" s="2" t="str" cm="1">
        <f t="array" ref="BI61">IF('NILAI CPL'!$B61&lt;&gt;"",IFERROR(_xlfn.IFS(AL61&gt;='NILAI CPL'!$B$3,4,AL61&gt;='NILAI CPL'!$B$4,3,AL61&gt;='NILAI CPL'!$B$5,2,AL61&gt;'NILAI CPL'!$B$6,1),0),"")</f>
        <v/>
      </c>
      <c r="BJ61" s="2" t="str" cm="1">
        <f t="array" ref="BJ61">IF('NILAI CPL'!$B61&lt;&gt;"",IFERROR(_xlfn.IFS(AM61&gt;='NILAI CPL'!$B$3,4,AM61&gt;='NILAI CPL'!$B$4,3,AM61&gt;='NILAI CPL'!$B$5,2,AM61&gt;'NILAI CPL'!$B$6,1),0),"")</f>
        <v/>
      </c>
      <c r="BK61" s="2" t="str" cm="1">
        <f t="array" ref="BK61">IF('NILAI CPL'!$B61&lt;&gt;"",IFERROR(_xlfn.IFS(AN61&gt;='NILAI CPL'!$B$3,4,AN61&gt;='NILAI CPL'!$B$4,3,AN61&gt;='NILAI CPL'!$B$5,2,AN61&gt;'NILAI CPL'!$B$6,1),0),"")</f>
        <v/>
      </c>
    </row>
    <row r="62" spans="1:63" x14ac:dyDescent="0.2">
      <c r="A62" s="2">
        <v>52</v>
      </c>
      <c r="B62" s="2" t="str">
        <f>IF(LEN(SUMMARY!B62)&gt;0, SUMMARY!B62, "")</f>
        <v/>
      </c>
      <c r="C62" s="2" t="str">
        <f>IF(LEN(SUMMARY!C62)&gt;0, SUMMARY!C62, "")</f>
        <v/>
      </c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" t="str">
        <f t="shared" si="24"/>
        <v/>
      </c>
      <c r="S62" s="2" t="str">
        <f t="shared" si="2"/>
        <v/>
      </c>
      <c r="T62" s="2" t="str">
        <f t="shared" si="3"/>
        <v/>
      </c>
      <c r="U62" s="2" t="str">
        <f t="shared" si="4"/>
        <v/>
      </c>
      <c r="V62" s="2" t="str">
        <f t="shared" si="5"/>
        <v/>
      </c>
      <c r="W62" s="2" t="str">
        <f t="shared" si="6"/>
        <v/>
      </c>
      <c r="X62" s="2" t="str">
        <f t="shared" si="7"/>
        <v/>
      </c>
      <c r="Y62" s="2" t="str">
        <f t="shared" si="8"/>
        <v/>
      </c>
      <c r="Z62" s="2" t="str">
        <f t="shared" si="9"/>
        <v/>
      </c>
      <c r="AA62" s="2" t="str">
        <f t="shared" si="10"/>
        <v/>
      </c>
      <c r="AB62" s="2" t="str">
        <f t="shared" si="11"/>
        <v/>
      </c>
      <c r="AC62" s="2" t="str">
        <f t="shared" si="12"/>
        <v/>
      </c>
      <c r="AD62" s="2" t="str">
        <f t="shared" si="13"/>
        <v/>
      </c>
      <c r="AE62" s="2" t="str">
        <f t="shared" si="14"/>
        <v/>
      </c>
      <c r="AF62" s="2" t="str">
        <f t="shared" si="15"/>
        <v/>
      </c>
      <c r="AG62" s="2" t="str">
        <f t="shared" si="16"/>
        <v/>
      </c>
      <c r="AH62" s="2" t="str">
        <f t="shared" si="17"/>
        <v/>
      </c>
      <c r="AI62" s="2" t="str">
        <f t="shared" si="18"/>
        <v/>
      </c>
      <c r="AJ62" s="2" t="str">
        <f t="shared" si="19"/>
        <v/>
      </c>
      <c r="AK62" s="2" t="str">
        <f t="shared" si="20"/>
        <v/>
      </c>
      <c r="AL62" s="2" t="str">
        <f t="shared" si="21"/>
        <v/>
      </c>
      <c r="AM62" s="2" t="str">
        <f t="shared" si="22"/>
        <v/>
      </c>
      <c r="AN62" s="2" t="str">
        <f t="shared" si="23"/>
        <v/>
      </c>
      <c r="AP62" s="2" t="str" cm="1">
        <f t="array" ref="AP62">IF('NILAI CPL'!$B62&lt;&gt;"",IFERROR(_xlfn.IFS(S62&gt;='NILAI CPL'!$B$3,4,S62&gt;='NILAI CPL'!$B$4,3,S62&gt;='NILAI CPL'!$B$5,2,S62&gt;'NILAI CPL'!$B$6,1),0),"")</f>
        <v/>
      </c>
      <c r="AQ62" s="2" t="str" cm="1">
        <f t="array" ref="AQ62">IF('NILAI CPL'!$B62&lt;&gt;"",IFERROR(_xlfn.IFS(T62&gt;='NILAI CPL'!$B$3,4,T62&gt;='NILAI CPL'!$B$4,3,T62&gt;='NILAI CPL'!$B$5,2,T62&gt;'NILAI CPL'!$B$6,1),0),"")</f>
        <v/>
      </c>
      <c r="AR62" s="2" t="str" cm="1">
        <f t="array" ref="AR62">IF('NILAI CPL'!$B62&lt;&gt;"",IFERROR(_xlfn.IFS(U62&gt;='NILAI CPL'!$B$3,4,U62&gt;='NILAI CPL'!$B$4,3,U62&gt;='NILAI CPL'!$B$5,2,U62&gt;'NILAI CPL'!$B$6,1),0),"")</f>
        <v/>
      </c>
      <c r="AS62" s="2" t="str" cm="1">
        <f t="array" ref="AS62">IF('NILAI CPL'!$B62&lt;&gt;"",IFERROR(_xlfn.IFS(V62&gt;='NILAI CPL'!$B$3,4,V62&gt;='NILAI CPL'!$B$4,3,V62&gt;='NILAI CPL'!$B$5,2,V62&gt;'NILAI CPL'!$B$6,1),0),"")</f>
        <v/>
      </c>
      <c r="AT62" s="2" t="str" cm="1">
        <f t="array" ref="AT62">IF('NILAI CPL'!$B62&lt;&gt;"",IFERROR(_xlfn.IFS(W62&gt;='NILAI CPL'!$B$3,4,W62&gt;='NILAI CPL'!$B$4,3,W62&gt;='NILAI CPL'!$B$5,2,W62&gt;'NILAI CPL'!$B$6,1),0),"")</f>
        <v/>
      </c>
      <c r="AU62" s="2" t="str" cm="1">
        <f t="array" ref="AU62">IF('NILAI CPL'!$B62&lt;&gt;"",IFERROR(_xlfn.IFS(X62&gt;='NILAI CPL'!$B$3,4,X62&gt;='NILAI CPL'!$B$4,3,X62&gt;='NILAI CPL'!$B$5,2,X62&gt;'NILAI CPL'!$B$6,1),0),"")</f>
        <v/>
      </c>
      <c r="AV62" s="2" t="str" cm="1">
        <f t="array" ref="AV62">IF('NILAI CPL'!$B62&lt;&gt;"",IFERROR(_xlfn.IFS(Y62&gt;='NILAI CPL'!$B$3,4,Y62&gt;='NILAI CPL'!$B$4,3,Y62&gt;='NILAI CPL'!$B$5,2,Y62&gt;'NILAI CPL'!$B$6,1),0),"")</f>
        <v/>
      </c>
      <c r="AW62" s="2" t="str" cm="1">
        <f t="array" ref="AW62">IF('NILAI CPL'!$B62&lt;&gt;"",IFERROR(_xlfn.IFS(Z62&gt;='NILAI CPL'!$B$3,4,Z62&gt;='NILAI CPL'!$B$4,3,Z62&gt;='NILAI CPL'!$B$5,2,Z62&gt;'NILAI CPL'!$B$6,1),0),"")</f>
        <v/>
      </c>
      <c r="AX62" s="2" t="str" cm="1">
        <f t="array" ref="AX62">IF('NILAI CPL'!$B62&lt;&gt;"",IFERROR(_xlfn.IFS(AA62&gt;='NILAI CPL'!$B$3,4,AA62&gt;='NILAI CPL'!$B$4,3,AA62&gt;='NILAI CPL'!$B$5,2,AA62&gt;'NILAI CPL'!$B$6,1),0),"")</f>
        <v/>
      </c>
      <c r="AY62" s="2" t="str" cm="1">
        <f t="array" ref="AY62">IF('NILAI CPL'!$B62&lt;&gt;"",IFERROR(_xlfn.IFS(AB62&gt;='NILAI CPL'!$B$3,4,AB62&gt;='NILAI CPL'!$B$4,3,AB62&gt;='NILAI CPL'!$B$5,2,AB62&gt;'NILAI CPL'!$B$6,1),0),"")</f>
        <v/>
      </c>
      <c r="AZ62" s="2" t="str" cm="1">
        <f t="array" ref="AZ62">IF('NILAI CPL'!$B62&lt;&gt;"",IFERROR(_xlfn.IFS(AC62&gt;='NILAI CPL'!$B$3,4,AC62&gt;='NILAI CPL'!$B$4,3,AC62&gt;='NILAI CPL'!$B$5,2,AC62&gt;'NILAI CPL'!$B$6,1),0),"")</f>
        <v/>
      </c>
      <c r="BA62" s="2" t="str" cm="1">
        <f t="array" ref="BA62">IF('NILAI CPL'!$B62&lt;&gt;"",IFERROR(_xlfn.IFS(AD62&gt;='NILAI CPL'!$B$3,4,AD62&gt;='NILAI CPL'!$B$4,3,AD62&gt;='NILAI CPL'!$B$5,2,AD62&gt;'NILAI CPL'!$B$6,1),0),"")</f>
        <v/>
      </c>
      <c r="BB62" s="2" t="str" cm="1">
        <f t="array" ref="BB62">IF('NILAI CPL'!$B62&lt;&gt;"",IFERROR(_xlfn.IFS(AE62&gt;='NILAI CPL'!$B$3,4,AE62&gt;='NILAI CPL'!$B$4,3,AE62&gt;='NILAI CPL'!$B$5,2,AE62&gt;'NILAI CPL'!$B$6,1),0),"")</f>
        <v/>
      </c>
      <c r="BC62" s="2" t="str" cm="1">
        <f t="array" ref="BC62">IF('NILAI CPL'!$B62&lt;&gt;"",IFERROR(_xlfn.IFS(AF62&gt;='NILAI CPL'!$B$3,4,AF62&gt;='NILAI CPL'!$B$4,3,AF62&gt;='NILAI CPL'!$B$5,2,AF62&gt;'NILAI CPL'!$B$6,1),0),"")</f>
        <v/>
      </c>
      <c r="BD62" s="2" t="str" cm="1">
        <f t="array" ref="BD62">IF('NILAI CPL'!$B62&lt;&gt;"",IFERROR(_xlfn.IFS(AG62&gt;='NILAI CPL'!$B$3,4,AG62&gt;='NILAI CPL'!$B$4,3,AG62&gt;='NILAI CPL'!$B$5,2,AG62&gt;'NILAI CPL'!$B$6,1),0),"")</f>
        <v/>
      </c>
      <c r="BE62" s="2" t="str" cm="1">
        <f t="array" ref="BE62">IF('NILAI CPL'!$B62&lt;&gt;"",IFERROR(_xlfn.IFS(AH62&gt;='NILAI CPL'!$B$3,4,AH62&gt;='NILAI CPL'!$B$4,3,AH62&gt;='NILAI CPL'!$B$5,2,AH62&gt;'NILAI CPL'!$B$6,1),0),"")</f>
        <v/>
      </c>
      <c r="BF62" s="2" t="str" cm="1">
        <f t="array" ref="BF62">IF('NILAI CPL'!$B62&lt;&gt;"",IFERROR(_xlfn.IFS(AI62&gt;='NILAI CPL'!$B$3,4,AI62&gt;='NILAI CPL'!$B$4,3,AI62&gt;='NILAI CPL'!$B$5,2,AI62&gt;'NILAI CPL'!$B$6,1),0),"")</f>
        <v/>
      </c>
      <c r="BG62" s="2" t="str" cm="1">
        <f t="array" ref="BG62">IF('NILAI CPL'!$B62&lt;&gt;"",IFERROR(_xlfn.IFS(AJ62&gt;='NILAI CPL'!$B$3,4,AJ62&gt;='NILAI CPL'!$B$4,3,AJ62&gt;='NILAI CPL'!$B$5,2,AJ62&gt;'NILAI CPL'!$B$6,1),0),"")</f>
        <v/>
      </c>
      <c r="BH62" s="2" t="str" cm="1">
        <f t="array" ref="BH62">IF('NILAI CPL'!$B62&lt;&gt;"",IFERROR(_xlfn.IFS(AK62&gt;='NILAI CPL'!$B$3,4,AK62&gt;='NILAI CPL'!$B$4,3,AK62&gt;='NILAI CPL'!$B$5,2,AK62&gt;'NILAI CPL'!$B$6,1),0),"")</f>
        <v/>
      </c>
      <c r="BI62" s="2" t="str" cm="1">
        <f t="array" ref="BI62">IF('NILAI CPL'!$B62&lt;&gt;"",IFERROR(_xlfn.IFS(AL62&gt;='NILAI CPL'!$B$3,4,AL62&gt;='NILAI CPL'!$B$4,3,AL62&gt;='NILAI CPL'!$B$5,2,AL62&gt;'NILAI CPL'!$B$6,1),0),"")</f>
        <v/>
      </c>
      <c r="BJ62" s="2" t="str" cm="1">
        <f t="array" ref="BJ62">IF('NILAI CPL'!$B62&lt;&gt;"",IFERROR(_xlfn.IFS(AM62&gt;='NILAI CPL'!$B$3,4,AM62&gt;='NILAI CPL'!$B$4,3,AM62&gt;='NILAI CPL'!$B$5,2,AM62&gt;'NILAI CPL'!$B$6,1),0),"")</f>
        <v/>
      </c>
      <c r="BK62" s="2" t="str" cm="1">
        <f t="array" ref="BK62">IF('NILAI CPL'!$B62&lt;&gt;"",IFERROR(_xlfn.IFS(AN62&gt;='NILAI CPL'!$B$3,4,AN62&gt;='NILAI CPL'!$B$4,3,AN62&gt;='NILAI CPL'!$B$5,2,AN62&gt;'NILAI CPL'!$B$6,1),0),"")</f>
        <v/>
      </c>
    </row>
    <row r="63" spans="1:63" x14ac:dyDescent="0.2">
      <c r="A63" s="2">
        <v>53</v>
      </c>
      <c r="B63" s="2" t="str">
        <f>IF(LEN(SUMMARY!B63)&gt;0, SUMMARY!B63, "")</f>
        <v/>
      </c>
      <c r="C63" s="2" t="str">
        <f>IF(LEN(SUMMARY!C63)&gt;0, SUMMARY!C63, "")</f>
        <v/>
      </c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" t="str">
        <f t="shared" si="24"/>
        <v/>
      </c>
      <c r="S63" s="2" t="str">
        <f t="shared" si="2"/>
        <v/>
      </c>
      <c r="T63" s="2" t="str">
        <f t="shared" si="3"/>
        <v/>
      </c>
      <c r="U63" s="2" t="str">
        <f t="shared" si="4"/>
        <v/>
      </c>
      <c r="V63" s="2" t="str">
        <f t="shared" si="5"/>
        <v/>
      </c>
      <c r="W63" s="2" t="str">
        <f t="shared" si="6"/>
        <v/>
      </c>
      <c r="X63" s="2" t="str">
        <f t="shared" si="7"/>
        <v/>
      </c>
      <c r="Y63" s="2" t="str">
        <f t="shared" si="8"/>
        <v/>
      </c>
      <c r="Z63" s="2" t="str">
        <f t="shared" si="9"/>
        <v/>
      </c>
      <c r="AA63" s="2" t="str">
        <f t="shared" si="10"/>
        <v/>
      </c>
      <c r="AB63" s="2" t="str">
        <f t="shared" si="11"/>
        <v/>
      </c>
      <c r="AC63" s="2" t="str">
        <f t="shared" si="12"/>
        <v/>
      </c>
      <c r="AD63" s="2" t="str">
        <f t="shared" si="13"/>
        <v/>
      </c>
      <c r="AE63" s="2" t="str">
        <f t="shared" si="14"/>
        <v/>
      </c>
      <c r="AF63" s="2" t="str">
        <f t="shared" si="15"/>
        <v/>
      </c>
      <c r="AG63" s="2" t="str">
        <f t="shared" si="16"/>
        <v/>
      </c>
      <c r="AH63" s="2" t="str">
        <f t="shared" si="17"/>
        <v/>
      </c>
      <c r="AI63" s="2" t="str">
        <f t="shared" si="18"/>
        <v/>
      </c>
      <c r="AJ63" s="2" t="str">
        <f t="shared" si="19"/>
        <v/>
      </c>
      <c r="AK63" s="2" t="str">
        <f t="shared" si="20"/>
        <v/>
      </c>
      <c r="AL63" s="2" t="str">
        <f t="shared" si="21"/>
        <v/>
      </c>
      <c r="AM63" s="2" t="str">
        <f t="shared" si="22"/>
        <v/>
      </c>
      <c r="AN63" s="2" t="str">
        <f t="shared" si="23"/>
        <v/>
      </c>
      <c r="AP63" s="2" t="str" cm="1">
        <f t="array" ref="AP63">IF('NILAI CPL'!$B63&lt;&gt;"",IFERROR(_xlfn.IFS(S63&gt;='NILAI CPL'!$B$3,4,S63&gt;='NILAI CPL'!$B$4,3,S63&gt;='NILAI CPL'!$B$5,2,S63&gt;'NILAI CPL'!$B$6,1),0),"")</f>
        <v/>
      </c>
      <c r="AQ63" s="2" t="str" cm="1">
        <f t="array" ref="AQ63">IF('NILAI CPL'!$B63&lt;&gt;"",IFERROR(_xlfn.IFS(T63&gt;='NILAI CPL'!$B$3,4,T63&gt;='NILAI CPL'!$B$4,3,T63&gt;='NILAI CPL'!$B$5,2,T63&gt;'NILAI CPL'!$B$6,1),0),"")</f>
        <v/>
      </c>
      <c r="AR63" s="2" t="str" cm="1">
        <f t="array" ref="AR63">IF('NILAI CPL'!$B63&lt;&gt;"",IFERROR(_xlfn.IFS(U63&gt;='NILAI CPL'!$B$3,4,U63&gt;='NILAI CPL'!$B$4,3,U63&gt;='NILAI CPL'!$B$5,2,U63&gt;'NILAI CPL'!$B$6,1),0),"")</f>
        <v/>
      </c>
      <c r="AS63" s="2" t="str" cm="1">
        <f t="array" ref="AS63">IF('NILAI CPL'!$B63&lt;&gt;"",IFERROR(_xlfn.IFS(V63&gt;='NILAI CPL'!$B$3,4,V63&gt;='NILAI CPL'!$B$4,3,V63&gt;='NILAI CPL'!$B$5,2,V63&gt;'NILAI CPL'!$B$6,1),0),"")</f>
        <v/>
      </c>
      <c r="AT63" s="2" t="str" cm="1">
        <f t="array" ref="AT63">IF('NILAI CPL'!$B63&lt;&gt;"",IFERROR(_xlfn.IFS(W63&gt;='NILAI CPL'!$B$3,4,W63&gt;='NILAI CPL'!$B$4,3,W63&gt;='NILAI CPL'!$B$5,2,W63&gt;'NILAI CPL'!$B$6,1),0),"")</f>
        <v/>
      </c>
      <c r="AU63" s="2" t="str" cm="1">
        <f t="array" ref="AU63">IF('NILAI CPL'!$B63&lt;&gt;"",IFERROR(_xlfn.IFS(X63&gt;='NILAI CPL'!$B$3,4,X63&gt;='NILAI CPL'!$B$4,3,X63&gt;='NILAI CPL'!$B$5,2,X63&gt;'NILAI CPL'!$B$6,1),0),"")</f>
        <v/>
      </c>
      <c r="AV63" s="2" t="str" cm="1">
        <f t="array" ref="AV63">IF('NILAI CPL'!$B63&lt;&gt;"",IFERROR(_xlfn.IFS(Y63&gt;='NILAI CPL'!$B$3,4,Y63&gt;='NILAI CPL'!$B$4,3,Y63&gt;='NILAI CPL'!$B$5,2,Y63&gt;'NILAI CPL'!$B$6,1),0),"")</f>
        <v/>
      </c>
      <c r="AW63" s="2" t="str" cm="1">
        <f t="array" ref="AW63">IF('NILAI CPL'!$B63&lt;&gt;"",IFERROR(_xlfn.IFS(Z63&gt;='NILAI CPL'!$B$3,4,Z63&gt;='NILAI CPL'!$B$4,3,Z63&gt;='NILAI CPL'!$B$5,2,Z63&gt;'NILAI CPL'!$B$6,1),0),"")</f>
        <v/>
      </c>
      <c r="AX63" s="2" t="str" cm="1">
        <f t="array" ref="AX63">IF('NILAI CPL'!$B63&lt;&gt;"",IFERROR(_xlfn.IFS(AA63&gt;='NILAI CPL'!$B$3,4,AA63&gt;='NILAI CPL'!$B$4,3,AA63&gt;='NILAI CPL'!$B$5,2,AA63&gt;'NILAI CPL'!$B$6,1),0),"")</f>
        <v/>
      </c>
      <c r="AY63" s="2" t="str" cm="1">
        <f t="array" ref="AY63">IF('NILAI CPL'!$B63&lt;&gt;"",IFERROR(_xlfn.IFS(AB63&gt;='NILAI CPL'!$B$3,4,AB63&gt;='NILAI CPL'!$B$4,3,AB63&gt;='NILAI CPL'!$B$5,2,AB63&gt;'NILAI CPL'!$B$6,1),0),"")</f>
        <v/>
      </c>
      <c r="AZ63" s="2" t="str" cm="1">
        <f t="array" ref="AZ63">IF('NILAI CPL'!$B63&lt;&gt;"",IFERROR(_xlfn.IFS(AC63&gt;='NILAI CPL'!$B$3,4,AC63&gt;='NILAI CPL'!$B$4,3,AC63&gt;='NILAI CPL'!$B$5,2,AC63&gt;'NILAI CPL'!$B$6,1),0),"")</f>
        <v/>
      </c>
      <c r="BA63" s="2" t="str" cm="1">
        <f t="array" ref="BA63">IF('NILAI CPL'!$B63&lt;&gt;"",IFERROR(_xlfn.IFS(AD63&gt;='NILAI CPL'!$B$3,4,AD63&gt;='NILAI CPL'!$B$4,3,AD63&gt;='NILAI CPL'!$B$5,2,AD63&gt;'NILAI CPL'!$B$6,1),0),"")</f>
        <v/>
      </c>
      <c r="BB63" s="2" t="str" cm="1">
        <f t="array" ref="BB63">IF('NILAI CPL'!$B63&lt;&gt;"",IFERROR(_xlfn.IFS(AE63&gt;='NILAI CPL'!$B$3,4,AE63&gt;='NILAI CPL'!$B$4,3,AE63&gt;='NILAI CPL'!$B$5,2,AE63&gt;'NILAI CPL'!$B$6,1),0),"")</f>
        <v/>
      </c>
      <c r="BC63" s="2" t="str" cm="1">
        <f t="array" ref="BC63">IF('NILAI CPL'!$B63&lt;&gt;"",IFERROR(_xlfn.IFS(AF63&gt;='NILAI CPL'!$B$3,4,AF63&gt;='NILAI CPL'!$B$4,3,AF63&gt;='NILAI CPL'!$B$5,2,AF63&gt;'NILAI CPL'!$B$6,1),0),"")</f>
        <v/>
      </c>
      <c r="BD63" s="2" t="str" cm="1">
        <f t="array" ref="BD63">IF('NILAI CPL'!$B63&lt;&gt;"",IFERROR(_xlfn.IFS(AG63&gt;='NILAI CPL'!$B$3,4,AG63&gt;='NILAI CPL'!$B$4,3,AG63&gt;='NILAI CPL'!$B$5,2,AG63&gt;'NILAI CPL'!$B$6,1),0),"")</f>
        <v/>
      </c>
      <c r="BE63" s="2" t="str" cm="1">
        <f t="array" ref="BE63">IF('NILAI CPL'!$B63&lt;&gt;"",IFERROR(_xlfn.IFS(AH63&gt;='NILAI CPL'!$B$3,4,AH63&gt;='NILAI CPL'!$B$4,3,AH63&gt;='NILAI CPL'!$B$5,2,AH63&gt;'NILAI CPL'!$B$6,1),0),"")</f>
        <v/>
      </c>
      <c r="BF63" s="2" t="str" cm="1">
        <f t="array" ref="BF63">IF('NILAI CPL'!$B63&lt;&gt;"",IFERROR(_xlfn.IFS(AI63&gt;='NILAI CPL'!$B$3,4,AI63&gt;='NILAI CPL'!$B$4,3,AI63&gt;='NILAI CPL'!$B$5,2,AI63&gt;'NILAI CPL'!$B$6,1),0),"")</f>
        <v/>
      </c>
      <c r="BG63" s="2" t="str" cm="1">
        <f t="array" ref="BG63">IF('NILAI CPL'!$B63&lt;&gt;"",IFERROR(_xlfn.IFS(AJ63&gt;='NILAI CPL'!$B$3,4,AJ63&gt;='NILAI CPL'!$B$4,3,AJ63&gt;='NILAI CPL'!$B$5,2,AJ63&gt;'NILAI CPL'!$B$6,1),0),"")</f>
        <v/>
      </c>
      <c r="BH63" s="2" t="str" cm="1">
        <f t="array" ref="BH63">IF('NILAI CPL'!$B63&lt;&gt;"",IFERROR(_xlfn.IFS(AK63&gt;='NILAI CPL'!$B$3,4,AK63&gt;='NILAI CPL'!$B$4,3,AK63&gt;='NILAI CPL'!$B$5,2,AK63&gt;'NILAI CPL'!$B$6,1),0),"")</f>
        <v/>
      </c>
      <c r="BI63" s="2" t="str" cm="1">
        <f t="array" ref="BI63">IF('NILAI CPL'!$B63&lt;&gt;"",IFERROR(_xlfn.IFS(AL63&gt;='NILAI CPL'!$B$3,4,AL63&gt;='NILAI CPL'!$B$4,3,AL63&gt;='NILAI CPL'!$B$5,2,AL63&gt;'NILAI CPL'!$B$6,1),0),"")</f>
        <v/>
      </c>
      <c r="BJ63" s="2" t="str" cm="1">
        <f t="array" ref="BJ63">IF('NILAI CPL'!$B63&lt;&gt;"",IFERROR(_xlfn.IFS(AM63&gt;='NILAI CPL'!$B$3,4,AM63&gt;='NILAI CPL'!$B$4,3,AM63&gt;='NILAI CPL'!$B$5,2,AM63&gt;'NILAI CPL'!$B$6,1),0),"")</f>
        <v/>
      </c>
      <c r="BK63" s="2" t="str" cm="1">
        <f t="array" ref="BK63">IF('NILAI CPL'!$B63&lt;&gt;"",IFERROR(_xlfn.IFS(AN63&gt;='NILAI CPL'!$B$3,4,AN63&gt;='NILAI CPL'!$B$4,3,AN63&gt;='NILAI CPL'!$B$5,2,AN63&gt;'NILAI CPL'!$B$6,1),0),"")</f>
        <v/>
      </c>
    </row>
    <row r="64" spans="1:63" x14ac:dyDescent="0.2">
      <c r="A64" s="2">
        <v>54</v>
      </c>
      <c r="B64" s="2" t="str">
        <f>IF(LEN(SUMMARY!B64)&gt;0, SUMMARY!B64, "")</f>
        <v/>
      </c>
      <c r="C64" s="2" t="str">
        <f>IF(LEN(SUMMARY!C64)&gt;0, SUMMARY!C64, "")</f>
        <v/>
      </c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" t="str">
        <f t="shared" si="24"/>
        <v/>
      </c>
      <c r="S64" s="2" t="str">
        <f t="shared" si="2"/>
        <v/>
      </c>
      <c r="T64" s="2" t="str">
        <f t="shared" si="3"/>
        <v/>
      </c>
      <c r="U64" s="2" t="str">
        <f t="shared" si="4"/>
        <v/>
      </c>
      <c r="V64" s="2" t="str">
        <f t="shared" si="5"/>
        <v/>
      </c>
      <c r="W64" s="2" t="str">
        <f t="shared" si="6"/>
        <v/>
      </c>
      <c r="X64" s="2" t="str">
        <f t="shared" si="7"/>
        <v/>
      </c>
      <c r="Y64" s="2" t="str">
        <f t="shared" si="8"/>
        <v/>
      </c>
      <c r="Z64" s="2" t="str">
        <f t="shared" si="9"/>
        <v/>
      </c>
      <c r="AA64" s="2" t="str">
        <f t="shared" si="10"/>
        <v/>
      </c>
      <c r="AB64" s="2" t="str">
        <f t="shared" si="11"/>
        <v/>
      </c>
      <c r="AC64" s="2" t="str">
        <f t="shared" si="12"/>
        <v/>
      </c>
      <c r="AD64" s="2" t="str">
        <f t="shared" si="13"/>
        <v/>
      </c>
      <c r="AE64" s="2" t="str">
        <f t="shared" si="14"/>
        <v/>
      </c>
      <c r="AF64" s="2" t="str">
        <f t="shared" si="15"/>
        <v/>
      </c>
      <c r="AG64" s="2" t="str">
        <f t="shared" si="16"/>
        <v/>
      </c>
      <c r="AH64" s="2" t="str">
        <f t="shared" si="17"/>
        <v/>
      </c>
      <c r="AI64" s="2" t="str">
        <f t="shared" si="18"/>
        <v/>
      </c>
      <c r="AJ64" s="2" t="str">
        <f t="shared" si="19"/>
        <v/>
      </c>
      <c r="AK64" s="2" t="str">
        <f t="shared" si="20"/>
        <v/>
      </c>
      <c r="AL64" s="2" t="str">
        <f t="shared" si="21"/>
        <v/>
      </c>
      <c r="AM64" s="2" t="str">
        <f t="shared" si="22"/>
        <v/>
      </c>
      <c r="AN64" s="2" t="str">
        <f t="shared" si="23"/>
        <v/>
      </c>
      <c r="AP64" s="2" t="str" cm="1">
        <f t="array" ref="AP64">IF('NILAI CPL'!$B64&lt;&gt;"",IFERROR(_xlfn.IFS(S64&gt;='NILAI CPL'!$B$3,4,S64&gt;='NILAI CPL'!$B$4,3,S64&gt;='NILAI CPL'!$B$5,2,S64&gt;'NILAI CPL'!$B$6,1),0),"")</f>
        <v/>
      </c>
      <c r="AQ64" s="2" t="str" cm="1">
        <f t="array" ref="AQ64">IF('NILAI CPL'!$B64&lt;&gt;"",IFERROR(_xlfn.IFS(T64&gt;='NILAI CPL'!$B$3,4,T64&gt;='NILAI CPL'!$B$4,3,T64&gt;='NILAI CPL'!$B$5,2,T64&gt;'NILAI CPL'!$B$6,1),0),"")</f>
        <v/>
      </c>
      <c r="AR64" s="2" t="str" cm="1">
        <f t="array" ref="AR64">IF('NILAI CPL'!$B64&lt;&gt;"",IFERROR(_xlfn.IFS(U64&gt;='NILAI CPL'!$B$3,4,U64&gt;='NILAI CPL'!$B$4,3,U64&gt;='NILAI CPL'!$B$5,2,U64&gt;'NILAI CPL'!$B$6,1),0),"")</f>
        <v/>
      </c>
      <c r="AS64" s="2" t="str" cm="1">
        <f t="array" ref="AS64">IF('NILAI CPL'!$B64&lt;&gt;"",IFERROR(_xlfn.IFS(V64&gt;='NILAI CPL'!$B$3,4,V64&gt;='NILAI CPL'!$B$4,3,V64&gt;='NILAI CPL'!$B$5,2,V64&gt;'NILAI CPL'!$B$6,1),0),"")</f>
        <v/>
      </c>
      <c r="AT64" s="2" t="str" cm="1">
        <f t="array" ref="AT64">IF('NILAI CPL'!$B64&lt;&gt;"",IFERROR(_xlfn.IFS(W64&gt;='NILAI CPL'!$B$3,4,W64&gt;='NILAI CPL'!$B$4,3,W64&gt;='NILAI CPL'!$B$5,2,W64&gt;'NILAI CPL'!$B$6,1),0),"")</f>
        <v/>
      </c>
      <c r="AU64" s="2" t="str" cm="1">
        <f t="array" ref="AU64">IF('NILAI CPL'!$B64&lt;&gt;"",IFERROR(_xlfn.IFS(X64&gt;='NILAI CPL'!$B$3,4,X64&gt;='NILAI CPL'!$B$4,3,X64&gt;='NILAI CPL'!$B$5,2,X64&gt;'NILAI CPL'!$B$6,1),0),"")</f>
        <v/>
      </c>
      <c r="AV64" s="2" t="str" cm="1">
        <f t="array" ref="AV64">IF('NILAI CPL'!$B64&lt;&gt;"",IFERROR(_xlfn.IFS(Y64&gt;='NILAI CPL'!$B$3,4,Y64&gt;='NILAI CPL'!$B$4,3,Y64&gt;='NILAI CPL'!$B$5,2,Y64&gt;'NILAI CPL'!$B$6,1),0),"")</f>
        <v/>
      </c>
      <c r="AW64" s="2" t="str" cm="1">
        <f t="array" ref="AW64">IF('NILAI CPL'!$B64&lt;&gt;"",IFERROR(_xlfn.IFS(Z64&gt;='NILAI CPL'!$B$3,4,Z64&gt;='NILAI CPL'!$B$4,3,Z64&gt;='NILAI CPL'!$B$5,2,Z64&gt;'NILAI CPL'!$B$6,1),0),"")</f>
        <v/>
      </c>
      <c r="AX64" s="2" t="str" cm="1">
        <f t="array" ref="AX64">IF('NILAI CPL'!$B64&lt;&gt;"",IFERROR(_xlfn.IFS(AA64&gt;='NILAI CPL'!$B$3,4,AA64&gt;='NILAI CPL'!$B$4,3,AA64&gt;='NILAI CPL'!$B$5,2,AA64&gt;'NILAI CPL'!$B$6,1),0),"")</f>
        <v/>
      </c>
      <c r="AY64" s="2" t="str" cm="1">
        <f t="array" ref="AY64">IF('NILAI CPL'!$B64&lt;&gt;"",IFERROR(_xlfn.IFS(AB64&gt;='NILAI CPL'!$B$3,4,AB64&gt;='NILAI CPL'!$B$4,3,AB64&gt;='NILAI CPL'!$B$5,2,AB64&gt;'NILAI CPL'!$B$6,1),0),"")</f>
        <v/>
      </c>
      <c r="AZ64" s="2" t="str" cm="1">
        <f t="array" ref="AZ64">IF('NILAI CPL'!$B64&lt;&gt;"",IFERROR(_xlfn.IFS(AC64&gt;='NILAI CPL'!$B$3,4,AC64&gt;='NILAI CPL'!$B$4,3,AC64&gt;='NILAI CPL'!$B$5,2,AC64&gt;'NILAI CPL'!$B$6,1),0),"")</f>
        <v/>
      </c>
      <c r="BA64" s="2" t="str" cm="1">
        <f t="array" ref="BA64">IF('NILAI CPL'!$B64&lt;&gt;"",IFERROR(_xlfn.IFS(AD64&gt;='NILAI CPL'!$B$3,4,AD64&gt;='NILAI CPL'!$B$4,3,AD64&gt;='NILAI CPL'!$B$5,2,AD64&gt;'NILAI CPL'!$B$6,1),0),"")</f>
        <v/>
      </c>
      <c r="BB64" s="2" t="str" cm="1">
        <f t="array" ref="BB64">IF('NILAI CPL'!$B64&lt;&gt;"",IFERROR(_xlfn.IFS(AE64&gt;='NILAI CPL'!$B$3,4,AE64&gt;='NILAI CPL'!$B$4,3,AE64&gt;='NILAI CPL'!$B$5,2,AE64&gt;'NILAI CPL'!$B$6,1),0),"")</f>
        <v/>
      </c>
      <c r="BC64" s="2" t="str" cm="1">
        <f t="array" ref="BC64">IF('NILAI CPL'!$B64&lt;&gt;"",IFERROR(_xlfn.IFS(AF64&gt;='NILAI CPL'!$B$3,4,AF64&gt;='NILAI CPL'!$B$4,3,AF64&gt;='NILAI CPL'!$B$5,2,AF64&gt;'NILAI CPL'!$B$6,1),0),"")</f>
        <v/>
      </c>
      <c r="BD64" s="2" t="str" cm="1">
        <f t="array" ref="BD64">IF('NILAI CPL'!$B64&lt;&gt;"",IFERROR(_xlfn.IFS(AG64&gt;='NILAI CPL'!$B$3,4,AG64&gt;='NILAI CPL'!$B$4,3,AG64&gt;='NILAI CPL'!$B$5,2,AG64&gt;'NILAI CPL'!$B$6,1),0),"")</f>
        <v/>
      </c>
      <c r="BE64" s="2" t="str" cm="1">
        <f t="array" ref="BE64">IF('NILAI CPL'!$B64&lt;&gt;"",IFERROR(_xlfn.IFS(AH64&gt;='NILAI CPL'!$B$3,4,AH64&gt;='NILAI CPL'!$B$4,3,AH64&gt;='NILAI CPL'!$B$5,2,AH64&gt;'NILAI CPL'!$B$6,1),0),"")</f>
        <v/>
      </c>
      <c r="BF64" s="2" t="str" cm="1">
        <f t="array" ref="BF64">IF('NILAI CPL'!$B64&lt;&gt;"",IFERROR(_xlfn.IFS(AI64&gt;='NILAI CPL'!$B$3,4,AI64&gt;='NILAI CPL'!$B$4,3,AI64&gt;='NILAI CPL'!$B$5,2,AI64&gt;'NILAI CPL'!$B$6,1),0),"")</f>
        <v/>
      </c>
      <c r="BG64" s="2" t="str" cm="1">
        <f t="array" ref="BG64">IF('NILAI CPL'!$B64&lt;&gt;"",IFERROR(_xlfn.IFS(AJ64&gt;='NILAI CPL'!$B$3,4,AJ64&gt;='NILAI CPL'!$B$4,3,AJ64&gt;='NILAI CPL'!$B$5,2,AJ64&gt;'NILAI CPL'!$B$6,1),0),"")</f>
        <v/>
      </c>
      <c r="BH64" s="2" t="str" cm="1">
        <f t="array" ref="BH64">IF('NILAI CPL'!$B64&lt;&gt;"",IFERROR(_xlfn.IFS(AK64&gt;='NILAI CPL'!$B$3,4,AK64&gt;='NILAI CPL'!$B$4,3,AK64&gt;='NILAI CPL'!$B$5,2,AK64&gt;'NILAI CPL'!$B$6,1),0),"")</f>
        <v/>
      </c>
      <c r="BI64" s="2" t="str" cm="1">
        <f t="array" ref="BI64">IF('NILAI CPL'!$B64&lt;&gt;"",IFERROR(_xlfn.IFS(AL64&gt;='NILAI CPL'!$B$3,4,AL64&gt;='NILAI CPL'!$B$4,3,AL64&gt;='NILAI CPL'!$B$5,2,AL64&gt;'NILAI CPL'!$B$6,1),0),"")</f>
        <v/>
      </c>
      <c r="BJ64" s="2" t="str" cm="1">
        <f t="array" ref="BJ64">IF('NILAI CPL'!$B64&lt;&gt;"",IFERROR(_xlfn.IFS(AM64&gt;='NILAI CPL'!$B$3,4,AM64&gt;='NILAI CPL'!$B$4,3,AM64&gt;='NILAI CPL'!$B$5,2,AM64&gt;'NILAI CPL'!$B$6,1),0),"")</f>
        <v/>
      </c>
      <c r="BK64" s="2" t="str" cm="1">
        <f t="array" ref="BK64">IF('NILAI CPL'!$B64&lt;&gt;"",IFERROR(_xlfn.IFS(AN64&gt;='NILAI CPL'!$B$3,4,AN64&gt;='NILAI CPL'!$B$4,3,AN64&gt;='NILAI CPL'!$B$5,2,AN64&gt;'NILAI CPL'!$B$6,1),0),"")</f>
        <v/>
      </c>
    </row>
    <row r="65" spans="1:63" x14ac:dyDescent="0.2">
      <c r="A65" s="2">
        <v>55</v>
      </c>
      <c r="B65" s="2" t="str">
        <f>IF(LEN(SUMMARY!B65)&gt;0, SUMMARY!B65, "")</f>
        <v/>
      </c>
      <c r="C65" s="2" t="str">
        <f>IF(LEN(SUMMARY!C65)&gt;0, SUMMARY!C65, "")</f>
        <v/>
      </c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" t="str">
        <f t="shared" si="24"/>
        <v/>
      </c>
      <c r="S65" s="2" t="str">
        <f t="shared" si="2"/>
        <v/>
      </c>
      <c r="T65" s="2" t="str">
        <f t="shared" si="3"/>
        <v/>
      </c>
      <c r="U65" s="2" t="str">
        <f t="shared" si="4"/>
        <v/>
      </c>
      <c r="V65" s="2" t="str">
        <f t="shared" si="5"/>
        <v/>
      </c>
      <c r="W65" s="2" t="str">
        <f t="shared" si="6"/>
        <v/>
      </c>
      <c r="X65" s="2" t="str">
        <f t="shared" si="7"/>
        <v/>
      </c>
      <c r="Y65" s="2" t="str">
        <f t="shared" si="8"/>
        <v/>
      </c>
      <c r="Z65" s="2" t="str">
        <f t="shared" si="9"/>
        <v/>
      </c>
      <c r="AA65" s="2" t="str">
        <f t="shared" si="10"/>
        <v/>
      </c>
      <c r="AB65" s="2" t="str">
        <f t="shared" si="11"/>
        <v/>
      </c>
      <c r="AC65" s="2" t="str">
        <f t="shared" si="12"/>
        <v/>
      </c>
      <c r="AD65" s="2" t="str">
        <f t="shared" si="13"/>
        <v/>
      </c>
      <c r="AE65" s="2" t="str">
        <f t="shared" si="14"/>
        <v/>
      </c>
      <c r="AF65" s="2" t="str">
        <f t="shared" si="15"/>
        <v/>
      </c>
      <c r="AG65" s="2" t="str">
        <f t="shared" si="16"/>
        <v/>
      </c>
      <c r="AH65" s="2" t="str">
        <f t="shared" si="17"/>
        <v/>
      </c>
      <c r="AI65" s="2" t="str">
        <f t="shared" si="18"/>
        <v/>
      </c>
      <c r="AJ65" s="2" t="str">
        <f t="shared" si="19"/>
        <v/>
      </c>
      <c r="AK65" s="2" t="str">
        <f t="shared" si="20"/>
        <v/>
      </c>
      <c r="AL65" s="2" t="str">
        <f t="shared" si="21"/>
        <v/>
      </c>
      <c r="AM65" s="2" t="str">
        <f t="shared" si="22"/>
        <v/>
      </c>
      <c r="AN65" s="2" t="str">
        <f t="shared" si="23"/>
        <v/>
      </c>
      <c r="AP65" s="2" t="str" cm="1">
        <f t="array" ref="AP65">IF('NILAI CPL'!$B65&lt;&gt;"",IFERROR(_xlfn.IFS(S65&gt;='NILAI CPL'!$B$3,4,S65&gt;='NILAI CPL'!$B$4,3,S65&gt;='NILAI CPL'!$B$5,2,S65&gt;'NILAI CPL'!$B$6,1),0),"")</f>
        <v/>
      </c>
      <c r="AQ65" s="2" t="str" cm="1">
        <f t="array" ref="AQ65">IF('NILAI CPL'!$B65&lt;&gt;"",IFERROR(_xlfn.IFS(T65&gt;='NILAI CPL'!$B$3,4,T65&gt;='NILAI CPL'!$B$4,3,T65&gt;='NILAI CPL'!$B$5,2,T65&gt;'NILAI CPL'!$B$6,1),0),"")</f>
        <v/>
      </c>
      <c r="AR65" s="2" t="str" cm="1">
        <f t="array" ref="AR65">IF('NILAI CPL'!$B65&lt;&gt;"",IFERROR(_xlfn.IFS(U65&gt;='NILAI CPL'!$B$3,4,U65&gt;='NILAI CPL'!$B$4,3,U65&gt;='NILAI CPL'!$B$5,2,U65&gt;'NILAI CPL'!$B$6,1),0),"")</f>
        <v/>
      </c>
      <c r="AS65" s="2" t="str" cm="1">
        <f t="array" ref="AS65">IF('NILAI CPL'!$B65&lt;&gt;"",IFERROR(_xlfn.IFS(V65&gt;='NILAI CPL'!$B$3,4,V65&gt;='NILAI CPL'!$B$4,3,V65&gt;='NILAI CPL'!$B$5,2,V65&gt;'NILAI CPL'!$B$6,1),0),"")</f>
        <v/>
      </c>
      <c r="AT65" s="2" t="str" cm="1">
        <f t="array" ref="AT65">IF('NILAI CPL'!$B65&lt;&gt;"",IFERROR(_xlfn.IFS(W65&gt;='NILAI CPL'!$B$3,4,W65&gt;='NILAI CPL'!$B$4,3,W65&gt;='NILAI CPL'!$B$5,2,W65&gt;'NILAI CPL'!$B$6,1),0),"")</f>
        <v/>
      </c>
      <c r="AU65" s="2" t="str" cm="1">
        <f t="array" ref="AU65">IF('NILAI CPL'!$B65&lt;&gt;"",IFERROR(_xlfn.IFS(X65&gt;='NILAI CPL'!$B$3,4,X65&gt;='NILAI CPL'!$B$4,3,X65&gt;='NILAI CPL'!$B$5,2,X65&gt;'NILAI CPL'!$B$6,1),0),"")</f>
        <v/>
      </c>
      <c r="AV65" s="2" t="str" cm="1">
        <f t="array" ref="AV65">IF('NILAI CPL'!$B65&lt;&gt;"",IFERROR(_xlfn.IFS(Y65&gt;='NILAI CPL'!$B$3,4,Y65&gt;='NILAI CPL'!$B$4,3,Y65&gt;='NILAI CPL'!$B$5,2,Y65&gt;'NILAI CPL'!$B$6,1),0),"")</f>
        <v/>
      </c>
      <c r="AW65" s="2" t="str" cm="1">
        <f t="array" ref="AW65">IF('NILAI CPL'!$B65&lt;&gt;"",IFERROR(_xlfn.IFS(Z65&gt;='NILAI CPL'!$B$3,4,Z65&gt;='NILAI CPL'!$B$4,3,Z65&gt;='NILAI CPL'!$B$5,2,Z65&gt;'NILAI CPL'!$B$6,1),0),"")</f>
        <v/>
      </c>
      <c r="AX65" s="2" t="str" cm="1">
        <f t="array" ref="AX65">IF('NILAI CPL'!$B65&lt;&gt;"",IFERROR(_xlfn.IFS(AA65&gt;='NILAI CPL'!$B$3,4,AA65&gt;='NILAI CPL'!$B$4,3,AA65&gt;='NILAI CPL'!$B$5,2,AA65&gt;'NILAI CPL'!$B$6,1),0),"")</f>
        <v/>
      </c>
      <c r="AY65" s="2" t="str" cm="1">
        <f t="array" ref="AY65">IF('NILAI CPL'!$B65&lt;&gt;"",IFERROR(_xlfn.IFS(AB65&gt;='NILAI CPL'!$B$3,4,AB65&gt;='NILAI CPL'!$B$4,3,AB65&gt;='NILAI CPL'!$B$5,2,AB65&gt;'NILAI CPL'!$B$6,1),0),"")</f>
        <v/>
      </c>
      <c r="AZ65" s="2" t="str" cm="1">
        <f t="array" ref="AZ65">IF('NILAI CPL'!$B65&lt;&gt;"",IFERROR(_xlfn.IFS(AC65&gt;='NILAI CPL'!$B$3,4,AC65&gt;='NILAI CPL'!$B$4,3,AC65&gt;='NILAI CPL'!$B$5,2,AC65&gt;'NILAI CPL'!$B$6,1),0),"")</f>
        <v/>
      </c>
      <c r="BA65" s="2" t="str" cm="1">
        <f t="array" ref="BA65">IF('NILAI CPL'!$B65&lt;&gt;"",IFERROR(_xlfn.IFS(AD65&gt;='NILAI CPL'!$B$3,4,AD65&gt;='NILAI CPL'!$B$4,3,AD65&gt;='NILAI CPL'!$B$5,2,AD65&gt;'NILAI CPL'!$B$6,1),0),"")</f>
        <v/>
      </c>
      <c r="BB65" s="2" t="str" cm="1">
        <f t="array" ref="BB65">IF('NILAI CPL'!$B65&lt;&gt;"",IFERROR(_xlfn.IFS(AE65&gt;='NILAI CPL'!$B$3,4,AE65&gt;='NILAI CPL'!$B$4,3,AE65&gt;='NILAI CPL'!$B$5,2,AE65&gt;'NILAI CPL'!$B$6,1),0),"")</f>
        <v/>
      </c>
      <c r="BC65" s="2" t="str" cm="1">
        <f t="array" ref="BC65">IF('NILAI CPL'!$B65&lt;&gt;"",IFERROR(_xlfn.IFS(AF65&gt;='NILAI CPL'!$B$3,4,AF65&gt;='NILAI CPL'!$B$4,3,AF65&gt;='NILAI CPL'!$B$5,2,AF65&gt;'NILAI CPL'!$B$6,1),0),"")</f>
        <v/>
      </c>
      <c r="BD65" s="2" t="str" cm="1">
        <f t="array" ref="BD65">IF('NILAI CPL'!$B65&lt;&gt;"",IFERROR(_xlfn.IFS(AG65&gt;='NILAI CPL'!$B$3,4,AG65&gt;='NILAI CPL'!$B$4,3,AG65&gt;='NILAI CPL'!$B$5,2,AG65&gt;'NILAI CPL'!$B$6,1),0),"")</f>
        <v/>
      </c>
      <c r="BE65" s="2" t="str" cm="1">
        <f t="array" ref="BE65">IF('NILAI CPL'!$B65&lt;&gt;"",IFERROR(_xlfn.IFS(AH65&gt;='NILAI CPL'!$B$3,4,AH65&gt;='NILAI CPL'!$B$4,3,AH65&gt;='NILAI CPL'!$B$5,2,AH65&gt;'NILAI CPL'!$B$6,1),0),"")</f>
        <v/>
      </c>
      <c r="BF65" s="2" t="str" cm="1">
        <f t="array" ref="BF65">IF('NILAI CPL'!$B65&lt;&gt;"",IFERROR(_xlfn.IFS(AI65&gt;='NILAI CPL'!$B$3,4,AI65&gt;='NILAI CPL'!$B$4,3,AI65&gt;='NILAI CPL'!$B$5,2,AI65&gt;'NILAI CPL'!$B$6,1),0),"")</f>
        <v/>
      </c>
      <c r="BG65" s="2" t="str" cm="1">
        <f t="array" ref="BG65">IF('NILAI CPL'!$B65&lt;&gt;"",IFERROR(_xlfn.IFS(AJ65&gt;='NILAI CPL'!$B$3,4,AJ65&gt;='NILAI CPL'!$B$4,3,AJ65&gt;='NILAI CPL'!$B$5,2,AJ65&gt;'NILAI CPL'!$B$6,1),0),"")</f>
        <v/>
      </c>
      <c r="BH65" s="2" t="str" cm="1">
        <f t="array" ref="BH65">IF('NILAI CPL'!$B65&lt;&gt;"",IFERROR(_xlfn.IFS(AK65&gt;='NILAI CPL'!$B$3,4,AK65&gt;='NILAI CPL'!$B$4,3,AK65&gt;='NILAI CPL'!$B$5,2,AK65&gt;'NILAI CPL'!$B$6,1),0),"")</f>
        <v/>
      </c>
      <c r="BI65" s="2" t="str" cm="1">
        <f t="array" ref="BI65">IF('NILAI CPL'!$B65&lt;&gt;"",IFERROR(_xlfn.IFS(AL65&gt;='NILAI CPL'!$B$3,4,AL65&gt;='NILAI CPL'!$B$4,3,AL65&gt;='NILAI CPL'!$B$5,2,AL65&gt;'NILAI CPL'!$B$6,1),0),"")</f>
        <v/>
      </c>
      <c r="BJ65" s="2" t="str" cm="1">
        <f t="array" ref="BJ65">IF('NILAI CPL'!$B65&lt;&gt;"",IFERROR(_xlfn.IFS(AM65&gt;='NILAI CPL'!$B$3,4,AM65&gt;='NILAI CPL'!$B$4,3,AM65&gt;='NILAI CPL'!$B$5,2,AM65&gt;'NILAI CPL'!$B$6,1),0),"")</f>
        <v/>
      </c>
      <c r="BK65" s="2" t="str" cm="1">
        <f t="array" ref="BK65">IF('NILAI CPL'!$B65&lt;&gt;"",IFERROR(_xlfn.IFS(AN65&gt;='NILAI CPL'!$B$3,4,AN65&gt;='NILAI CPL'!$B$4,3,AN65&gt;='NILAI CPL'!$B$5,2,AN65&gt;'NILAI CPL'!$B$6,1),0),"")</f>
        <v/>
      </c>
    </row>
    <row r="66" spans="1:63" x14ac:dyDescent="0.2">
      <c r="A66" s="2">
        <v>56</v>
      </c>
      <c r="B66" s="2" t="str">
        <f>IF(LEN(SUMMARY!B66)&gt;0, SUMMARY!B66, "")</f>
        <v/>
      </c>
      <c r="C66" s="2" t="str">
        <f>IF(LEN(SUMMARY!C66)&gt;0, SUMMARY!C66, "")</f>
        <v/>
      </c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" t="str">
        <f t="shared" si="24"/>
        <v/>
      </c>
      <c r="S66" s="2" t="str">
        <f t="shared" si="2"/>
        <v/>
      </c>
      <c r="T66" s="2" t="str">
        <f t="shared" si="3"/>
        <v/>
      </c>
      <c r="U66" s="2" t="str">
        <f t="shared" si="4"/>
        <v/>
      </c>
      <c r="V66" s="2" t="str">
        <f t="shared" si="5"/>
        <v/>
      </c>
      <c r="W66" s="2" t="str">
        <f t="shared" si="6"/>
        <v/>
      </c>
      <c r="X66" s="2" t="str">
        <f t="shared" si="7"/>
        <v/>
      </c>
      <c r="Y66" s="2" t="str">
        <f t="shared" si="8"/>
        <v/>
      </c>
      <c r="Z66" s="2" t="str">
        <f t="shared" si="9"/>
        <v/>
      </c>
      <c r="AA66" s="2" t="str">
        <f t="shared" si="10"/>
        <v/>
      </c>
      <c r="AB66" s="2" t="str">
        <f t="shared" si="11"/>
        <v/>
      </c>
      <c r="AC66" s="2" t="str">
        <f t="shared" si="12"/>
        <v/>
      </c>
      <c r="AD66" s="2" t="str">
        <f t="shared" si="13"/>
        <v/>
      </c>
      <c r="AE66" s="2" t="str">
        <f t="shared" si="14"/>
        <v/>
      </c>
      <c r="AF66" s="2" t="str">
        <f t="shared" si="15"/>
        <v/>
      </c>
      <c r="AG66" s="2" t="str">
        <f t="shared" si="16"/>
        <v/>
      </c>
      <c r="AH66" s="2" t="str">
        <f t="shared" si="17"/>
        <v/>
      </c>
      <c r="AI66" s="2" t="str">
        <f t="shared" si="18"/>
        <v/>
      </c>
      <c r="AJ66" s="2" t="str">
        <f t="shared" si="19"/>
        <v/>
      </c>
      <c r="AK66" s="2" t="str">
        <f t="shared" si="20"/>
        <v/>
      </c>
      <c r="AL66" s="2" t="str">
        <f t="shared" si="21"/>
        <v/>
      </c>
      <c r="AM66" s="2" t="str">
        <f t="shared" si="22"/>
        <v/>
      </c>
      <c r="AN66" s="2" t="str">
        <f t="shared" si="23"/>
        <v/>
      </c>
      <c r="AP66" s="2" t="str" cm="1">
        <f t="array" ref="AP66">IF('NILAI CPL'!$B66&lt;&gt;"",IFERROR(_xlfn.IFS(S66&gt;='NILAI CPL'!$B$3,4,S66&gt;='NILAI CPL'!$B$4,3,S66&gt;='NILAI CPL'!$B$5,2,S66&gt;'NILAI CPL'!$B$6,1),0),"")</f>
        <v/>
      </c>
      <c r="AQ66" s="2" t="str" cm="1">
        <f t="array" ref="AQ66">IF('NILAI CPL'!$B66&lt;&gt;"",IFERROR(_xlfn.IFS(T66&gt;='NILAI CPL'!$B$3,4,T66&gt;='NILAI CPL'!$B$4,3,T66&gt;='NILAI CPL'!$B$5,2,T66&gt;'NILAI CPL'!$B$6,1),0),"")</f>
        <v/>
      </c>
      <c r="AR66" s="2" t="str" cm="1">
        <f t="array" ref="AR66">IF('NILAI CPL'!$B66&lt;&gt;"",IFERROR(_xlfn.IFS(U66&gt;='NILAI CPL'!$B$3,4,U66&gt;='NILAI CPL'!$B$4,3,U66&gt;='NILAI CPL'!$B$5,2,U66&gt;'NILAI CPL'!$B$6,1),0),"")</f>
        <v/>
      </c>
      <c r="AS66" s="2" t="str" cm="1">
        <f t="array" ref="AS66">IF('NILAI CPL'!$B66&lt;&gt;"",IFERROR(_xlfn.IFS(V66&gt;='NILAI CPL'!$B$3,4,V66&gt;='NILAI CPL'!$B$4,3,V66&gt;='NILAI CPL'!$B$5,2,V66&gt;'NILAI CPL'!$B$6,1),0),"")</f>
        <v/>
      </c>
      <c r="AT66" s="2" t="str" cm="1">
        <f t="array" ref="AT66">IF('NILAI CPL'!$B66&lt;&gt;"",IFERROR(_xlfn.IFS(W66&gt;='NILAI CPL'!$B$3,4,W66&gt;='NILAI CPL'!$B$4,3,W66&gt;='NILAI CPL'!$B$5,2,W66&gt;'NILAI CPL'!$B$6,1),0),"")</f>
        <v/>
      </c>
      <c r="AU66" s="2" t="str" cm="1">
        <f t="array" ref="AU66">IF('NILAI CPL'!$B66&lt;&gt;"",IFERROR(_xlfn.IFS(X66&gt;='NILAI CPL'!$B$3,4,X66&gt;='NILAI CPL'!$B$4,3,X66&gt;='NILAI CPL'!$B$5,2,X66&gt;'NILAI CPL'!$B$6,1),0),"")</f>
        <v/>
      </c>
      <c r="AV66" s="2" t="str" cm="1">
        <f t="array" ref="AV66">IF('NILAI CPL'!$B66&lt;&gt;"",IFERROR(_xlfn.IFS(Y66&gt;='NILAI CPL'!$B$3,4,Y66&gt;='NILAI CPL'!$B$4,3,Y66&gt;='NILAI CPL'!$B$5,2,Y66&gt;'NILAI CPL'!$B$6,1),0),"")</f>
        <v/>
      </c>
      <c r="AW66" s="2" t="str" cm="1">
        <f t="array" ref="AW66">IF('NILAI CPL'!$B66&lt;&gt;"",IFERROR(_xlfn.IFS(Z66&gt;='NILAI CPL'!$B$3,4,Z66&gt;='NILAI CPL'!$B$4,3,Z66&gt;='NILAI CPL'!$B$5,2,Z66&gt;'NILAI CPL'!$B$6,1),0),"")</f>
        <v/>
      </c>
      <c r="AX66" s="2" t="str" cm="1">
        <f t="array" ref="AX66">IF('NILAI CPL'!$B66&lt;&gt;"",IFERROR(_xlfn.IFS(AA66&gt;='NILAI CPL'!$B$3,4,AA66&gt;='NILAI CPL'!$B$4,3,AA66&gt;='NILAI CPL'!$B$5,2,AA66&gt;'NILAI CPL'!$B$6,1),0),"")</f>
        <v/>
      </c>
      <c r="AY66" s="2" t="str" cm="1">
        <f t="array" ref="AY66">IF('NILAI CPL'!$B66&lt;&gt;"",IFERROR(_xlfn.IFS(AB66&gt;='NILAI CPL'!$B$3,4,AB66&gt;='NILAI CPL'!$B$4,3,AB66&gt;='NILAI CPL'!$B$5,2,AB66&gt;'NILAI CPL'!$B$6,1),0),"")</f>
        <v/>
      </c>
      <c r="AZ66" s="2" t="str" cm="1">
        <f t="array" ref="AZ66">IF('NILAI CPL'!$B66&lt;&gt;"",IFERROR(_xlfn.IFS(AC66&gt;='NILAI CPL'!$B$3,4,AC66&gt;='NILAI CPL'!$B$4,3,AC66&gt;='NILAI CPL'!$B$5,2,AC66&gt;'NILAI CPL'!$B$6,1),0),"")</f>
        <v/>
      </c>
      <c r="BA66" s="2" t="str" cm="1">
        <f t="array" ref="BA66">IF('NILAI CPL'!$B66&lt;&gt;"",IFERROR(_xlfn.IFS(AD66&gt;='NILAI CPL'!$B$3,4,AD66&gt;='NILAI CPL'!$B$4,3,AD66&gt;='NILAI CPL'!$B$5,2,AD66&gt;'NILAI CPL'!$B$6,1),0),"")</f>
        <v/>
      </c>
      <c r="BB66" s="2" t="str" cm="1">
        <f t="array" ref="BB66">IF('NILAI CPL'!$B66&lt;&gt;"",IFERROR(_xlfn.IFS(AE66&gt;='NILAI CPL'!$B$3,4,AE66&gt;='NILAI CPL'!$B$4,3,AE66&gt;='NILAI CPL'!$B$5,2,AE66&gt;'NILAI CPL'!$B$6,1),0),"")</f>
        <v/>
      </c>
      <c r="BC66" s="2" t="str" cm="1">
        <f t="array" ref="BC66">IF('NILAI CPL'!$B66&lt;&gt;"",IFERROR(_xlfn.IFS(AF66&gt;='NILAI CPL'!$B$3,4,AF66&gt;='NILAI CPL'!$B$4,3,AF66&gt;='NILAI CPL'!$B$5,2,AF66&gt;'NILAI CPL'!$B$6,1),0),"")</f>
        <v/>
      </c>
      <c r="BD66" s="2" t="str" cm="1">
        <f t="array" ref="BD66">IF('NILAI CPL'!$B66&lt;&gt;"",IFERROR(_xlfn.IFS(AG66&gt;='NILAI CPL'!$B$3,4,AG66&gt;='NILAI CPL'!$B$4,3,AG66&gt;='NILAI CPL'!$B$5,2,AG66&gt;'NILAI CPL'!$B$6,1),0),"")</f>
        <v/>
      </c>
      <c r="BE66" s="2" t="str" cm="1">
        <f t="array" ref="BE66">IF('NILAI CPL'!$B66&lt;&gt;"",IFERROR(_xlfn.IFS(AH66&gt;='NILAI CPL'!$B$3,4,AH66&gt;='NILAI CPL'!$B$4,3,AH66&gt;='NILAI CPL'!$B$5,2,AH66&gt;'NILAI CPL'!$B$6,1),0),"")</f>
        <v/>
      </c>
      <c r="BF66" s="2" t="str" cm="1">
        <f t="array" ref="BF66">IF('NILAI CPL'!$B66&lt;&gt;"",IFERROR(_xlfn.IFS(AI66&gt;='NILAI CPL'!$B$3,4,AI66&gt;='NILAI CPL'!$B$4,3,AI66&gt;='NILAI CPL'!$B$5,2,AI66&gt;'NILAI CPL'!$B$6,1),0),"")</f>
        <v/>
      </c>
      <c r="BG66" s="2" t="str" cm="1">
        <f t="array" ref="BG66">IF('NILAI CPL'!$B66&lt;&gt;"",IFERROR(_xlfn.IFS(AJ66&gt;='NILAI CPL'!$B$3,4,AJ66&gt;='NILAI CPL'!$B$4,3,AJ66&gt;='NILAI CPL'!$B$5,2,AJ66&gt;'NILAI CPL'!$B$6,1),0),"")</f>
        <v/>
      </c>
      <c r="BH66" s="2" t="str" cm="1">
        <f t="array" ref="BH66">IF('NILAI CPL'!$B66&lt;&gt;"",IFERROR(_xlfn.IFS(AK66&gt;='NILAI CPL'!$B$3,4,AK66&gt;='NILAI CPL'!$B$4,3,AK66&gt;='NILAI CPL'!$B$5,2,AK66&gt;'NILAI CPL'!$B$6,1),0),"")</f>
        <v/>
      </c>
      <c r="BI66" s="2" t="str" cm="1">
        <f t="array" ref="BI66">IF('NILAI CPL'!$B66&lt;&gt;"",IFERROR(_xlfn.IFS(AL66&gt;='NILAI CPL'!$B$3,4,AL66&gt;='NILAI CPL'!$B$4,3,AL66&gt;='NILAI CPL'!$B$5,2,AL66&gt;'NILAI CPL'!$B$6,1),0),"")</f>
        <v/>
      </c>
      <c r="BJ66" s="2" t="str" cm="1">
        <f t="array" ref="BJ66">IF('NILAI CPL'!$B66&lt;&gt;"",IFERROR(_xlfn.IFS(AM66&gt;='NILAI CPL'!$B$3,4,AM66&gt;='NILAI CPL'!$B$4,3,AM66&gt;='NILAI CPL'!$B$5,2,AM66&gt;'NILAI CPL'!$B$6,1),0),"")</f>
        <v/>
      </c>
      <c r="BK66" s="2" t="str" cm="1">
        <f t="array" ref="BK66">IF('NILAI CPL'!$B66&lt;&gt;"",IFERROR(_xlfn.IFS(AN66&gt;='NILAI CPL'!$B$3,4,AN66&gt;='NILAI CPL'!$B$4,3,AN66&gt;='NILAI CPL'!$B$5,2,AN66&gt;'NILAI CPL'!$B$6,1),0),"")</f>
        <v/>
      </c>
    </row>
    <row r="67" spans="1:63" x14ac:dyDescent="0.2">
      <c r="A67" s="2">
        <v>57</v>
      </c>
      <c r="B67" s="2" t="str">
        <f>IF(LEN(SUMMARY!B67)&gt;0, SUMMARY!B67, "")</f>
        <v/>
      </c>
      <c r="C67" s="2" t="str">
        <f>IF(LEN(SUMMARY!C67)&gt;0, SUMMARY!C67, "")</f>
        <v/>
      </c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" t="str">
        <f t="shared" si="24"/>
        <v/>
      </c>
      <c r="S67" s="2" t="str">
        <f t="shared" si="2"/>
        <v/>
      </c>
      <c r="T67" s="2" t="str">
        <f t="shared" si="3"/>
        <v/>
      </c>
      <c r="U67" s="2" t="str">
        <f t="shared" si="4"/>
        <v/>
      </c>
      <c r="V67" s="2" t="str">
        <f t="shared" si="5"/>
        <v/>
      </c>
      <c r="W67" s="2" t="str">
        <f t="shared" si="6"/>
        <v/>
      </c>
      <c r="X67" s="2" t="str">
        <f t="shared" si="7"/>
        <v/>
      </c>
      <c r="Y67" s="2" t="str">
        <f t="shared" si="8"/>
        <v/>
      </c>
      <c r="Z67" s="2" t="str">
        <f t="shared" si="9"/>
        <v/>
      </c>
      <c r="AA67" s="2" t="str">
        <f t="shared" si="10"/>
        <v/>
      </c>
      <c r="AB67" s="2" t="str">
        <f t="shared" si="11"/>
        <v/>
      </c>
      <c r="AC67" s="2" t="str">
        <f t="shared" si="12"/>
        <v/>
      </c>
      <c r="AD67" s="2" t="str">
        <f t="shared" si="13"/>
        <v/>
      </c>
      <c r="AE67" s="2" t="str">
        <f t="shared" si="14"/>
        <v/>
      </c>
      <c r="AF67" s="2" t="str">
        <f t="shared" si="15"/>
        <v/>
      </c>
      <c r="AG67" s="2" t="str">
        <f t="shared" si="16"/>
        <v/>
      </c>
      <c r="AH67" s="2" t="str">
        <f t="shared" si="17"/>
        <v/>
      </c>
      <c r="AI67" s="2" t="str">
        <f t="shared" si="18"/>
        <v/>
      </c>
      <c r="AJ67" s="2" t="str">
        <f t="shared" si="19"/>
        <v/>
      </c>
      <c r="AK67" s="2" t="str">
        <f t="shared" si="20"/>
        <v/>
      </c>
      <c r="AL67" s="2" t="str">
        <f t="shared" si="21"/>
        <v/>
      </c>
      <c r="AM67" s="2" t="str">
        <f t="shared" si="22"/>
        <v/>
      </c>
      <c r="AN67" s="2" t="str">
        <f t="shared" si="23"/>
        <v/>
      </c>
      <c r="AP67" s="2" t="str" cm="1">
        <f t="array" ref="AP67">IF('NILAI CPL'!$B67&lt;&gt;"",IFERROR(_xlfn.IFS(S67&gt;='NILAI CPL'!$B$3,4,S67&gt;='NILAI CPL'!$B$4,3,S67&gt;='NILAI CPL'!$B$5,2,S67&gt;'NILAI CPL'!$B$6,1),0),"")</f>
        <v/>
      </c>
      <c r="AQ67" s="2" t="str" cm="1">
        <f t="array" ref="AQ67">IF('NILAI CPL'!$B67&lt;&gt;"",IFERROR(_xlfn.IFS(T67&gt;='NILAI CPL'!$B$3,4,T67&gt;='NILAI CPL'!$B$4,3,T67&gt;='NILAI CPL'!$B$5,2,T67&gt;'NILAI CPL'!$B$6,1),0),"")</f>
        <v/>
      </c>
      <c r="AR67" s="2" t="str" cm="1">
        <f t="array" ref="AR67">IF('NILAI CPL'!$B67&lt;&gt;"",IFERROR(_xlfn.IFS(U67&gt;='NILAI CPL'!$B$3,4,U67&gt;='NILAI CPL'!$B$4,3,U67&gt;='NILAI CPL'!$B$5,2,U67&gt;'NILAI CPL'!$B$6,1),0),"")</f>
        <v/>
      </c>
      <c r="AS67" s="2" t="str" cm="1">
        <f t="array" ref="AS67">IF('NILAI CPL'!$B67&lt;&gt;"",IFERROR(_xlfn.IFS(V67&gt;='NILAI CPL'!$B$3,4,V67&gt;='NILAI CPL'!$B$4,3,V67&gt;='NILAI CPL'!$B$5,2,V67&gt;'NILAI CPL'!$B$6,1),0),"")</f>
        <v/>
      </c>
      <c r="AT67" s="2" t="str" cm="1">
        <f t="array" ref="AT67">IF('NILAI CPL'!$B67&lt;&gt;"",IFERROR(_xlfn.IFS(W67&gt;='NILAI CPL'!$B$3,4,W67&gt;='NILAI CPL'!$B$4,3,W67&gt;='NILAI CPL'!$B$5,2,W67&gt;'NILAI CPL'!$B$6,1),0),"")</f>
        <v/>
      </c>
      <c r="AU67" s="2" t="str" cm="1">
        <f t="array" ref="AU67">IF('NILAI CPL'!$B67&lt;&gt;"",IFERROR(_xlfn.IFS(X67&gt;='NILAI CPL'!$B$3,4,X67&gt;='NILAI CPL'!$B$4,3,X67&gt;='NILAI CPL'!$B$5,2,X67&gt;'NILAI CPL'!$B$6,1),0),"")</f>
        <v/>
      </c>
      <c r="AV67" s="2" t="str" cm="1">
        <f t="array" ref="AV67">IF('NILAI CPL'!$B67&lt;&gt;"",IFERROR(_xlfn.IFS(Y67&gt;='NILAI CPL'!$B$3,4,Y67&gt;='NILAI CPL'!$B$4,3,Y67&gt;='NILAI CPL'!$B$5,2,Y67&gt;'NILAI CPL'!$B$6,1),0),"")</f>
        <v/>
      </c>
      <c r="AW67" s="2" t="str" cm="1">
        <f t="array" ref="AW67">IF('NILAI CPL'!$B67&lt;&gt;"",IFERROR(_xlfn.IFS(Z67&gt;='NILAI CPL'!$B$3,4,Z67&gt;='NILAI CPL'!$B$4,3,Z67&gt;='NILAI CPL'!$B$5,2,Z67&gt;'NILAI CPL'!$B$6,1),0),"")</f>
        <v/>
      </c>
      <c r="AX67" s="2" t="str" cm="1">
        <f t="array" ref="AX67">IF('NILAI CPL'!$B67&lt;&gt;"",IFERROR(_xlfn.IFS(AA67&gt;='NILAI CPL'!$B$3,4,AA67&gt;='NILAI CPL'!$B$4,3,AA67&gt;='NILAI CPL'!$B$5,2,AA67&gt;'NILAI CPL'!$B$6,1),0),"")</f>
        <v/>
      </c>
      <c r="AY67" s="2" t="str" cm="1">
        <f t="array" ref="AY67">IF('NILAI CPL'!$B67&lt;&gt;"",IFERROR(_xlfn.IFS(AB67&gt;='NILAI CPL'!$B$3,4,AB67&gt;='NILAI CPL'!$B$4,3,AB67&gt;='NILAI CPL'!$B$5,2,AB67&gt;'NILAI CPL'!$B$6,1),0),"")</f>
        <v/>
      </c>
      <c r="AZ67" s="2" t="str" cm="1">
        <f t="array" ref="AZ67">IF('NILAI CPL'!$B67&lt;&gt;"",IFERROR(_xlfn.IFS(AC67&gt;='NILAI CPL'!$B$3,4,AC67&gt;='NILAI CPL'!$B$4,3,AC67&gt;='NILAI CPL'!$B$5,2,AC67&gt;'NILAI CPL'!$B$6,1),0),"")</f>
        <v/>
      </c>
      <c r="BA67" s="2" t="str" cm="1">
        <f t="array" ref="BA67">IF('NILAI CPL'!$B67&lt;&gt;"",IFERROR(_xlfn.IFS(AD67&gt;='NILAI CPL'!$B$3,4,AD67&gt;='NILAI CPL'!$B$4,3,AD67&gt;='NILAI CPL'!$B$5,2,AD67&gt;'NILAI CPL'!$B$6,1),0),"")</f>
        <v/>
      </c>
      <c r="BB67" s="2" t="str" cm="1">
        <f t="array" ref="BB67">IF('NILAI CPL'!$B67&lt;&gt;"",IFERROR(_xlfn.IFS(AE67&gt;='NILAI CPL'!$B$3,4,AE67&gt;='NILAI CPL'!$B$4,3,AE67&gt;='NILAI CPL'!$B$5,2,AE67&gt;'NILAI CPL'!$B$6,1),0),"")</f>
        <v/>
      </c>
      <c r="BC67" s="2" t="str" cm="1">
        <f t="array" ref="BC67">IF('NILAI CPL'!$B67&lt;&gt;"",IFERROR(_xlfn.IFS(AF67&gt;='NILAI CPL'!$B$3,4,AF67&gt;='NILAI CPL'!$B$4,3,AF67&gt;='NILAI CPL'!$B$5,2,AF67&gt;'NILAI CPL'!$B$6,1),0),"")</f>
        <v/>
      </c>
      <c r="BD67" s="2" t="str" cm="1">
        <f t="array" ref="BD67">IF('NILAI CPL'!$B67&lt;&gt;"",IFERROR(_xlfn.IFS(AG67&gt;='NILAI CPL'!$B$3,4,AG67&gt;='NILAI CPL'!$B$4,3,AG67&gt;='NILAI CPL'!$B$5,2,AG67&gt;'NILAI CPL'!$B$6,1),0),"")</f>
        <v/>
      </c>
      <c r="BE67" s="2" t="str" cm="1">
        <f t="array" ref="BE67">IF('NILAI CPL'!$B67&lt;&gt;"",IFERROR(_xlfn.IFS(AH67&gt;='NILAI CPL'!$B$3,4,AH67&gt;='NILAI CPL'!$B$4,3,AH67&gt;='NILAI CPL'!$B$5,2,AH67&gt;'NILAI CPL'!$B$6,1),0),"")</f>
        <v/>
      </c>
      <c r="BF67" s="2" t="str" cm="1">
        <f t="array" ref="BF67">IF('NILAI CPL'!$B67&lt;&gt;"",IFERROR(_xlfn.IFS(AI67&gt;='NILAI CPL'!$B$3,4,AI67&gt;='NILAI CPL'!$B$4,3,AI67&gt;='NILAI CPL'!$B$5,2,AI67&gt;'NILAI CPL'!$B$6,1),0),"")</f>
        <v/>
      </c>
      <c r="BG67" s="2" t="str" cm="1">
        <f t="array" ref="BG67">IF('NILAI CPL'!$B67&lt;&gt;"",IFERROR(_xlfn.IFS(AJ67&gt;='NILAI CPL'!$B$3,4,AJ67&gt;='NILAI CPL'!$B$4,3,AJ67&gt;='NILAI CPL'!$B$5,2,AJ67&gt;'NILAI CPL'!$B$6,1),0),"")</f>
        <v/>
      </c>
      <c r="BH67" s="2" t="str" cm="1">
        <f t="array" ref="BH67">IF('NILAI CPL'!$B67&lt;&gt;"",IFERROR(_xlfn.IFS(AK67&gt;='NILAI CPL'!$B$3,4,AK67&gt;='NILAI CPL'!$B$4,3,AK67&gt;='NILAI CPL'!$B$5,2,AK67&gt;'NILAI CPL'!$B$6,1),0),"")</f>
        <v/>
      </c>
      <c r="BI67" s="2" t="str" cm="1">
        <f t="array" ref="BI67">IF('NILAI CPL'!$B67&lt;&gt;"",IFERROR(_xlfn.IFS(AL67&gt;='NILAI CPL'!$B$3,4,AL67&gt;='NILAI CPL'!$B$4,3,AL67&gt;='NILAI CPL'!$B$5,2,AL67&gt;'NILAI CPL'!$B$6,1),0),"")</f>
        <v/>
      </c>
      <c r="BJ67" s="2" t="str" cm="1">
        <f t="array" ref="BJ67">IF('NILAI CPL'!$B67&lt;&gt;"",IFERROR(_xlfn.IFS(AM67&gt;='NILAI CPL'!$B$3,4,AM67&gt;='NILAI CPL'!$B$4,3,AM67&gt;='NILAI CPL'!$B$5,2,AM67&gt;'NILAI CPL'!$B$6,1),0),"")</f>
        <v/>
      </c>
      <c r="BK67" s="2" t="str" cm="1">
        <f t="array" ref="BK67">IF('NILAI CPL'!$B67&lt;&gt;"",IFERROR(_xlfn.IFS(AN67&gt;='NILAI CPL'!$B$3,4,AN67&gt;='NILAI CPL'!$B$4,3,AN67&gt;='NILAI CPL'!$B$5,2,AN67&gt;'NILAI CPL'!$B$6,1),0),"")</f>
        <v/>
      </c>
    </row>
    <row r="68" spans="1:63" x14ac:dyDescent="0.2">
      <c r="A68" s="2">
        <v>58</v>
      </c>
      <c r="B68" s="2" t="str">
        <f>IF(LEN(SUMMARY!B68)&gt;0, SUMMARY!B68, "")</f>
        <v/>
      </c>
      <c r="C68" s="2" t="str">
        <f>IF(LEN(SUMMARY!C68)&gt;0, SUMMARY!C68, "")</f>
        <v/>
      </c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" t="str">
        <f t="shared" si="24"/>
        <v/>
      </c>
      <c r="S68" s="2" t="str">
        <f t="shared" si="2"/>
        <v/>
      </c>
      <c r="T68" s="2" t="str">
        <f t="shared" si="3"/>
        <v/>
      </c>
      <c r="U68" s="2" t="str">
        <f t="shared" si="4"/>
        <v/>
      </c>
      <c r="V68" s="2" t="str">
        <f t="shared" si="5"/>
        <v/>
      </c>
      <c r="W68" s="2" t="str">
        <f t="shared" si="6"/>
        <v/>
      </c>
      <c r="X68" s="2" t="str">
        <f t="shared" si="7"/>
        <v/>
      </c>
      <c r="Y68" s="2" t="str">
        <f t="shared" si="8"/>
        <v/>
      </c>
      <c r="Z68" s="2" t="str">
        <f t="shared" si="9"/>
        <v/>
      </c>
      <c r="AA68" s="2" t="str">
        <f t="shared" si="10"/>
        <v/>
      </c>
      <c r="AB68" s="2" t="str">
        <f t="shared" si="11"/>
        <v/>
      </c>
      <c r="AC68" s="2" t="str">
        <f t="shared" si="12"/>
        <v/>
      </c>
      <c r="AD68" s="2" t="str">
        <f t="shared" si="13"/>
        <v/>
      </c>
      <c r="AE68" s="2" t="str">
        <f t="shared" si="14"/>
        <v/>
      </c>
      <c r="AF68" s="2" t="str">
        <f t="shared" si="15"/>
        <v/>
      </c>
      <c r="AG68" s="2" t="str">
        <f t="shared" si="16"/>
        <v/>
      </c>
      <c r="AH68" s="2" t="str">
        <f t="shared" si="17"/>
        <v/>
      </c>
      <c r="AI68" s="2" t="str">
        <f t="shared" si="18"/>
        <v/>
      </c>
      <c r="AJ68" s="2" t="str">
        <f t="shared" si="19"/>
        <v/>
      </c>
      <c r="AK68" s="2" t="str">
        <f t="shared" si="20"/>
        <v/>
      </c>
      <c r="AL68" s="2" t="str">
        <f t="shared" si="21"/>
        <v/>
      </c>
      <c r="AM68" s="2" t="str">
        <f t="shared" si="22"/>
        <v/>
      </c>
      <c r="AN68" s="2" t="str">
        <f t="shared" si="23"/>
        <v/>
      </c>
      <c r="AP68" s="2" t="str" cm="1">
        <f t="array" ref="AP68">IF('NILAI CPL'!$B68&lt;&gt;"",IFERROR(_xlfn.IFS(S68&gt;='NILAI CPL'!$B$3,4,S68&gt;='NILAI CPL'!$B$4,3,S68&gt;='NILAI CPL'!$B$5,2,S68&gt;'NILAI CPL'!$B$6,1),0),"")</f>
        <v/>
      </c>
      <c r="AQ68" s="2" t="str" cm="1">
        <f t="array" ref="AQ68">IF('NILAI CPL'!$B68&lt;&gt;"",IFERROR(_xlfn.IFS(T68&gt;='NILAI CPL'!$B$3,4,T68&gt;='NILAI CPL'!$B$4,3,T68&gt;='NILAI CPL'!$B$5,2,T68&gt;'NILAI CPL'!$B$6,1),0),"")</f>
        <v/>
      </c>
      <c r="AR68" s="2" t="str" cm="1">
        <f t="array" ref="AR68">IF('NILAI CPL'!$B68&lt;&gt;"",IFERROR(_xlfn.IFS(U68&gt;='NILAI CPL'!$B$3,4,U68&gt;='NILAI CPL'!$B$4,3,U68&gt;='NILAI CPL'!$B$5,2,U68&gt;'NILAI CPL'!$B$6,1),0),"")</f>
        <v/>
      </c>
      <c r="AS68" s="2" t="str" cm="1">
        <f t="array" ref="AS68">IF('NILAI CPL'!$B68&lt;&gt;"",IFERROR(_xlfn.IFS(V68&gt;='NILAI CPL'!$B$3,4,V68&gt;='NILAI CPL'!$B$4,3,V68&gt;='NILAI CPL'!$B$5,2,V68&gt;'NILAI CPL'!$B$6,1),0),"")</f>
        <v/>
      </c>
      <c r="AT68" s="2" t="str" cm="1">
        <f t="array" ref="AT68">IF('NILAI CPL'!$B68&lt;&gt;"",IFERROR(_xlfn.IFS(W68&gt;='NILAI CPL'!$B$3,4,W68&gt;='NILAI CPL'!$B$4,3,W68&gt;='NILAI CPL'!$B$5,2,W68&gt;'NILAI CPL'!$B$6,1),0),"")</f>
        <v/>
      </c>
      <c r="AU68" s="2" t="str" cm="1">
        <f t="array" ref="AU68">IF('NILAI CPL'!$B68&lt;&gt;"",IFERROR(_xlfn.IFS(X68&gt;='NILAI CPL'!$B$3,4,X68&gt;='NILAI CPL'!$B$4,3,X68&gt;='NILAI CPL'!$B$5,2,X68&gt;'NILAI CPL'!$B$6,1),0),"")</f>
        <v/>
      </c>
      <c r="AV68" s="2" t="str" cm="1">
        <f t="array" ref="AV68">IF('NILAI CPL'!$B68&lt;&gt;"",IFERROR(_xlfn.IFS(Y68&gt;='NILAI CPL'!$B$3,4,Y68&gt;='NILAI CPL'!$B$4,3,Y68&gt;='NILAI CPL'!$B$5,2,Y68&gt;'NILAI CPL'!$B$6,1),0),"")</f>
        <v/>
      </c>
      <c r="AW68" s="2" t="str" cm="1">
        <f t="array" ref="AW68">IF('NILAI CPL'!$B68&lt;&gt;"",IFERROR(_xlfn.IFS(Z68&gt;='NILAI CPL'!$B$3,4,Z68&gt;='NILAI CPL'!$B$4,3,Z68&gt;='NILAI CPL'!$B$5,2,Z68&gt;'NILAI CPL'!$B$6,1),0),"")</f>
        <v/>
      </c>
      <c r="AX68" s="2" t="str" cm="1">
        <f t="array" ref="AX68">IF('NILAI CPL'!$B68&lt;&gt;"",IFERROR(_xlfn.IFS(AA68&gt;='NILAI CPL'!$B$3,4,AA68&gt;='NILAI CPL'!$B$4,3,AA68&gt;='NILAI CPL'!$B$5,2,AA68&gt;'NILAI CPL'!$B$6,1),0),"")</f>
        <v/>
      </c>
      <c r="AY68" s="2" t="str" cm="1">
        <f t="array" ref="AY68">IF('NILAI CPL'!$B68&lt;&gt;"",IFERROR(_xlfn.IFS(AB68&gt;='NILAI CPL'!$B$3,4,AB68&gt;='NILAI CPL'!$B$4,3,AB68&gt;='NILAI CPL'!$B$5,2,AB68&gt;'NILAI CPL'!$B$6,1),0),"")</f>
        <v/>
      </c>
      <c r="AZ68" s="2" t="str" cm="1">
        <f t="array" ref="AZ68">IF('NILAI CPL'!$B68&lt;&gt;"",IFERROR(_xlfn.IFS(AC68&gt;='NILAI CPL'!$B$3,4,AC68&gt;='NILAI CPL'!$B$4,3,AC68&gt;='NILAI CPL'!$B$5,2,AC68&gt;'NILAI CPL'!$B$6,1),0),"")</f>
        <v/>
      </c>
      <c r="BA68" s="2" t="str" cm="1">
        <f t="array" ref="BA68">IF('NILAI CPL'!$B68&lt;&gt;"",IFERROR(_xlfn.IFS(AD68&gt;='NILAI CPL'!$B$3,4,AD68&gt;='NILAI CPL'!$B$4,3,AD68&gt;='NILAI CPL'!$B$5,2,AD68&gt;'NILAI CPL'!$B$6,1),0),"")</f>
        <v/>
      </c>
      <c r="BB68" s="2" t="str" cm="1">
        <f t="array" ref="BB68">IF('NILAI CPL'!$B68&lt;&gt;"",IFERROR(_xlfn.IFS(AE68&gt;='NILAI CPL'!$B$3,4,AE68&gt;='NILAI CPL'!$B$4,3,AE68&gt;='NILAI CPL'!$B$5,2,AE68&gt;'NILAI CPL'!$B$6,1),0),"")</f>
        <v/>
      </c>
      <c r="BC68" s="2" t="str" cm="1">
        <f t="array" ref="BC68">IF('NILAI CPL'!$B68&lt;&gt;"",IFERROR(_xlfn.IFS(AF68&gt;='NILAI CPL'!$B$3,4,AF68&gt;='NILAI CPL'!$B$4,3,AF68&gt;='NILAI CPL'!$B$5,2,AF68&gt;'NILAI CPL'!$B$6,1),0),"")</f>
        <v/>
      </c>
      <c r="BD68" s="2" t="str" cm="1">
        <f t="array" ref="BD68">IF('NILAI CPL'!$B68&lt;&gt;"",IFERROR(_xlfn.IFS(AG68&gt;='NILAI CPL'!$B$3,4,AG68&gt;='NILAI CPL'!$B$4,3,AG68&gt;='NILAI CPL'!$B$5,2,AG68&gt;'NILAI CPL'!$B$6,1),0),"")</f>
        <v/>
      </c>
      <c r="BE68" s="2" t="str" cm="1">
        <f t="array" ref="BE68">IF('NILAI CPL'!$B68&lt;&gt;"",IFERROR(_xlfn.IFS(AH68&gt;='NILAI CPL'!$B$3,4,AH68&gt;='NILAI CPL'!$B$4,3,AH68&gt;='NILAI CPL'!$B$5,2,AH68&gt;'NILAI CPL'!$B$6,1),0),"")</f>
        <v/>
      </c>
      <c r="BF68" s="2" t="str" cm="1">
        <f t="array" ref="BF68">IF('NILAI CPL'!$B68&lt;&gt;"",IFERROR(_xlfn.IFS(AI68&gt;='NILAI CPL'!$B$3,4,AI68&gt;='NILAI CPL'!$B$4,3,AI68&gt;='NILAI CPL'!$B$5,2,AI68&gt;'NILAI CPL'!$B$6,1),0),"")</f>
        <v/>
      </c>
      <c r="BG68" s="2" t="str" cm="1">
        <f t="array" ref="BG68">IF('NILAI CPL'!$B68&lt;&gt;"",IFERROR(_xlfn.IFS(AJ68&gt;='NILAI CPL'!$B$3,4,AJ68&gt;='NILAI CPL'!$B$4,3,AJ68&gt;='NILAI CPL'!$B$5,2,AJ68&gt;'NILAI CPL'!$B$6,1),0),"")</f>
        <v/>
      </c>
      <c r="BH68" s="2" t="str" cm="1">
        <f t="array" ref="BH68">IF('NILAI CPL'!$B68&lt;&gt;"",IFERROR(_xlfn.IFS(AK68&gt;='NILAI CPL'!$B$3,4,AK68&gt;='NILAI CPL'!$B$4,3,AK68&gt;='NILAI CPL'!$B$5,2,AK68&gt;'NILAI CPL'!$B$6,1),0),"")</f>
        <v/>
      </c>
      <c r="BI68" s="2" t="str" cm="1">
        <f t="array" ref="BI68">IF('NILAI CPL'!$B68&lt;&gt;"",IFERROR(_xlfn.IFS(AL68&gt;='NILAI CPL'!$B$3,4,AL68&gt;='NILAI CPL'!$B$4,3,AL68&gt;='NILAI CPL'!$B$5,2,AL68&gt;'NILAI CPL'!$B$6,1),0),"")</f>
        <v/>
      </c>
      <c r="BJ68" s="2" t="str" cm="1">
        <f t="array" ref="BJ68">IF('NILAI CPL'!$B68&lt;&gt;"",IFERROR(_xlfn.IFS(AM68&gt;='NILAI CPL'!$B$3,4,AM68&gt;='NILAI CPL'!$B$4,3,AM68&gt;='NILAI CPL'!$B$5,2,AM68&gt;'NILAI CPL'!$B$6,1),0),"")</f>
        <v/>
      </c>
      <c r="BK68" s="2" t="str" cm="1">
        <f t="array" ref="BK68">IF('NILAI CPL'!$B68&lt;&gt;"",IFERROR(_xlfn.IFS(AN68&gt;='NILAI CPL'!$B$3,4,AN68&gt;='NILAI CPL'!$B$4,3,AN68&gt;='NILAI CPL'!$B$5,2,AN68&gt;'NILAI CPL'!$B$6,1),0),"")</f>
        <v/>
      </c>
    </row>
    <row r="69" spans="1:63" x14ac:dyDescent="0.2">
      <c r="A69" s="2">
        <v>59</v>
      </c>
      <c r="B69" s="2" t="str">
        <f>IF(LEN(SUMMARY!B69)&gt;0, SUMMARY!B69, "")</f>
        <v/>
      </c>
      <c r="C69" s="2" t="str">
        <f>IF(LEN(SUMMARY!C69)&gt;0, SUMMARY!C69, "")</f>
        <v/>
      </c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" t="str">
        <f t="shared" si="24"/>
        <v/>
      </c>
      <c r="S69" s="2" t="str">
        <f t="shared" si="2"/>
        <v/>
      </c>
      <c r="T69" s="2" t="str">
        <f t="shared" si="3"/>
        <v/>
      </c>
      <c r="U69" s="2" t="str">
        <f t="shared" si="4"/>
        <v/>
      </c>
      <c r="V69" s="2" t="str">
        <f t="shared" si="5"/>
        <v/>
      </c>
      <c r="W69" s="2" t="str">
        <f t="shared" si="6"/>
        <v/>
      </c>
      <c r="X69" s="2" t="str">
        <f t="shared" si="7"/>
        <v/>
      </c>
      <c r="Y69" s="2" t="str">
        <f t="shared" si="8"/>
        <v/>
      </c>
      <c r="Z69" s="2" t="str">
        <f t="shared" si="9"/>
        <v/>
      </c>
      <c r="AA69" s="2" t="str">
        <f t="shared" si="10"/>
        <v/>
      </c>
      <c r="AB69" s="2" t="str">
        <f t="shared" si="11"/>
        <v/>
      </c>
      <c r="AC69" s="2" t="str">
        <f t="shared" si="12"/>
        <v/>
      </c>
      <c r="AD69" s="2" t="str">
        <f t="shared" si="13"/>
        <v/>
      </c>
      <c r="AE69" s="2" t="str">
        <f t="shared" si="14"/>
        <v/>
      </c>
      <c r="AF69" s="2" t="str">
        <f t="shared" si="15"/>
        <v/>
      </c>
      <c r="AG69" s="2" t="str">
        <f t="shared" si="16"/>
        <v/>
      </c>
      <c r="AH69" s="2" t="str">
        <f t="shared" si="17"/>
        <v/>
      </c>
      <c r="AI69" s="2" t="str">
        <f t="shared" si="18"/>
        <v/>
      </c>
      <c r="AJ69" s="2" t="str">
        <f t="shared" si="19"/>
        <v/>
      </c>
      <c r="AK69" s="2" t="str">
        <f t="shared" si="20"/>
        <v/>
      </c>
      <c r="AL69" s="2" t="str">
        <f t="shared" si="21"/>
        <v/>
      </c>
      <c r="AM69" s="2" t="str">
        <f t="shared" si="22"/>
        <v/>
      </c>
      <c r="AN69" s="2" t="str">
        <f t="shared" si="23"/>
        <v/>
      </c>
      <c r="AP69" s="2" t="str" cm="1">
        <f t="array" ref="AP69">IF('NILAI CPL'!$B69&lt;&gt;"",IFERROR(_xlfn.IFS(S69&gt;='NILAI CPL'!$B$3,4,S69&gt;='NILAI CPL'!$B$4,3,S69&gt;='NILAI CPL'!$B$5,2,S69&gt;'NILAI CPL'!$B$6,1),0),"")</f>
        <v/>
      </c>
      <c r="AQ69" s="2" t="str" cm="1">
        <f t="array" ref="AQ69">IF('NILAI CPL'!$B69&lt;&gt;"",IFERROR(_xlfn.IFS(T69&gt;='NILAI CPL'!$B$3,4,T69&gt;='NILAI CPL'!$B$4,3,T69&gt;='NILAI CPL'!$B$5,2,T69&gt;'NILAI CPL'!$B$6,1),0),"")</f>
        <v/>
      </c>
      <c r="AR69" s="2" t="str" cm="1">
        <f t="array" ref="AR69">IF('NILAI CPL'!$B69&lt;&gt;"",IFERROR(_xlfn.IFS(U69&gt;='NILAI CPL'!$B$3,4,U69&gt;='NILAI CPL'!$B$4,3,U69&gt;='NILAI CPL'!$B$5,2,U69&gt;'NILAI CPL'!$B$6,1),0),"")</f>
        <v/>
      </c>
      <c r="AS69" s="2" t="str" cm="1">
        <f t="array" ref="AS69">IF('NILAI CPL'!$B69&lt;&gt;"",IFERROR(_xlfn.IFS(V69&gt;='NILAI CPL'!$B$3,4,V69&gt;='NILAI CPL'!$B$4,3,V69&gt;='NILAI CPL'!$B$5,2,V69&gt;'NILAI CPL'!$B$6,1),0),"")</f>
        <v/>
      </c>
      <c r="AT69" s="2" t="str" cm="1">
        <f t="array" ref="AT69">IF('NILAI CPL'!$B69&lt;&gt;"",IFERROR(_xlfn.IFS(W69&gt;='NILAI CPL'!$B$3,4,W69&gt;='NILAI CPL'!$B$4,3,W69&gt;='NILAI CPL'!$B$5,2,W69&gt;'NILAI CPL'!$B$6,1),0),"")</f>
        <v/>
      </c>
      <c r="AU69" s="2" t="str" cm="1">
        <f t="array" ref="AU69">IF('NILAI CPL'!$B69&lt;&gt;"",IFERROR(_xlfn.IFS(X69&gt;='NILAI CPL'!$B$3,4,X69&gt;='NILAI CPL'!$B$4,3,X69&gt;='NILAI CPL'!$B$5,2,X69&gt;'NILAI CPL'!$B$6,1),0),"")</f>
        <v/>
      </c>
      <c r="AV69" s="2" t="str" cm="1">
        <f t="array" ref="AV69">IF('NILAI CPL'!$B69&lt;&gt;"",IFERROR(_xlfn.IFS(Y69&gt;='NILAI CPL'!$B$3,4,Y69&gt;='NILAI CPL'!$B$4,3,Y69&gt;='NILAI CPL'!$B$5,2,Y69&gt;'NILAI CPL'!$B$6,1),0),"")</f>
        <v/>
      </c>
      <c r="AW69" s="2" t="str" cm="1">
        <f t="array" ref="AW69">IF('NILAI CPL'!$B69&lt;&gt;"",IFERROR(_xlfn.IFS(Z69&gt;='NILAI CPL'!$B$3,4,Z69&gt;='NILAI CPL'!$B$4,3,Z69&gt;='NILAI CPL'!$B$5,2,Z69&gt;'NILAI CPL'!$B$6,1),0),"")</f>
        <v/>
      </c>
      <c r="AX69" s="2" t="str" cm="1">
        <f t="array" ref="AX69">IF('NILAI CPL'!$B69&lt;&gt;"",IFERROR(_xlfn.IFS(AA69&gt;='NILAI CPL'!$B$3,4,AA69&gt;='NILAI CPL'!$B$4,3,AA69&gt;='NILAI CPL'!$B$5,2,AA69&gt;'NILAI CPL'!$B$6,1),0),"")</f>
        <v/>
      </c>
      <c r="AY69" s="2" t="str" cm="1">
        <f t="array" ref="AY69">IF('NILAI CPL'!$B69&lt;&gt;"",IFERROR(_xlfn.IFS(AB69&gt;='NILAI CPL'!$B$3,4,AB69&gt;='NILAI CPL'!$B$4,3,AB69&gt;='NILAI CPL'!$B$5,2,AB69&gt;'NILAI CPL'!$B$6,1),0),"")</f>
        <v/>
      </c>
      <c r="AZ69" s="2" t="str" cm="1">
        <f t="array" ref="AZ69">IF('NILAI CPL'!$B69&lt;&gt;"",IFERROR(_xlfn.IFS(AC69&gt;='NILAI CPL'!$B$3,4,AC69&gt;='NILAI CPL'!$B$4,3,AC69&gt;='NILAI CPL'!$B$5,2,AC69&gt;'NILAI CPL'!$B$6,1),0),"")</f>
        <v/>
      </c>
      <c r="BA69" s="2" t="str" cm="1">
        <f t="array" ref="BA69">IF('NILAI CPL'!$B69&lt;&gt;"",IFERROR(_xlfn.IFS(AD69&gt;='NILAI CPL'!$B$3,4,AD69&gt;='NILAI CPL'!$B$4,3,AD69&gt;='NILAI CPL'!$B$5,2,AD69&gt;'NILAI CPL'!$B$6,1),0),"")</f>
        <v/>
      </c>
      <c r="BB69" s="2" t="str" cm="1">
        <f t="array" ref="BB69">IF('NILAI CPL'!$B69&lt;&gt;"",IFERROR(_xlfn.IFS(AE69&gt;='NILAI CPL'!$B$3,4,AE69&gt;='NILAI CPL'!$B$4,3,AE69&gt;='NILAI CPL'!$B$5,2,AE69&gt;'NILAI CPL'!$B$6,1),0),"")</f>
        <v/>
      </c>
      <c r="BC69" s="2" t="str" cm="1">
        <f t="array" ref="BC69">IF('NILAI CPL'!$B69&lt;&gt;"",IFERROR(_xlfn.IFS(AF69&gt;='NILAI CPL'!$B$3,4,AF69&gt;='NILAI CPL'!$B$4,3,AF69&gt;='NILAI CPL'!$B$5,2,AF69&gt;'NILAI CPL'!$B$6,1),0),"")</f>
        <v/>
      </c>
      <c r="BD69" s="2" t="str" cm="1">
        <f t="array" ref="BD69">IF('NILAI CPL'!$B69&lt;&gt;"",IFERROR(_xlfn.IFS(AG69&gt;='NILAI CPL'!$B$3,4,AG69&gt;='NILAI CPL'!$B$4,3,AG69&gt;='NILAI CPL'!$B$5,2,AG69&gt;'NILAI CPL'!$B$6,1),0),"")</f>
        <v/>
      </c>
      <c r="BE69" s="2" t="str" cm="1">
        <f t="array" ref="BE69">IF('NILAI CPL'!$B69&lt;&gt;"",IFERROR(_xlfn.IFS(AH69&gt;='NILAI CPL'!$B$3,4,AH69&gt;='NILAI CPL'!$B$4,3,AH69&gt;='NILAI CPL'!$B$5,2,AH69&gt;'NILAI CPL'!$B$6,1),0),"")</f>
        <v/>
      </c>
      <c r="BF69" s="2" t="str" cm="1">
        <f t="array" ref="BF69">IF('NILAI CPL'!$B69&lt;&gt;"",IFERROR(_xlfn.IFS(AI69&gt;='NILAI CPL'!$B$3,4,AI69&gt;='NILAI CPL'!$B$4,3,AI69&gt;='NILAI CPL'!$B$5,2,AI69&gt;'NILAI CPL'!$B$6,1),0),"")</f>
        <v/>
      </c>
      <c r="BG69" s="2" t="str" cm="1">
        <f t="array" ref="BG69">IF('NILAI CPL'!$B69&lt;&gt;"",IFERROR(_xlfn.IFS(AJ69&gt;='NILAI CPL'!$B$3,4,AJ69&gt;='NILAI CPL'!$B$4,3,AJ69&gt;='NILAI CPL'!$B$5,2,AJ69&gt;'NILAI CPL'!$B$6,1),0),"")</f>
        <v/>
      </c>
      <c r="BH69" s="2" t="str" cm="1">
        <f t="array" ref="BH69">IF('NILAI CPL'!$B69&lt;&gt;"",IFERROR(_xlfn.IFS(AK69&gt;='NILAI CPL'!$B$3,4,AK69&gt;='NILAI CPL'!$B$4,3,AK69&gt;='NILAI CPL'!$B$5,2,AK69&gt;'NILAI CPL'!$B$6,1),0),"")</f>
        <v/>
      </c>
      <c r="BI69" s="2" t="str" cm="1">
        <f t="array" ref="BI69">IF('NILAI CPL'!$B69&lt;&gt;"",IFERROR(_xlfn.IFS(AL69&gt;='NILAI CPL'!$B$3,4,AL69&gt;='NILAI CPL'!$B$4,3,AL69&gt;='NILAI CPL'!$B$5,2,AL69&gt;'NILAI CPL'!$B$6,1),0),"")</f>
        <v/>
      </c>
      <c r="BJ69" s="2" t="str" cm="1">
        <f t="array" ref="BJ69">IF('NILAI CPL'!$B69&lt;&gt;"",IFERROR(_xlfn.IFS(AM69&gt;='NILAI CPL'!$B$3,4,AM69&gt;='NILAI CPL'!$B$4,3,AM69&gt;='NILAI CPL'!$B$5,2,AM69&gt;'NILAI CPL'!$B$6,1),0),"")</f>
        <v/>
      </c>
      <c r="BK69" s="2" t="str" cm="1">
        <f t="array" ref="BK69">IF('NILAI CPL'!$B69&lt;&gt;"",IFERROR(_xlfn.IFS(AN69&gt;='NILAI CPL'!$B$3,4,AN69&gt;='NILAI CPL'!$B$4,3,AN69&gt;='NILAI CPL'!$B$5,2,AN69&gt;'NILAI CPL'!$B$6,1),0),"")</f>
        <v/>
      </c>
    </row>
    <row r="70" spans="1:63" x14ac:dyDescent="0.2">
      <c r="A70" s="2">
        <v>60</v>
      </c>
      <c r="B70" s="2" t="str">
        <f>IF(LEN(SUMMARY!B70)&gt;0, SUMMARY!B70, "")</f>
        <v/>
      </c>
      <c r="C70" s="2" t="str">
        <f>IF(LEN(SUMMARY!C70)&gt;0, SUMMARY!C70, "")</f>
        <v/>
      </c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" t="str">
        <f t="shared" si="24"/>
        <v/>
      </c>
      <c r="S70" s="2" t="str">
        <f t="shared" si="2"/>
        <v/>
      </c>
      <c r="T70" s="2" t="str">
        <f t="shared" si="3"/>
        <v/>
      </c>
      <c r="U70" s="2" t="str">
        <f t="shared" si="4"/>
        <v/>
      </c>
      <c r="V70" s="2" t="str">
        <f t="shared" si="5"/>
        <v/>
      </c>
      <c r="W70" s="2" t="str">
        <f t="shared" si="6"/>
        <v/>
      </c>
      <c r="X70" s="2" t="str">
        <f t="shared" si="7"/>
        <v/>
      </c>
      <c r="Y70" s="2" t="str">
        <f t="shared" si="8"/>
        <v/>
      </c>
      <c r="Z70" s="2" t="str">
        <f t="shared" si="9"/>
        <v/>
      </c>
      <c r="AA70" s="2" t="str">
        <f t="shared" si="10"/>
        <v/>
      </c>
      <c r="AB70" s="2" t="str">
        <f t="shared" si="11"/>
        <v/>
      </c>
      <c r="AC70" s="2" t="str">
        <f t="shared" si="12"/>
        <v/>
      </c>
      <c r="AD70" s="2" t="str">
        <f t="shared" si="13"/>
        <v/>
      </c>
      <c r="AE70" s="2" t="str">
        <f t="shared" si="14"/>
        <v/>
      </c>
      <c r="AF70" s="2" t="str">
        <f t="shared" si="15"/>
        <v/>
      </c>
      <c r="AG70" s="2" t="str">
        <f t="shared" si="16"/>
        <v/>
      </c>
      <c r="AH70" s="2" t="str">
        <f t="shared" si="17"/>
        <v/>
      </c>
      <c r="AI70" s="2" t="str">
        <f t="shared" si="18"/>
        <v/>
      </c>
      <c r="AJ70" s="2" t="str">
        <f t="shared" si="19"/>
        <v/>
      </c>
      <c r="AK70" s="2" t="str">
        <f t="shared" si="20"/>
        <v/>
      </c>
      <c r="AL70" s="2" t="str">
        <f t="shared" si="21"/>
        <v/>
      </c>
      <c r="AM70" s="2" t="str">
        <f t="shared" si="22"/>
        <v/>
      </c>
      <c r="AN70" s="2" t="str">
        <f t="shared" si="23"/>
        <v/>
      </c>
      <c r="AP70" s="2" t="str" cm="1">
        <f t="array" ref="AP70">IF('NILAI CPL'!$B70&lt;&gt;"",IFERROR(_xlfn.IFS(S70&gt;='NILAI CPL'!$B$3,4,S70&gt;='NILAI CPL'!$B$4,3,S70&gt;='NILAI CPL'!$B$5,2,S70&gt;'NILAI CPL'!$B$6,1),0),"")</f>
        <v/>
      </c>
      <c r="AQ70" s="2" t="str" cm="1">
        <f t="array" ref="AQ70">IF('NILAI CPL'!$B70&lt;&gt;"",IFERROR(_xlfn.IFS(T70&gt;='NILAI CPL'!$B$3,4,T70&gt;='NILAI CPL'!$B$4,3,T70&gt;='NILAI CPL'!$B$5,2,T70&gt;'NILAI CPL'!$B$6,1),0),"")</f>
        <v/>
      </c>
      <c r="AR70" s="2" t="str" cm="1">
        <f t="array" ref="AR70">IF('NILAI CPL'!$B70&lt;&gt;"",IFERROR(_xlfn.IFS(U70&gt;='NILAI CPL'!$B$3,4,U70&gt;='NILAI CPL'!$B$4,3,U70&gt;='NILAI CPL'!$B$5,2,U70&gt;'NILAI CPL'!$B$6,1),0),"")</f>
        <v/>
      </c>
      <c r="AS70" s="2" t="str" cm="1">
        <f t="array" ref="AS70">IF('NILAI CPL'!$B70&lt;&gt;"",IFERROR(_xlfn.IFS(V70&gt;='NILAI CPL'!$B$3,4,V70&gt;='NILAI CPL'!$B$4,3,V70&gt;='NILAI CPL'!$B$5,2,V70&gt;'NILAI CPL'!$B$6,1),0),"")</f>
        <v/>
      </c>
      <c r="AT70" s="2" t="str" cm="1">
        <f t="array" ref="AT70">IF('NILAI CPL'!$B70&lt;&gt;"",IFERROR(_xlfn.IFS(W70&gt;='NILAI CPL'!$B$3,4,W70&gt;='NILAI CPL'!$B$4,3,W70&gt;='NILAI CPL'!$B$5,2,W70&gt;'NILAI CPL'!$B$6,1),0),"")</f>
        <v/>
      </c>
      <c r="AU70" s="2" t="str" cm="1">
        <f t="array" ref="AU70">IF('NILAI CPL'!$B70&lt;&gt;"",IFERROR(_xlfn.IFS(X70&gt;='NILAI CPL'!$B$3,4,X70&gt;='NILAI CPL'!$B$4,3,X70&gt;='NILAI CPL'!$B$5,2,X70&gt;'NILAI CPL'!$B$6,1),0),"")</f>
        <v/>
      </c>
      <c r="AV70" s="2" t="str" cm="1">
        <f t="array" ref="AV70">IF('NILAI CPL'!$B70&lt;&gt;"",IFERROR(_xlfn.IFS(Y70&gt;='NILAI CPL'!$B$3,4,Y70&gt;='NILAI CPL'!$B$4,3,Y70&gt;='NILAI CPL'!$B$5,2,Y70&gt;'NILAI CPL'!$B$6,1),0),"")</f>
        <v/>
      </c>
      <c r="AW70" s="2" t="str" cm="1">
        <f t="array" ref="AW70">IF('NILAI CPL'!$B70&lt;&gt;"",IFERROR(_xlfn.IFS(Z70&gt;='NILAI CPL'!$B$3,4,Z70&gt;='NILAI CPL'!$B$4,3,Z70&gt;='NILAI CPL'!$B$5,2,Z70&gt;'NILAI CPL'!$B$6,1),0),"")</f>
        <v/>
      </c>
      <c r="AX70" s="2" t="str" cm="1">
        <f t="array" ref="AX70">IF('NILAI CPL'!$B70&lt;&gt;"",IFERROR(_xlfn.IFS(AA70&gt;='NILAI CPL'!$B$3,4,AA70&gt;='NILAI CPL'!$B$4,3,AA70&gt;='NILAI CPL'!$B$5,2,AA70&gt;'NILAI CPL'!$B$6,1),0),"")</f>
        <v/>
      </c>
      <c r="AY70" s="2" t="str" cm="1">
        <f t="array" ref="AY70">IF('NILAI CPL'!$B70&lt;&gt;"",IFERROR(_xlfn.IFS(AB70&gt;='NILAI CPL'!$B$3,4,AB70&gt;='NILAI CPL'!$B$4,3,AB70&gt;='NILAI CPL'!$B$5,2,AB70&gt;'NILAI CPL'!$B$6,1),0),"")</f>
        <v/>
      </c>
      <c r="AZ70" s="2" t="str" cm="1">
        <f t="array" ref="AZ70">IF('NILAI CPL'!$B70&lt;&gt;"",IFERROR(_xlfn.IFS(AC70&gt;='NILAI CPL'!$B$3,4,AC70&gt;='NILAI CPL'!$B$4,3,AC70&gt;='NILAI CPL'!$B$5,2,AC70&gt;'NILAI CPL'!$B$6,1),0),"")</f>
        <v/>
      </c>
      <c r="BA70" s="2" t="str" cm="1">
        <f t="array" ref="BA70">IF('NILAI CPL'!$B70&lt;&gt;"",IFERROR(_xlfn.IFS(AD70&gt;='NILAI CPL'!$B$3,4,AD70&gt;='NILAI CPL'!$B$4,3,AD70&gt;='NILAI CPL'!$B$5,2,AD70&gt;'NILAI CPL'!$B$6,1),0),"")</f>
        <v/>
      </c>
      <c r="BB70" s="2" t="str" cm="1">
        <f t="array" ref="BB70">IF('NILAI CPL'!$B70&lt;&gt;"",IFERROR(_xlfn.IFS(AE70&gt;='NILAI CPL'!$B$3,4,AE70&gt;='NILAI CPL'!$B$4,3,AE70&gt;='NILAI CPL'!$B$5,2,AE70&gt;'NILAI CPL'!$B$6,1),0),"")</f>
        <v/>
      </c>
      <c r="BC70" s="2" t="str" cm="1">
        <f t="array" ref="BC70">IF('NILAI CPL'!$B70&lt;&gt;"",IFERROR(_xlfn.IFS(AF70&gt;='NILAI CPL'!$B$3,4,AF70&gt;='NILAI CPL'!$B$4,3,AF70&gt;='NILAI CPL'!$B$5,2,AF70&gt;'NILAI CPL'!$B$6,1),0),"")</f>
        <v/>
      </c>
      <c r="BD70" s="2" t="str" cm="1">
        <f t="array" ref="BD70">IF('NILAI CPL'!$B70&lt;&gt;"",IFERROR(_xlfn.IFS(AG70&gt;='NILAI CPL'!$B$3,4,AG70&gt;='NILAI CPL'!$B$4,3,AG70&gt;='NILAI CPL'!$B$5,2,AG70&gt;'NILAI CPL'!$B$6,1),0),"")</f>
        <v/>
      </c>
      <c r="BE70" s="2" t="str" cm="1">
        <f t="array" ref="BE70">IF('NILAI CPL'!$B70&lt;&gt;"",IFERROR(_xlfn.IFS(AH70&gt;='NILAI CPL'!$B$3,4,AH70&gt;='NILAI CPL'!$B$4,3,AH70&gt;='NILAI CPL'!$B$5,2,AH70&gt;'NILAI CPL'!$B$6,1),0),"")</f>
        <v/>
      </c>
      <c r="BF70" s="2" t="str" cm="1">
        <f t="array" ref="BF70">IF('NILAI CPL'!$B70&lt;&gt;"",IFERROR(_xlfn.IFS(AI70&gt;='NILAI CPL'!$B$3,4,AI70&gt;='NILAI CPL'!$B$4,3,AI70&gt;='NILAI CPL'!$B$5,2,AI70&gt;'NILAI CPL'!$B$6,1),0),"")</f>
        <v/>
      </c>
      <c r="BG70" s="2" t="str" cm="1">
        <f t="array" ref="BG70">IF('NILAI CPL'!$B70&lt;&gt;"",IFERROR(_xlfn.IFS(AJ70&gt;='NILAI CPL'!$B$3,4,AJ70&gt;='NILAI CPL'!$B$4,3,AJ70&gt;='NILAI CPL'!$B$5,2,AJ70&gt;'NILAI CPL'!$B$6,1),0),"")</f>
        <v/>
      </c>
      <c r="BH70" s="2" t="str" cm="1">
        <f t="array" ref="BH70">IF('NILAI CPL'!$B70&lt;&gt;"",IFERROR(_xlfn.IFS(AK70&gt;='NILAI CPL'!$B$3,4,AK70&gt;='NILAI CPL'!$B$4,3,AK70&gt;='NILAI CPL'!$B$5,2,AK70&gt;'NILAI CPL'!$B$6,1),0),"")</f>
        <v/>
      </c>
      <c r="BI70" s="2" t="str" cm="1">
        <f t="array" ref="BI70">IF('NILAI CPL'!$B70&lt;&gt;"",IFERROR(_xlfn.IFS(AL70&gt;='NILAI CPL'!$B$3,4,AL70&gt;='NILAI CPL'!$B$4,3,AL70&gt;='NILAI CPL'!$B$5,2,AL70&gt;'NILAI CPL'!$B$6,1),0),"")</f>
        <v/>
      </c>
      <c r="BJ70" s="2" t="str" cm="1">
        <f t="array" ref="BJ70">IF('NILAI CPL'!$B70&lt;&gt;"",IFERROR(_xlfn.IFS(AM70&gt;='NILAI CPL'!$B$3,4,AM70&gt;='NILAI CPL'!$B$4,3,AM70&gt;='NILAI CPL'!$B$5,2,AM70&gt;'NILAI CPL'!$B$6,1),0),"")</f>
        <v/>
      </c>
      <c r="BK70" s="2" t="str" cm="1">
        <f t="array" ref="BK70">IF('NILAI CPL'!$B70&lt;&gt;"",IFERROR(_xlfn.IFS(AN70&gt;='NILAI CPL'!$B$3,4,AN70&gt;='NILAI CPL'!$B$4,3,AN70&gt;='NILAI CPL'!$B$5,2,AN70&gt;'NILAI CPL'!$B$6,1),0),"")</f>
        <v/>
      </c>
    </row>
    <row r="71" spans="1:63" x14ac:dyDescent="0.2">
      <c r="A71" s="2">
        <v>61</v>
      </c>
      <c r="B71" s="2" t="str">
        <f>IF(LEN(SUMMARY!B71)&gt;0, SUMMARY!B71, "")</f>
        <v/>
      </c>
      <c r="C71" s="2" t="str">
        <f>IF(LEN(SUMMARY!C71)&gt;0, SUMMARY!C71, "")</f>
        <v/>
      </c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" t="str">
        <f t="shared" si="24"/>
        <v/>
      </c>
      <c r="S71" s="2" t="str">
        <f t="shared" si="2"/>
        <v/>
      </c>
      <c r="T71" s="2" t="str">
        <f t="shared" si="3"/>
        <v/>
      </c>
      <c r="U71" s="2" t="str">
        <f t="shared" si="4"/>
        <v/>
      </c>
      <c r="V71" s="2" t="str">
        <f t="shared" si="5"/>
        <v/>
      </c>
      <c r="W71" s="2" t="str">
        <f t="shared" si="6"/>
        <v/>
      </c>
      <c r="X71" s="2" t="str">
        <f t="shared" si="7"/>
        <v/>
      </c>
      <c r="Y71" s="2" t="str">
        <f t="shared" si="8"/>
        <v/>
      </c>
      <c r="Z71" s="2" t="str">
        <f t="shared" si="9"/>
        <v/>
      </c>
      <c r="AA71" s="2" t="str">
        <f t="shared" si="10"/>
        <v/>
      </c>
      <c r="AB71" s="2" t="str">
        <f t="shared" si="11"/>
        <v/>
      </c>
      <c r="AC71" s="2" t="str">
        <f t="shared" si="12"/>
        <v/>
      </c>
      <c r="AD71" s="2" t="str">
        <f t="shared" si="13"/>
        <v/>
      </c>
      <c r="AE71" s="2" t="str">
        <f t="shared" si="14"/>
        <v/>
      </c>
      <c r="AF71" s="2" t="str">
        <f t="shared" si="15"/>
        <v/>
      </c>
      <c r="AG71" s="2" t="str">
        <f t="shared" si="16"/>
        <v/>
      </c>
      <c r="AH71" s="2" t="str">
        <f t="shared" si="17"/>
        <v/>
      </c>
      <c r="AI71" s="2" t="str">
        <f t="shared" si="18"/>
        <v/>
      </c>
      <c r="AJ71" s="2" t="str">
        <f t="shared" si="19"/>
        <v/>
      </c>
      <c r="AK71" s="2" t="str">
        <f t="shared" si="20"/>
        <v/>
      </c>
      <c r="AL71" s="2" t="str">
        <f t="shared" si="21"/>
        <v/>
      </c>
      <c r="AM71" s="2" t="str">
        <f t="shared" si="22"/>
        <v/>
      </c>
      <c r="AN71" s="2" t="str">
        <f t="shared" si="23"/>
        <v/>
      </c>
      <c r="AP71" s="2" t="str" cm="1">
        <f t="array" ref="AP71">IF('NILAI CPL'!$B71&lt;&gt;"",IFERROR(_xlfn.IFS(S71&gt;='NILAI CPL'!$B$3,4,S71&gt;='NILAI CPL'!$B$4,3,S71&gt;='NILAI CPL'!$B$5,2,S71&gt;'NILAI CPL'!$B$6,1),0),"")</f>
        <v/>
      </c>
      <c r="AQ71" s="2" t="str" cm="1">
        <f t="array" ref="AQ71">IF('NILAI CPL'!$B71&lt;&gt;"",IFERROR(_xlfn.IFS(T71&gt;='NILAI CPL'!$B$3,4,T71&gt;='NILAI CPL'!$B$4,3,T71&gt;='NILAI CPL'!$B$5,2,T71&gt;'NILAI CPL'!$B$6,1),0),"")</f>
        <v/>
      </c>
      <c r="AR71" s="2" t="str" cm="1">
        <f t="array" ref="AR71">IF('NILAI CPL'!$B71&lt;&gt;"",IFERROR(_xlfn.IFS(U71&gt;='NILAI CPL'!$B$3,4,U71&gt;='NILAI CPL'!$B$4,3,U71&gt;='NILAI CPL'!$B$5,2,U71&gt;'NILAI CPL'!$B$6,1),0),"")</f>
        <v/>
      </c>
      <c r="AS71" s="2" t="str" cm="1">
        <f t="array" ref="AS71">IF('NILAI CPL'!$B71&lt;&gt;"",IFERROR(_xlfn.IFS(V71&gt;='NILAI CPL'!$B$3,4,V71&gt;='NILAI CPL'!$B$4,3,V71&gt;='NILAI CPL'!$B$5,2,V71&gt;'NILAI CPL'!$B$6,1),0),"")</f>
        <v/>
      </c>
      <c r="AT71" s="2" t="str" cm="1">
        <f t="array" ref="AT71">IF('NILAI CPL'!$B71&lt;&gt;"",IFERROR(_xlfn.IFS(W71&gt;='NILAI CPL'!$B$3,4,W71&gt;='NILAI CPL'!$B$4,3,W71&gt;='NILAI CPL'!$B$5,2,W71&gt;'NILAI CPL'!$B$6,1),0),"")</f>
        <v/>
      </c>
      <c r="AU71" s="2" t="str" cm="1">
        <f t="array" ref="AU71">IF('NILAI CPL'!$B71&lt;&gt;"",IFERROR(_xlfn.IFS(X71&gt;='NILAI CPL'!$B$3,4,X71&gt;='NILAI CPL'!$B$4,3,X71&gt;='NILAI CPL'!$B$5,2,X71&gt;'NILAI CPL'!$B$6,1),0),"")</f>
        <v/>
      </c>
      <c r="AV71" s="2" t="str" cm="1">
        <f t="array" ref="AV71">IF('NILAI CPL'!$B71&lt;&gt;"",IFERROR(_xlfn.IFS(Y71&gt;='NILAI CPL'!$B$3,4,Y71&gt;='NILAI CPL'!$B$4,3,Y71&gt;='NILAI CPL'!$B$5,2,Y71&gt;'NILAI CPL'!$B$6,1),0),"")</f>
        <v/>
      </c>
      <c r="AW71" s="2" t="str" cm="1">
        <f t="array" ref="AW71">IF('NILAI CPL'!$B71&lt;&gt;"",IFERROR(_xlfn.IFS(Z71&gt;='NILAI CPL'!$B$3,4,Z71&gt;='NILAI CPL'!$B$4,3,Z71&gt;='NILAI CPL'!$B$5,2,Z71&gt;'NILAI CPL'!$B$6,1),0),"")</f>
        <v/>
      </c>
      <c r="AX71" s="2" t="str" cm="1">
        <f t="array" ref="AX71">IF('NILAI CPL'!$B71&lt;&gt;"",IFERROR(_xlfn.IFS(AA71&gt;='NILAI CPL'!$B$3,4,AA71&gt;='NILAI CPL'!$B$4,3,AA71&gt;='NILAI CPL'!$B$5,2,AA71&gt;'NILAI CPL'!$B$6,1),0),"")</f>
        <v/>
      </c>
      <c r="AY71" s="2" t="str" cm="1">
        <f t="array" ref="AY71">IF('NILAI CPL'!$B71&lt;&gt;"",IFERROR(_xlfn.IFS(AB71&gt;='NILAI CPL'!$B$3,4,AB71&gt;='NILAI CPL'!$B$4,3,AB71&gt;='NILAI CPL'!$B$5,2,AB71&gt;'NILAI CPL'!$B$6,1),0),"")</f>
        <v/>
      </c>
      <c r="AZ71" s="2" t="str" cm="1">
        <f t="array" ref="AZ71">IF('NILAI CPL'!$B71&lt;&gt;"",IFERROR(_xlfn.IFS(AC71&gt;='NILAI CPL'!$B$3,4,AC71&gt;='NILAI CPL'!$B$4,3,AC71&gt;='NILAI CPL'!$B$5,2,AC71&gt;'NILAI CPL'!$B$6,1),0),"")</f>
        <v/>
      </c>
      <c r="BA71" s="2" t="str" cm="1">
        <f t="array" ref="BA71">IF('NILAI CPL'!$B71&lt;&gt;"",IFERROR(_xlfn.IFS(AD71&gt;='NILAI CPL'!$B$3,4,AD71&gt;='NILAI CPL'!$B$4,3,AD71&gt;='NILAI CPL'!$B$5,2,AD71&gt;'NILAI CPL'!$B$6,1),0),"")</f>
        <v/>
      </c>
      <c r="BB71" s="2" t="str" cm="1">
        <f t="array" ref="BB71">IF('NILAI CPL'!$B71&lt;&gt;"",IFERROR(_xlfn.IFS(AE71&gt;='NILAI CPL'!$B$3,4,AE71&gt;='NILAI CPL'!$B$4,3,AE71&gt;='NILAI CPL'!$B$5,2,AE71&gt;'NILAI CPL'!$B$6,1),0),"")</f>
        <v/>
      </c>
      <c r="BC71" s="2" t="str" cm="1">
        <f t="array" ref="BC71">IF('NILAI CPL'!$B71&lt;&gt;"",IFERROR(_xlfn.IFS(AF71&gt;='NILAI CPL'!$B$3,4,AF71&gt;='NILAI CPL'!$B$4,3,AF71&gt;='NILAI CPL'!$B$5,2,AF71&gt;'NILAI CPL'!$B$6,1),0),"")</f>
        <v/>
      </c>
      <c r="BD71" s="2" t="str" cm="1">
        <f t="array" ref="BD71">IF('NILAI CPL'!$B71&lt;&gt;"",IFERROR(_xlfn.IFS(AG71&gt;='NILAI CPL'!$B$3,4,AG71&gt;='NILAI CPL'!$B$4,3,AG71&gt;='NILAI CPL'!$B$5,2,AG71&gt;'NILAI CPL'!$B$6,1),0),"")</f>
        <v/>
      </c>
      <c r="BE71" s="2" t="str" cm="1">
        <f t="array" ref="BE71">IF('NILAI CPL'!$B71&lt;&gt;"",IFERROR(_xlfn.IFS(AH71&gt;='NILAI CPL'!$B$3,4,AH71&gt;='NILAI CPL'!$B$4,3,AH71&gt;='NILAI CPL'!$B$5,2,AH71&gt;'NILAI CPL'!$B$6,1),0),"")</f>
        <v/>
      </c>
      <c r="BF71" s="2" t="str" cm="1">
        <f t="array" ref="BF71">IF('NILAI CPL'!$B71&lt;&gt;"",IFERROR(_xlfn.IFS(AI71&gt;='NILAI CPL'!$B$3,4,AI71&gt;='NILAI CPL'!$B$4,3,AI71&gt;='NILAI CPL'!$B$5,2,AI71&gt;'NILAI CPL'!$B$6,1),0),"")</f>
        <v/>
      </c>
      <c r="BG71" s="2" t="str" cm="1">
        <f t="array" ref="BG71">IF('NILAI CPL'!$B71&lt;&gt;"",IFERROR(_xlfn.IFS(AJ71&gt;='NILAI CPL'!$B$3,4,AJ71&gt;='NILAI CPL'!$B$4,3,AJ71&gt;='NILAI CPL'!$B$5,2,AJ71&gt;'NILAI CPL'!$B$6,1),0),"")</f>
        <v/>
      </c>
      <c r="BH71" s="2" t="str" cm="1">
        <f t="array" ref="BH71">IF('NILAI CPL'!$B71&lt;&gt;"",IFERROR(_xlfn.IFS(AK71&gt;='NILAI CPL'!$B$3,4,AK71&gt;='NILAI CPL'!$B$4,3,AK71&gt;='NILAI CPL'!$B$5,2,AK71&gt;'NILAI CPL'!$B$6,1),0),"")</f>
        <v/>
      </c>
      <c r="BI71" s="2" t="str" cm="1">
        <f t="array" ref="BI71">IF('NILAI CPL'!$B71&lt;&gt;"",IFERROR(_xlfn.IFS(AL71&gt;='NILAI CPL'!$B$3,4,AL71&gt;='NILAI CPL'!$B$4,3,AL71&gt;='NILAI CPL'!$B$5,2,AL71&gt;'NILAI CPL'!$B$6,1),0),"")</f>
        <v/>
      </c>
      <c r="BJ71" s="2" t="str" cm="1">
        <f t="array" ref="BJ71">IF('NILAI CPL'!$B71&lt;&gt;"",IFERROR(_xlfn.IFS(AM71&gt;='NILAI CPL'!$B$3,4,AM71&gt;='NILAI CPL'!$B$4,3,AM71&gt;='NILAI CPL'!$B$5,2,AM71&gt;'NILAI CPL'!$B$6,1),0),"")</f>
        <v/>
      </c>
      <c r="BK71" s="2" t="str" cm="1">
        <f t="array" ref="BK71">IF('NILAI CPL'!$B71&lt;&gt;"",IFERROR(_xlfn.IFS(AN71&gt;='NILAI CPL'!$B$3,4,AN71&gt;='NILAI CPL'!$B$4,3,AN71&gt;='NILAI CPL'!$B$5,2,AN71&gt;'NILAI CPL'!$B$6,1),0),"")</f>
        <v/>
      </c>
    </row>
    <row r="72" spans="1:63" x14ac:dyDescent="0.2">
      <c r="A72" s="2">
        <v>62</v>
      </c>
      <c r="B72" s="2" t="str">
        <f>IF(LEN(SUMMARY!B72)&gt;0, SUMMARY!B72, "")</f>
        <v/>
      </c>
      <c r="C72" s="2" t="str">
        <f>IF(LEN(SUMMARY!C72)&gt;0, SUMMARY!C72, "")</f>
        <v/>
      </c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" t="str">
        <f t="shared" si="24"/>
        <v/>
      </c>
      <c r="S72" s="2" t="str">
        <f t="shared" si="2"/>
        <v/>
      </c>
      <c r="T72" s="2" t="str">
        <f t="shared" si="3"/>
        <v/>
      </c>
      <c r="U72" s="2" t="str">
        <f t="shared" si="4"/>
        <v/>
      </c>
      <c r="V72" s="2" t="str">
        <f t="shared" si="5"/>
        <v/>
      </c>
      <c r="W72" s="2" t="str">
        <f t="shared" si="6"/>
        <v/>
      </c>
      <c r="X72" s="2" t="str">
        <f t="shared" si="7"/>
        <v/>
      </c>
      <c r="Y72" s="2" t="str">
        <f t="shared" si="8"/>
        <v/>
      </c>
      <c r="Z72" s="2" t="str">
        <f t="shared" si="9"/>
        <v/>
      </c>
      <c r="AA72" s="2" t="str">
        <f t="shared" si="10"/>
        <v/>
      </c>
      <c r="AB72" s="2" t="str">
        <f t="shared" si="11"/>
        <v/>
      </c>
      <c r="AC72" s="2" t="str">
        <f t="shared" si="12"/>
        <v/>
      </c>
      <c r="AD72" s="2" t="str">
        <f t="shared" si="13"/>
        <v/>
      </c>
      <c r="AE72" s="2" t="str">
        <f t="shared" si="14"/>
        <v/>
      </c>
      <c r="AF72" s="2" t="str">
        <f t="shared" si="15"/>
        <v/>
      </c>
      <c r="AG72" s="2" t="str">
        <f t="shared" si="16"/>
        <v/>
      </c>
      <c r="AH72" s="2" t="str">
        <f t="shared" si="17"/>
        <v/>
      </c>
      <c r="AI72" s="2" t="str">
        <f t="shared" si="18"/>
        <v/>
      </c>
      <c r="AJ72" s="2" t="str">
        <f t="shared" si="19"/>
        <v/>
      </c>
      <c r="AK72" s="2" t="str">
        <f t="shared" si="20"/>
        <v/>
      </c>
      <c r="AL72" s="2" t="str">
        <f t="shared" si="21"/>
        <v/>
      </c>
      <c r="AM72" s="2" t="str">
        <f t="shared" si="22"/>
        <v/>
      </c>
      <c r="AN72" s="2" t="str">
        <f t="shared" si="23"/>
        <v/>
      </c>
      <c r="AP72" s="2" t="str" cm="1">
        <f t="array" ref="AP72">IF('NILAI CPL'!$B72&lt;&gt;"",IFERROR(_xlfn.IFS(S72&gt;='NILAI CPL'!$B$3,4,S72&gt;='NILAI CPL'!$B$4,3,S72&gt;='NILAI CPL'!$B$5,2,S72&gt;'NILAI CPL'!$B$6,1),0),"")</f>
        <v/>
      </c>
      <c r="AQ72" s="2" t="str" cm="1">
        <f t="array" ref="AQ72">IF('NILAI CPL'!$B72&lt;&gt;"",IFERROR(_xlfn.IFS(T72&gt;='NILAI CPL'!$B$3,4,T72&gt;='NILAI CPL'!$B$4,3,T72&gt;='NILAI CPL'!$B$5,2,T72&gt;'NILAI CPL'!$B$6,1),0),"")</f>
        <v/>
      </c>
      <c r="AR72" s="2" t="str" cm="1">
        <f t="array" ref="AR72">IF('NILAI CPL'!$B72&lt;&gt;"",IFERROR(_xlfn.IFS(U72&gt;='NILAI CPL'!$B$3,4,U72&gt;='NILAI CPL'!$B$4,3,U72&gt;='NILAI CPL'!$B$5,2,U72&gt;'NILAI CPL'!$B$6,1),0),"")</f>
        <v/>
      </c>
      <c r="AS72" s="2" t="str" cm="1">
        <f t="array" ref="AS72">IF('NILAI CPL'!$B72&lt;&gt;"",IFERROR(_xlfn.IFS(V72&gt;='NILAI CPL'!$B$3,4,V72&gt;='NILAI CPL'!$B$4,3,V72&gt;='NILAI CPL'!$B$5,2,V72&gt;'NILAI CPL'!$B$6,1),0),"")</f>
        <v/>
      </c>
      <c r="AT72" s="2" t="str" cm="1">
        <f t="array" ref="AT72">IF('NILAI CPL'!$B72&lt;&gt;"",IFERROR(_xlfn.IFS(W72&gt;='NILAI CPL'!$B$3,4,W72&gt;='NILAI CPL'!$B$4,3,W72&gt;='NILAI CPL'!$B$5,2,W72&gt;'NILAI CPL'!$B$6,1),0),"")</f>
        <v/>
      </c>
      <c r="AU72" s="2" t="str" cm="1">
        <f t="array" ref="AU72">IF('NILAI CPL'!$B72&lt;&gt;"",IFERROR(_xlfn.IFS(X72&gt;='NILAI CPL'!$B$3,4,X72&gt;='NILAI CPL'!$B$4,3,X72&gt;='NILAI CPL'!$B$5,2,X72&gt;'NILAI CPL'!$B$6,1),0),"")</f>
        <v/>
      </c>
      <c r="AV72" s="2" t="str" cm="1">
        <f t="array" ref="AV72">IF('NILAI CPL'!$B72&lt;&gt;"",IFERROR(_xlfn.IFS(Y72&gt;='NILAI CPL'!$B$3,4,Y72&gt;='NILAI CPL'!$B$4,3,Y72&gt;='NILAI CPL'!$B$5,2,Y72&gt;'NILAI CPL'!$B$6,1),0),"")</f>
        <v/>
      </c>
      <c r="AW72" s="2" t="str" cm="1">
        <f t="array" ref="AW72">IF('NILAI CPL'!$B72&lt;&gt;"",IFERROR(_xlfn.IFS(Z72&gt;='NILAI CPL'!$B$3,4,Z72&gt;='NILAI CPL'!$B$4,3,Z72&gt;='NILAI CPL'!$B$5,2,Z72&gt;'NILAI CPL'!$B$6,1),0),"")</f>
        <v/>
      </c>
      <c r="AX72" s="2" t="str" cm="1">
        <f t="array" ref="AX72">IF('NILAI CPL'!$B72&lt;&gt;"",IFERROR(_xlfn.IFS(AA72&gt;='NILAI CPL'!$B$3,4,AA72&gt;='NILAI CPL'!$B$4,3,AA72&gt;='NILAI CPL'!$B$5,2,AA72&gt;'NILAI CPL'!$B$6,1),0),"")</f>
        <v/>
      </c>
      <c r="AY72" s="2" t="str" cm="1">
        <f t="array" ref="AY72">IF('NILAI CPL'!$B72&lt;&gt;"",IFERROR(_xlfn.IFS(AB72&gt;='NILAI CPL'!$B$3,4,AB72&gt;='NILAI CPL'!$B$4,3,AB72&gt;='NILAI CPL'!$B$5,2,AB72&gt;'NILAI CPL'!$B$6,1),0),"")</f>
        <v/>
      </c>
      <c r="AZ72" s="2" t="str" cm="1">
        <f t="array" ref="AZ72">IF('NILAI CPL'!$B72&lt;&gt;"",IFERROR(_xlfn.IFS(AC72&gt;='NILAI CPL'!$B$3,4,AC72&gt;='NILAI CPL'!$B$4,3,AC72&gt;='NILAI CPL'!$B$5,2,AC72&gt;'NILAI CPL'!$B$6,1),0),"")</f>
        <v/>
      </c>
      <c r="BA72" s="2" t="str" cm="1">
        <f t="array" ref="BA72">IF('NILAI CPL'!$B72&lt;&gt;"",IFERROR(_xlfn.IFS(AD72&gt;='NILAI CPL'!$B$3,4,AD72&gt;='NILAI CPL'!$B$4,3,AD72&gt;='NILAI CPL'!$B$5,2,AD72&gt;'NILAI CPL'!$B$6,1),0),"")</f>
        <v/>
      </c>
      <c r="BB72" s="2" t="str" cm="1">
        <f t="array" ref="BB72">IF('NILAI CPL'!$B72&lt;&gt;"",IFERROR(_xlfn.IFS(AE72&gt;='NILAI CPL'!$B$3,4,AE72&gt;='NILAI CPL'!$B$4,3,AE72&gt;='NILAI CPL'!$B$5,2,AE72&gt;'NILAI CPL'!$B$6,1),0),"")</f>
        <v/>
      </c>
      <c r="BC72" s="2" t="str" cm="1">
        <f t="array" ref="BC72">IF('NILAI CPL'!$B72&lt;&gt;"",IFERROR(_xlfn.IFS(AF72&gt;='NILAI CPL'!$B$3,4,AF72&gt;='NILAI CPL'!$B$4,3,AF72&gt;='NILAI CPL'!$B$5,2,AF72&gt;'NILAI CPL'!$B$6,1),0),"")</f>
        <v/>
      </c>
      <c r="BD72" s="2" t="str" cm="1">
        <f t="array" ref="BD72">IF('NILAI CPL'!$B72&lt;&gt;"",IFERROR(_xlfn.IFS(AG72&gt;='NILAI CPL'!$B$3,4,AG72&gt;='NILAI CPL'!$B$4,3,AG72&gt;='NILAI CPL'!$B$5,2,AG72&gt;'NILAI CPL'!$B$6,1),0),"")</f>
        <v/>
      </c>
      <c r="BE72" s="2" t="str" cm="1">
        <f t="array" ref="BE72">IF('NILAI CPL'!$B72&lt;&gt;"",IFERROR(_xlfn.IFS(AH72&gt;='NILAI CPL'!$B$3,4,AH72&gt;='NILAI CPL'!$B$4,3,AH72&gt;='NILAI CPL'!$B$5,2,AH72&gt;'NILAI CPL'!$B$6,1),0),"")</f>
        <v/>
      </c>
      <c r="BF72" s="2" t="str" cm="1">
        <f t="array" ref="BF72">IF('NILAI CPL'!$B72&lt;&gt;"",IFERROR(_xlfn.IFS(AI72&gt;='NILAI CPL'!$B$3,4,AI72&gt;='NILAI CPL'!$B$4,3,AI72&gt;='NILAI CPL'!$B$5,2,AI72&gt;'NILAI CPL'!$B$6,1),0),"")</f>
        <v/>
      </c>
      <c r="BG72" s="2" t="str" cm="1">
        <f t="array" ref="BG72">IF('NILAI CPL'!$B72&lt;&gt;"",IFERROR(_xlfn.IFS(AJ72&gt;='NILAI CPL'!$B$3,4,AJ72&gt;='NILAI CPL'!$B$4,3,AJ72&gt;='NILAI CPL'!$B$5,2,AJ72&gt;'NILAI CPL'!$B$6,1),0),"")</f>
        <v/>
      </c>
      <c r="BH72" s="2" t="str" cm="1">
        <f t="array" ref="BH72">IF('NILAI CPL'!$B72&lt;&gt;"",IFERROR(_xlfn.IFS(AK72&gt;='NILAI CPL'!$B$3,4,AK72&gt;='NILAI CPL'!$B$4,3,AK72&gt;='NILAI CPL'!$B$5,2,AK72&gt;'NILAI CPL'!$B$6,1),0),"")</f>
        <v/>
      </c>
      <c r="BI72" s="2" t="str" cm="1">
        <f t="array" ref="BI72">IF('NILAI CPL'!$B72&lt;&gt;"",IFERROR(_xlfn.IFS(AL72&gt;='NILAI CPL'!$B$3,4,AL72&gt;='NILAI CPL'!$B$4,3,AL72&gt;='NILAI CPL'!$B$5,2,AL72&gt;'NILAI CPL'!$B$6,1),0),"")</f>
        <v/>
      </c>
      <c r="BJ72" s="2" t="str" cm="1">
        <f t="array" ref="BJ72">IF('NILAI CPL'!$B72&lt;&gt;"",IFERROR(_xlfn.IFS(AM72&gt;='NILAI CPL'!$B$3,4,AM72&gt;='NILAI CPL'!$B$4,3,AM72&gt;='NILAI CPL'!$B$5,2,AM72&gt;'NILAI CPL'!$B$6,1),0),"")</f>
        <v/>
      </c>
      <c r="BK72" s="2" t="str" cm="1">
        <f t="array" ref="BK72">IF('NILAI CPL'!$B72&lt;&gt;"",IFERROR(_xlfn.IFS(AN72&gt;='NILAI CPL'!$B$3,4,AN72&gt;='NILAI CPL'!$B$4,3,AN72&gt;='NILAI CPL'!$B$5,2,AN72&gt;'NILAI CPL'!$B$6,1),0),"")</f>
        <v/>
      </c>
    </row>
    <row r="73" spans="1:63" x14ac:dyDescent="0.2">
      <c r="A73" s="2">
        <v>63</v>
      </c>
      <c r="B73" s="2" t="str">
        <f>IF(LEN(SUMMARY!B73)&gt;0, SUMMARY!B73, "")</f>
        <v/>
      </c>
      <c r="C73" s="2" t="str">
        <f>IF(LEN(SUMMARY!C73)&gt;0, SUMMARY!C73, "")</f>
        <v/>
      </c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" t="str">
        <f t="shared" si="24"/>
        <v/>
      </c>
      <c r="S73" s="2" t="str">
        <f t="shared" si="2"/>
        <v/>
      </c>
      <c r="T73" s="2" t="str">
        <f t="shared" si="3"/>
        <v/>
      </c>
      <c r="U73" s="2" t="str">
        <f t="shared" si="4"/>
        <v/>
      </c>
      <c r="V73" s="2" t="str">
        <f t="shared" si="5"/>
        <v/>
      </c>
      <c r="W73" s="2" t="str">
        <f t="shared" si="6"/>
        <v/>
      </c>
      <c r="X73" s="2" t="str">
        <f t="shared" si="7"/>
        <v/>
      </c>
      <c r="Y73" s="2" t="str">
        <f t="shared" si="8"/>
        <v/>
      </c>
      <c r="Z73" s="2" t="str">
        <f t="shared" si="9"/>
        <v/>
      </c>
      <c r="AA73" s="2" t="str">
        <f t="shared" si="10"/>
        <v/>
      </c>
      <c r="AB73" s="2" t="str">
        <f t="shared" si="11"/>
        <v/>
      </c>
      <c r="AC73" s="2" t="str">
        <f t="shared" si="12"/>
        <v/>
      </c>
      <c r="AD73" s="2" t="str">
        <f t="shared" si="13"/>
        <v/>
      </c>
      <c r="AE73" s="2" t="str">
        <f t="shared" si="14"/>
        <v/>
      </c>
      <c r="AF73" s="2" t="str">
        <f t="shared" si="15"/>
        <v/>
      </c>
      <c r="AG73" s="2" t="str">
        <f t="shared" si="16"/>
        <v/>
      </c>
      <c r="AH73" s="2" t="str">
        <f t="shared" si="17"/>
        <v/>
      </c>
      <c r="AI73" s="2" t="str">
        <f t="shared" si="18"/>
        <v/>
      </c>
      <c r="AJ73" s="2" t="str">
        <f t="shared" si="19"/>
        <v/>
      </c>
      <c r="AK73" s="2" t="str">
        <f t="shared" si="20"/>
        <v/>
      </c>
      <c r="AL73" s="2" t="str">
        <f t="shared" si="21"/>
        <v/>
      </c>
      <c r="AM73" s="2" t="str">
        <f t="shared" si="22"/>
        <v/>
      </c>
      <c r="AN73" s="2" t="str">
        <f t="shared" si="23"/>
        <v/>
      </c>
      <c r="AP73" s="2" t="str" cm="1">
        <f t="array" ref="AP73">IF('NILAI CPL'!$B73&lt;&gt;"",IFERROR(_xlfn.IFS(S73&gt;='NILAI CPL'!$B$3,4,S73&gt;='NILAI CPL'!$B$4,3,S73&gt;='NILAI CPL'!$B$5,2,S73&gt;'NILAI CPL'!$B$6,1),0),"")</f>
        <v/>
      </c>
      <c r="AQ73" s="2" t="str" cm="1">
        <f t="array" ref="AQ73">IF('NILAI CPL'!$B73&lt;&gt;"",IFERROR(_xlfn.IFS(T73&gt;='NILAI CPL'!$B$3,4,T73&gt;='NILAI CPL'!$B$4,3,T73&gt;='NILAI CPL'!$B$5,2,T73&gt;'NILAI CPL'!$B$6,1),0),"")</f>
        <v/>
      </c>
      <c r="AR73" s="2" t="str" cm="1">
        <f t="array" ref="AR73">IF('NILAI CPL'!$B73&lt;&gt;"",IFERROR(_xlfn.IFS(U73&gt;='NILAI CPL'!$B$3,4,U73&gt;='NILAI CPL'!$B$4,3,U73&gt;='NILAI CPL'!$B$5,2,U73&gt;'NILAI CPL'!$B$6,1),0),"")</f>
        <v/>
      </c>
      <c r="AS73" s="2" t="str" cm="1">
        <f t="array" ref="AS73">IF('NILAI CPL'!$B73&lt;&gt;"",IFERROR(_xlfn.IFS(V73&gt;='NILAI CPL'!$B$3,4,V73&gt;='NILAI CPL'!$B$4,3,V73&gt;='NILAI CPL'!$B$5,2,V73&gt;'NILAI CPL'!$B$6,1),0),"")</f>
        <v/>
      </c>
      <c r="AT73" s="2" t="str" cm="1">
        <f t="array" ref="AT73">IF('NILAI CPL'!$B73&lt;&gt;"",IFERROR(_xlfn.IFS(W73&gt;='NILAI CPL'!$B$3,4,W73&gt;='NILAI CPL'!$B$4,3,W73&gt;='NILAI CPL'!$B$5,2,W73&gt;'NILAI CPL'!$B$6,1),0),"")</f>
        <v/>
      </c>
      <c r="AU73" s="2" t="str" cm="1">
        <f t="array" ref="AU73">IF('NILAI CPL'!$B73&lt;&gt;"",IFERROR(_xlfn.IFS(X73&gt;='NILAI CPL'!$B$3,4,X73&gt;='NILAI CPL'!$B$4,3,X73&gt;='NILAI CPL'!$B$5,2,X73&gt;'NILAI CPL'!$B$6,1),0),"")</f>
        <v/>
      </c>
      <c r="AV73" s="2" t="str" cm="1">
        <f t="array" ref="AV73">IF('NILAI CPL'!$B73&lt;&gt;"",IFERROR(_xlfn.IFS(Y73&gt;='NILAI CPL'!$B$3,4,Y73&gt;='NILAI CPL'!$B$4,3,Y73&gt;='NILAI CPL'!$B$5,2,Y73&gt;'NILAI CPL'!$B$6,1),0),"")</f>
        <v/>
      </c>
      <c r="AW73" s="2" t="str" cm="1">
        <f t="array" ref="AW73">IF('NILAI CPL'!$B73&lt;&gt;"",IFERROR(_xlfn.IFS(Z73&gt;='NILAI CPL'!$B$3,4,Z73&gt;='NILAI CPL'!$B$4,3,Z73&gt;='NILAI CPL'!$B$5,2,Z73&gt;'NILAI CPL'!$B$6,1),0),"")</f>
        <v/>
      </c>
      <c r="AX73" s="2" t="str" cm="1">
        <f t="array" ref="AX73">IF('NILAI CPL'!$B73&lt;&gt;"",IFERROR(_xlfn.IFS(AA73&gt;='NILAI CPL'!$B$3,4,AA73&gt;='NILAI CPL'!$B$4,3,AA73&gt;='NILAI CPL'!$B$5,2,AA73&gt;'NILAI CPL'!$B$6,1),0),"")</f>
        <v/>
      </c>
      <c r="AY73" s="2" t="str" cm="1">
        <f t="array" ref="AY73">IF('NILAI CPL'!$B73&lt;&gt;"",IFERROR(_xlfn.IFS(AB73&gt;='NILAI CPL'!$B$3,4,AB73&gt;='NILAI CPL'!$B$4,3,AB73&gt;='NILAI CPL'!$B$5,2,AB73&gt;'NILAI CPL'!$B$6,1),0),"")</f>
        <v/>
      </c>
      <c r="AZ73" s="2" t="str" cm="1">
        <f t="array" ref="AZ73">IF('NILAI CPL'!$B73&lt;&gt;"",IFERROR(_xlfn.IFS(AC73&gt;='NILAI CPL'!$B$3,4,AC73&gt;='NILAI CPL'!$B$4,3,AC73&gt;='NILAI CPL'!$B$5,2,AC73&gt;'NILAI CPL'!$B$6,1),0),"")</f>
        <v/>
      </c>
      <c r="BA73" s="2" t="str" cm="1">
        <f t="array" ref="BA73">IF('NILAI CPL'!$B73&lt;&gt;"",IFERROR(_xlfn.IFS(AD73&gt;='NILAI CPL'!$B$3,4,AD73&gt;='NILAI CPL'!$B$4,3,AD73&gt;='NILAI CPL'!$B$5,2,AD73&gt;'NILAI CPL'!$B$6,1),0),"")</f>
        <v/>
      </c>
      <c r="BB73" s="2" t="str" cm="1">
        <f t="array" ref="BB73">IF('NILAI CPL'!$B73&lt;&gt;"",IFERROR(_xlfn.IFS(AE73&gt;='NILAI CPL'!$B$3,4,AE73&gt;='NILAI CPL'!$B$4,3,AE73&gt;='NILAI CPL'!$B$5,2,AE73&gt;'NILAI CPL'!$B$6,1),0),"")</f>
        <v/>
      </c>
      <c r="BC73" s="2" t="str" cm="1">
        <f t="array" ref="BC73">IF('NILAI CPL'!$B73&lt;&gt;"",IFERROR(_xlfn.IFS(AF73&gt;='NILAI CPL'!$B$3,4,AF73&gt;='NILAI CPL'!$B$4,3,AF73&gt;='NILAI CPL'!$B$5,2,AF73&gt;'NILAI CPL'!$B$6,1),0),"")</f>
        <v/>
      </c>
      <c r="BD73" s="2" t="str" cm="1">
        <f t="array" ref="BD73">IF('NILAI CPL'!$B73&lt;&gt;"",IFERROR(_xlfn.IFS(AG73&gt;='NILAI CPL'!$B$3,4,AG73&gt;='NILAI CPL'!$B$4,3,AG73&gt;='NILAI CPL'!$B$5,2,AG73&gt;'NILAI CPL'!$B$6,1),0),"")</f>
        <v/>
      </c>
      <c r="BE73" s="2" t="str" cm="1">
        <f t="array" ref="BE73">IF('NILAI CPL'!$B73&lt;&gt;"",IFERROR(_xlfn.IFS(AH73&gt;='NILAI CPL'!$B$3,4,AH73&gt;='NILAI CPL'!$B$4,3,AH73&gt;='NILAI CPL'!$B$5,2,AH73&gt;'NILAI CPL'!$B$6,1),0),"")</f>
        <v/>
      </c>
      <c r="BF73" s="2" t="str" cm="1">
        <f t="array" ref="BF73">IF('NILAI CPL'!$B73&lt;&gt;"",IFERROR(_xlfn.IFS(AI73&gt;='NILAI CPL'!$B$3,4,AI73&gt;='NILAI CPL'!$B$4,3,AI73&gt;='NILAI CPL'!$B$5,2,AI73&gt;'NILAI CPL'!$B$6,1),0),"")</f>
        <v/>
      </c>
      <c r="BG73" s="2" t="str" cm="1">
        <f t="array" ref="BG73">IF('NILAI CPL'!$B73&lt;&gt;"",IFERROR(_xlfn.IFS(AJ73&gt;='NILAI CPL'!$B$3,4,AJ73&gt;='NILAI CPL'!$B$4,3,AJ73&gt;='NILAI CPL'!$B$5,2,AJ73&gt;'NILAI CPL'!$B$6,1),0),"")</f>
        <v/>
      </c>
      <c r="BH73" s="2" t="str" cm="1">
        <f t="array" ref="BH73">IF('NILAI CPL'!$B73&lt;&gt;"",IFERROR(_xlfn.IFS(AK73&gt;='NILAI CPL'!$B$3,4,AK73&gt;='NILAI CPL'!$B$4,3,AK73&gt;='NILAI CPL'!$B$5,2,AK73&gt;'NILAI CPL'!$B$6,1),0),"")</f>
        <v/>
      </c>
      <c r="BI73" s="2" t="str" cm="1">
        <f t="array" ref="BI73">IF('NILAI CPL'!$B73&lt;&gt;"",IFERROR(_xlfn.IFS(AL73&gt;='NILAI CPL'!$B$3,4,AL73&gt;='NILAI CPL'!$B$4,3,AL73&gt;='NILAI CPL'!$B$5,2,AL73&gt;'NILAI CPL'!$B$6,1),0),"")</f>
        <v/>
      </c>
      <c r="BJ73" s="2" t="str" cm="1">
        <f t="array" ref="BJ73">IF('NILAI CPL'!$B73&lt;&gt;"",IFERROR(_xlfn.IFS(AM73&gt;='NILAI CPL'!$B$3,4,AM73&gt;='NILAI CPL'!$B$4,3,AM73&gt;='NILAI CPL'!$B$5,2,AM73&gt;'NILAI CPL'!$B$6,1),0),"")</f>
        <v/>
      </c>
      <c r="BK73" s="2" t="str" cm="1">
        <f t="array" ref="BK73">IF('NILAI CPL'!$B73&lt;&gt;"",IFERROR(_xlfn.IFS(AN73&gt;='NILAI CPL'!$B$3,4,AN73&gt;='NILAI CPL'!$B$4,3,AN73&gt;='NILAI CPL'!$B$5,2,AN73&gt;'NILAI CPL'!$B$6,1),0),"")</f>
        <v/>
      </c>
    </row>
    <row r="74" spans="1:63" x14ac:dyDescent="0.2">
      <c r="A74" s="2">
        <v>64</v>
      </c>
      <c r="B74" s="2" t="str">
        <f>IF(LEN(SUMMARY!B74)&gt;0, SUMMARY!B74, "")</f>
        <v/>
      </c>
      <c r="C74" s="2" t="str">
        <f>IF(LEN(SUMMARY!C74)&gt;0, SUMMARY!C74, "")</f>
        <v/>
      </c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" t="str">
        <f t="shared" si="24"/>
        <v/>
      </c>
      <c r="S74" s="2" t="str">
        <f t="shared" si="2"/>
        <v/>
      </c>
      <c r="T74" s="2" t="str">
        <f t="shared" si="3"/>
        <v/>
      </c>
      <c r="U74" s="2" t="str">
        <f t="shared" si="4"/>
        <v/>
      </c>
      <c r="V74" s="2" t="str">
        <f t="shared" si="5"/>
        <v/>
      </c>
      <c r="W74" s="2" t="str">
        <f t="shared" si="6"/>
        <v/>
      </c>
      <c r="X74" s="2" t="str">
        <f t="shared" si="7"/>
        <v/>
      </c>
      <c r="Y74" s="2" t="str">
        <f t="shared" si="8"/>
        <v/>
      </c>
      <c r="Z74" s="2" t="str">
        <f t="shared" si="9"/>
        <v/>
      </c>
      <c r="AA74" s="2" t="str">
        <f t="shared" si="10"/>
        <v/>
      </c>
      <c r="AB74" s="2" t="str">
        <f t="shared" si="11"/>
        <v/>
      </c>
      <c r="AC74" s="2" t="str">
        <f t="shared" si="12"/>
        <v/>
      </c>
      <c r="AD74" s="2" t="str">
        <f t="shared" si="13"/>
        <v/>
      </c>
      <c r="AE74" s="2" t="str">
        <f t="shared" si="14"/>
        <v/>
      </c>
      <c r="AF74" s="2" t="str">
        <f t="shared" si="15"/>
        <v/>
      </c>
      <c r="AG74" s="2" t="str">
        <f t="shared" si="16"/>
        <v/>
      </c>
      <c r="AH74" s="2" t="str">
        <f t="shared" si="17"/>
        <v/>
      </c>
      <c r="AI74" s="2" t="str">
        <f t="shared" si="18"/>
        <v/>
      </c>
      <c r="AJ74" s="2" t="str">
        <f t="shared" si="19"/>
        <v/>
      </c>
      <c r="AK74" s="2" t="str">
        <f t="shared" si="20"/>
        <v/>
      </c>
      <c r="AL74" s="2" t="str">
        <f t="shared" si="21"/>
        <v/>
      </c>
      <c r="AM74" s="2" t="str">
        <f t="shared" si="22"/>
        <v/>
      </c>
      <c r="AN74" s="2" t="str">
        <f t="shared" si="23"/>
        <v/>
      </c>
      <c r="AP74" s="2" t="str" cm="1">
        <f t="array" ref="AP74">IF('NILAI CPL'!$B74&lt;&gt;"",IFERROR(_xlfn.IFS(S74&gt;='NILAI CPL'!$B$3,4,S74&gt;='NILAI CPL'!$B$4,3,S74&gt;='NILAI CPL'!$B$5,2,S74&gt;'NILAI CPL'!$B$6,1),0),"")</f>
        <v/>
      </c>
      <c r="AQ74" s="2" t="str" cm="1">
        <f t="array" ref="AQ74">IF('NILAI CPL'!$B74&lt;&gt;"",IFERROR(_xlfn.IFS(T74&gt;='NILAI CPL'!$B$3,4,T74&gt;='NILAI CPL'!$B$4,3,T74&gt;='NILAI CPL'!$B$5,2,T74&gt;'NILAI CPL'!$B$6,1),0),"")</f>
        <v/>
      </c>
      <c r="AR74" s="2" t="str" cm="1">
        <f t="array" ref="AR74">IF('NILAI CPL'!$B74&lt;&gt;"",IFERROR(_xlfn.IFS(U74&gt;='NILAI CPL'!$B$3,4,U74&gt;='NILAI CPL'!$B$4,3,U74&gt;='NILAI CPL'!$B$5,2,U74&gt;'NILAI CPL'!$B$6,1),0),"")</f>
        <v/>
      </c>
      <c r="AS74" s="2" t="str" cm="1">
        <f t="array" ref="AS74">IF('NILAI CPL'!$B74&lt;&gt;"",IFERROR(_xlfn.IFS(V74&gt;='NILAI CPL'!$B$3,4,V74&gt;='NILAI CPL'!$B$4,3,V74&gt;='NILAI CPL'!$B$5,2,V74&gt;'NILAI CPL'!$B$6,1),0),"")</f>
        <v/>
      </c>
      <c r="AT74" s="2" t="str" cm="1">
        <f t="array" ref="AT74">IF('NILAI CPL'!$B74&lt;&gt;"",IFERROR(_xlfn.IFS(W74&gt;='NILAI CPL'!$B$3,4,W74&gt;='NILAI CPL'!$B$4,3,W74&gt;='NILAI CPL'!$B$5,2,W74&gt;'NILAI CPL'!$B$6,1),0),"")</f>
        <v/>
      </c>
      <c r="AU74" s="2" t="str" cm="1">
        <f t="array" ref="AU74">IF('NILAI CPL'!$B74&lt;&gt;"",IFERROR(_xlfn.IFS(X74&gt;='NILAI CPL'!$B$3,4,X74&gt;='NILAI CPL'!$B$4,3,X74&gt;='NILAI CPL'!$B$5,2,X74&gt;'NILAI CPL'!$B$6,1),0),"")</f>
        <v/>
      </c>
      <c r="AV74" s="2" t="str" cm="1">
        <f t="array" ref="AV74">IF('NILAI CPL'!$B74&lt;&gt;"",IFERROR(_xlfn.IFS(Y74&gt;='NILAI CPL'!$B$3,4,Y74&gt;='NILAI CPL'!$B$4,3,Y74&gt;='NILAI CPL'!$B$5,2,Y74&gt;'NILAI CPL'!$B$6,1),0),"")</f>
        <v/>
      </c>
      <c r="AW74" s="2" t="str" cm="1">
        <f t="array" ref="AW74">IF('NILAI CPL'!$B74&lt;&gt;"",IFERROR(_xlfn.IFS(Z74&gt;='NILAI CPL'!$B$3,4,Z74&gt;='NILAI CPL'!$B$4,3,Z74&gt;='NILAI CPL'!$B$5,2,Z74&gt;'NILAI CPL'!$B$6,1),0),"")</f>
        <v/>
      </c>
      <c r="AX74" s="2" t="str" cm="1">
        <f t="array" ref="AX74">IF('NILAI CPL'!$B74&lt;&gt;"",IFERROR(_xlfn.IFS(AA74&gt;='NILAI CPL'!$B$3,4,AA74&gt;='NILAI CPL'!$B$4,3,AA74&gt;='NILAI CPL'!$B$5,2,AA74&gt;'NILAI CPL'!$B$6,1),0),"")</f>
        <v/>
      </c>
      <c r="AY74" s="2" t="str" cm="1">
        <f t="array" ref="AY74">IF('NILAI CPL'!$B74&lt;&gt;"",IFERROR(_xlfn.IFS(AB74&gt;='NILAI CPL'!$B$3,4,AB74&gt;='NILAI CPL'!$B$4,3,AB74&gt;='NILAI CPL'!$B$5,2,AB74&gt;'NILAI CPL'!$B$6,1),0),"")</f>
        <v/>
      </c>
      <c r="AZ74" s="2" t="str" cm="1">
        <f t="array" ref="AZ74">IF('NILAI CPL'!$B74&lt;&gt;"",IFERROR(_xlfn.IFS(AC74&gt;='NILAI CPL'!$B$3,4,AC74&gt;='NILAI CPL'!$B$4,3,AC74&gt;='NILAI CPL'!$B$5,2,AC74&gt;'NILAI CPL'!$B$6,1),0),"")</f>
        <v/>
      </c>
      <c r="BA74" s="2" t="str" cm="1">
        <f t="array" ref="BA74">IF('NILAI CPL'!$B74&lt;&gt;"",IFERROR(_xlfn.IFS(AD74&gt;='NILAI CPL'!$B$3,4,AD74&gt;='NILAI CPL'!$B$4,3,AD74&gt;='NILAI CPL'!$B$5,2,AD74&gt;'NILAI CPL'!$B$6,1),0),"")</f>
        <v/>
      </c>
      <c r="BB74" s="2" t="str" cm="1">
        <f t="array" ref="BB74">IF('NILAI CPL'!$B74&lt;&gt;"",IFERROR(_xlfn.IFS(AE74&gt;='NILAI CPL'!$B$3,4,AE74&gt;='NILAI CPL'!$B$4,3,AE74&gt;='NILAI CPL'!$B$5,2,AE74&gt;'NILAI CPL'!$B$6,1),0),"")</f>
        <v/>
      </c>
      <c r="BC74" s="2" t="str" cm="1">
        <f t="array" ref="BC74">IF('NILAI CPL'!$B74&lt;&gt;"",IFERROR(_xlfn.IFS(AF74&gt;='NILAI CPL'!$B$3,4,AF74&gt;='NILAI CPL'!$B$4,3,AF74&gt;='NILAI CPL'!$B$5,2,AF74&gt;'NILAI CPL'!$B$6,1),0),"")</f>
        <v/>
      </c>
      <c r="BD74" s="2" t="str" cm="1">
        <f t="array" ref="BD74">IF('NILAI CPL'!$B74&lt;&gt;"",IFERROR(_xlfn.IFS(AG74&gt;='NILAI CPL'!$B$3,4,AG74&gt;='NILAI CPL'!$B$4,3,AG74&gt;='NILAI CPL'!$B$5,2,AG74&gt;'NILAI CPL'!$B$6,1),0),"")</f>
        <v/>
      </c>
      <c r="BE74" s="2" t="str" cm="1">
        <f t="array" ref="BE74">IF('NILAI CPL'!$B74&lt;&gt;"",IFERROR(_xlfn.IFS(AH74&gt;='NILAI CPL'!$B$3,4,AH74&gt;='NILAI CPL'!$B$4,3,AH74&gt;='NILAI CPL'!$B$5,2,AH74&gt;'NILAI CPL'!$B$6,1),0),"")</f>
        <v/>
      </c>
      <c r="BF74" s="2" t="str" cm="1">
        <f t="array" ref="BF74">IF('NILAI CPL'!$B74&lt;&gt;"",IFERROR(_xlfn.IFS(AI74&gt;='NILAI CPL'!$B$3,4,AI74&gt;='NILAI CPL'!$B$4,3,AI74&gt;='NILAI CPL'!$B$5,2,AI74&gt;'NILAI CPL'!$B$6,1),0),"")</f>
        <v/>
      </c>
      <c r="BG74" s="2" t="str" cm="1">
        <f t="array" ref="BG74">IF('NILAI CPL'!$B74&lt;&gt;"",IFERROR(_xlfn.IFS(AJ74&gt;='NILAI CPL'!$B$3,4,AJ74&gt;='NILAI CPL'!$B$4,3,AJ74&gt;='NILAI CPL'!$B$5,2,AJ74&gt;'NILAI CPL'!$B$6,1),0),"")</f>
        <v/>
      </c>
      <c r="BH74" s="2" t="str" cm="1">
        <f t="array" ref="BH74">IF('NILAI CPL'!$B74&lt;&gt;"",IFERROR(_xlfn.IFS(AK74&gt;='NILAI CPL'!$B$3,4,AK74&gt;='NILAI CPL'!$B$4,3,AK74&gt;='NILAI CPL'!$B$5,2,AK74&gt;'NILAI CPL'!$B$6,1),0),"")</f>
        <v/>
      </c>
      <c r="BI74" s="2" t="str" cm="1">
        <f t="array" ref="BI74">IF('NILAI CPL'!$B74&lt;&gt;"",IFERROR(_xlfn.IFS(AL74&gt;='NILAI CPL'!$B$3,4,AL74&gt;='NILAI CPL'!$B$4,3,AL74&gt;='NILAI CPL'!$B$5,2,AL74&gt;'NILAI CPL'!$B$6,1),0),"")</f>
        <v/>
      </c>
      <c r="BJ74" s="2" t="str" cm="1">
        <f t="array" ref="BJ74">IF('NILAI CPL'!$B74&lt;&gt;"",IFERROR(_xlfn.IFS(AM74&gt;='NILAI CPL'!$B$3,4,AM74&gt;='NILAI CPL'!$B$4,3,AM74&gt;='NILAI CPL'!$B$5,2,AM74&gt;'NILAI CPL'!$B$6,1),0),"")</f>
        <v/>
      </c>
      <c r="BK74" s="2" t="str" cm="1">
        <f t="array" ref="BK74">IF('NILAI CPL'!$B74&lt;&gt;"",IFERROR(_xlfn.IFS(AN74&gt;='NILAI CPL'!$B$3,4,AN74&gt;='NILAI CPL'!$B$4,3,AN74&gt;='NILAI CPL'!$B$5,2,AN74&gt;'NILAI CPL'!$B$6,1),0),"")</f>
        <v/>
      </c>
    </row>
    <row r="75" spans="1:63" x14ac:dyDescent="0.2">
      <c r="A75" s="2">
        <v>65</v>
      </c>
      <c r="B75" s="2" t="str">
        <f>IF(LEN(SUMMARY!B75)&gt;0, SUMMARY!B75, "")</f>
        <v/>
      </c>
      <c r="C75" s="2" t="str">
        <f>IF(LEN(SUMMARY!C75)&gt;0, SUMMARY!C75, "")</f>
        <v/>
      </c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" t="str">
        <f t="shared" si="24"/>
        <v/>
      </c>
      <c r="S75" s="2" t="str">
        <f t="shared" si="2"/>
        <v/>
      </c>
      <c r="T75" s="2" t="str">
        <f t="shared" si="3"/>
        <v/>
      </c>
      <c r="U75" s="2" t="str">
        <f t="shared" si="4"/>
        <v/>
      </c>
      <c r="V75" s="2" t="str">
        <f t="shared" si="5"/>
        <v/>
      </c>
      <c r="W75" s="2" t="str">
        <f t="shared" si="6"/>
        <v/>
      </c>
      <c r="X75" s="2" t="str">
        <f t="shared" si="7"/>
        <v/>
      </c>
      <c r="Y75" s="2" t="str">
        <f t="shared" si="8"/>
        <v/>
      </c>
      <c r="Z75" s="2" t="str">
        <f t="shared" si="9"/>
        <v/>
      </c>
      <c r="AA75" s="2" t="str">
        <f t="shared" si="10"/>
        <v/>
      </c>
      <c r="AB75" s="2" t="str">
        <f t="shared" si="11"/>
        <v/>
      </c>
      <c r="AC75" s="2" t="str">
        <f t="shared" si="12"/>
        <v/>
      </c>
      <c r="AD75" s="2" t="str">
        <f t="shared" si="13"/>
        <v/>
      </c>
      <c r="AE75" s="2" t="str">
        <f t="shared" si="14"/>
        <v/>
      </c>
      <c r="AF75" s="2" t="str">
        <f t="shared" si="15"/>
        <v/>
      </c>
      <c r="AG75" s="2" t="str">
        <f t="shared" si="16"/>
        <v/>
      </c>
      <c r="AH75" s="2" t="str">
        <f t="shared" si="17"/>
        <v/>
      </c>
      <c r="AI75" s="2" t="str">
        <f t="shared" si="18"/>
        <v/>
      </c>
      <c r="AJ75" s="2" t="str">
        <f t="shared" si="19"/>
        <v/>
      </c>
      <c r="AK75" s="2" t="str">
        <f t="shared" si="20"/>
        <v/>
      </c>
      <c r="AL75" s="2" t="str">
        <f t="shared" si="21"/>
        <v/>
      </c>
      <c r="AM75" s="2" t="str">
        <f t="shared" si="22"/>
        <v/>
      </c>
      <c r="AN75" s="2" t="str">
        <f t="shared" si="23"/>
        <v/>
      </c>
      <c r="AP75" s="2" t="str" cm="1">
        <f t="array" ref="AP75">IF('NILAI CPL'!$B75&lt;&gt;"",IFERROR(_xlfn.IFS(S75&gt;='NILAI CPL'!$B$3,4,S75&gt;='NILAI CPL'!$B$4,3,S75&gt;='NILAI CPL'!$B$5,2,S75&gt;'NILAI CPL'!$B$6,1),0),"")</f>
        <v/>
      </c>
      <c r="AQ75" s="2" t="str" cm="1">
        <f t="array" ref="AQ75">IF('NILAI CPL'!$B75&lt;&gt;"",IFERROR(_xlfn.IFS(T75&gt;='NILAI CPL'!$B$3,4,T75&gt;='NILAI CPL'!$B$4,3,T75&gt;='NILAI CPL'!$B$5,2,T75&gt;'NILAI CPL'!$B$6,1),0),"")</f>
        <v/>
      </c>
      <c r="AR75" s="2" t="str" cm="1">
        <f t="array" ref="AR75">IF('NILAI CPL'!$B75&lt;&gt;"",IFERROR(_xlfn.IFS(U75&gt;='NILAI CPL'!$B$3,4,U75&gt;='NILAI CPL'!$B$4,3,U75&gt;='NILAI CPL'!$B$5,2,U75&gt;'NILAI CPL'!$B$6,1),0),"")</f>
        <v/>
      </c>
      <c r="AS75" s="2" t="str" cm="1">
        <f t="array" ref="AS75">IF('NILAI CPL'!$B75&lt;&gt;"",IFERROR(_xlfn.IFS(V75&gt;='NILAI CPL'!$B$3,4,V75&gt;='NILAI CPL'!$B$4,3,V75&gt;='NILAI CPL'!$B$5,2,V75&gt;'NILAI CPL'!$B$6,1),0),"")</f>
        <v/>
      </c>
      <c r="AT75" s="2" t="str" cm="1">
        <f t="array" ref="AT75">IF('NILAI CPL'!$B75&lt;&gt;"",IFERROR(_xlfn.IFS(W75&gt;='NILAI CPL'!$B$3,4,W75&gt;='NILAI CPL'!$B$4,3,W75&gt;='NILAI CPL'!$B$5,2,W75&gt;'NILAI CPL'!$B$6,1),0),"")</f>
        <v/>
      </c>
      <c r="AU75" s="2" t="str" cm="1">
        <f t="array" ref="AU75">IF('NILAI CPL'!$B75&lt;&gt;"",IFERROR(_xlfn.IFS(X75&gt;='NILAI CPL'!$B$3,4,X75&gt;='NILAI CPL'!$B$4,3,X75&gt;='NILAI CPL'!$B$5,2,X75&gt;'NILAI CPL'!$B$6,1),0),"")</f>
        <v/>
      </c>
      <c r="AV75" s="2" t="str" cm="1">
        <f t="array" ref="AV75">IF('NILAI CPL'!$B75&lt;&gt;"",IFERROR(_xlfn.IFS(Y75&gt;='NILAI CPL'!$B$3,4,Y75&gt;='NILAI CPL'!$B$4,3,Y75&gt;='NILAI CPL'!$B$5,2,Y75&gt;'NILAI CPL'!$B$6,1),0),"")</f>
        <v/>
      </c>
      <c r="AW75" s="2" t="str" cm="1">
        <f t="array" ref="AW75">IF('NILAI CPL'!$B75&lt;&gt;"",IFERROR(_xlfn.IFS(Z75&gt;='NILAI CPL'!$B$3,4,Z75&gt;='NILAI CPL'!$B$4,3,Z75&gt;='NILAI CPL'!$B$5,2,Z75&gt;'NILAI CPL'!$B$6,1),0),"")</f>
        <v/>
      </c>
      <c r="AX75" s="2" t="str" cm="1">
        <f t="array" ref="AX75">IF('NILAI CPL'!$B75&lt;&gt;"",IFERROR(_xlfn.IFS(AA75&gt;='NILAI CPL'!$B$3,4,AA75&gt;='NILAI CPL'!$B$4,3,AA75&gt;='NILAI CPL'!$B$5,2,AA75&gt;'NILAI CPL'!$B$6,1),0),"")</f>
        <v/>
      </c>
      <c r="AY75" s="2" t="str" cm="1">
        <f t="array" ref="AY75">IF('NILAI CPL'!$B75&lt;&gt;"",IFERROR(_xlfn.IFS(AB75&gt;='NILAI CPL'!$B$3,4,AB75&gt;='NILAI CPL'!$B$4,3,AB75&gt;='NILAI CPL'!$B$5,2,AB75&gt;'NILAI CPL'!$B$6,1),0),"")</f>
        <v/>
      </c>
      <c r="AZ75" s="2" t="str" cm="1">
        <f t="array" ref="AZ75">IF('NILAI CPL'!$B75&lt;&gt;"",IFERROR(_xlfn.IFS(AC75&gt;='NILAI CPL'!$B$3,4,AC75&gt;='NILAI CPL'!$B$4,3,AC75&gt;='NILAI CPL'!$B$5,2,AC75&gt;'NILAI CPL'!$B$6,1),0),"")</f>
        <v/>
      </c>
      <c r="BA75" s="2" t="str" cm="1">
        <f t="array" ref="BA75">IF('NILAI CPL'!$B75&lt;&gt;"",IFERROR(_xlfn.IFS(AD75&gt;='NILAI CPL'!$B$3,4,AD75&gt;='NILAI CPL'!$B$4,3,AD75&gt;='NILAI CPL'!$B$5,2,AD75&gt;'NILAI CPL'!$B$6,1),0),"")</f>
        <v/>
      </c>
      <c r="BB75" s="2" t="str" cm="1">
        <f t="array" ref="BB75">IF('NILAI CPL'!$B75&lt;&gt;"",IFERROR(_xlfn.IFS(AE75&gt;='NILAI CPL'!$B$3,4,AE75&gt;='NILAI CPL'!$B$4,3,AE75&gt;='NILAI CPL'!$B$5,2,AE75&gt;'NILAI CPL'!$B$6,1),0),"")</f>
        <v/>
      </c>
      <c r="BC75" s="2" t="str" cm="1">
        <f t="array" ref="BC75">IF('NILAI CPL'!$B75&lt;&gt;"",IFERROR(_xlfn.IFS(AF75&gt;='NILAI CPL'!$B$3,4,AF75&gt;='NILAI CPL'!$B$4,3,AF75&gt;='NILAI CPL'!$B$5,2,AF75&gt;'NILAI CPL'!$B$6,1),0),"")</f>
        <v/>
      </c>
      <c r="BD75" s="2" t="str" cm="1">
        <f t="array" ref="BD75">IF('NILAI CPL'!$B75&lt;&gt;"",IFERROR(_xlfn.IFS(AG75&gt;='NILAI CPL'!$B$3,4,AG75&gt;='NILAI CPL'!$B$4,3,AG75&gt;='NILAI CPL'!$B$5,2,AG75&gt;'NILAI CPL'!$B$6,1),0),"")</f>
        <v/>
      </c>
      <c r="BE75" s="2" t="str" cm="1">
        <f t="array" ref="BE75">IF('NILAI CPL'!$B75&lt;&gt;"",IFERROR(_xlfn.IFS(AH75&gt;='NILAI CPL'!$B$3,4,AH75&gt;='NILAI CPL'!$B$4,3,AH75&gt;='NILAI CPL'!$B$5,2,AH75&gt;'NILAI CPL'!$B$6,1),0),"")</f>
        <v/>
      </c>
      <c r="BF75" s="2" t="str" cm="1">
        <f t="array" ref="BF75">IF('NILAI CPL'!$B75&lt;&gt;"",IFERROR(_xlfn.IFS(AI75&gt;='NILAI CPL'!$B$3,4,AI75&gt;='NILAI CPL'!$B$4,3,AI75&gt;='NILAI CPL'!$B$5,2,AI75&gt;'NILAI CPL'!$B$6,1),0),"")</f>
        <v/>
      </c>
      <c r="BG75" s="2" t="str" cm="1">
        <f t="array" ref="BG75">IF('NILAI CPL'!$B75&lt;&gt;"",IFERROR(_xlfn.IFS(AJ75&gt;='NILAI CPL'!$B$3,4,AJ75&gt;='NILAI CPL'!$B$4,3,AJ75&gt;='NILAI CPL'!$B$5,2,AJ75&gt;'NILAI CPL'!$B$6,1),0),"")</f>
        <v/>
      </c>
      <c r="BH75" s="2" t="str" cm="1">
        <f t="array" ref="BH75">IF('NILAI CPL'!$B75&lt;&gt;"",IFERROR(_xlfn.IFS(AK75&gt;='NILAI CPL'!$B$3,4,AK75&gt;='NILAI CPL'!$B$4,3,AK75&gt;='NILAI CPL'!$B$5,2,AK75&gt;'NILAI CPL'!$B$6,1),0),"")</f>
        <v/>
      </c>
      <c r="BI75" s="2" t="str" cm="1">
        <f t="array" ref="BI75">IF('NILAI CPL'!$B75&lt;&gt;"",IFERROR(_xlfn.IFS(AL75&gt;='NILAI CPL'!$B$3,4,AL75&gt;='NILAI CPL'!$B$4,3,AL75&gt;='NILAI CPL'!$B$5,2,AL75&gt;'NILAI CPL'!$B$6,1),0),"")</f>
        <v/>
      </c>
      <c r="BJ75" s="2" t="str" cm="1">
        <f t="array" ref="BJ75">IF('NILAI CPL'!$B75&lt;&gt;"",IFERROR(_xlfn.IFS(AM75&gt;='NILAI CPL'!$B$3,4,AM75&gt;='NILAI CPL'!$B$4,3,AM75&gt;='NILAI CPL'!$B$5,2,AM75&gt;'NILAI CPL'!$B$6,1),0),"")</f>
        <v/>
      </c>
      <c r="BK75" s="2" t="str" cm="1">
        <f t="array" ref="BK75">IF('NILAI CPL'!$B75&lt;&gt;"",IFERROR(_xlfn.IFS(AN75&gt;='NILAI CPL'!$B$3,4,AN75&gt;='NILAI CPL'!$B$4,3,AN75&gt;='NILAI CPL'!$B$5,2,AN75&gt;'NILAI CPL'!$B$6,1),0),"")</f>
        <v/>
      </c>
    </row>
    <row r="76" spans="1:63" x14ac:dyDescent="0.2">
      <c r="A76" s="2">
        <v>66</v>
      </c>
      <c r="B76" s="2" t="str">
        <f>IF(LEN(SUMMARY!B76)&gt;0, SUMMARY!B76, "")</f>
        <v/>
      </c>
      <c r="C76" s="2" t="str">
        <f>IF(LEN(SUMMARY!C76)&gt;0, SUMMARY!C76, "")</f>
        <v/>
      </c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" t="str">
        <f t="shared" ref="Q76:Q90" si="25">IF(B76&lt;&gt;"",IFERROR(ROUNDUP(SUMPRODUCT($E$10:$P$10,E76:P76)/SUM($E$10:$P$10),2),0),"")</f>
        <v/>
      </c>
      <c r="S76" s="2" t="str">
        <f t="shared" ref="S76:S90" si="26">IF(B76&lt;&gt;"",IFERROR(ROUNDUP(SUMPRODUCT(E76:P76,$E$95:$P$95)/SUM($E$95:$P$95),2),0),"")</f>
        <v/>
      </c>
      <c r="T76" s="2" t="str">
        <f t="shared" ref="T76:T90" si="27">IF(B76&lt;&gt;"",IFERROR(ROUNDUP(SUMPRODUCT(E76:P76,$E$96:$P$96)/SUM($E$96:$P$96),2),0),"")</f>
        <v/>
      </c>
      <c r="U76" s="2" t="str">
        <f t="shared" ref="U76:U90" si="28">IF(B76&lt;&gt;"",IFERROR(ROUNDUP(SUMPRODUCT(E76:P76,$E$97:$P$97)/SUM($E$97:$P$97),2),0),"")</f>
        <v/>
      </c>
      <c r="V76" s="2" t="str">
        <f t="shared" ref="V76:V90" si="29">IF(B76&lt;&gt;"",IFERROR(ROUNDUP(SUMPRODUCT(E76:P76,$E$98:$P$98)/SUM($E$98:$P$98),2),0),"")</f>
        <v/>
      </c>
      <c r="W76" s="2" t="str">
        <f t="shared" ref="W76:W90" si="30">IF(B76&lt;&gt;"",IFERROR(ROUNDUP(SUMPRODUCT(E76:P76,$E$99:$P$99)/SUM($E$99:$P$99),2),0),"")</f>
        <v/>
      </c>
      <c r="X76" s="2" t="str">
        <f t="shared" ref="X76:X90" si="31">IF(B76&lt;&gt;"",IFERROR(ROUNDUP(SUMPRODUCT(E76:P76,$E$100:$P$100)/SUM($E$100:$P$100),2),0),"")</f>
        <v/>
      </c>
      <c r="Y76" s="2" t="str">
        <f t="shared" ref="Y76:Y90" si="32">IF(B76&lt;&gt;"",IFERROR(ROUNDUP(SUMPRODUCT(E76:P76,$E$101:$P$101)/SUM($E$101:$P$101),2),0),"")</f>
        <v/>
      </c>
      <c r="Z76" s="2" t="str">
        <f t="shared" ref="Z76:Z90" si="33">IF(B76&lt;&gt;"",IFERROR(ROUNDUP(SUMPRODUCT(E76:P76,$E$102:$P$102)/SUM($E$102:$P$102),2),0),"")</f>
        <v/>
      </c>
      <c r="AA76" s="2" t="str">
        <f t="shared" ref="AA76:AA90" si="34">IF(B76&lt;&gt;"",IFERROR(ROUNDUP(SUMPRODUCT(E76:P76,$E$103:$P$103)/SUM($E$103:$P$103),2),0),"")</f>
        <v/>
      </c>
      <c r="AB76" s="2" t="str">
        <f t="shared" ref="AB76:AB90" si="35">IF(B76&lt;&gt;"",IFERROR(ROUNDUP(SUMPRODUCT(E76:P76,$E$104:$P$104)/SUM($E$104:$P$104),2),0),"")</f>
        <v/>
      </c>
      <c r="AC76" s="2" t="str">
        <f t="shared" ref="AC76:AC90" si="36">IF(B76&lt;&gt;"",IFERROR(ROUNDUP(SUMPRODUCT(E76:P76,$E$105:$P$105)/SUM($E$105:$P$105),2),0),"")</f>
        <v/>
      </c>
      <c r="AD76" s="2" t="str">
        <f t="shared" ref="AD76:AD90" si="37">IF(B76&lt;&gt;"",IFERROR(ROUNDUP(SUMPRODUCT(E76:P76,$E$106:$P$106)/SUM($E$106:$P$106),2),0),"")</f>
        <v/>
      </c>
      <c r="AE76" s="2" t="str">
        <f t="shared" ref="AE76:AE90" si="38">IF(B76&lt;&gt;"",IFERROR(ROUNDUP(SUMPRODUCT(E76:P76,$E$107:$P$107)/SUM($E$107:$P$107),2),0),"")</f>
        <v/>
      </c>
      <c r="AF76" s="2" t="str">
        <f t="shared" ref="AF76:AF90" si="39">IF(B76&lt;&gt;"",IFERROR(ROUNDUP(SUMPRODUCT(E76:P76,$E$108:$P$108)/SUM($E$108:$P$108),2),0),"")</f>
        <v/>
      </c>
      <c r="AG76" s="2" t="str">
        <f t="shared" ref="AG76:AG90" si="40">IF(B76&lt;&gt;"",IFERROR(ROUNDUP(SUMPRODUCT(E76:P76,$E$109:$P$109)/SUM($E$109:$P$109),2),0),"")</f>
        <v/>
      </c>
      <c r="AH76" s="2" t="str">
        <f t="shared" ref="AH76:AH90" si="41">IF(B76&lt;&gt;"",IFERROR(ROUNDUP(SUMPRODUCT(E76:P76,$E$110:$P$110)/SUM($E$110:$P$110),2),0),"")</f>
        <v/>
      </c>
      <c r="AI76" s="2" t="str">
        <f t="shared" ref="AI76:AI90" si="42">IF(B76&lt;&gt;"",IFERROR(ROUNDUP(SUMPRODUCT(E76:P76,$E$111:$P$111)/SUM($E$111:$P$111),2),0),"")</f>
        <v/>
      </c>
      <c r="AJ76" s="2" t="str">
        <f t="shared" ref="AJ76:AJ90" si="43">IF(B76&lt;&gt;"",IFERROR(ROUNDUP(SUMPRODUCT(E76:P76,$E$112:$P$112)/SUM($E$112:$P$112),2),0),"")</f>
        <v/>
      </c>
      <c r="AK76" s="2" t="str">
        <f t="shared" ref="AK76:AK90" si="44">IF(B76&lt;&gt;"",IFERROR(ROUNDUP(SUMPRODUCT(E76:P76,$E$113:$P$113)/SUM($E$113:$P$113),2),0),"")</f>
        <v/>
      </c>
      <c r="AL76" s="2" t="str">
        <f t="shared" ref="AL76:AL90" si="45">IF(B76&lt;&gt;"",IFERROR(ROUNDUP(SUMPRODUCT(E76:P76,$E$114:$P$114)/SUM($E$114:$P$114),2),0),"")</f>
        <v/>
      </c>
      <c r="AM76" s="2" t="str">
        <f t="shared" ref="AM76:AM90" si="46">IF(B76&lt;&gt;"",IFERROR(ROUNDUP(SUMPRODUCT(E76:P76,$E$115:$P$115)/SUM($E$115:$P$115),2),0),"")</f>
        <v/>
      </c>
      <c r="AN76" s="2" t="str">
        <f t="shared" ref="AN76:AN90" si="47">IF(B76&lt;&gt;"",IFERROR(ROUNDUP(SUMPRODUCT(E76:P76,$E$116:$P$116)/SUM($E$116:$P$116),2),0),"")</f>
        <v/>
      </c>
      <c r="AP76" s="2" t="str" cm="1">
        <f t="array" ref="AP76">IF('NILAI CPL'!$B76&lt;&gt;"",IFERROR(_xlfn.IFS(S76&gt;='NILAI CPL'!$B$3,4,S76&gt;='NILAI CPL'!$B$4,3,S76&gt;='NILAI CPL'!$B$5,2,S76&gt;'NILAI CPL'!$B$6,1),0),"")</f>
        <v/>
      </c>
      <c r="AQ76" s="2" t="str" cm="1">
        <f t="array" ref="AQ76">IF('NILAI CPL'!$B76&lt;&gt;"",IFERROR(_xlfn.IFS(T76&gt;='NILAI CPL'!$B$3,4,T76&gt;='NILAI CPL'!$B$4,3,T76&gt;='NILAI CPL'!$B$5,2,T76&gt;'NILAI CPL'!$B$6,1),0),"")</f>
        <v/>
      </c>
      <c r="AR76" s="2" t="str" cm="1">
        <f t="array" ref="AR76">IF('NILAI CPL'!$B76&lt;&gt;"",IFERROR(_xlfn.IFS(U76&gt;='NILAI CPL'!$B$3,4,U76&gt;='NILAI CPL'!$B$4,3,U76&gt;='NILAI CPL'!$B$5,2,U76&gt;'NILAI CPL'!$B$6,1),0),"")</f>
        <v/>
      </c>
      <c r="AS76" s="2" t="str" cm="1">
        <f t="array" ref="AS76">IF('NILAI CPL'!$B76&lt;&gt;"",IFERROR(_xlfn.IFS(V76&gt;='NILAI CPL'!$B$3,4,V76&gt;='NILAI CPL'!$B$4,3,V76&gt;='NILAI CPL'!$B$5,2,V76&gt;'NILAI CPL'!$B$6,1),0),"")</f>
        <v/>
      </c>
      <c r="AT76" s="2" t="str" cm="1">
        <f t="array" ref="AT76">IF('NILAI CPL'!$B76&lt;&gt;"",IFERROR(_xlfn.IFS(W76&gt;='NILAI CPL'!$B$3,4,W76&gt;='NILAI CPL'!$B$4,3,W76&gt;='NILAI CPL'!$B$5,2,W76&gt;'NILAI CPL'!$B$6,1),0),"")</f>
        <v/>
      </c>
      <c r="AU76" s="2" t="str" cm="1">
        <f t="array" ref="AU76">IF('NILAI CPL'!$B76&lt;&gt;"",IFERROR(_xlfn.IFS(X76&gt;='NILAI CPL'!$B$3,4,X76&gt;='NILAI CPL'!$B$4,3,X76&gt;='NILAI CPL'!$B$5,2,X76&gt;'NILAI CPL'!$B$6,1),0),"")</f>
        <v/>
      </c>
      <c r="AV76" s="2" t="str" cm="1">
        <f t="array" ref="AV76">IF('NILAI CPL'!$B76&lt;&gt;"",IFERROR(_xlfn.IFS(Y76&gt;='NILAI CPL'!$B$3,4,Y76&gt;='NILAI CPL'!$B$4,3,Y76&gt;='NILAI CPL'!$B$5,2,Y76&gt;'NILAI CPL'!$B$6,1),0),"")</f>
        <v/>
      </c>
      <c r="AW76" s="2" t="str" cm="1">
        <f t="array" ref="AW76">IF('NILAI CPL'!$B76&lt;&gt;"",IFERROR(_xlfn.IFS(Z76&gt;='NILAI CPL'!$B$3,4,Z76&gt;='NILAI CPL'!$B$4,3,Z76&gt;='NILAI CPL'!$B$5,2,Z76&gt;'NILAI CPL'!$B$6,1),0),"")</f>
        <v/>
      </c>
      <c r="AX76" s="2" t="str" cm="1">
        <f t="array" ref="AX76">IF('NILAI CPL'!$B76&lt;&gt;"",IFERROR(_xlfn.IFS(AA76&gt;='NILAI CPL'!$B$3,4,AA76&gt;='NILAI CPL'!$B$4,3,AA76&gt;='NILAI CPL'!$B$5,2,AA76&gt;'NILAI CPL'!$B$6,1),0),"")</f>
        <v/>
      </c>
      <c r="AY76" s="2" t="str" cm="1">
        <f t="array" ref="AY76">IF('NILAI CPL'!$B76&lt;&gt;"",IFERROR(_xlfn.IFS(AB76&gt;='NILAI CPL'!$B$3,4,AB76&gt;='NILAI CPL'!$B$4,3,AB76&gt;='NILAI CPL'!$B$5,2,AB76&gt;'NILAI CPL'!$B$6,1),0),"")</f>
        <v/>
      </c>
      <c r="AZ76" s="2" t="str" cm="1">
        <f t="array" ref="AZ76">IF('NILAI CPL'!$B76&lt;&gt;"",IFERROR(_xlfn.IFS(AC76&gt;='NILAI CPL'!$B$3,4,AC76&gt;='NILAI CPL'!$B$4,3,AC76&gt;='NILAI CPL'!$B$5,2,AC76&gt;'NILAI CPL'!$B$6,1),0),"")</f>
        <v/>
      </c>
      <c r="BA76" s="2" t="str" cm="1">
        <f t="array" ref="BA76">IF('NILAI CPL'!$B76&lt;&gt;"",IFERROR(_xlfn.IFS(AD76&gt;='NILAI CPL'!$B$3,4,AD76&gt;='NILAI CPL'!$B$4,3,AD76&gt;='NILAI CPL'!$B$5,2,AD76&gt;'NILAI CPL'!$B$6,1),0),"")</f>
        <v/>
      </c>
      <c r="BB76" s="2" t="str" cm="1">
        <f t="array" ref="BB76">IF('NILAI CPL'!$B76&lt;&gt;"",IFERROR(_xlfn.IFS(AE76&gt;='NILAI CPL'!$B$3,4,AE76&gt;='NILAI CPL'!$B$4,3,AE76&gt;='NILAI CPL'!$B$5,2,AE76&gt;'NILAI CPL'!$B$6,1),0),"")</f>
        <v/>
      </c>
      <c r="BC76" s="2" t="str" cm="1">
        <f t="array" ref="BC76">IF('NILAI CPL'!$B76&lt;&gt;"",IFERROR(_xlfn.IFS(AF76&gt;='NILAI CPL'!$B$3,4,AF76&gt;='NILAI CPL'!$B$4,3,AF76&gt;='NILAI CPL'!$B$5,2,AF76&gt;'NILAI CPL'!$B$6,1),0),"")</f>
        <v/>
      </c>
      <c r="BD76" s="2" t="str" cm="1">
        <f t="array" ref="BD76">IF('NILAI CPL'!$B76&lt;&gt;"",IFERROR(_xlfn.IFS(AG76&gt;='NILAI CPL'!$B$3,4,AG76&gt;='NILAI CPL'!$B$4,3,AG76&gt;='NILAI CPL'!$B$5,2,AG76&gt;'NILAI CPL'!$B$6,1),0),"")</f>
        <v/>
      </c>
      <c r="BE76" s="2" t="str" cm="1">
        <f t="array" ref="BE76">IF('NILAI CPL'!$B76&lt;&gt;"",IFERROR(_xlfn.IFS(AH76&gt;='NILAI CPL'!$B$3,4,AH76&gt;='NILAI CPL'!$B$4,3,AH76&gt;='NILAI CPL'!$B$5,2,AH76&gt;'NILAI CPL'!$B$6,1),0),"")</f>
        <v/>
      </c>
      <c r="BF76" s="2" t="str" cm="1">
        <f t="array" ref="BF76">IF('NILAI CPL'!$B76&lt;&gt;"",IFERROR(_xlfn.IFS(AI76&gt;='NILAI CPL'!$B$3,4,AI76&gt;='NILAI CPL'!$B$4,3,AI76&gt;='NILAI CPL'!$B$5,2,AI76&gt;'NILAI CPL'!$B$6,1),0),"")</f>
        <v/>
      </c>
      <c r="BG76" s="2" t="str" cm="1">
        <f t="array" ref="BG76">IF('NILAI CPL'!$B76&lt;&gt;"",IFERROR(_xlfn.IFS(AJ76&gt;='NILAI CPL'!$B$3,4,AJ76&gt;='NILAI CPL'!$B$4,3,AJ76&gt;='NILAI CPL'!$B$5,2,AJ76&gt;'NILAI CPL'!$B$6,1),0),"")</f>
        <v/>
      </c>
      <c r="BH76" s="2" t="str" cm="1">
        <f t="array" ref="BH76">IF('NILAI CPL'!$B76&lt;&gt;"",IFERROR(_xlfn.IFS(AK76&gt;='NILAI CPL'!$B$3,4,AK76&gt;='NILAI CPL'!$B$4,3,AK76&gt;='NILAI CPL'!$B$5,2,AK76&gt;'NILAI CPL'!$B$6,1),0),"")</f>
        <v/>
      </c>
      <c r="BI76" s="2" t="str" cm="1">
        <f t="array" ref="BI76">IF('NILAI CPL'!$B76&lt;&gt;"",IFERROR(_xlfn.IFS(AL76&gt;='NILAI CPL'!$B$3,4,AL76&gt;='NILAI CPL'!$B$4,3,AL76&gt;='NILAI CPL'!$B$5,2,AL76&gt;'NILAI CPL'!$B$6,1),0),"")</f>
        <v/>
      </c>
      <c r="BJ76" s="2" t="str" cm="1">
        <f t="array" ref="BJ76">IF('NILAI CPL'!$B76&lt;&gt;"",IFERROR(_xlfn.IFS(AM76&gt;='NILAI CPL'!$B$3,4,AM76&gt;='NILAI CPL'!$B$4,3,AM76&gt;='NILAI CPL'!$B$5,2,AM76&gt;'NILAI CPL'!$B$6,1),0),"")</f>
        <v/>
      </c>
      <c r="BK76" s="2" t="str" cm="1">
        <f t="array" ref="BK76">IF('NILAI CPL'!$B76&lt;&gt;"",IFERROR(_xlfn.IFS(AN76&gt;='NILAI CPL'!$B$3,4,AN76&gt;='NILAI CPL'!$B$4,3,AN76&gt;='NILAI CPL'!$B$5,2,AN76&gt;'NILAI CPL'!$B$6,1),0),"")</f>
        <v/>
      </c>
    </row>
    <row r="77" spans="1:63" x14ac:dyDescent="0.2">
      <c r="A77" s="2">
        <v>67</v>
      </c>
      <c r="B77" s="2" t="str">
        <f>IF(LEN(SUMMARY!B77)&gt;0, SUMMARY!B77, "")</f>
        <v/>
      </c>
      <c r="C77" s="2" t="str">
        <f>IF(LEN(SUMMARY!C77)&gt;0, SUMMARY!C77, "")</f>
        <v/>
      </c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" t="str">
        <f t="shared" si="25"/>
        <v/>
      </c>
      <c r="S77" s="2" t="str">
        <f t="shared" si="26"/>
        <v/>
      </c>
      <c r="T77" s="2" t="str">
        <f t="shared" si="27"/>
        <v/>
      </c>
      <c r="U77" s="2" t="str">
        <f t="shared" si="28"/>
        <v/>
      </c>
      <c r="V77" s="2" t="str">
        <f t="shared" si="29"/>
        <v/>
      </c>
      <c r="W77" s="2" t="str">
        <f t="shared" si="30"/>
        <v/>
      </c>
      <c r="X77" s="2" t="str">
        <f t="shared" si="31"/>
        <v/>
      </c>
      <c r="Y77" s="2" t="str">
        <f t="shared" si="32"/>
        <v/>
      </c>
      <c r="Z77" s="2" t="str">
        <f t="shared" si="33"/>
        <v/>
      </c>
      <c r="AA77" s="2" t="str">
        <f t="shared" si="34"/>
        <v/>
      </c>
      <c r="AB77" s="2" t="str">
        <f t="shared" si="35"/>
        <v/>
      </c>
      <c r="AC77" s="2" t="str">
        <f t="shared" si="36"/>
        <v/>
      </c>
      <c r="AD77" s="2" t="str">
        <f t="shared" si="37"/>
        <v/>
      </c>
      <c r="AE77" s="2" t="str">
        <f t="shared" si="38"/>
        <v/>
      </c>
      <c r="AF77" s="2" t="str">
        <f t="shared" si="39"/>
        <v/>
      </c>
      <c r="AG77" s="2" t="str">
        <f t="shared" si="40"/>
        <v/>
      </c>
      <c r="AH77" s="2" t="str">
        <f t="shared" si="41"/>
        <v/>
      </c>
      <c r="AI77" s="2" t="str">
        <f t="shared" si="42"/>
        <v/>
      </c>
      <c r="AJ77" s="2" t="str">
        <f t="shared" si="43"/>
        <v/>
      </c>
      <c r="AK77" s="2" t="str">
        <f t="shared" si="44"/>
        <v/>
      </c>
      <c r="AL77" s="2" t="str">
        <f t="shared" si="45"/>
        <v/>
      </c>
      <c r="AM77" s="2" t="str">
        <f t="shared" si="46"/>
        <v/>
      </c>
      <c r="AN77" s="2" t="str">
        <f t="shared" si="47"/>
        <v/>
      </c>
      <c r="AP77" s="2" t="str" cm="1">
        <f t="array" ref="AP77">IF('NILAI CPL'!$B77&lt;&gt;"",IFERROR(_xlfn.IFS(S77&gt;='NILAI CPL'!$B$3,4,S77&gt;='NILAI CPL'!$B$4,3,S77&gt;='NILAI CPL'!$B$5,2,S77&gt;'NILAI CPL'!$B$6,1),0),"")</f>
        <v/>
      </c>
      <c r="AQ77" s="2" t="str" cm="1">
        <f t="array" ref="AQ77">IF('NILAI CPL'!$B77&lt;&gt;"",IFERROR(_xlfn.IFS(T77&gt;='NILAI CPL'!$B$3,4,T77&gt;='NILAI CPL'!$B$4,3,T77&gt;='NILAI CPL'!$B$5,2,T77&gt;'NILAI CPL'!$B$6,1),0),"")</f>
        <v/>
      </c>
      <c r="AR77" s="2" t="str" cm="1">
        <f t="array" ref="AR77">IF('NILAI CPL'!$B77&lt;&gt;"",IFERROR(_xlfn.IFS(U77&gt;='NILAI CPL'!$B$3,4,U77&gt;='NILAI CPL'!$B$4,3,U77&gt;='NILAI CPL'!$B$5,2,U77&gt;'NILAI CPL'!$B$6,1),0),"")</f>
        <v/>
      </c>
      <c r="AS77" s="2" t="str" cm="1">
        <f t="array" ref="AS77">IF('NILAI CPL'!$B77&lt;&gt;"",IFERROR(_xlfn.IFS(V77&gt;='NILAI CPL'!$B$3,4,V77&gt;='NILAI CPL'!$B$4,3,V77&gt;='NILAI CPL'!$B$5,2,V77&gt;'NILAI CPL'!$B$6,1),0),"")</f>
        <v/>
      </c>
      <c r="AT77" s="2" t="str" cm="1">
        <f t="array" ref="AT77">IF('NILAI CPL'!$B77&lt;&gt;"",IFERROR(_xlfn.IFS(W77&gt;='NILAI CPL'!$B$3,4,W77&gt;='NILAI CPL'!$B$4,3,W77&gt;='NILAI CPL'!$B$5,2,W77&gt;'NILAI CPL'!$B$6,1),0),"")</f>
        <v/>
      </c>
      <c r="AU77" s="2" t="str" cm="1">
        <f t="array" ref="AU77">IF('NILAI CPL'!$B77&lt;&gt;"",IFERROR(_xlfn.IFS(X77&gt;='NILAI CPL'!$B$3,4,X77&gt;='NILAI CPL'!$B$4,3,X77&gt;='NILAI CPL'!$B$5,2,X77&gt;'NILAI CPL'!$B$6,1),0),"")</f>
        <v/>
      </c>
      <c r="AV77" s="2" t="str" cm="1">
        <f t="array" ref="AV77">IF('NILAI CPL'!$B77&lt;&gt;"",IFERROR(_xlfn.IFS(Y77&gt;='NILAI CPL'!$B$3,4,Y77&gt;='NILAI CPL'!$B$4,3,Y77&gt;='NILAI CPL'!$B$5,2,Y77&gt;'NILAI CPL'!$B$6,1),0),"")</f>
        <v/>
      </c>
      <c r="AW77" s="2" t="str" cm="1">
        <f t="array" ref="AW77">IF('NILAI CPL'!$B77&lt;&gt;"",IFERROR(_xlfn.IFS(Z77&gt;='NILAI CPL'!$B$3,4,Z77&gt;='NILAI CPL'!$B$4,3,Z77&gt;='NILAI CPL'!$B$5,2,Z77&gt;'NILAI CPL'!$B$6,1),0),"")</f>
        <v/>
      </c>
      <c r="AX77" s="2" t="str" cm="1">
        <f t="array" ref="AX77">IF('NILAI CPL'!$B77&lt;&gt;"",IFERROR(_xlfn.IFS(AA77&gt;='NILAI CPL'!$B$3,4,AA77&gt;='NILAI CPL'!$B$4,3,AA77&gt;='NILAI CPL'!$B$5,2,AA77&gt;'NILAI CPL'!$B$6,1),0),"")</f>
        <v/>
      </c>
      <c r="AY77" s="2" t="str" cm="1">
        <f t="array" ref="AY77">IF('NILAI CPL'!$B77&lt;&gt;"",IFERROR(_xlfn.IFS(AB77&gt;='NILAI CPL'!$B$3,4,AB77&gt;='NILAI CPL'!$B$4,3,AB77&gt;='NILAI CPL'!$B$5,2,AB77&gt;'NILAI CPL'!$B$6,1),0),"")</f>
        <v/>
      </c>
      <c r="AZ77" s="2" t="str" cm="1">
        <f t="array" ref="AZ77">IF('NILAI CPL'!$B77&lt;&gt;"",IFERROR(_xlfn.IFS(AC77&gt;='NILAI CPL'!$B$3,4,AC77&gt;='NILAI CPL'!$B$4,3,AC77&gt;='NILAI CPL'!$B$5,2,AC77&gt;'NILAI CPL'!$B$6,1),0),"")</f>
        <v/>
      </c>
      <c r="BA77" s="2" t="str" cm="1">
        <f t="array" ref="BA77">IF('NILAI CPL'!$B77&lt;&gt;"",IFERROR(_xlfn.IFS(AD77&gt;='NILAI CPL'!$B$3,4,AD77&gt;='NILAI CPL'!$B$4,3,AD77&gt;='NILAI CPL'!$B$5,2,AD77&gt;'NILAI CPL'!$B$6,1),0),"")</f>
        <v/>
      </c>
      <c r="BB77" s="2" t="str" cm="1">
        <f t="array" ref="BB77">IF('NILAI CPL'!$B77&lt;&gt;"",IFERROR(_xlfn.IFS(AE77&gt;='NILAI CPL'!$B$3,4,AE77&gt;='NILAI CPL'!$B$4,3,AE77&gt;='NILAI CPL'!$B$5,2,AE77&gt;'NILAI CPL'!$B$6,1),0),"")</f>
        <v/>
      </c>
      <c r="BC77" s="2" t="str" cm="1">
        <f t="array" ref="BC77">IF('NILAI CPL'!$B77&lt;&gt;"",IFERROR(_xlfn.IFS(AF77&gt;='NILAI CPL'!$B$3,4,AF77&gt;='NILAI CPL'!$B$4,3,AF77&gt;='NILAI CPL'!$B$5,2,AF77&gt;'NILAI CPL'!$B$6,1),0),"")</f>
        <v/>
      </c>
      <c r="BD77" s="2" t="str" cm="1">
        <f t="array" ref="BD77">IF('NILAI CPL'!$B77&lt;&gt;"",IFERROR(_xlfn.IFS(AG77&gt;='NILAI CPL'!$B$3,4,AG77&gt;='NILAI CPL'!$B$4,3,AG77&gt;='NILAI CPL'!$B$5,2,AG77&gt;'NILAI CPL'!$B$6,1),0),"")</f>
        <v/>
      </c>
      <c r="BE77" s="2" t="str" cm="1">
        <f t="array" ref="BE77">IF('NILAI CPL'!$B77&lt;&gt;"",IFERROR(_xlfn.IFS(AH77&gt;='NILAI CPL'!$B$3,4,AH77&gt;='NILAI CPL'!$B$4,3,AH77&gt;='NILAI CPL'!$B$5,2,AH77&gt;'NILAI CPL'!$B$6,1),0),"")</f>
        <v/>
      </c>
      <c r="BF77" s="2" t="str" cm="1">
        <f t="array" ref="BF77">IF('NILAI CPL'!$B77&lt;&gt;"",IFERROR(_xlfn.IFS(AI77&gt;='NILAI CPL'!$B$3,4,AI77&gt;='NILAI CPL'!$B$4,3,AI77&gt;='NILAI CPL'!$B$5,2,AI77&gt;'NILAI CPL'!$B$6,1),0),"")</f>
        <v/>
      </c>
      <c r="BG77" s="2" t="str" cm="1">
        <f t="array" ref="BG77">IF('NILAI CPL'!$B77&lt;&gt;"",IFERROR(_xlfn.IFS(AJ77&gt;='NILAI CPL'!$B$3,4,AJ77&gt;='NILAI CPL'!$B$4,3,AJ77&gt;='NILAI CPL'!$B$5,2,AJ77&gt;'NILAI CPL'!$B$6,1),0),"")</f>
        <v/>
      </c>
      <c r="BH77" s="2" t="str" cm="1">
        <f t="array" ref="BH77">IF('NILAI CPL'!$B77&lt;&gt;"",IFERROR(_xlfn.IFS(AK77&gt;='NILAI CPL'!$B$3,4,AK77&gt;='NILAI CPL'!$B$4,3,AK77&gt;='NILAI CPL'!$B$5,2,AK77&gt;'NILAI CPL'!$B$6,1),0),"")</f>
        <v/>
      </c>
      <c r="BI77" s="2" t="str" cm="1">
        <f t="array" ref="BI77">IF('NILAI CPL'!$B77&lt;&gt;"",IFERROR(_xlfn.IFS(AL77&gt;='NILAI CPL'!$B$3,4,AL77&gt;='NILAI CPL'!$B$4,3,AL77&gt;='NILAI CPL'!$B$5,2,AL77&gt;'NILAI CPL'!$B$6,1),0),"")</f>
        <v/>
      </c>
      <c r="BJ77" s="2" t="str" cm="1">
        <f t="array" ref="BJ77">IF('NILAI CPL'!$B77&lt;&gt;"",IFERROR(_xlfn.IFS(AM77&gt;='NILAI CPL'!$B$3,4,AM77&gt;='NILAI CPL'!$B$4,3,AM77&gt;='NILAI CPL'!$B$5,2,AM77&gt;'NILAI CPL'!$B$6,1),0),"")</f>
        <v/>
      </c>
      <c r="BK77" s="2" t="str" cm="1">
        <f t="array" ref="BK77">IF('NILAI CPL'!$B77&lt;&gt;"",IFERROR(_xlfn.IFS(AN77&gt;='NILAI CPL'!$B$3,4,AN77&gt;='NILAI CPL'!$B$4,3,AN77&gt;='NILAI CPL'!$B$5,2,AN77&gt;'NILAI CPL'!$B$6,1),0),"")</f>
        <v/>
      </c>
    </row>
    <row r="78" spans="1:63" x14ac:dyDescent="0.2">
      <c r="A78" s="2">
        <v>68</v>
      </c>
      <c r="B78" s="2" t="str">
        <f>IF(LEN(SUMMARY!B78)&gt;0, SUMMARY!B78, "")</f>
        <v/>
      </c>
      <c r="C78" s="2" t="str">
        <f>IF(LEN(SUMMARY!C78)&gt;0, SUMMARY!C78, "")</f>
        <v/>
      </c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" t="str">
        <f t="shared" si="25"/>
        <v/>
      </c>
      <c r="S78" s="2" t="str">
        <f t="shared" si="26"/>
        <v/>
      </c>
      <c r="T78" s="2" t="str">
        <f t="shared" si="27"/>
        <v/>
      </c>
      <c r="U78" s="2" t="str">
        <f t="shared" si="28"/>
        <v/>
      </c>
      <c r="V78" s="2" t="str">
        <f t="shared" si="29"/>
        <v/>
      </c>
      <c r="W78" s="2" t="str">
        <f t="shared" si="30"/>
        <v/>
      </c>
      <c r="X78" s="2" t="str">
        <f t="shared" si="31"/>
        <v/>
      </c>
      <c r="Y78" s="2" t="str">
        <f t="shared" si="32"/>
        <v/>
      </c>
      <c r="Z78" s="2" t="str">
        <f t="shared" si="33"/>
        <v/>
      </c>
      <c r="AA78" s="2" t="str">
        <f t="shared" si="34"/>
        <v/>
      </c>
      <c r="AB78" s="2" t="str">
        <f t="shared" si="35"/>
        <v/>
      </c>
      <c r="AC78" s="2" t="str">
        <f t="shared" si="36"/>
        <v/>
      </c>
      <c r="AD78" s="2" t="str">
        <f t="shared" si="37"/>
        <v/>
      </c>
      <c r="AE78" s="2" t="str">
        <f t="shared" si="38"/>
        <v/>
      </c>
      <c r="AF78" s="2" t="str">
        <f t="shared" si="39"/>
        <v/>
      </c>
      <c r="AG78" s="2" t="str">
        <f t="shared" si="40"/>
        <v/>
      </c>
      <c r="AH78" s="2" t="str">
        <f t="shared" si="41"/>
        <v/>
      </c>
      <c r="AI78" s="2" t="str">
        <f t="shared" si="42"/>
        <v/>
      </c>
      <c r="AJ78" s="2" t="str">
        <f t="shared" si="43"/>
        <v/>
      </c>
      <c r="AK78" s="2" t="str">
        <f t="shared" si="44"/>
        <v/>
      </c>
      <c r="AL78" s="2" t="str">
        <f t="shared" si="45"/>
        <v/>
      </c>
      <c r="AM78" s="2" t="str">
        <f t="shared" si="46"/>
        <v/>
      </c>
      <c r="AN78" s="2" t="str">
        <f t="shared" si="47"/>
        <v/>
      </c>
      <c r="AP78" s="2" t="str" cm="1">
        <f t="array" ref="AP78">IF('NILAI CPL'!$B78&lt;&gt;"",IFERROR(_xlfn.IFS(S78&gt;='NILAI CPL'!$B$3,4,S78&gt;='NILAI CPL'!$B$4,3,S78&gt;='NILAI CPL'!$B$5,2,S78&gt;'NILAI CPL'!$B$6,1),0),"")</f>
        <v/>
      </c>
      <c r="AQ78" s="2" t="str" cm="1">
        <f t="array" ref="AQ78">IF('NILAI CPL'!$B78&lt;&gt;"",IFERROR(_xlfn.IFS(T78&gt;='NILAI CPL'!$B$3,4,T78&gt;='NILAI CPL'!$B$4,3,T78&gt;='NILAI CPL'!$B$5,2,T78&gt;'NILAI CPL'!$B$6,1),0),"")</f>
        <v/>
      </c>
      <c r="AR78" s="2" t="str" cm="1">
        <f t="array" ref="AR78">IF('NILAI CPL'!$B78&lt;&gt;"",IFERROR(_xlfn.IFS(U78&gt;='NILAI CPL'!$B$3,4,U78&gt;='NILAI CPL'!$B$4,3,U78&gt;='NILAI CPL'!$B$5,2,U78&gt;'NILAI CPL'!$B$6,1),0),"")</f>
        <v/>
      </c>
      <c r="AS78" s="2" t="str" cm="1">
        <f t="array" ref="AS78">IF('NILAI CPL'!$B78&lt;&gt;"",IFERROR(_xlfn.IFS(V78&gt;='NILAI CPL'!$B$3,4,V78&gt;='NILAI CPL'!$B$4,3,V78&gt;='NILAI CPL'!$B$5,2,V78&gt;'NILAI CPL'!$B$6,1),0),"")</f>
        <v/>
      </c>
      <c r="AT78" s="2" t="str" cm="1">
        <f t="array" ref="AT78">IF('NILAI CPL'!$B78&lt;&gt;"",IFERROR(_xlfn.IFS(W78&gt;='NILAI CPL'!$B$3,4,W78&gt;='NILAI CPL'!$B$4,3,W78&gt;='NILAI CPL'!$B$5,2,W78&gt;'NILAI CPL'!$B$6,1),0),"")</f>
        <v/>
      </c>
      <c r="AU78" s="2" t="str" cm="1">
        <f t="array" ref="AU78">IF('NILAI CPL'!$B78&lt;&gt;"",IFERROR(_xlfn.IFS(X78&gt;='NILAI CPL'!$B$3,4,X78&gt;='NILAI CPL'!$B$4,3,X78&gt;='NILAI CPL'!$B$5,2,X78&gt;'NILAI CPL'!$B$6,1),0),"")</f>
        <v/>
      </c>
      <c r="AV78" s="2" t="str" cm="1">
        <f t="array" ref="AV78">IF('NILAI CPL'!$B78&lt;&gt;"",IFERROR(_xlfn.IFS(Y78&gt;='NILAI CPL'!$B$3,4,Y78&gt;='NILAI CPL'!$B$4,3,Y78&gt;='NILAI CPL'!$B$5,2,Y78&gt;'NILAI CPL'!$B$6,1),0),"")</f>
        <v/>
      </c>
      <c r="AW78" s="2" t="str" cm="1">
        <f t="array" ref="AW78">IF('NILAI CPL'!$B78&lt;&gt;"",IFERROR(_xlfn.IFS(Z78&gt;='NILAI CPL'!$B$3,4,Z78&gt;='NILAI CPL'!$B$4,3,Z78&gt;='NILAI CPL'!$B$5,2,Z78&gt;'NILAI CPL'!$B$6,1),0),"")</f>
        <v/>
      </c>
      <c r="AX78" s="2" t="str" cm="1">
        <f t="array" ref="AX78">IF('NILAI CPL'!$B78&lt;&gt;"",IFERROR(_xlfn.IFS(AA78&gt;='NILAI CPL'!$B$3,4,AA78&gt;='NILAI CPL'!$B$4,3,AA78&gt;='NILAI CPL'!$B$5,2,AA78&gt;'NILAI CPL'!$B$6,1),0),"")</f>
        <v/>
      </c>
      <c r="AY78" s="2" t="str" cm="1">
        <f t="array" ref="AY78">IF('NILAI CPL'!$B78&lt;&gt;"",IFERROR(_xlfn.IFS(AB78&gt;='NILAI CPL'!$B$3,4,AB78&gt;='NILAI CPL'!$B$4,3,AB78&gt;='NILAI CPL'!$B$5,2,AB78&gt;'NILAI CPL'!$B$6,1),0),"")</f>
        <v/>
      </c>
      <c r="AZ78" s="2" t="str" cm="1">
        <f t="array" ref="AZ78">IF('NILAI CPL'!$B78&lt;&gt;"",IFERROR(_xlfn.IFS(AC78&gt;='NILAI CPL'!$B$3,4,AC78&gt;='NILAI CPL'!$B$4,3,AC78&gt;='NILAI CPL'!$B$5,2,AC78&gt;'NILAI CPL'!$B$6,1),0),"")</f>
        <v/>
      </c>
      <c r="BA78" s="2" t="str" cm="1">
        <f t="array" ref="BA78">IF('NILAI CPL'!$B78&lt;&gt;"",IFERROR(_xlfn.IFS(AD78&gt;='NILAI CPL'!$B$3,4,AD78&gt;='NILAI CPL'!$B$4,3,AD78&gt;='NILAI CPL'!$B$5,2,AD78&gt;'NILAI CPL'!$B$6,1),0),"")</f>
        <v/>
      </c>
      <c r="BB78" s="2" t="str" cm="1">
        <f t="array" ref="BB78">IF('NILAI CPL'!$B78&lt;&gt;"",IFERROR(_xlfn.IFS(AE78&gt;='NILAI CPL'!$B$3,4,AE78&gt;='NILAI CPL'!$B$4,3,AE78&gt;='NILAI CPL'!$B$5,2,AE78&gt;'NILAI CPL'!$B$6,1),0),"")</f>
        <v/>
      </c>
      <c r="BC78" s="2" t="str" cm="1">
        <f t="array" ref="BC78">IF('NILAI CPL'!$B78&lt;&gt;"",IFERROR(_xlfn.IFS(AF78&gt;='NILAI CPL'!$B$3,4,AF78&gt;='NILAI CPL'!$B$4,3,AF78&gt;='NILAI CPL'!$B$5,2,AF78&gt;'NILAI CPL'!$B$6,1),0),"")</f>
        <v/>
      </c>
      <c r="BD78" s="2" t="str" cm="1">
        <f t="array" ref="BD78">IF('NILAI CPL'!$B78&lt;&gt;"",IFERROR(_xlfn.IFS(AG78&gt;='NILAI CPL'!$B$3,4,AG78&gt;='NILAI CPL'!$B$4,3,AG78&gt;='NILAI CPL'!$B$5,2,AG78&gt;'NILAI CPL'!$B$6,1),0),"")</f>
        <v/>
      </c>
      <c r="BE78" s="2" t="str" cm="1">
        <f t="array" ref="BE78">IF('NILAI CPL'!$B78&lt;&gt;"",IFERROR(_xlfn.IFS(AH78&gt;='NILAI CPL'!$B$3,4,AH78&gt;='NILAI CPL'!$B$4,3,AH78&gt;='NILAI CPL'!$B$5,2,AH78&gt;'NILAI CPL'!$B$6,1),0),"")</f>
        <v/>
      </c>
      <c r="BF78" s="2" t="str" cm="1">
        <f t="array" ref="BF78">IF('NILAI CPL'!$B78&lt;&gt;"",IFERROR(_xlfn.IFS(AI78&gt;='NILAI CPL'!$B$3,4,AI78&gt;='NILAI CPL'!$B$4,3,AI78&gt;='NILAI CPL'!$B$5,2,AI78&gt;'NILAI CPL'!$B$6,1),0),"")</f>
        <v/>
      </c>
      <c r="BG78" s="2" t="str" cm="1">
        <f t="array" ref="BG78">IF('NILAI CPL'!$B78&lt;&gt;"",IFERROR(_xlfn.IFS(AJ78&gt;='NILAI CPL'!$B$3,4,AJ78&gt;='NILAI CPL'!$B$4,3,AJ78&gt;='NILAI CPL'!$B$5,2,AJ78&gt;'NILAI CPL'!$B$6,1),0),"")</f>
        <v/>
      </c>
      <c r="BH78" s="2" t="str" cm="1">
        <f t="array" ref="BH78">IF('NILAI CPL'!$B78&lt;&gt;"",IFERROR(_xlfn.IFS(AK78&gt;='NILAI CPL'!$B$3,4,AK78&gt;='NILAI CPL'!$B$4,3,AK78&gt;='NILAI CPL'!$B$5,2,AK78&gt;'NILAI CPL'!$B$6,1),0),"")</f>
        <v/>
      </c>
      <c r="BI78" s="2" t="str" cm="1">
        <f t="array" ref="BI78">IF('NILAI CPL'!$B78&lt;&gt;"",IFERROR(_xlfn.IFS(AL78&gt;='NILAI CPL'!$B$3,4,AL78&gt;='NILAI CPL'!$B$4,3,AL78&gt;='NILAI CPL'!$B$5,2,AL78&gt;'NILAI CPL'!$B$6,1),0),"")</f>
        <v/>
      </c>
      <c r="BJ78" s="2" t="str" cm="1">
        <f t="array" ref="BJ78">IF('NILAI CPL'!$B78&lt;&gt;"",IFERROR(_xlfn.IFS(AM78&gt;='NILAI CPL'!$B$3,4,AM78&gt;='NILAI CPL'!$B$4,3,AM78&gt;='NILAI CPL'!$B$5,2,AM78&gt;'NILAI CPL'!$B$6,1),0),"")</f>
        <v/>
      </c>
      <c r="BK78" s="2" t="str" cm="1">
        <f t="array" ref="BK78">IF('NILAI CPL'!$B78&lt;&gt;"",IFERROR(_xlfn.IFS(AN78&gt;='NILAI CPL'!$B$3,4,AN78&gt;='NILAI CPL'!$B$4,3,AN78&gt;='NILAI CPL'!$B$5,2,AN78&gt;'NILAI CPL'!$B$6,1),0),"")</f>
        <v/>
      </c>
    </row>
    <row r="79" spans="1:63" x14ac:dyDescent="0.2">
      <c r="A79" s="2">
        <v>69</v>
      </c>
      <c r="B79" s="2" t="str">
        <f>IF(LEN(SUMMARY!B79)&gt;0, SUMMARY!B79, "")</f>
        <v/>
      </c>
      <c r="C79" s="2" t="str">
        <f>IF(LEN(SUMMARY!C79)&gt;0, SUMMARY!C79, "")</f>
        <v/>
      </c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" t="str">
        <f t="shared" si="25"/>
        <v/>
      </c>
      <c r="S79" s="2" t="str">
        <f t="shared" si="26"/>
        <v/>
      </c>
      <c r="T79" s="2" t="str">
        <f t="shared" si="27"/>
        <v/>
      </c>
      <c r="U79" s="2" t="str">
        <f t="shared" si="28"/>
        <v/>
      </c>
      <c r="V79" s="2" t="str">
        <f t="shared" si="29"/>
        <v/>
      </c>
      <c r="W79" s="2" t="str">
        <f t="shared" si="30"/>
        <v/>
      </c>
      <c r="X79" s="2" t="str">
        <f t="shared" si="31"/>
        <v/>
      </c>
      <c r="Y79" s="2" t="str">
        <f t="shared" si="32"/>
        <v/>
      </c>
      <c r="Z79" s="2" t="str">
        <f t="shared" si="33"/>
        <v/>
      </c>
      <c r="AA79" s="2" t="str">
        <f t="shared" si="34"/>
        <v/>
      </c>
      <c r="AB79" s="2" t="str">
        <f t="shared" si="35"/>
        <v/>
      </c>
      <c r="AC79" s="2" t="str">
        <f t="shared" si="36"/>
        <v/>
      </c>
      <c r="AD79" s="2" t="str">
        <f t="shared" si="37"/>
        <v/>
      </c>
      <c r="AE79" s="2" t="str">
        <f t="shared" si="38"/>
        <v/>
      </c>
      <c r="AF79" s="2" t="str">
        <f t="shared" si="39"/>
        <v/>
      </c>
      <c r="AG79" s="2" t="str">
        <f t="shared" si="40"/>
        <v/>
      </c>
      <c r="AH79" s="2" t="str">
        <f t="shared" si="41"/>
        <v/>
      </c>
      <c r="AI79" s="2" t="str">
        <f t="shared" si="42"/>
        <v/>
      </c>
      <c r="AJ79" s="2" t="str">
        <f t="shared" si="43"/>
        <v/>
      </c>
      <c r="AK79" s="2" t="str">
        <f t="shared" si="44"/>
        <v/>
      </c>
      <c r="AL79" s="2" t="str">
        <f t="shared" si="45"/>
        <v/>
      </c>
      <c r="AM79" s="2" t="str">
        <f t="shared" si="46"/>
        <v/>
      </c>
      <c r="AN79" s="2" t="str">
        <f t="shared" si="47"/>
        <v/>
      </c>
      <c r="AP79" s="2" t="str" cm="1">
        <f t="array" ref="AP79">IF('NILAI CPL'!$B79&lt;&gt;"",IFERROR(_xlfn.IFS(S79&gt;='NILAI CPL'!$B$3,4,S79&gt;='NILAI CPL'!$B$4,3,S79&gt;='NILAI CPL'!$B$5,2,S79&gt;'NILAI CPL'!$B$6,1),0),"")</f>
        <v/>
      </c>
      <c r="AQ79" s="2" t="str" cm="1">
        <f t="array" ref="AQ79">IF('NILAI CPL'!$B79&lt;&gt;"",IFERROR(_xlfn.IFS(T79&gt;='NILAI CPL'!$B$3,4,T79&gt;='NILAI CPL'!$B$4,3,T79&gt;='NILAI CPL'!$B$5,2,T79&gt;'NILAI CPL'!$B$6,1),0),"")</f>
        <v/>
      </c>
      <c r="AR79" s="2" t="str" cm="1">
        <f t="array" ref="AR79">IF('NILAI CPL'!$B79&lt;&gt;"",IFERROR(_xlfn.IFS(U79&gt;='NILAI CPL'!$B$3,4,U79&gt;='NILAI CPL'!$B$4,3,U79&gt;='NILAI CPL'!$B$5,2,U79&gt;'NILAI CPL'!$B$6,1),0),"")</f>
        <v/>
      </c>
      <c r="AS79" s="2" t="str" cm="1">
        <f t="array" ref="AS79">IF('NILAI CPL'!$B79&lt;&gt;"",IFERROR(_xlfn.IFS(V79&gt;='NILAI CPL'!$B$3,4,V79&gt;='NILAI CPL'!$B$4,3,V79&gt;='NILAI CPL'!$B$5,2,V79&gt;'NILAI CPL'!$B$6,1),0),"")</f>
        <v/>
      </c>
      <c r="AT79" s="2" t="str" cm="1">
        <f t="array" ref="AT79">IF('NILAI CPL'!$B79&lt;&gt;"",IFERROR(_xlfn.IFS(W79&gt;='NILAI CPL'!$B$3,4,W79&gt;='NILAI CPL'!$B$4,3,W79&gt;='NILAI CPL'!$B$5,2,W79&gt;'NILAI CPL'!$B$6,1),0),"")</f>
        <v/>
      </c>
      <c r="AU79" s="2" t="str" cm="1">
        <f t="array" ref="AU79">IF('NILAI CPL'!$B79&lt;&gt;"",IFERROR(_xlfn.IFS(X79&gt;='NILAI CPL'!$B$3,4,X79&gt;='NILAI CPL'!$B$4,3,X79&gt;='NILAI CPL'!$B$5,2,X79&gt;'NILAI CPL'!$B$6,1),0),"")</f>
        <v/>
      </c>
      <c r="AV79" s="2" t="str" cm="1">
        <f t="array" ref="AV79">IF('NILAI CPL'!$B79&lt;&gt;"",IFERROR(_xlfn.IFS(Y79&gt;='NILAI CPL'!$B$3,4,Y79&gt;='NILAI CPL'!$B$4,3,Y79&gt;='NILAI CPL'!$B$5,2,Y79&gt;'NILAI CPL'!$B$6,1),0),"")</f>
        <v/>
      </c>
      <c r="AW79" s="2" t="str" cm="1">
        <f t="array" ref="AW79">IF('NILAI CPL'!$B79&lt;&gt;"",IFERROR(_xlfn.IFS(Z79&gt;='NILAI CPL'!$B$3,4,Z79&gt;='NILAI CPL'!$B$4,3,Z79&gt;='NILAI CPL'!$B$5,2,Z79&gt;'NILAI CPL'!$B$6,1),0),"")</f>
        <v/>
      </c>
      <c r="AX79" s="2" t="str" cm="1">
        <f t="array" ref="AX79">IF('NILAI CPL'!$B79&lt;&gt;"",IFERROR(_xlfn.IFS(AA79&gt;='NILAI CPL'!$B$3,4,AA79&gt;='NILAI CPL'!$B$4,3,AA79&gt;='NILAI CPL'!$B$5,2,AA79&gt;'NILAI CPL'!$B$6,1),0),"")</f>
        <v/>
      </c>
      <c r="AY79" s="2" t="str" cm="1">
        <f t="array" ref="AY79">IF('NILAI CPL'!$B79&lt;&gt;"",IFERROR(_xlfn.IFS(AB79&gt;='NILAI CPL'!$B$3,4,AB79&gt;='NILAI CPL'!$B$4,3,AB79&gt;='NILAI CPL'!$B$5,2,AB79&gt;'NILAI CPL'!$B$6,1),0),"")</f>
        <v/>
      </c>
      <c r="AZ79" s="2" t="str" cm="1">
        <f t="array" ref="AZ79">IF('NILAI CPL'!$B79&lt;&gt;"",IFERROR(_xlfn.IFS(AC79&gt;='NILAI CPL'!$B$3,4,AC79&gt;='NILAI CPL'!$B$4,3,AC79&gt;='NILAI CPL'!$B$5,2,AC79&gt;'NILAI CPL'!$B$6,1),0),"")</f>
        <v/>
      </c>
      <c r="BA79" s="2" t="str" cm="1">
        <f t="array" ref="BA79">IF('NILAI CPL'!$B79&lt;&gt;"",IFERROR(_xlfn.IFS(AD79&gt;='NILAI CPL'!$B$3,4,AD79&gt;='NILAI CPL'!$B$4,3,AD79&gt;='NILAI CPL'!$B$5,2,AD79&gt;'NILAI CPL'!$B$6,1),0),"")</f>
        <v/>
      </c>
      <c r="BB79" s="2" t="str" cm="1">
        <f t="array" ref="BB79">IF('NILAI CPL'!$B79&lt;&gt;"",IFERROR(_xlfn.IFS(AE79&gt;='NILAI CPL'!$B$3,4,AE79&gt;='NILAI CPL'!$B$4,3,AE79&gt;='NILAI CPL'!$B$5,2,AE79&gt;'NILAI CPL'!$B$6,1),0),"")</f>
        <v/>
      </c>
      <c r="BC79" s="2" t="str" cm="1">
        <f t="array" ref="BC79">IF('NILAI CPL'!$B79&lt;&gt;"",IFERROR(_xlfn.IFS(AF79&gt;='NILAI CPL'!$B$3,4,AF79&gt;='NILAI CPL'!$B$4,3,AF79&gt;='NILAI CPL'!$B$5,2,AF79&gt;'NILAI CPL'!$B$6,1),0),"")</f>
        <v/>
      </c>
      <c r="BD79" s="2" t="str" cm="1">
        <f t="array" ref="BD79">IF('NILAI CPL'!$B79&lt;&gt;"",IFERROR(_xlfn.IFS(AG79&gt;='NILAI CPL'!$B$3,4,AG79&gt;='NILAI CPL'!$B$4,3,AG79&gt;='NILAI CPL'!$B$5,2,AG79&gt;'NILAI CPL'!$B$6,1),0),"")</f>
        <v/>
      </c>
      <c r="BE79" s="2" t="str" cm="1">
        <f t="array" ref="BE79">IF('NILAI CPL'!$B79&lt;&gt;"",IFERROR(_xlfn.IFS(AH79&gt;='NILAI CPL'!$B$3,4,AH79&gt;='NILAI CPL'!$B$4,3,AH79&gt;='NILAI CPL'!$B$5,2,AH79&gt;'NILAI CPL'!$B$6,1),0),"")</f>
        <v/>
      </c>
      <c r="BF79" s="2" t="str" cm="1">
        <f t="array" ref="BF79">IF('NILAI CPL'!$B79&lt;&gt;"",IFERROR(_xlfn.IFS(AI79&gt;='NILAI CPL'!$B$3,4,AI79&gt;='NILAI CPL'!$B$4,3,AI79&gt;='NILAI CPL'!$B$5,2,AI79&gt;'NILAI CPL'!$B$6,1),0),"")</f>
        <v/>
      </c>
      <c r="BG79" s="2" t="str" cm="1">
        <f t="array" ref="BG79">IF('NILAI CPL'!$B79&lt;&gt;"",IFERROR(_xlfn.IFS(AJ79&gt;='NILAI CPL'!$B$3,4,AJ79&gt;='NILAI CPL'!$B$4,3,AJ79&gt;='NILAI CPL'!$B$5,2,AJ79&gt;'NILAI CPL'!$B$6,1),0),"")</f>
        <v/>
      </c>
      <c r="BH79" s="2" t="str" cm="1">
        <f t="array" ref="BH79">IF('NILAI CPL'!$B79&lt;&gt;"",IFERROR(_xlfn.IFS(AK79&gt;='NILAI CPL'!$B$3,4,AK79&gt;='NILAI CPL'!$B$4,3,AK79&gt;='NILAI CPL'!$B$5,2,AK79&gt;'NILAI CPL'!$B$6,1),0),"")</f>
        <v/>
      </c>
      <c r="BI79" s="2" t="str" cm="1">
        <f t="array" ref="BI79">IF('NILAI CPL'!$B79&lt;&gt;"",IFERROR(_xlfn.IFS(AL79&gt;='NILAI CPL'!$B$3,4,AL79&gt;='NILAI CPL'!$B$4,3,AL79&gt;='NILAI CPL'!$B$5,2,AL79&gt;'NILAI CPL'!$B$6,1),0),"")</f>
        <v/>
      </c>
      <c r="BJ79" s="2" t="str" cm="1">
        <f t="array" ref="BJ79">IF('NILAI CPL'!$B79&lt;&gt;"",IFERROR(_xlfn.IFS(AM79&gt;='NILAI CPL'!$B$3,4,AM79&gt;='NILAI CPL'!$B$4,3,AM79&gt;='NILAI CPL'!$B$5,2,AM79&gt;'NILAI CPL'!$B$6,1),0),"")</f>
        <v/>
      </c>
      <c r="BK79" s="2" t="str" cm="1">
        <f t="array" ref="BK79">IF('NILAI CPL'!$B79&lt;&gt;"",IFERROR(_xlfn.IFS(AN79&gt;='NILAI CPL'!$B$3,4,AN79&gt;='NILAI CPL'!$B$4,3,AN79&gt;='NILAI CPL'!$B$5,2,AN79&gt;'NILAI CPL'!$B$6,1),0),"")</f>
        <v/>
      </c>
    </row>
    <row r="80" spans="1:63" x14ac:dyDescent="0.2">
      <c r="A80" s="2">
        <v>70</v>
      </c>
      <c r="B80" s="2" t="str">
        <f>IF(LEN(SUMMARY!B80)&gt;0, SUMMARY!B80, "")</f>
        <v/>
      </c>
      <c r="C80" s="2" t="str">
        <f>IF(LEN(SUMMARY!C80)&gt;0, SUMMARY!C80, "")</f>
        <v/>
      </c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" t="str">
        <f t="shared" si="25"/>
        <v/>
      </c>
      <c r="S80" s="2" t="str">
        <f t="shared" si="26"/>
        <v/>
      </c>
      <c r="T80" s="2" t="str">
        <f t="shared" si="27"/>
        <v/>
      </c>
      <c r="U80" s="2" t="str">
        <f t="shared" si="28"/>
        <v/>
      </c>
      <c r="V80" s="2" t="str">
        <f t="shared" si="29"/>
        <v/>
      </c>
      <c r="W80" s="2" t="str">
        <f t="shared" si="30"/>
        <v/>
      </c>
      <c r="X80" s="2" t="str">
        <f t="shared" si="31"/>
        <v/>
      </c>
      <c r="Y80" s="2" t="str">
        <f t="shared" si="32"/>
        <v/>
      </c>
      <c r="Z80" s="2" t="str">
        <f t="shared" si="33"/>
        <v/>
      </c>
      <c r="AA80" s="2" t="str">
        <f t="shared" si="34"/>
        <v/>
      </c>
      <c r="AB80" s="2" t="str">
        <f t="shared" si="35"/>
        <v/>
      </c>
      <c r="AC80" s="2" t="str">
        <f t="shared" si="36"/>
        <v/>
      </c>
      <c r="AD80" s="2" t="str">
        <f t="shared" si="37"/>
        <v/>
      </c>
      <c r="AE80" s="2" t="str">
        <f t="shared" si="38"/>
        <v/>
      </c>
      <c r="AF80" s="2" t="str">
        <f t="shared" si="39"/>
        <v/>
      </c>
      <c r="AG80" s="2" t="str">
        <f t="shared" si="40"/>
        <v/>
      </c>
      <c r="AH80" s="2" t="str">
        <f t="shared" si="41"/>
        <v/>
      </c>
      <c r="AI80" s="2" t="str">
        <f t="shared" si="42"/>
        <v/>
      </c>
      <c r="AJ80" s="2" t="str">
        <f t="shared" si="43"/>
        <v/>
      </c>
      <c r="AK80" s="2" t="str">
        <f t="shared" si="44"/>
        <v/>
      </c>
      <c r="AL80" s="2" t="str">
        <f t="shared" si="45"/>
        <v/>
      </c>
      <c r="AM80" s="2" t="str">
        <f t="shared" si="46"/>
        <v/>
      </c>
      <c r="AN80" s="2" t="str">
        <f t="shared" si="47"/>
        <v/>
      </c>
      <c r="AP80" s="2" t="str" cm="1">
        <f t="array" ref="AP80">IF('NILAI CPL'!$B80&lt;&gt;"",IFERROR(_xlfn.IFS(S80&gt;='NILAI CPL'!$B$3,4,S80&gt;='NILAI CPL'!$B$4,3,S80&gt;='NILAI CPL'!$B$5,2,S80&gt;'NILAI CPL'!$B$6,1),0),"")</f>
        <v/>
      </c>
      <c r="AQ80" s="2" t="str" cm="1">
        <f t="array" ref="AQ80">IF('NILAI CPL'!$B80&lt;&gt;"",IFERROR(_xlfn.IFS(T80&gt;='NILAI CPL'!$B$3,4,T80&gt;='NILAI CPL'!$B$4,3,T80&gt;='NILAI CPL'!$B$5,2,T80&gt;'NILAI CPL'!$B$6,1),0),"")</f>
        <v/>
      </c>
      <c r="AR80" s="2" t="str" cm="1">
        <f t="array" ref="AR80">IF('NILAI CPL'!$B80&lt;&gt;"",IFERROR(_xlfn.IFS(U80&gt;='NILAI CPL'!$B$3,4,U80&gt;='NILAI CPL'!$B$4,3,U80&gt;='NILAI CPL'!$B$5,2,U80&gt;'NILAI CPL'!$B$6,1),0),"")</f>
        <v/>
      </c>
      <c r="AS80" s="2" t="str" cm="1">
        <f t="array" ref="AS80">IF('NILAI CPL'!$B80&lt;&gt;"",IFERROR(_xlfn.IFS(V80&gt;='NILAI CPL'!$B$3,4,V80&gt;='NILAI CPL'!$B$4,3,V80&gt;='NILAI CPL'!$B$5,2,V80&gt;'NILAI CPL'!$B$6,1),0),"")</f>
        <v/>
      </c>
      <c r="AT80" s="2" t="str" cm="1">
        <f t="array" ref="AT80">IF('NILAI CPL'!$B80&lt;&gt;"",IFERROR(_xlfn.IFS(W80&gt;='NILAI CPL'!$B$3,4,W80&gt;='NILAI CPL'!$B$4,3,W80&gt;='NILAI CPL'!$B$5,2,W80&gt;'NILAI CPL'!$B$6,1),0),"")</f>
        <v/>
      </c>
      <c r="AU80" s="2" t="str" cm="1">
        <f t="array" ref="AU80">IF('NILAI CPL'!$B80&lt;&gt;"",IFERROR(_xlfn.IFS(X80&gt;='NILAI CPL'!$B$3,4,X80&gt;='NILAI CPL'!$B$4,3,X80&gt;='NILAI CPL'!$B$5,2,X80&gt;'NILAI CPL'!$B$6,1),0),"")</f>
        <v/>
      </c>
      <c r="AV80" s="2" t="str" cm="1">
        <f t="array" ref="AV80">IF('NILAI CPL'!$B80&lt;&gt;"",IFERROR(_xlfn.IFS(Y80&gt;='NILAI CPL'!$B$3,4,Y80&gt;='NILAI CPL'!$B$4,3,Y80&gt;='NILAI CPL'!$B$5,2,Y80&gt;'NILAI CPL'!$B$6,1),0),"")</f>
        <v/>
      </c>
      <c r="AW80" s="2" t="str" cm="1">
        <f t="array" ref="AW80">IF('NILAI CPL'!$B80&lt;&gt;"",IFERROR(_xlfn.IFS(Z80&gt;='NILAI CPL'!$B$3,4,Z80&gt;='NILAI CPL'!$B$4,3,Z80&gt;='NILAI CPL'!$B$5,2,Z80&gt;'NILAI CPL'!$B$6,1),0),"")</f>
        <v/>
      </c>
      <c r="AX80" s="2" t="str" cm="1">
        <f t="array" ref="AX80">IF('NILAI CPL'!$B80&lt;&gt;"",IFERROR(_xlfn.IFS(AA80&gt;='NILAI CPL'!$B$3,4,AA80&gt;='NILAI CPL'!$B$4,3,AA80&gt;='NILAI CPL'!$B$5,2,AA80&gt;'NILAI CPL'!$B$6,1),0),"")</f>
        <v/>
      </c>
      <c r="AY80" s="2" t="str" cm="1">
        <f t="array" ref="AY80">IF('NILAI CPL'!$B80&lt;&gt;"",IFERROR(_xlfn.IFS(AB80&gt;='NILAI CPL'!$B$3,4,AB80&gt;='NILAI CPL'!$B$4,3,AB80&gt;='NILAI CPL'!$B$5,2,AB80&gt;'NILAI CPL'!$B$6,1),0),"")</f>
        <v/>
      </c>
      <c r="AZ80" s="2" t="str" cm="1">
        <f t="array" ref="AZ80">IF('NILAI CPL'!$B80&lt;&gt;"",IFERROR(_xlfn.IFS(AC80&gt;='NILAI CPL'!$B$3,4,AC80&gt;='NILAI CPL'!$B$4,3,AC80&gt;='NILAI CPL'!$B$5,2,AC80&gt;'NILAI CPL'!$B$6,1),0),"")</f>
        <v/>
      </c>
      <c r="BA80" s="2" t="str" cm="1">
        <f t="array" ref="BA80">IF('NILAI CPL'!$B80&lt;&gt;"",IFERROR(_xlfn.IFS(AD80&gt;='NILAI CPL'!$B$3,4,AD80&gt;='NILAI CPL'!$B$4,3,AD80&gt;='NILAI CPL'!$B$5,2,AD80&gt;'NILAI CPL'!$B$6,1),0),"")</f>
        <v/>
      </c>
      <c r="BB80" s="2" t="str" cm="1">
        <f t="array" ref="BB80">IF('NILAI CPL'!$B80&lt;&gt;"",IFERROR(_xlfn.IFS(AE80&gt;='NILAI CPL'!$B$3,4,AE80&gt;='NILAI CPL'!$B$4,3,AE80&gt;='NILAI CPL'!$B$5,2,AE80&gt;'NILAI CPL'!$B$6,1),0),"")</f>
        <v/>
      </c>
      <c r="BC80" s="2" t="str" cm="1">
        <f t="array" ref="BC80">IF('NILAI CPL'!$B80&lt;&gt;"",IFERROR(_xlfn.IFS(AF80&gt;='NILAI CPL'!$B$3,4,AF80&gt;='NILAI CPL'!$B$4,3,AF80&gt;='NILAI CPL'!$B$5,2,AF80&gt;'NILAI CPL'!$B$6,1),0),"")</f>
        <v/>
      </c>
      <c r="BD80" s="2" t="str" cm="1">
        <f t="array" ref="BD80">IF('NILAI CPL'!$B80&lt;&gt;"",IFERROR(_xlfn.IFS(AG80&gt;='NILAI CPL'!$B$3,4,AG80&gt;='NILAI CPL'!$B$4,3,AG80&gt;='NILAI CPL'!$B$5,2,AG80&gt;'NILAI CPL'!$B$6,1),0),"")</f>
        <v/>
      </c>
      <c r="BE80" s="2" t="str" cm="1">
        <f t="array" ref="BE80">IF('NILAI CPL'!$B80&lt;&gt;"",IFERROR(_xlfn.IFS(AH80&gt;='NILAI CPL'!$B$3,4,AH80&gt;='NILAI CPL'!$B$4,3,AH80&gt;='NILAI CPL'!$B$5,2,AH80&gt;'NILAI CPL'!$B$6,1),0),"")</f>
        <v/>
      </c>
      <c r="BF80" s="2" t="str" cm="1">
        <f t="array" ref="BF80">IF('NILAI CPL'!$B80&lt;&gt;"",IFERROR(_xlfn.IFS(AI80&gt;='NILAI CPL'!$B$3,4,AI80&gt;='NILAI CPL'!$B$4,3,AI80&gt;='NILAI CPL'!$B$5,2,AI80&gt;'NILAI CPL'!$B$6,1),0),"")</f>
        <v/>
      </c>
      <c r="BG80" s="2" t="str" cm="1">
        <f t="array" ref="BG80">IF('NILAI CPL'!$B80&lt;&gt;"",IFERROR(_xlfn.IFS(AJ80&gt;='NILAI CPL'!$B$3,4,AJ80&gt;='NILAI CPL'!$B$4,3,AJ80&gt;='NILAI CPL'!$B$5,2,AJ80&gt;'NILAI CPL'!$B$6,1),0),"")</f>
        <v/>
      </c>
      <c r="BH80" s="2" t="str" cm="1">
        <f t="array" ref="BH80">IF('NILAI CPL'!$B80&lt;&gt;"",IFERROR(_xlfn.IFS(AK80&gt;='NILAI CPL'!$B$3,4,AK80&gt;='NILAI CPL'!$B$4,3,AK80&gt;='NILAI CPL'!$B$5,2,AK80&gt;'NILAI CPL'!$B$6,1),0),"")</f>
        <v/>
      </c>
      <c r="BI80" s="2" t="str" cm="1">
        <f t="array" ref="BI80">IF('NILAI CPL'!$B80&lt;&gt;"",IFERROR(_xlfn.IFS(AL80&gt;='NILAI CPL'!$B$3,4,AL80&gt;='NILAI CPL'!$B$4,3,AL80&gt;='NILAI CPL'!$B$5,2,AL80&gt;'NILAI CPL'!$B$6,1),0),"")</f>
        <v/>
      </c>
      <c r="BJ80" s="2" t="str" cm="1">
        <f t="array" ref="BJ80">IF('NILAI CPL'!$B80&lt;&gt;"",IFERROR(_xlfn.IFS(AM80&gt;='NILAI CPL'!$B$3,4,AM80&gt;='NILAI CPL'!$B$4,3,AM80&gt;='NILAI CPL'!$B$5,2,AM80&gt;'NILAI CPL'!$B$6,1),0),"")</f>
        <v/>
      </c>
      <c r="BK80" s="2" t="str" cm="1">
        <f t="array" ref="BK80">IF('NILAI CPL'!$B80&lt;&gt;"",IFERROR(_xlfn.IFS(AN80&gt;='NILAI CPL'!$B$3,4,AN80&gt;='NILAI CPL'!$B$4,3,AN80&gt;='NILAI CPL'!$B$5,2,AN80&gt;'NILAI CPL'!$B$6,1),0),"")</f>
        <v/>
      </c>
    </row>
    <row r="81" spans="1:63" x14ac:dyDescent="0.2">
      <c r="A81" s="2">
        <v>71</v>
      </c>
      <c r="B81" s="2" t="str">
        <f>IF(LEN(SUMMARY!B81)&gt;0, SUMMARY!B81, "")</f>
        <v/>
      </c>
      <c r="C81" s="2" t="str">
        <f>IF(LEN(SUMMARY!C81)&gt;0, SUMMARY!C81, "")</f>
        <v/>
      </c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" t="str">
        <f t="shared" si="25"/>
        <v/>
      </c>
      <c r="S81" s="2" t="str">
        <f t="shared" si="26"/>
        <v/>
      </c>
      <c r="T81" s="2" t="str">
        <f t="shared" si="27"/>
        <v/>
      </c>
      <c r="U81" s="2" t="str">
        <f t="shared" si="28"/>
        <v/>
      </c>
      <c r="V81" s="2" t="str">
        <f t="shared" si="29"/>
        <v/>
      </c>
      <c r="W81" s="2" t="str">
        <f t="shared" si="30"/>
        <v/>
      </c>
      <c r="X81" s="2" t="str">
        <f t="shared" si="31"/>
        <v/>
      </c>
      <c r="Y81" s="2" t="str">
        <f t="shared" si="32"/>
        <v/>
      </c>
      <c r="Z81" s="2" t="str">
        <f t="shared" si="33"/>
        <v/>
      </c>
      <c r="AA81" s="2" t="str">
        <f t="shared" si="34"/>
        <v/>
      </c>
      <c r="AB81" s="2" t="str">
        <f t="shared" si="35"/>
        <v/>
      </c>
      <c r="AC81" s="2" t="str">
        <f t="shared" si="36"/>
        <v/>
      </c>
      <c r="AD81" s="2" t="str">
        <f t="shared" si="37"/>
        <v/>
      </c>
      <c r="AE81" s="2" t="str">
        <f t="shared" si="38"/>
        <v/>
      </c>
      <c r="AF81" s="2" t="str">
        <f t="shared" si="39"/>
        <v/>
      </c>
      <c r="AG81" s="2" t="str">
        <f t="shared" si="40"/>
        <v/>
      </c>
      <c r="AH81" s="2" t="str">
        <f t="shared" si="41"/>
        <v/>
      </c>
      <c r="AI81" s="2" t="str">
        <f t="shared" si="42"/>
        <v/>
      </c>
      <c r="AJ81" s="2" t="str">
        <f t="shared" si="43"/>
        <v/>
      </c>
      <c r="AK81" s="2" t="str">
        <f t="shared" si="44"/>
        <v/>
      </c>
      <c r="AL81" s="2" t="str">
        <f t="shared" si="45"/>
        <v/>
      </c>
      <c r="AM81" s="2" t="str">
        <f t="shared" si="46"/>
        <v/>
      </c>
      <c r="AN81" s="2" t="str">
        <f t="shared" si="47"/>
        <v/>
      </c>
      <c r="AP81" s="2" t="str" cm="1">
        <f t="array" ref="AP81">IF('NILAI CPL'!$B81&lt;&gt;"",IFERROR(_xlfn.IFS(S81&gt;='NILAI CPL'!$B$3,4,S81&gt;='NILAI CPL'!$B$4,3,S81&gt;='NILAI CPL'!$B$5,2,S81&gt;'NILAI CPL'!$B$6,1),0),"")</f>
        <v/>
      </c>
      <c r="AQ81" s="2" t="str" cm="1">
        <f t="array" ref="AQ81">IF('NILAI CPL'!$B81&lt;&gt;"",IFERROR(_xlfn.IFS(T81&gt;='NILAI CPL'!$B$3,4,T81&gt;='NILAI CPL'!$B$4,3,T81&gt;='NILAI CPL'!$B$5,2,T81&gt;'NILAI CPL'!$B$6,1),0),"")</f>
        <v/>
      </c>
      <c r="AR81" s="2" t="str" cm="1">
        <f t="array" ref="AR81">IF('NILAI CPL'!$B81&lt;&gt;"",IFERROR(_xlfn.IFS(U81&gt;='NILAI CPL'!$B$3,4,U81&gt;='NILAI CPL'!$B$4,3,U81&gt;='NILAI CPL'!$B$5,2,U81&gt;'NILAI CPL'!$B$6,1),0),"")</f>
        <v/>
      </c>
      <c r="AS81" s="2" t="str" cm="1">
        <f t="array" ref="AS81">IF('NILAI CPL'!$B81&lt;&gt;"",IFERROR(_xlfn.IFS(V81&gt;='NILAI CPL'!$B$3,4,V81&gt;='NILAI CPL'!$B$4,3,V81&gt;='NILAI CPL'!$B$5,2,V81&gt;'NILAI CPL'!$B$6,1),0),"")</f>
        <v/>
      </c>
      <c r="AT81" s="2" t="str" cm="1">
        <f t="array" ref="AT81">IF('NILAI CPL'!$B81&lt;&gt;"",IFERROR(_xlfn.IFS(W81&gt;='NILAI CPL'!$B$3,4,W81&gt;='NILAI CPL'!$B$4,3,W81&gt;='NILAI CPL'!$B$5,2,W81&gt;'NILAI CPL'!$B$6,1),0),"")</f>
        <v/>
      </c>
      <c r="AU81" s="2" t="str" cm="1">
        <f t="array" ref="AU81">IF('NILAI CPL'!$B81&lt;&gt;"",IFERROR(_xlfn.IFS(X81&gt;='NILAI CPL'!$B$3,4,X81&gt;='NILAI CPL'!$B$4,3,X81&gt;='NILAI CPL'!$B$5,2,X81&gt;'NILAI CPL'!$B$6,1),0),"")</f>
        <v/>
      </c>
      <c r="AV81" s="2" t="str" cm="1">
        <f t="array" ref="AV81">IF('NILAI CPL'!$B81&lt;&gt;"",IFERROR(_xlfn.IFS(Y81&gt;='NILAI CPL'!$B$3,4,Y81&gt;='NILAI CPL'!$B$4,3,Y81&gt;='NILAI CPL'!$B$5,2,Y81&gt;'NILAI CPL'!$B$6,1),0),"")</f>
        <v/>
      </c>
      <c r="AW81" s="2" t="str" cm="1">
        <f t="array" ref="AW81">IF('NILAI CPL'!$B81&lt;&gt;"",IFERROR(_xlfn.IFS(Z81&gt;='NILAI CPL'!$B$3,4,Z81&gt;='NILAI CPL'!$B$4,3,Z81&gt;='NILAI CPL'!$B$5,2,Z81&gt;'NILAI CPL'!$B$6,1),0),"")</f>
        <v/>
      </c>
      <c r="AX81" s="2" t="str" cm="1">
        <f t="array" ref="AX81">IF('NILAI CPL'!$B81&lt;&gt;"",IFERROR(_xlfn.IFS(AA81&gt;='NILAI CPL'!$B$3,4,AA81&gt;='NILAI CPL'!$B$4,3,AA81&gt;='NILAI CPL'!$B$5,2,AA81&gt;'NILAI CPL'!$B$6,1),0),"")</f>
        <v/>
      </c>
      <c r="AY81" s="2" t="str" cm="1">
        <f t="array" ref="AY81">IF('NILAI CPL'!$B81&lt;&gt;"",IFERROR(_xlfn.IFS(AB81&gt;='NILAI CPL'!$B$3,4,AB81&gt;='NILAI CPL'!$B$4,3,AB81&gt;='NILAI CPL'!$B$5,2,AB81&gt;'NILAI CPL'!$B$6,1),0),"")</f>
        <v/>
      </c>
      <c r="AZ81" s="2" t="str" cm="1">
        <f t="array" ref="AZ81">IF('NILAI CPL'!$B81&lt;&gt;"",IFERROR(_xlfn.IFS(AC81&gt;='NILAI CPL'!$B$3,4,AC81&gt;='NILAI CPL'!$B$4,3,AC81&gt;='NILAI CPL'!$B$5,2,AC81&gt;'NILAI CPL'!$B$6,1),0),"")</f>
        <v/>
      </c>
      <c r="BA81" s="2" t="str" cm="1">
        <f t="array" ref="BA81">IF('NILAI CPL'!$B81&lt;&gt;"",IFERROR(_xlfn.IFS(AD81&gt;='NILAI CPL'!$B$3,4,AD81&gt;='NILAI CPL'!$B$4,3,AD81&gt;='NILAI CPL'!$B$5,2,AD81&gt;'NILAI CPL'!$B$6,1),0),"")</f>
        <v/>
      </c>
      <c r="BB81" s="2" t="str" cm="1">
        <f t="array" ref="BB81">IF('NILAI CPL'!$B81&lt;&gt;"",IFERROR(_xlfn.IFS(AE81&gt;='NILAI CPL'!$B$3,4,AE81&gt;='NILAI CPL'!$B$4,3,AE81&gt;='NILAI CPL'!$B$5,2,AE81&gt;'NILAI CPL'!$B$6,1),0),"")</f>
        <v/>
      </c>
      <c r="BC81" s="2" t="str" cm="1">
        <f t="array" ref="BC81">IF('NILAI CPL'!$B81&lt;&gt;"",IFERROR(_xlfn.IFS(AF81&gt;='NILAI CPL'!$B$3,4,AF81&gt;='NILAI CPL'!$B$4,3,AF81&gt;='NILAI CPL'!$B$5,2,AF81&gt;'NILAI CPL'!$B$6,1),0),"")</f>
        <v/>
      </c>
      <c r="BD81" s="2" t="str" cm="1">
        <f t="array" ref="BD81">IF('NILAI CPL'!$B81&lt;&gt;"",IFERROR(_xlfn.IFS(AG81&gt;='NILAI CPL'!$B$3,4,AG81&gt;='NILAI CPL'!$B$4,3,AG81&gt;='NILAI CPL'!$B$5,2,AG81&gt;'NILAI CPL'!$B$6,1),0),"")</f>
        <v/>
      </c>
      <c r="BE81" s="2" t="str" cm="1">
        <f t="array" ref="BE81">IF('NILAI CPL'!$B81&lt;&gt;"",IFERROR(_xlfn.IFS(AH81&gt;='NILAI CPL'!$B$3,4,AH81&gt;='NILAI CPL'!$B$4,3,AH81&gt;='NILAI CPL'!$B$5,2,AH81&gt;'NILAI CPL'!$B$6,1),0),"")</f>
        <v/>
      </c>
      <c r="BF81" s="2" t="str" cm="1">
        <f t="array" ref="BF81">IF('NILAI CPL'!$B81&lt;&gt;"",IFERROR(_xlfn.IFS(AI81&gt;='NILAI CPL'!$B$3,4,AI81&gt;='NILAI CPL'!$B$4,3,AI81&gt;='NILAI CPL'!$B$5,2,AI81&gt;'NILAI CPL'!$B$6,1),0),"")</f>
        <v/>
      </c>
      <c r="BG81" s="2" t="str" cm="1">
        <f t="array" ref="BG81">IF('NILAI CPL'!$B81&lt;&gt;"",IFERROR(_xlfn.IFS(AJ81&gt;='NILAI CPL'!$B$3,4,AJ81&gt;='NILAI CPL'!$B$4,3,AJ81&gt;='NILAI CPL'!$B$5,2,AJ81&gt;'NILAI CPL'!$B$6,1),0),"")</f>
        <v/>
      </c>
      <c r="BH81" s="2" t="str" cm="1">
        <f t="array" ref="BH81">IF('NILAI CPL'!$B81&lt;&gt;"",IFERROR(_xlfn.IFS(AK81&gt;='NILAI CPL'!$B$3,4,AK81&gt;='NILAI CPL'!$B$4,3,AK81&gt;='NILAI CPL'!$B$5,2,AK81&gt;'NILAI CPL'!$B$6,1),0),"")</f>
        <v/>
      </c>
      <c r="BI81" s="2" t="str" cm="1">
        <f t="array" ref="BI81">IF('NILAI CPL'!$B81&lt;&gt;"",IFERROR(_xlfn.IFS(AL81&gt;='NILAI CPL'!$B$3,4,AL81&gt;='NILAI CPL'!$B$4,3,AL81&gt;='NILAI CPL'!$B$5,2,AL81&gt;'NILAI CPL'!$B$6,1),0),"")</f>
        <v/>
      </c>
      <c r="BJ81" s="2" t="str" cm="1">
        <f t="array" ref="BJ81">IF('NILAI CPL'!$B81&lt;&gt;"",IFERROR(_xlfn.IFS(AM81&gt;='NILAI CPL'!$B$3,4,AM81&gt;='NILAI CPL'!$B$4,3,AM81&gt;='NILAI CPL'!$B$5,2,AM81&gt;'NILAI CPL'!$B$6,1),0),"")</f>
        <v/>
      </c>
      <c r="BK81" s="2" t="str" cm="1">
        <f t="array" ref="BK81">IF('NILAI CPL'!$B81&lt;&gt;"",IFERROR(_xlfn.IFS(AN81&gt;='NILAI CPL'!$B$3,4,AN81&gt;='NILAI CPL'!$B$4,3,AN81&gt;='NILAI CPL'!$B$5,2,AN81&gt;'NILAI CPL'!$B$6,1),0),"")</f>
        <v/>
      </c>
    </row>
    <row r="82" spans="1:63" x14ac:dyDescent="0.2">
      <c r="A82" s="2">
        <v>72</v>
      </c>
      <c r="B82" s="2" t="str">
        <f>IF(LEN(SUMMARY!B82)&gt;0, SUMMARY!B82, "")</f>
        <v/>
      </c>
      <c r="C82" s="2" t="str">
        <f>IF(LEN(SUMMARY!C82)&gt;0, SUMMARY!C82, "")</f>
        <v/>
      </c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" t="str">
        <f t="shared" si="25"/>
        <v/>
      </c>
      <c r="S82" s="2" t="str">
        <f t="shared" si="26"/>
        <v/>
      </c>
      <c r="T82" s="2" t="str">
        <f t="shared" si="27"/>
        <v/>
      </c>
      <c r="U82" s="2" t="str">
        <f t="shared" si="28"/>
        <v/>
      </c>
      <c r="V82" s="2" t="str">
        <f t="shared" si="29"/>
        <v/>
      </c>
      <c r="W82" s="2" t="str">
        <f t="shared" si="30"/>
        <v/>
      </c>
      <c r="X82" s="2" t="str">
        <f t="shared" si="31"/>
        <v/>
      </c>
      <c r="Y82" s="2" t="str">
        <f t="shared" si="32"/>
        <v/>
      </c>
      <c r="Z82" s="2" t="str">
        <f t="shared" si="33"/>
        <v/>
      </c>
      <c r="AA82" s="2" t="str">
        <f t="shared" si="34"/>
        <v/>
      </c>
      <c r="AB82" s="2" t="str">
        <f t="shared" si="35"/>
        <v/>
      </c>
      <c r="AC82" s="2" t="str">
        <f t="shared" si="36"/>
        <v/>
      </c>
      <c r="AD82" s="2" t="str">
        <f t="shared" si="37"/>
        <v/>
      </c>
      <c r="AE82" s="2" t="str">
        <f t="shared" si="38"/>
        <v/>
      </c>
      <c r="AF82" s="2" t="str">
        <f t="shared" si="39"/>
        <v/>
      </c>
      <c r="AG82" s="2" t="str">
        <f t="shared" si="40"/>
        <v/>
      </c>
      <c r="AH82" s="2" t="str">
        <f t="shared" si="41"/>
        <v/>
      </c>
      <c r="AI82" s="2" t="str">
        <f t="shared" si="42"/>
        <v/>
      </c>
      <c r="AJ82" s="2" t="str">
        <f t="shared" si="43"/>
        <v/>
      </c>
      <c r="AK82" s="2" t="str">
        <f t="shared" si="44"/>
        <v/>
      </c>
      <c r="AL82" s="2" t="str">
        <f t="shared" si="45"/>
        <v/>
      </c>
      <c r="AM82" s="2" t="str">
        <f t="shared" si="46"/>
        <v/>
      </c>
      <c r="AN82" s="2" t="str">
        <f t="shared" si="47"/>
        <v/>
      </c>
      <c r="AP82" s="2" t="str" cm="1">
        <f t="array" ref="AP82">IF('NILAI CPL'!$B82&lt;&gt;"",IFERROR(_xlfn.IFS(S82&gt;='NILAI CPL'!$B$3,4,S82&gt;='NILAI CPL'!$B$4,3,S82&gt;='NILAI CPL'!$B$5,2,S82&gt;'NILAI CPL'!$B$6,1),0),"")</f>
        <v/>
      </c>
      <c r="AQ82" s="2" t="str" cm="1">
        <f t="array" ref="AQ82">IF('NILAI CPL'!$B82&lt;&gt;"",IFERROR(_xlfn.IFS(T82&gt;='NILAI CPL'!$B$3,4,T82&gt;='NILAI CPL'!$B$4,3,T82&gt;='NILAI CPL'!$B$5,2,T82&gt;'NILAI CPL'!$B$6,1),0),"")</f>
        <v/>
      </c>
      <c r="AR82" s="2" t="str" cm="1">
        <f t="array" ref="AR82">IF('NILAI CPL'!$B82&lt;&gt;"",IFERROR(_xlfn.IFS(U82&gt;='NILAI CPL'!$B$3,4,U82&gt;='NILAI CPL'!$B$4,3,U82&gt;='NILAI CPL'!$B$5,2,U82&gt;'NILAI CPL'!$B$6,1),0),"")</f>
        <v/>
      </c>
      <c r="AS82" s="2" t="str" cm="1">
        <f t="array" ref="AS82">IF('NILAI CPL'!$B82&lt;&gt;"",IFERROR(_xlfn.IFS(V82&gt;='NILAI CPL'!$B$3,4,V82&gt;='NILAI CPL'!$B$4,3,V82&gt;='NILAI CPL'!$B$5,2,V82&gt;'NILAI CPL'!$B$6,1),0),"")</f>
        <v/>
      </c>
      <c r="AT82" s="2" t="str" cm="1">
        <f t="array" ref="AT82">IF('NILAI CPL'!$B82&lt;&gt;"",IFERROR(_xlfn.IFS(W82&gt;='NILAI CPL'!$B$3,4,W82&gt;='NILAI CPL'!$B$4,3,W82&gt;='NILAI CPL'!$B$5,2,W82&gt;'NILAI CPL'!$B$6,1),0),"")</f>
        <v/>
      </c>
      <c r="AU82" s="2" t="str" cm="1">
        <f t="array" ref="AU82">IF('NILAI CPL'!$B82&lt;&gt;"",IFERROR(_xlfn.IFS(X82&gt;='NILAI CPL'!$B$3,4,X82&gt;='NILAI CPL'!$B$4,3,X82&gt;='NILAI CPL'!$B$5,2,X82&gt;'NILAI CPL'!$B$6,1),0),"")</f>
        <v/>
      </c>
      <c r="AV82" s="2" t="str" cm="1">
        <f t="array" ref="AV82">IF('NILAI CPL'!$B82&lt;&gt;"",IFERROR(_xlfn.IFS(Y82&gt;='NILAI CPL'!$B$3,4,Y82&gt;='NILAI CPL'!$B$4,3,Y82&gt;='NILAI CPL'!$B$5,2,Y82&gt;'NILAI CPL'!$B$6,1),0),"")</f>
        <v/>
      </c>
      <c r="AW82" s="2" t="str" cm="1">
        <f t="array" ref="AW82">IF('NILAI CPL'!$B82&lt;&gt;"",IFERROR(_xlfn.IFS(Z82&gt;='NILAI CPL'!$B$3,4,Z82&gt;='NILAI CPL'!$B$4,3,Z82&gt;='NILAI CPL'!$B$5,2,Z82&gt;'NILAI CPL'!$B$6,1),0),"")</f>
        <v/>
      </c>
      <c r="AX82" s="2" t="str" cm="1">
        <f t="array" ref="AX82">IF('NILAI CPL'!$B82&lt;&gt;"",IFERROR(_xlfn.IFS(AA82&gt;='NILAI CPL'!$B$3,4,AA82&gt;='NILAI CPL'!$B$4,3,AA82&gt;='NILAI CPL'!$B$5,2,AA82&gt;'NILAI CPL'!$B$6,1),0),"")</f>
        <v/>
      </c>
      <c r="AY82" s="2" t="str" cm="1">
        <f t="array" ref="AY82">IF('NILAI CPL'!$B82&lt;&gt;"",IFERROR(_xlfn.IFS(AB82&gt;='NILAI CPL'!$B$3,4,AB82&gt;='NILAI CPL'!$B$4,3,AB82&gt;='NILAI CPL'!$B$5,2,AB82&gt;'NILAI CPL'!$B$6,1),0),"")</f>
        <v/>
      </c>
      <c r="AZ82" s="2" t="str" cm="1">
        <f t="array" ref="AZ82">IF('NILAI CPL'!$B82&lt;&gt;"",IFERROR(_xlfn.IFS(AC82&gt;='NILAI CPL'!$B$3,4,AC82&gt;='NILAI CPL'!$B$4,3,AC82&gt;='NILAI CPL'!$B$5,2,AC82&gt;'NILAI CPL'!$B$6,1),0),"")</f>
        <v/>
      </c>
      <c r="BA82" s="2" t="str" cm="1">
        <f t="array" ref="BA82">IF('NILAI CPL'!$B82&lt;&gt;"",IFERROR(_xlfn.IFS(AD82&gt;='NILAI CPL'!$B$3,4,AD82&gt;='NILAI CPL'!$B$4,3,AD82&gt;='NILAI CPL'!$B$5,2,AD82&gt;'NILAI CPL'!$B$6,1),0),"")</f>
        <v/>
      </c>
      <c r="BB82" s="2" t="str" cm="1">
        <f t="array" ref="BB82">IF('NILAI CPL'!$B82&lt;&gt;"",IFERROR(_xlfn.IFS(AE82&gt;='NILAI CPL'!$B$3,4,AE82&gt;='NILAI CPL'!$B$4,3,AE82&gt;='NILAI CPL'!$B$5,2,AE82&gt;'NILAI CPL'!$B$6,1),0),"")</f>
        <v/>
      </c>
      <c r="BC82" s="2" t="str" cm="1">
        <f t="array" ref="BC82">IF('NILAI CPL'!$B82&lt;&gt;"",IFERROR(_xlfn.IFS(AF82&gt;='NILAI CPL'!$B$3,4,AF82&gt;='NILAI CPL'!$B$4,3,AF82&gt;='NILAI CPL'!$B$5,2,AF82&gt;'NILAI CPL'!$B$6,1),0),"")</f>
        <v/>
      </c>
      <c r="BD82" s="2" t="str" cm="1">
        <f t="array" ref="BD82">IF('NILAI CPL'!$B82&lt;&gt;"",IFERROR(_xlfn.IFS(AG82&gt;='NILAI CPL'!$B$3,4,AG82&gt;='NILAI CPL'!$B$4,3,AG82&gt;='NILAI CPL'!$B$5,2,AG82&gt;'NILAI CPL'!$B$6,1),0),"")</f>
        <v/>
      </c>
      <c r="BE82" s="2" t="str" cm="1">
        <f t="array" ref="BE82">IF('NILAI CPL'!$B82&lt;&gt;"",IFERROR(_xlfn.IFS(AH82&gt;='NILAI CPL'!$B$3,4,AH82&gt;='NILAI CPL'!$B$4,3,AH82&gt;='NILAI CPL'!$B$5,2,AH82&gt;'NILAI CPL'!$B$6,1),0),"")</f>
        <v/>
      </c>
      <c r="BF82" s="2" t="str" cm="1">
        <f t="array" ref="BF82">IF('NILAI CPL'!$B82&lt;&gt;"",IFERROR(_xlfn.IFS(AI82&gt;='NILAI CPL'!$B$3,4,AI82&gt;='NILAI CPL'!$B$4,3,AI82&gt;='NILAI CPL'!$B$5,2,AI82&gt;'NILAI CPL'!$B$6,1),0),"")</f>
        <v/>
      </c>
      <c r="BG82" s="2" t="str" cm="1">
        <f t="array" ref="BG82">IF('NILAI CPL'!$B82&lt;&gt;"",IFERROR(_xlfn.IFS(AJ82&gt;='NILAI CPL'!$B$3,4,AJ82&gt;='NILAI CPL'!$B$4,3,AJ82&gt;='NILAI CPL'!$B$5,2,AJ82&gt;'NILAI CPL'!$B$6,1),0),"")</f>
        <v/>
      </c>
      <c r="BH82" s="2" t="str" cm="1">
        <f t="array" ref="BH82">IF('NILAI CPL'!$B82&lt;&gt;"",IFERROR(_xlfn.IFS(AK82&gt;='NILAI CPL'!$B$3,4,AK82&gt;='NILAI CPL'!$B$4,3,AK82&gt;='NILAI CPL'!$B$5,2,AK82&gt;'NILAI CPL'!$B$6,1),0),"")</f>
        <v/>
      </c>
      <c r="BI82" s="2" t="str" cm="1">
        <f t="array" ref="BI82">IF('NILAI CPL'!$B82&lt;&gt;"",IFERROR(_xlfn.IFS(AL82&gt;='NILAI CPL'!$B$3,4,AL82&gt;='NILAI CPL'!$B$4,3,AL82&gt;='NILAI CPL'!$B$5,2,AL82&gt;'NILAI CPL'!$B$6,1),0),"")</f>
        <v/>
      </c>
      <c r="BJ82" s="2" t="str" cm="1">
        <f t="array" ref="BJ82">IF('NILAI CPL'!$B82&lt;&gt;"",IFERROR(_xlfn.IFS(AM82&gt;='NILAI CPL'!$B$3,4,AM82&gt;='NILAI CPL'!$B$4,3,AM82&gt;='NILAI CPL'!$B$5,2,AM82&gt;'NILAI CPL'!$B$6,1),0),"")</f>
        <v/>
      </c>
      <c r="BK82" s="2" t="str" cm="1">
        <f t="array" ref="BK82">IF('NILAI CPL'!$B82&lt;&gt;"",IFERROR(_xlfn.IFS(AN82&gt;='NILAI CPL'!$B$3,4,AN82&gt;='NILAI CPL'!$B$4,3,AN82&gt;='NILAI CPL'!$B$5,2,AN82&gt;'NILAI CPL'!$B$6,1),0),"")</f>
        <v/>
      </c>
    </row>
    <row r="83" spans="1:63" x14ac:dyDescent="0.2">
      <c r="A83" s="2">
        <v>73</v>
      </c>
      <c r="B83" s="2" t="str">
        <f>IF(LEN(SUMMARY!B83)&gt;0, SUMMARY!B83, "")</f>
        <v/>
      </c>
      <c r="C83" s="2" t="str">
        <f>IF(LEN(SUMMARY!C83)&gt;0, SUMMARY!C83, "")</f>
        <v/>
      </c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" t="str">
        <f t="shared" si="25"/>
        <v/>
      </c>
      <c r="S83" s="2" t="str">
        <f t="shared" si="26"/>
        <v/>
      </c>
      <c r="T83" s="2" t="str">
        <f t="shared" si="27"/>
        <v/>
      </c>
      <c r="U83" s="2" t="str">
        <f t="shared" si="28"/>
        <v/>
      </c>
      <c r="V83" s="2" t="str">
        <f t="shared" si="29"/>
        <v/>
      </c>
      <c r="W83" s="2" t="str">
        <f t="shared" si="30"/>
        <v/>
      </c>
      <c r="X83" s="2" t="str">
        <f t="shared" si="31"/>
        <v/>
      </c>
      <c r="Y83" s="2" t="str">
        <f t="shared" si="32"/>
        <v/>
      </c>
      <c r="Z83" s="2" t="str">
        <f t="shared" si="33"/>
        <v/>
      </c>
      <c r="AA83" s="2" t="str">
        <f t="shared" si="34"/>
        <v/>
      </c>
      <c r="AB83" s="2" t="str">
        <f t="shared" si="35"/>
        <v/>
      </c>
      <c r="AC83" s="2" t="str">
        <f t="shared" si="36"/>
        <v/>
      </c>
      <c r="AD83" s="2" t="str">
        <f t="shared" si="37"/>
        <v/>
      </c>
      <c r="AE83" s="2" t="str">
        <f t="shared" si="38"/>
        <v/>
      </c>
      <c r="AF83" s="2" t="str">
        <f t="shared" si="39"/>
        <v/>
      </c>
      <c r="AG83" s="2" t="str">
        <f t="shared" si="40"/>
        <v/>
      </c>
      <c r="AH83" s="2" t="str">
        <f t="shared" si="41"/>
        <v/>
      </c>
      <c r="AI83" s="2" t="str">
        <f t="shared" si="42"/>
        <v/>
      </c>
      <c r="AJ83" s="2" t="str">
        <f t="shared" si="43"/>
        <v/>
      </c>
      <c r="AK83" s="2" t="str">
        <f t="shared" si="44"/>
        <v/>
      </c>
      <c r="AL83" s="2" t="str">
        <f t="shared" si="45"/>
        <v/>
      </c>
      <c r="AM83" s="2" t="str">
        <f t="shared" si="46"/>
        <v/>
      </c>
      <c r="AN83" s="2" t="str">
        <f t="shared" si="47"/>
        <v/>
      </c>
      <c r="AP83" s="2" t="str" cm="1">
        <f t="array" ref="AP83">IF('NILAI CPL'!$B83&lt;&gt;"",IFERROR(_xlfn.IFS(S83&gt;='NILAI CPL'!$B$3,4,S83&gt;='NILAI CPL'!$B$4,3,S83&gt;='NILAI CPL'!$B$5,2,S83&gt;'NILAI CPL'!$B$6,1),0),"")</f>
        <v/>
      </c>
      <c r="AQ83" s="2" t="str" cm="1">
        <f t="array" ref="AQ83">IF('NILAI CPL'!$B83&lt;&gt;"",IFERROR(_xlfn.IFS(T83&gt;='NILAI CPL'!$B$3,4,T83&gt;='NILAI CPL'!$B$4,3,T83&gt;='NILAI CPL'!$B$5,2,T83&gt;'NILAI CPL'!$B$6,1),0),"")</f>
        <v/>
      </c>
      <c r="AR83" s="2" t="str" cm="1">
        <f t="array" ref="AR83">IF('NILAI CPL'!$B83&lt;&gt;"",IFERROR(_xlfn.IFS(U83&gt;='NILAI CPL'!$B$3,4,U83&gt;='NILAI CPL'!$B$4,3,U83&gt;='NILAI CPL'!$B$5,2,U83&gt;'NILAI CPL'!$B$6,1),0),"")</f>
        <v/>
      </c>
      <c r="AS83" s="2" t="str" cm="1">
        <f t="array" ref="AS83">IF('NILAI CPL'!$B83&lt;&gt;"",IFERROR(_xlfn.IFS(V83&gt;='NILAI CPL'!$B$3,4,V83&gt;='NILAI CPL'!$B$4,3,V83&gt;='NILAI CPL'!$B$5,2,V83&gt;'NILAI CPL'!$B$6,1),0),"")</f>
        <v/>
      </c>
      <c r="AT83" s="2" t="str" cm="1">
        <f t="array" ref="AT83">IF('NILAI CPL'!$B83&lt;&gt;"",IFERROR(_xlfn.IFS(W83&gt;='NILAI CPL'!$B$3,4,W83&gt;='NILAI CPL'!$B$4,3,W83&gt;='NILAI CPL'!$B$5,2,W83&gt;'NILAI CPL'!$B$6,1),0),"")</f>
        <v/>
      </c>
      <c r="AU83" s="2" t="str" cm="1">
        <f t="array" ref="AU83">IF('NILAI CPL'!$B83&lt;&gt;"",IFERROR(_xlfn.IFS(X83&gt;='NILAI CPL'!$B$3,4,X83&gt;='NILAI CPL'!$B$4,3,X83&gt;='NILAI CPL'!$B$5,2,X83&gt;'NILAI CPL'!$B$6,1),0),"")</f>
        <v/>
      </c>
      <c r="AV83" s="2" t="str" cm="1">
        <f t="array" ref="AV83">IF('NILAI CPL'!$B83&lt;&gt;"",IFERROR(_xlfn.IFS(Y83&gt;='NILAI CPL'!$B$3,4,Y83&gt;='NILAI CPL'!$B$4,3,Y83&gt;='NILAI CPL'!$B$5,2,Y83&gt;'NILAI CPL'!$B$6,1),0),"")</f>
        <v/>
      </c>
      <c r="AW83" s="2" t="str" cm="1">
        <f t="array" ref="AW83">IF('NILAI CPL'!$B83&lt;&gt;"",IFERROR(_xlfn.IFS(Z83&gt;='NILAI CPL'!$B$3,4,Z83&gt;='NILAI CPL'!$B$4,3,Z83&gt;='NILAI CPL'!$B$5,2,Z83&gt;'NILAI CPL'!$B$6,1),0),"")</f>
        <v/>
      </c>
      <c r="AX83" s="2" t="str" cm="1">
        <f t="array" ref="AX83">IF('NILAI CPL'!$B83&lt;&gt;"",IFERROR(_xlfn.IFS(AA83&gt;='NILAI CPL'!$B$3,4,AA83&gt;='NILAI CPL'!$B$4,3,AA83&gt;='NILAI CPL'!$B$5,2,AA83&gt;'NILAI CPL'!$B$6,1),0),"")</f>
        <v/>
      </c>
      <c r="AY83" s="2" t="str" cm="1">
        <f t="array" ref="AY83">IF('NILAI CPL'!$B83&lt;&gt;"",IFERROR(_xlfn.IFS(AB83&gt;='NILAI CPL'!$B$3,4,AB83&gt;='NILAI CPL'!$B$4,3,AB83&gt;='NILAI CPL'!$B$5,2,AB83&gt;'NILAI CPL'!$B$6,1),0),"")</f>
        <v/>
      </c>
      <c r="AZ83" s="2" t="str" cm="1">
        <f t="array" ref="AZ83">IF('NILAI CPL'!$B83&lt;&gt;"",IFERROR(_xlfn.IFS(AC83&gt;='NILAI CPL'!$B$3,4,AC83&gt;='NILAI CPL'!$B$4,3,AC83&gt;='NILAI CPL'!$B$5,2,AC83&gt;'NILAI CPL'!$B$6,1),0),"")</f>
        <v/>
      </c>
      <c r="BA83" s="2" t="str" cm="1">
        <f t="array" ref="BA83">IF('NILAI CPL'!$B83&lt;&gt;"",IFERROR(_xlfn.IFS(AD83&gt;='NILAI CPL'!$B$3,4,AD83&gt;='NILAI CPL'!$B$4,3,AD83&gt;='NILAI CPL'!$B$5,2,AD83&gt;'NILAI CPL'!$B$6,1),0),"")</f>
        <v/>
      </c>
      <c r="BB83" s="2" t="str" cm="1">
        <f t="array" ref="BB83">IF('NILAI CPL'!$B83&lt;&gt;"",IFERROR(_xlfn.IFS(AE83&gt;='NILAI CPL'!$B$3,4,AE83&gt;='NILAI CPL'!$B$4,3,AE83&gt;='NILAI CPL'!$B$5,2,AE83&gt;'NILAI CPL'!$B$6,1),0),"")</f>
        <v/>
      </c>
      <c r="BC83" s="2" t="str" cm="1">
        <f t="array" ref="BC83">IF('NILAI CPL'!$B83&lt;&gt;"",IFERROR(_xlfn.IFS(AF83&gt;='NILAI CPL'!$B$3,4,AF83&gt;='NILAI CPL'!$B$4,3,AF83&gt;='NILAI CPL'!$B$5,2,AF83&gt;'NILAI CPL'!$B$6,1),0),"")</f>
        <v/>
      </c>
      <c r="BD83" s="2" t="str" cm="1">
        <f t="array" ref="BD83">IF('NILAI CPL'!$B83&lt;&gt;"",IFERROR(_xlfn.IFS(AG83&gt;='NILAI CPL'!$B$3,4,AG83&gt;='NILAI CPL'!$B$4,3,AG83&gt;='NILAI CPL'!$B$5,2,AG83&gt;'NILAI CPL'!$B$6,1),0),"")</f>
        <v/>
      </c>
      <c r="BE83" s="2" t="str" cm="1">
        <f t="array" ref="BE83">IF('NILAI CPL'!$B83&lt;&gt;"",IFERROR(_xlfn.IFS(AH83&gt;='NILAI CPL'!$B$3,4,AH83&gt;='NILAI CPL'!$B$4,3,AH83&gt;='NILAI CPL'!$B$5,2,AH83&gt;'NILAI CPL'!$B$6,1),0),"")</f>
        <v/>
      </c>
      <c r="BF83" s="2" t="str" cm="1">
        <f t="array" ref="BF83">IF('NILAI CPL'!$B83&lt;&gt;"",IFERROR(_xlfn.IFS(AI83&gt;='NILAI CPL'!$B$3,4,AI83&gt;='NILAI CPL'!$B$4,3,AI83&gt;='NILAI CPL'!$B$5,2,AI83&gt;'NILAI CPL'!$B$6,1),0),"")</f>
        <v/>
      </c>
      <c r="BG83" s="2" t="str" cm="1">
        <f t="array" ref="BG83">IF('NILAI CPL'!$B83&lt;&gt;"",IFERROR(_xlfn.IFS(AJ83&gt;='NILAI CPL'!$B$3,4,AJ83&gt;='NILAI CPL'!$B$4,3,AJ83&gt;='NILAI CPL'!$B$5,2,AJ83&gt;'NILAI CPL'!$B$6,1),0),"")</f>
        <v/>
      </c>
      <c r="BH83" s="2" t="str" cm="1">
        <f t="array" ref="BH83">IF('NILAI CPL'!$B83&lt;&gt;"",IFERROR(_xlfn.IFS(AK83&gt;='NILAI CPL'!$B$3,4,AK83&gt;='NILAI CPL'!$B$4,3,AK83&gt;='NILAI CPL'!$B$5,2,AK83&gt;'NILAI CPL'!$B$6,1),0),"")</f>
        <v/>
      </c>
      <c r="BI83" s="2" t="str" cm="1">
        <f t="array" ref="BI83">IF('NILAI CPL'!$B83&lt;&gt;"",IFERROR(_xlfn.IFS(AL83&gt;='NILAI CPL'!$B$3,4,AL83&gt;='NILAI CPL'!$B$4,3,AL83&gt;='NILAI CPL'!$B$5,2,AL83&gt;'NILAI CPL'!$B$6,1),0),"")</f>
        <v/>
      </c>
      <c r="BJ83" s="2" t="str" cm="1">
        <f t="array" ref="BJ83">IF('NILAI CPL'!$B83&lt;&gt;"",IFERROR(_xlfn.IFS(AM83&gt;='NILAI CPL'!$B$3,4,AM83&gt;='NILAI CPL'!$B$4,3,AM83&gt;='NILAI CPL'!$B$5,2,AM83&gt;'NILAI CPL'!$B$6,1),0),"")</f>
        <v/>
      </c>
      <c r="BK83" s="2" t="str" cm="1">
        <f t="array" ref="BK83">IF('NILAI CPL'!$B83&lt;&gt;"",IFERROR(_xlfn.IFS(AN83&gt;='NILAI CPL'!$B$3,4,AN83&gt;='NILAI CPL'!$B$4,3,AN83&gt;='NILAI CPL'!$B$5,2,AN83&gt;'NILAI CPL'!$B$6,1),0),"")</f>
        <v/>
      </c>
    </row>
    <row r="84" spans="1:63" x14ac:dyDescent="0.2">
      <c r="A84" s="2">
        <v>74</v>
      </c>
      <c r="B84" s="2" t="str">
        <f>IF(LEN(SUMMARY!B84)&gt;0, SUMMARY!B84, "")</f>
        <v/>
      </c>
      <c r="C84" s="2" t="str">
        <f>IF(LEN(SUMMARY!C84)&gt;0, SUMMARY!C84, "")</f>
        <v/>
      </c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" t="str">
        <f t="shared" si="25"/>
        <v/>
      </c>
      <c r="S84" s="2" t="str">
        <f t="shared" si="26"/>
        <v/>
      </c>
      <c r="T84" s="2" t="str">
        <f t="shared" si="27"/>
        <v/>
      </c>
      <c r="U84" s="2" t="str">
        <f t="shared" si="28"/>
        <v/>
      </c>
      <c r="V84" s="2" t="str">
        <f t="shared" si="29"/>
        <v/>
      </c>
      <c r="W84" s="2" t="str">
        <f t="shared" si="30"/>
        <v/>
      </c>
      <c r="X84" s="2" t="str">
        <f t="shared" si="31"/>
        <v/>
      </c>
      <c r="Y84" s="2" t="str">
        <f t="shared" si="32"/>
        <v/>
      </c>
      <c r="Z84" s="2" t="str">
        <f t="shared" si="33"/>
        <v/>
      </c>
      <c r="AA84" s="2" t="str">
        <f t="shared" si="34"/>
        <v/>
      </c>
      <c r="AB84" s="2" t="str">
        <f t="shared" si="35"/>
        <v/>
      </c>
      <c r="AC84" s="2" t="str">
        <f t="shared" si="36"/>
        <v/>
      </c>
      <c r="AD84" s="2" t="str">
        <f t="shared" si="37"/>
        <v/>
      </c>
      <c r="AE84" s="2" t="str">
        <f t="shared" si="38"/>
        <v/>
      </c>
      <c r="AF84" s="2" t="str">
        <f t="shared" si="39"/>
        <v/>
      </c>
      <c r="AG84" s="2" t="str">
        <f t="shared" si="40"/>
        <v/>
      </c>
      <c r="AH84" s="2" t="str">
        <f t="shared" si="41"/>
        <v/>
      </c>
      <c r="AI84" s="2" t="str">
        <f t="shared" si="42"/>
        <v/>
      </c>
      <c r="AJ84" s="2" t="str">
        <f t="shared" si="43"/>
        <v/>
      </c>
      <c r="AK84" s="2" t="str">
        <f t="shared" si="44"/>
        <v/>
      </c>
      <c r="AL84" s="2" t="str">
        <f t="shared" si="45"/>
        <v/>
      </c>
      <c r="AM84" s="2" t="str">
        <f t="shared" si="46"/>
        <v/>
      </c>
      <c r="AN84" s="2" t="str">
        <f t="shared" si="47"/>
        <v/>
      </c>
      <c r="AP84" s="2" t="str" cm="1">
        <f t="array" ref="AP84">IF('NILAI CPL'!$B84&lt;&gt;"",IFERROR(_xlfn.IFS(S84&gt;='NILAI CPL'!$B$3,4,S84&gt;='NILAI CPL'!$B$4,3,S84&gt;='NILAI CPL'!$B$5,2,S84&gt;'NILAI CPL'!$B$6,1),0),"")</f>
        <v/>
      </c>
      <c r="AQ84" s="2" t="str" cm="1">
        <f t="array" ref="AQ84">IF('NILAI CPL'!$B84&lt;&gt;"",IFERROR(_xlfn.IFS(T84&gt;='NILAI CPL'!$B$3,4,T84&gt;='NILAI CPL'!$B$4,3,T84&gt;='NILAI CPL'!$B$5,2,T84&gt;'NILAI CPL'!$B$6,1),0),"")</f>
        <v/>
      </c>
      <c r="AR84" s="2" t="str" cm="1">
        <f t="array" ref="AR84">IF('NILAI CPL'!$B84&lt;&gt;"",IFERROR(_xlfn.IFS(U84&gt;='NILAI CPL'!$B$3,4,U84&gt;='NILAI CPL'!$B$4,3,U84&gt;='NILAI CPL'!$B$5,2,U84&gt;'NILAI CPL'!$B$6,1),0),"")</f>
        <v/>
      </c>
      <c r="AS84" s="2" t="str" cm="1">
        <f t="array" ref="AS84">IF('NILAI CPL'!$B84&lt;&gt;"",IFERROR(_xlfn.IFS(V84&gt;='NILAI CPL'!$B$3,4,V84&gt;='NILAI CPL'!$B$4,3,V84&gt;='NILAI CPL'!$B$5,2,V84&gt;'NILAI CPL'!$B$6,1),0),"")</f>
        <v/>
      </c>
      <c r="AT84" s="2" t="str" cm="1">
        <f t="array" ref="AT84">IF('NILAI CPL'!$B84&lt;&gt;"",IFERROR(_xlfn.IFS(W84&gt;='NILAI CPL'!$B$3,4,W84&gt;='NILAI CPL'!$B$4,3,W84&gt;='NILAI CPL'!$B$5,2,W84&gt;'NILAI CPL'!$B$6,1),0),"")</f>
        <v/>
      </c>
      <c r="AU84" s="2" t="str" cm="1">
        <f t="array" ref="AU84">IF('NILAI CPL'!$B84&lt;&gt;"",IFERROR(_xlfn.IFS(X84&gt;='NILAI CPL'!$B$3,4,X84&gt;='NILAI CPL'!$B$4,3,X84&gt;='NILAI CPL'!$B$5,2,X84&gt;'NILAI CPL'!$B$6,1),0),"")</f>
        <v/>
      </c>
      <c r="AV84" s="2" t="str" cm="1">
        <f t="array" ref="AV84">IF('NILAI CPL'!$B84&lt;&gt;"",IFERROR(_xlfn.IFS(Y84&gt;='NILAI CPL'!$B$3,4,Y84&gt;='NILAI CPL'!$B$4,3,Y84&gt;='NILAI CPL'!$B$5,2,Y84&gt;'NILAI CPL'!$B$6,1),0),"")</f>
        <v/>
      </c>
      <c r="AW84" s="2" t="str" cm="1">
        <f t="array" ref="AW84">IF('NILAI CPL'!$B84&lt;&gt;"",IFERROR(_xlfn.IFS(Z84&gt;='NILAI CPL'!$B$3,4,Z84&gt;='NILAI CPL'!$B$4,3,Z84&gt;='NILAI CPL'!$B$5,2,Z84&gt;'NILAI CPL'!$B$6,1),0),"")</f>
        <v/>
      </c>
      <c r="AX84" s="2" t="str" cm="1">
        <f t="array" ref="AX84">IF('NILAI CPL'!$B84&lt;&gt;"",IFERROR(_xlfn.IFS(AA84&gt;='NILAI CPL'!$B$3,4,AA84&gt;='NILAI CPL'!$B$4,3,AA84&gt;='NILAI CPL'!$B$5,2,AA84&gt;'NILAI CPL'!$B$6,1),0),"")</f>
        <v/>
      </c>
      <c r="AY84" s="2" t="str" cm="1">
        <f t="array" ref="AY84">IF('NILAI CPL'!$B84&lt;&gt;"",IFERROR(_xlfn.IFS(AB84&gt;='NILAI CPL'!$B$3,4,AB84&gt;='NILAI CPL'!$B$4,3,AB84&gt;='NILAI CPL'!$B$5,2,AB84&gt;'NILAI CPL'!$B$6,1),0),"")</f>
        <v/>
      </c>
      <c r="AZ84" s="2" t="str" cm="1">
        <f t="array" ref="AZ84">IF('NILAI CPL'!$B84&lt;&gt;"",IFERROR(_xlfn.IFS(AC84&gt;='NILAI CPL'!$B$3,4,AC84&gt;='NILAI CPL'!$B$4,3,AC84&gt;='NILAI CPL'!$B$5,2,AC84&gt;'NILAI CPL'!$B$6,1),0),"")</f>
        <v/>
      </c>
      <c r="BA84" s="2" t="str" cm="1">
        <f t="array" ref="BA84">IF('NILAI CPL'!$B84&lt;&gt;"",IFERROR(_xlfn.IFS(AD84&gt;='NILAI CPL'!$B$3,4,AD84&gt;='NILAI CPL'!$B$4,3,AD84&gt;='NILAI CPL'!$B$5,2,AD84&gt;'NILAI CPL'!$B$6,1),0),"")</f>
        <v/>
      </c>
      <c r="BB84" s="2" t="str" cm="1">
        <f t="array" ref="BB84">IF('NILAI CPL'!$B84&lt;&gt;"",IFERROR(_xlfn.IFS(AE84&gt;='NILAI CPL'!$B$3,4,AE84&gt;='NILAI CPL'!$B$4,3,AE84&gt;='NILAI CPL'!$B$5,2,AE84&gt;'NILAI CPL'!$B$6,1),0),"")</f>
        <v/>
      </c>
      <c r="BC84" s="2" t="str" cm="1">
        <f t="array" ref="BC84">IF('NILAI CPL'!$B84&lt;&gt;"",IFERROR(_xlfn.IFS(AF84&gt;='NILAI CPL'!$B$3,4,AF84&gt;='NILAI CPL'!$B$4,3,AF84&gt;='NILAI CPL'!$B$5,2,AF84&gt;'NILAI CPL'!$B$6,1),0),"")</f>
        <v/>
      </c>
      <c r="BD84" s="2" t="str" cm="1">
        <f t="array" ref="BD84">IF('NILAI CPL'!$B84&lt;&gt;"",IFERROR(_xlfn.IFS(AG84&gt;='NILAI CPL'!$B$3,4,AG84&gt;='NILAI CPL'!$B$4,3,AG84&gt;='NILAI CPL'!$B$5,2,AG84&gt;'NILAI CPL'!$B$6,1),0),"")</f>
        <v/>
      </c>
      <c r="BE84" s="2" t="str" cm="1">
        <f t="array" ref="BE84">IF('NILAI CPL'!$B84&lt;&gt;"",IFERROR(_xlfn.IFS(AH84&gt;='NILAI CPL'!$B$3,4,AH84&gt;='NILAI CPL'!$B$4,3,AH84&gt;='NILAI CPL'!$B$5,2,AH84&gt;'NILAI CPL'!$B$6,1),0),"")</f>
        <v/>
      </c>
      <c r="BF84" s="2" t="str" cm="1">
        <f t="array" ref="BF84">IF('NILAI CPL'!$B84&lt;&gt;"",IFERROR(_xlfn.IFS(AI84&gt;='NILAI CPL'!$B$3,4,AI84&gt;='NILAI CPL'!$B$4,3,AI84&gt;='NILAI CPL'!$B$5,2,AI84&gt;'NILAI CPL'!$B$6,1),0),"")</f>
        <v/>
      </c>
      <c r="BG84" s="2" t="str" cm="1">
        <f t="array" ref="BG84">IF('NILAI CPL'!$B84&lt;&gt;"",IFERROR(_xlfn.IFS(AJ84&gt;='NILAI CPL'!$B$3,4,AJ84&gt;='NILAI CPL'!$B$4,3,AJ84&gt;='NILAI CPL'!$B$5,2,AJ84&gt;'NILAI CPL'!$B$6,1),0),"")</f>
        <v/>
      </c>
      <c r="BH84" s="2" t="str" cm="1">
        <f t="array" ref="BH84">IF('NILAI CPL'!$B84&lt;&gt;"",IFERROR(_xlfn.IFS(AK84&gt;='NILAI CPL'!$B$3,4,AK84&gt;='NILAI CPL'!$B$4,3,AK84&gt;='NILAI CPL'!$B$5,2,AK84&gt;'NILAI CPL'!$B$6,1),0),"")</f>
        <v/>
      </c>
      <c r="BI84" s="2" t="str" cm="1">
        <f t="array" ref="BI84">IF('NILAI CPL'!$B84&lt;&gt;"",IFERROR(_xlfn.IFS(AL84&gt;='NILAI CPL'!$B$3,4,AL84&gt;='NILAI CPL'!$B$4,3,AL84&gt;='NILAI CPL'!$B$5,2,AL84&gt;'NILAI CPL'!$B$6,1),0),"")</f>
        <v/>
      </c>
      <c r="BJ84" s="2" t="str" cm="1">
        <f t="array" ref="BJ84">IF('NILAI CPL'!$B84&lt;&gt;"",IFERROR(_xlfn.IFS(AM84&gt;='NILAI CPL'!$B$3,4,AM84&gt;='NILAI CPL'!$B$4,3,AM84&gt;='NILAI CPL'!$B$5,2,AM84&gt;'NILAI CPL'!$B$6,1),0),"")</f>
        <v/>
      </c>
      <c r="BK84" s="2" t="str" cm="1">
        <f t="array" ref="BK84">IF('NILAI CPL'!$B84&lt;&gt;"",IFERROR(_xlfn.IFS(AN84&gt;='NILAI CPL'!$B$3,4,AN84&gt;='NILAI CPL'!$B$4,3,AN84&gt;='NILAI CPL'!$B$5,2,AN84&gt;'NILAI CPL'!$B$6,1),0),"")</f>
        <v/>
      </c>
    </row>
    <row r="85" spans="1:63" x14ac:dyDescent="0.2">
      <c r="A85" s="2">
        <v>75</v>
      </c>
      <c r="B85" s="2" t="str">
        <f>IF(LEN(SUMMARY!B85)&gt;0, SUMMARY!B85, "")</f>
        <v/>
      </c>
      <c r="C85" s="2" t="str">
        <f>IF(LEN(SUMMARY!C85)&gt;0, SUMMARY!C85, "")</f>
        <v/>
      </c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" t="str">
        <f t="shared" si="25"/>
        <v/>
      </c>
      <c r="S85" s="2" t="str">
        <f t="shared" si="26"/>
        <v/>
      </c>
      <c r="T85" s="2" t="str">
        <f t="shared" si="27"/>
        <v/>
      </c>
      <c r="U85" s="2" t="str">
        <f t="shared" si="28"/>
        <v/>
      </c>
      <c r="V85" s="2" t="str">
        <f t="shared" si="29"/>
        <v/>
      </c>
      <c r="W85" s="2" t="str">
        <f t="shared" si="30"/>
        <v/>
      </c>
      <c r="X85" s="2" t="str">
        <f t="shared" si="31"/>
        <v/>
      </c>
      <c r="Y85" s="2" t="str">
        <f t="shared" si="32"/>
        <v/>
      </c>
      <c r="Z85" s="2" t="str">
        <f t="shared" si="33"/>
        <v/>
      </c>
      <c r="AA85" s="2" t="str">
        <f t="shared" si="34"/>
        <v/>
      </c>
      <c r="AB85" s="2" t="str">
        <f t="shared" si="35"/>
        <v/>
      </c>
      <c r="AC85" s="2" t="str">
        <f t="shared" si="36"/>
        <v/>
      </c>
      <c r="AD85" s="2" t="str">
        <f t="shared" si="37"/>
        <v/>
      </c>
      <c r="AE85" s="2" t="str">
        <f t="shared" si="38"/>
        <v/>
      </c>
      <c r="AF85" s="2" t="str">
        <f t="shared" si="39"/>
        <v/>
      </c>
      <c r="AG85" s="2" t="str">
        <f t="shared" si="40"/>
        <v/>
      </c>
      <c r="AH85" s="2" t="str">
        <f t="shared" si="41"/>
        <v/>
      </c>
      <c r="AI85" s="2" t="str">
        <f t="shared" si="42"/>
        <v/>
      </c>
      <c r="AJ85" s="2" t="str">
        <f t="shared" si="43"/>
        <v/>
      </c>
      <c r="AK85" s="2" t="str">
        <f t="shared" si="44"/>
        <v/>
      </c>
      <c r="AL85" s="2" t="str">
        <f t="shared" si="45"/>
        <v/>
      </c>
      <c r="AM85" s="2" t="str">
        <f t="shared" si="46"/>
        <v/>
      </c>
      <c r="AN85" s="2" t="str">
        <f t="shared" si="47"/>
        <v/>
      </c>
      <c r="AP85" s="2" t="str" cm="1">
        <f t="array" ref="AP85">IF('NILAI CPL'!$B85&lt;&gt;"",IFERROR(_xlfn.IFS(S85&gt;='NILAI CPL'!$B$3,4,S85&gt;='NILAI CPL'!$B$4,3,S85&gt;='NILAI CPL'!$B$5,2,S85&gt;'NILAI CPL'!$B$6,1),0),"")</f>
        <v/>
      </c>
      <c r="AQ85" s="2" t="str" cm="1">
        <f t="array" ref="AQ85">IF('NILAI CPL'!$B85&lt;&gt;"",IFERROR(_xlfn.IFS(T85&gt;='NILAI CPL'!$B$3,4,T85&gt;='NILAI CPL'!$B$4,3,T85&gt;='NILAI CPL'!$B$5,2,T85&gt;'NILAI CPL'!$B$6,1),0),"")</f>
        <v/>
      </c>
      <c r="AR85" s="2" t="str" cm="1">
        <f t="array" ref="AR85">IF('NILAI CPL'!$B85&lt;&gt;"",IFERROR(_xlfn.IFS(U85&gt;='NILAI CPL'!$B$3,4,U85&gt;='NILAI CPL'!$B$4,3,U85&gt;='NILAI CPL'!$B$5,2,U85&gt;'NILAI CPL'!$B$6,1),0),"")</f>
        <v/>
      </c>
      <c r="AS85" s="2" t="str" cm="1">
        <f t="array" ref="AS85">IF('NILAI CPL'!$B85&lt;&gt;"",IFERROR(_xlfn.IFS(V85&gt;='NILAI CPL'!$B$3,4,V85&gt;='NILAI CPL'!$B$4,3,V85&gt;='NILAI CPL'!$B$5,2,V85&gt;'NILAI CPL'!$B$6,1),0),"")</f>
        <v/>
      </c>
      <c r="AT85" s="2" t="str" cm="1">
        <f t="array" ref="AT85">IF('NILAI CPL'!$B85&lt;&gt;"",IFERROR(_xlfn.IFS(W85&gt;='NILAI CPL'!$B$3,4,W85&gt;='NILAI CPL'!$B$4,3,W85&gt;='NILAI CPL'!$B$5,2,W85&gt;'NILAI CPL'!$B$6,1),0),"")</f>
        <v/>
      </c>
      <c r="AU85" s="2" t="str" cm="1">
        <f t="array" ref="AU85">IF('NILAI CPL'!$B85&lt;&gt;"",IFERROR(_xlfn.IFS(X85&gt;='NILAI CPL'!$B$3,4,X85&gt;='NILAI CPL'!$B$4,3,X85&gt;='NILAI CPL'!$B$5,2,X85&gt;'NILAI CPL'!$B$6,1),0),"")</f>
        <v/>
      </c>
      <c r="AV85" s="2" t="str" cm="1">
        <f t="array" ref="AV85">IF('NILAI CPL'!$B85&lt;&gt;"",IFERROR(_xlfn.IFS(Y85&gt;='NILAI CPL'!$B$3,4,Y85&gt;='NILAI CPL'!$B$4,3,Y85&gt;='NILAI CPL'!$B$5,2,Y85&gt;'NILAI CPL'!$B$6,1),0),"")</f>
        <v/>
      </c>
      <c r="AW85" s="2" t="str" cm="1">
        <f t="array" ref="AW85">IF('NILAI CPL'!$B85&lt;&gt;"",IFERROR(_xlfn.IFS(Z85&gt;='NILAI CPL'!$B$3,4,Z85&gt;='NILAI CPL'!$B$4,3,Z85&gt;='NILAI CPL'!$B$5,2,Z85&gt;'NILAI CPL'!$B$6,1),0),"")</f>
        <v/>
      </c>
      <c r="AX85" s="2" t="str" cm="1">
        <f t="array" ref="AX85">IF('NILAI CPL'!$B85&lt;&gt;"",IFERROR(_xlfn.IFS(AA85&gt;='NILAI CPL'!$B$3,4,AA85&gt;='NILAI CPL'!$B$4,3,AA85&gt;='NILAI CPL'!$B$5,2,AA85&gt;'NILAI CPL'!$B$6,1),0),"")</f>
        <v/>
      </c>
      <c r="AY85" s="2" t="str" cm="1">
        <f t="array" ref="AY85">IF('NILAI CPL'!$B85&lt;&gt;"",IFERROR(_xlfn.IFS(AB85&gt;='NILAI CPL'!$B$3,4,AB85&gt;='NILAI CPL'!$B$4,3,AB85&gt;='NILAI CPL'!$B$5,2,AB85&gt;'NILAI CPL'!$B$6,1),0),"")</f>
        <v/>
      </c>
      <c r="AZ85" s="2" t="str" cm="1">
        <f t="array" ref="AZ85">IF('NILAI CPL'!$B85&lt;&gt;"",IFERROR(_xlfn.IFS(AC85&gt;='NILAI CPL'!$B$3,4,AC85&gt;='NILAI CPL'!$B$4,3,AC85&gt;='NILAI CPL'!$B$5,2,AC85&gt;'NILAI CPL'!$B$6,1),0),"")</f>
        <v/>
      </c>
      <c r="BA85" s="2" t="str" cm="1">
        <f t="array" ref="BA85">IF('NILAI CPL'!$B85&lt;&gt;"",IFERROR(_xlfn.IFS(AD85&gt;='NILAI CPL'!$B$3,4,AD85&gt;='NILAI CPL'!$B$4,3,AD85&gt;='NILAI CPL'!$B$5,2,AD85&gt;'NILAI CPL'!$B$6,1),0),"")</f>
        <v/>
      </c>
      <c r="BB85" s="2" t="str" cm="1">
        <f t="array" ref="BB85">IF('NILAI CPL'!$B85&lt;&gt;"",IFERROR(_xlfn.IFS(AE85&gt;='NILAI CPL'!$B$3,4,AE85&gt;='NILAI CPL'!$B$4,3,AE85&gt;='NILAI CPL'!$B$5,2,AE85&gt;'NILAI CPL'!$B$6,1),0),"")</f>
        <v/>
      </c>
      <c r="BC85" s="2" t="str" cm="1">
        <f t="array" ref="BC85">IF('NILAI CPL'!$B85&lt;&gt;"",IFERROR(_xlfn.IFS(AF85&gt;='NILAI CPL'!$B$3,4,AF85&gt;='NILAI CPL'!$B$4,3,AF85&gt;='NILAI CPL'!$B$5,2,AF85&gt;'NILAI CPL'!$B$6,1),0),"")</f>
        <v/>
      </c>
      <c r="BD85" s="2" t="str" cm="1">
        <f t="array" ref="BD85">IF('NILAI CPL'!$B85&lt;&gt;"",IFERROR(_xlfn.IFS(AG85&gt;='NILAI CPL'!$B$3,4,AG85&gt;='NILAI CPL'!$B$4,3,AG85&gt;='NILAI CPL'!$B$5,2,AG85&gt;'NILAI CPL'!$B$6,1),0),"")</f>
        <v/>
      </c>
      <c r="BE85" s="2" t="str" cm="1">
        <f t="array" ref="BE85">IF('NILAI CPL'!$B85&lt;&gt;"",IFERROR(_xlfn.IFS(AH85&gt;='NILAI CPL'!$B$3,4,AH85&gt;='NILAI CPL'!$B$4,3,AH85&gt;='NILAI CPL'!$B$5,2,AH85&gt;'NILAI CPL'!$B$6,1),0),"")</f>
        <v/>
      </c>
      <c r="BF85" s="2" t="str" cm="1">
        <f t="array" ref="BF85">IF('NILAI CPL'!$B85&lt;&gt;"",IFERROR(_xlfn.IFS(AI85&gt;='NILAI CPL'!$B$3,4,AI85&gt;='NILAI CPL'!$B$4,3,AI85&gt;='NILAI CPL'!$B$5,2,AI85&gt;'NILAI CPL'!$B$6,1),0),"")</f>
        <v/>
      </c>
      <c r="BG85" s="2" t="str" cm="1">
        <f t="array" ref="BG85">IF('NILAI CPL'!$B85&lt;&gt;"",IFERROR(_xlfn.IFS(AJ85&gt;='NILAI CPL'!$B$3,4,AJ85&gt;='NILAI CPL'!$B$4,3,AJ85&gt;='NILAI CPL'!$B$5,2,AJ85&gt;'NILAI CPL'!$B$6,1),0),"")</f>
        <v/>
      </c>
      <c r="BH85" s="2" t="str" cm="1">
        <f t="array" ref="BH85">IF('NILAI CPL'!$B85&lt;&gt;"",IFERROR(_xlfn.IFS(AK85&gt;='NILAI CPL'!$B$3,4,AK85&gt;='NILAI CPL'!$B$4,3,AK85&gt;='NILAI CPL'!$B$5,2,AK85&gt;'NILAI CPL'!$B$6,1),0),"")</f>
        <v/>
      </c>
      <c r="BI85" s="2" t="str" cm="1">
        <f t="array" ref="BI85">IF('NILAI CPL'!$B85&lt;&gt;"",IFERROR(_xlfn.IFS(AL85&gt;='NILAI CPL'!$B$3,4,AL85&gt;='NILAI CPL'!$B$4,3,AL85&gt;='NILAI CPL'!$B$5,2,AL85&gt;'NILAI CPL'!$B$6,1),0),"")</f>
        <v/>
      </c>
      <c r="BJ85" s="2" t="str" cm="1">
        <f t="array" ref="BJ85">IF('NILAI CPL'!$B85&lt;&gt;"",IFERROR(_xlfn.IFS(AM85&gt;='NILAI CPL'!$B$3,4,AM85&gt;='NILAI CPL'!$B$4,3,AM85&gt;='NILAI CPL'!$B$5,2,AM85&gt;'NILAI CPL'!$B$6,1),0),"")</f>
        <v/>
      </c>
      <c r="BK85" s="2" t="str" cm="1">
        <f t="array" ref="BK85">IF('NILAI CPL'!$B85&lt;&gt;"",IFERROR(_xlfn.IFS(AN85&gt;='NILAI CPL'!$B$3,4,AN85&gt;='NILAI CPL'!$B$4,3,AN85&gt;='NILAI CPL'!$B$5,2,AN85&gt;'NILAI CPL'!$B$6,1),0),"")</f>
        <v/>
      </c>
    </row>
    <row r="86" spans="1:63" x14ac:dyDescent="0.2">
      <c r="A86" s="2">
        <v>76</v>
      </c>
      <c r="B86" s="2" t="str">
        <f>IF(LEN(SUMMARY!B86)&gt;0, SUMMARY!B86, "")</f>
        <v/>
      </c>
      <c r="C86" s="2" t="str">
        <f>IF(LEN(SUMMARY!C86)&gt;0, SUMMARY!C86, "")</f>
        <v/>
      </c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" t="str">
        <f t="shared" si="25"/>
        <v/>
      </c>
      <c r="S86" s="2" t="str">
        <f t="shared" si="26"/>
        <v/>
      </c>
      <c r="T86" s="2" t="str">
        <f t="shared" si="27"/>
        <v/>
      </c>
      <c r="U86" s="2" t="str">
        <f t="shared" si="28"/>
        <v/>
      </c>
      <c r="V86" s="2" t="str">
        <f t="shared" si="29"/>
        <v/>
      </c>
      <c r="W86" s="2" t="str">
        <f t="shared" si="30"/>
        <v/>
      </c>
      <c r="X86" s="2" t="str">
        <f t="shared" si="31"/>
        <v/>
      </c>
      <c r="Y86" s="2" t="str">
        <f t="shared" si="32"/>
        <v/>
      </c>
      <c r="Z86" s="2" t="str">
        <f t="shared" si="33"/>
        <v/>
      </c>
      <c r="AA86" s="2" t="str">
        <f t="shared" si="34"/>
        <v/>
      </c>
      <c r="AB86" s="2" t="str">
        <f t="shared" si="35"/>
        <v/>
      </c>
      <c r="AC86" s="2" t="str">
        <f t="shared" si="36"/>
        <v/>
      </c>
      <c r="AD86" s="2" t="str">
        <f t="shared" si="37"/>
        <v/>
      </c>
      <c r="AE86" s="2" t="str">
        <f t="shared" si="38"/>
        <v/>
      </c>
      <c r="AF86" s="2" t="str">
        <f t="shared" si="39"/>
        <v/>
      </c>
      <c r="AG86" s="2" t="str">
        <f t="shared" si="40"/>
        <v/>
      </c>
      <c r="AH86" s="2" t="str">
        <f t="shared" si="41"/>
        <v/>
      </c>
      <c r="AI86" s="2" t="str">
        <f t="shared" si="42"/>
        <v/>
      </c>
      <c r="AJ86" s="2" t="str">
        <f t="shared" si="43"/>
        <v/>
      </c>
      <c r="AK86" s="2" t="str">
        <f t="shared" si="44"/>
        <v/>
      </c>
      <c r="AL86" s="2" t="str">
        <f t="shared" si="45"/>
        <v/>
      </c>
      <c r="AM86" s="2" t="str">
        <f t="shared" si="46"/>
        <v/>
      </c>
      <c r="AN86" s="2" t="str">
        <f t="shared" si="47"/>
        <v/>
      </c>
      <c r="AP86" s="2" t="str" cm="1">
        <f t="array" ref="AP86">IF('NILAI CPL'!$B86&lt;&gt;"",IFERROR(_xlfn.IFS(S86&gt;='NILAI CPL'!$B$3,4,S86&gt;='NILAI CPL'!$B$4,3,S86&gt;='NILAI CPL'!$B$5,2,S86&gt;'NILAI CPL'!$B$6,1),0),"")</f>
        <v/>
      </c>
      <c r="AQ86" s="2" t="str" cm="1">
        <f t="array" ref="AQ86">IF('NILAI CPL'!$B86&lt;&gt;"",IFERROR(_xlfn.IFS(T86&gt;='NILAI CPL'!$B$3,4,T86&gt;='NILAI CPL'!$B$4,3,T86&gt;='NILAI CPL'!$B$5,2,T86&gt;'NILAI CPL'!$B$6,1),0),"")</f>
        <v/>
      </c>
      <c r="AR86" s="2" t="str" cm="1">
        <f t="array" ref="AR86">IF('NILAI CPL'!$B86&lt;&gt;"",IFERROR(_xlfn.IFS(U86&gt;='NILAI CPL'!$B$3,4,U86&gt;='NILAI CPL'!$B$4,3,U86&gt;='NILAI CPL'!$B$5,2,U86&gt;'NILAI CPL'!$B$6,1),0),"")</f>
        <v/>
      </c>
      <c r="AS86" s="2" t="str" cm="1">
        <f t="array" ref="AS86">IF('NILAI CPL'!$B86&lt;&gt;"",IFERROR(_xlfn.IFS(V86&gt;='NILAI CPL'!$B$3,4,V86&gt;='NILAI CPL'!$B$4,3,V86&gt;='NILAI CPL'!$B$5,2,V86&gt;'NILAI CPL'!$B$6,1),0),"")</f>
        <v/>
      </c>
      <c r="AT86" s="2" t="str" cm="1">
        <f t="array" ref="AT86">IF('NILAI CPL'!$B86&lt;&gt;"",IFERROR(_xlfn.IFS(W86&gt;='NILAI CPL'!$B$3,4,W86&gt;='NILAI CPL'!$B$4,3,W86&gt;='NILAI CPL'!$B$5,2,W86&gt;'NILAI CPL'!$B$6,1),0),"")</f>
        <v/>
      </c>
      <c r="AU86" s="2" t="str" cm="1">
        <f t="array" ref="AU86">IF('NILAI CPL'!$B86&lt;&gt;"",IFERROR(_xlfn.IFS(X86&gt;='NILAI CPL'!$B$3,4,X86&gt;='NILAI CPL'!$B$4,3,X86&gt;='NILAI CPL'!$B$5,2,X86&gt;'NILAI CPL'!$B$6,1),0),"")</f>
        <v/>
      </c>
      <c r="AV86" s="2" t="str" cm="1">
        <f t="array" ref="AV86">IF('NILAI CPL'!$B86&lt;&gt;"",IFERROR(_xlfn.IFS(Y86&gt;='NILAI CPL'!$B$3,4,Y86&gt;='NILAI CPL'!$B$4,3,Y86&gt;='NILAI CPL'!$B$5,2,Y86&gt;'NILAI CPL'!$B$6,1),0),"")</f>
        <v/>
      </c>
      <c r="AW86" s="2" t="str" cm="1">
        <f t="array" ref="AW86">IF('NILAI CPL'!$B86&lt;&gt;"",IFERROR(_xlfn.IFS(Z86&gt;='NILAI CPL'!$B$3,4,Z86&gt;='NILAI CPL'!$B$4,3,Z86&gt;='NILAI CPL'!$B$5,2,Z86&gt;'NILAI CPL'!$B$6,1),0),"")</f>
        <v/>
      </c>
      <c r="AX86" s="2" t="str" cm="1">
        <f t="array" ref="AX86">IF('NILAI CPL'!$B86&lt;&gt;"",IFERROR(_xlfn.IFS(AA86&gt;='NILAI CPL'!$B$3,4,AA86&gt;='NILAI CPL'!$B$4,3,AA86&gt;='NILAI CPL'!$B$5,2,AA86&gt;'NILAI CPL'!$B$6,1),0),"")</f>
        <v/>
      </c>
      <c r="AY86" s="2" t="str" cm="1">
        <f t="array" ref="AY86">IF('NILAI CPL'!$B86&lt;&gt;"",IFERROR(_xlfn.IFS(AB86&gt;='NILAI CPL'!$B$3,4,AB86&gt;='NILAI CPL'!$B$4,3,AB86&gt;='NILAI CPL'!$B$5,2,AB86&gt;'NILAI CPL'!$B$6,1),0),"")</f>
        <v/>
      </c>
      <c r="AZ86" s="2" t="str" cm="1">
        <f t="array" ref="AZ86">IF('NILAI CPL'!$B86&lt;&gt;"",IFERROR(_xlfn.IFS(AC86&gt;='NILAI CPL'!$B$3,4,AC86&gt;='NILAI CPL'!$B$4,3,AC86&gt;='NILAI CPL'!$B$5,2,AC86&gt;'NILAI CPL'!$B$6,1),0),"")</f>
        <v/>
      </c>
      <c r="BA86" s="2" t="str" cm="1">
        <f t="array" ref="BA86">IF('NILAI CPL'!$B86&lt;&gt;"",IFERROR(_xlfn.IFS(AD86&gt;='NILAI CPL'!$B$3,4,AD86&gt;='NILAI CPL'!$B$4,3,AD86&gt;='NILAI CPL'!$B$5,2,AD86&gt;'NILAI CPL'!$B$6,1),0),"")</f>
        <v/>
      </c>
      <c r="BB86" s="2" t="str" cm="1">
        <f t="array" ref="BB86">IF('NILAI CPL'!$B86&lt;&gt;"",IFERROR(_xlfn.IFS(AE86&gt;='NILAI CPL'!$B$3,4,AE86&gt;='NILAI CPL'!$B$4,3,AE86&gt;='NILAI CPL'!$B$5,2,AE86&gt;'NILAI CPL'!$B$6,1),0),"")</f>
        <v/>
      </c>
      <c r="BC86" s="2" t="str" cm="1">
        <f t="array" ref="BC86">IF('NILAI CPL'!$B86&lt;&gt;"",IFERROR(_xlfn.IFS(AF86&gt;='NILAI CPL'!$B$3,4,AF86&gt;='NILAI CPL'!$B$4,3,AF86&gt;='NILAI CPL'!$B$5,2,AF86&gt;'NILAI CPL'!$B$6,1),0),"")</f>
        <v/>
      </c>
      <c r="BD86" s="2" t="str" cm="1">
        <f t="array" ref="BD86">IF('NILAI CPL'!$B86&lt;&gt;"",IFERROR(_xlfn.IFS(AG86&gt;='NILAI CPL'!$B$3,4,AG86&gt;='NILAI CPL'!$B$4,3,AG86&gt;='NILAI CPL'!$B$5,2,AG86&gt;'NILAI CPL'!$B$6,1),0),"")</f>
        <v/>
      </c>
      <c r="BE86" s="2" t="str" cm="1">
        <f t="array" ref="BE86">IF('NILAI CPL'!$B86&lt;&gt;"",IFERROR(_xlfn.IFS(AH86&gt;='NILAI CPL'!$B$3,4,AH86&gt;='NILAI CPL'!$B$4,3,AH86&gt;='NILAI CPL'!$B$5,2,AH86&gt;'NILAI CPL'!$B$6,1),0),"")</f>
        <v/>
      </c>
      <c r="BF86" s="2" t="str" cm="1">
        <f t="array" ref="BF86">IF('NILAI CPL'!$B86&lt;&gt;"",IFERROR(_xlfn.IFS(AI86&gt;='NILAI CPL'!$B$3,4,AI86&gt;='NILAI CPL'!$B$4,3,AI86&gt;='NILAI CPL'!$B$5,2,AI86&gt;'NILAI CPL'!$B$6,1),0),"")</f>
        <v/>
      </c>
      <c r="BG86" s="2" t="str" cm="1">
        <f t="array" ref="BG86">IF('NILAI CPL'!$B86&lt;&gt;"",IFERROR(_xlfn.IFS(AJ86&gt;='NILAI CPL'!$B$3,4,AJ86&gt;='NILAI CPL'!$B$4,3,AJ86&gt;='NILAI CPL'!$B$5,2,AJ86&gt;'NILAI CPL'!$B$6,1),0),"")</f>
        <v/>
      </c>
      <c r="BH86" s="2" t="str" cm="1">
        <f t="array" ref="BH86">IF('NILAI CPL'!$B86&lt;&gt;"",IFERROR(_xlfn.IFS(AK86&gt;='NILAI CPL'!$B$3,4,AK86&gt;='NILAI CPL'!$B$4,3,AK86&gt;='NILAI CPL'!$B$5,2,AK86&gt;'NILAI CPL'!$B$6,1),0),"")</f>
        <v/>
      </c>
      <c r="BI86" s="2" t="str" cm="1">
        <f t="array" ref="BI86">IF('NILAI CPL'!$B86&lt;&gt;"",IFERROR(_xlfn.IFS(AL86&gt;='NILAI CPL'!$B$3,4,AL86&gt;='NILAI CPL'!$B$4,3,AL86&gt;='NILAI CPL'!$B$5,2,AL86&gt;'NILAI CPL'!$B$6,1),0),"")</f>
        <v/>
      </c>
      <c r="BJ86" s="2" t="str" cm="1">
        <f t="array" ref="BJ86">IF('NILAI CPL'!$B86&lt;&gt;"",IFERROR(_xlfn.IFS(AM86&gt;='NILAI CPL'!$B$3,4,AM86&gt;='NILAI CPL'!$B$4,3,AM86&gt;='NILAI CPL'!$B$5,2,AM86&gt;'NILAI CPL'!$B$6,1),0),"")</f>
        <v/>
      </c>
      <c r="BK86" s="2" t="str" cm="1">
        <f t="array" ref="BK86">IF('NILAI CPL'!$B86&lt;&gt;"",IFERROR(_xlfn.IFS(AN86&gt;='NILAI CPL'!$B$3,4,AN86&gt;='NILAI CPL'!$B$4,3,AN86&gt;='NILAI CPL'!$B$5,2,AN86&gt;'NILAI CPL'!$B$6,1),0),"")</f>
        <v/>
      </c>
    </row>
    <row r="87" spans="1:63" x14ac:dyDescent="0.2">
      <c r="A87" s="2">
        <v>77</v>
      </c>
      <c r="B87" s="2" t="str">
        <f>IF(LEN(SUMMARY!B87)&gt;0, SUMMARY!B87, "")</f>
        <v/>
      </c>
      <c r="C87" s="2" t="str">
        <f>IF(LEN(SUMMARY!C87)&gt;0, SUMMARY!C87, "")</f>
        <v/>
      </c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" t="str">
        <f t="shared" si="25"/>
        <v/>
      </c>
      <c r="S87" s="2" t="str">
        <f t="shared" si="26"/>
        <v/>
      </c>
      <c r="T87" s="2" t="str">
        <f t="shared" si="27"/>
        <v/>
      </c>
      <c r="U87" s="2" t="str">
        <f t="shared" si="28"/>
        <v/>
      </c>
      <c r="V87" s="2" t="str">
        <f t="shared" si="29"/>
        <v/>
      </c>
      <c r="W87" s="2" t="str">
        <f t="shared" si="30"/>
        <v/>
      </c>
      <c r="X87" s="2" t="str">
        <f t="shared" si="31"/>
        <v/>
      </c>
      <c r="Y87" s="2" t="str">
        <f t="shared" si="32"/>
        <v/>
      </c>
      <c r="Z87" s="2" t="str">
        <f t="shared" si="33"/>
        <v/>
      </c>
      <c r="AA87" s="2" t="str">
        <f t="shared" si="34"/>
        <v/>
      </c>
      <c r="AB87" s="2" t="str">
        <f t="shared" si="35"/>
        <v/>
      </c>
      <c r="AC87" s="2" t="str">
        <f t="shared" si="36"/>
        <v/>
      </c>
      <c r="AD87" s="2" t="str">
        <f t="shared" si="37"/>
        <v/>
      </c>
      <c r="AE87" s="2" t="str">
        <f t="shared" si="38"/>
        <v/>
      </c>
      <c r="AF87" s="2" t="str">
        <f t="shared" si="39"/>
        <v/>
      </c>
      <c r="AG87" s="2" t="str">
        <f t="shared" si="40"/>
        <v/>
      </c>
      <c r="AH87" s="2" t="str">
        <f t="shared" si="41"/>
        <v/>
      </c>
      <c r="AI87" s="2" t="str">
        <f t="shared" si="42"/>
        <v/>
      </c>
      <c r="AJ87" s="2" t="str">
        <f t="shared" si="43"/>
        <v/>
      </c>
      <c r="AK87" s="2" t="str">
        <f t="shared" si="44"/>
        <v/>
      </c>
      <c r="AL87" s="2" t="str">
        <f t="shared" si="45"/>
        <v/>
      </c>
      <c r="AM87" s="2" t="str">
        <f t="shared" si="46"/>
        <v/>
      </c>
      <c r="AN87" s="2" t="str">
        <f t="shared" si="47"/>
        <v/>
      </c>
      <c r="AP87" s="2" t="str" cm="1">
        <f t="array" ref="AP87">IF('NILAI CPL'!$B87&lt;&gt;"",IFERROR(_xlfn.IFS(S87&gt;='NILAI CPL'!$B$3,4,S87&gt;='NILAI CPL'!$B$4,3,S87&gt;='NILAI CPL'!$B$5,2,S87&gt;'NILAI CPL'!$B$6,1),0),"")</f>
        <v/>
      </c>
      <c r="AQ87" s="2" t="str" cm="1">
        <f t="array" ref="AQ87">IF('NILAI CPL'!$B87&lt;&gt;"",IFERROR(_xlfn.IFS(T87&gt;='NILAI CPL'!$B$3,4,T87&gt;='NILAI CPL'!$B$4,3,T87&gt;='NILAI CPL'!$B$5,2,T87&gt;'NILAI CPL'!$B$6,1),0),"")</f>
        <v/>
      </c>
      <c r="AR87" s="2" t="str" cm="1">
        <f t="array" ref="AR87">IF('NILAI CPL'!$B87&lt;&gt;"",IFERROR(_xlfn.IFS(U87&gt;='NILAI CPL'!$B$3,4,U87&gt;='NILAI CPL'!$B$4,3,U87&gt;='NILAI CPL'!$B$5,2,U87&gt;'NILAI CPL'!$B$6,1),0),"")</f>
        <v/>
      </c>
      <c r="AS87" s="2" t="str" cm="1">
        <f t="array" ref="AS87">IF('NILAI CPL'!$B87&lt;&gt;"",IFERROR(_xlfn.IFS(V87&gt;='NILAI CPL'!$B$3,4,V87&gt;='NILAI CPL'!$B$4,3,V87&gt;='NILAI CPL'!$B$5,2,V87&gt;'NILAI CPL'!$B$6,1),0),"")</f>
        <v/>
      </c>
      <c r="AT87" s="2" t="str" cm="1">
        <f t="array" ref="AT87">IF('NILAI CPL'!$B87&lt;&gt;"",IFERROR(_xlfn.IFS(W87&gt;='NILAI CPL'!$B$3,4,W87&gt;='NILAI CPL'!$B$4,3,W87&gt;='NILAI CPL'!$B$5,2,W87&gt;'NILAI CPL'!$B$6,1),0),"")</f>
        <v/>
      </c>
      <c r="AU87" s="2" t="str" cm="1">
        <f t="array" ref="AU87">IF('NILAI CPL'!$B87&lt;&gt;"",IFERROR(_xlfn.IFS(X87&gt;='NILAI CPL'!$B$3,4,X87&gt;='NILAI CPL'!$B$4,3,X87&gt;='NILAI CPL'!$B$5,2,X87&gt;'NILAI CPL'!$B$6,1),0),"")</f>
        <v/>
      </c>
      <c r="AV87" s="2" t="str" cm="1">
        <f t="array" ref="AV87">IF('NILAI CPL'!$B87&lt;&gt;"",IFERROR(_xlfn.IFS(Y87&gt;='NILAI CPL'!$B$3,4,Y87&gt;='NILAI CPL'!$B$4,3,Y87&gt;='NILAI CPL'!$B$5,2,Y87&gt;'NILAI CPL'!$B$6,1),0),"")</f>
        <v/>
      </c>
      <c r="AW87" s="2" t="str" cm="1">
        <f t="array" ref="AW87">IF('NILAI CPL'!$B87&lt;&gt;"",IFERROR(_xlfn.IFS(Z87&gt;='NILAI CPL'!$B$3,4,Z87&gt;='NILAI CPL'!$B$4,3,Z87&gt;='NILAI CPL'!$B$5,2,Z87&gt;'NILAI CPL'!$B$6,1),0),"")</f>
        <v/>
      </c>
      <c r="AX87" s="2" t="str" cm="1">
        <f t="array" ref="AX87">IF('NILAI CPL'!$B87&lt;&gt;"",IFERROR(_xlfn.IFS(AA87&gt;='NILAI CPL'!$B$3,4,AA87&gt;='NILAI CPL'!$B$4,3,AA87&gt;='NILAI CPL'!$B$5,2,AA87&gt;'NILAI CPL'!$B$6,1),0),"")</f>
        <v/>
      </c>
      <c r="AY87" s="2" t="str" cm="1">
        <f t="array" ref="AY87">IF('NILAI CPL'!$B87&lt;&gt;"",IFERROR(_xlfn.IFS(AB87&gt;='NILAI CPL'!$B$3,4,AB87&gt;='NILAI CPL'!$B$4,3,AB87&gt;='NILAI CPL'!$B$5,2,AB87&gt;'NILAI CPL'!$B$6,1),0),"")</f>
        <v/>
      </c>
      <c r="AZ87" s="2" t="str" cm="1">
        <f t="array" ref="AZ87">IF('NILAI CPL'!$B87&lt;&gt;"",IFERROR(_xlfn.IFS(AC87&gt;='NILAI CPL'!$B$3,4,AC87&gt;='NILAI CPL'!$B$4,3,AC87&gt;='NILAI CPL'!$B$5,2,AC87&gt;'NILAI CPL'!$B$6,1),0),"")</f>
        <v/>
      </c>
      <c r="BA87" s="2" t="str" cm="1">
        <f t="array" ref="BA87">IF('NILAI CPL'!$B87&lt;&gt;"",IFERROR(_xlfn.IFS(AD87&gt;='NILAI CPL'!$B$3,4,AD87&gt;='NILAI CPL'!$B$4,3,AD87&gt;='NILAI CPL'!$B$5,2,AD87&gt;'NILAI CPL'!$B$6,1),0),"")</f>
        <v/>
      </c>
      <c r="BB87" s="2" t="str" cm="1">
        <f t="array" ref="BB87">IF('NILAI CPL'!$B87&lt;&gt;"",IFERROR(_xlfn.IFS(AE87&gt;='NILAI CPL'!$B$3,4,AE87&gt;='NILAI CPL'!$B$4,3,AE87&gt;='NILAI CPL'!$B$5,2,AE87&gt;'NILAI CPL'!$B$6,1),0),"")</f>
        <v/>
      </c>
      <c r="BC87" s="2" t="str" cm="1">
        <f t="array" ref="BC87">IF('NILAI CPL'!$B87&lt;&gt;"",IFERROR(_xlfn.IFS(AF87&gt;='NILAI CPL'!$B$3,4,AF87&gt;='NILAI CPL'!$B$4,3,AF87&gt;='NILAI CPL'!$B$5,2,AF87&gt;'NILAI CPL'!$B$6,1),0),"")</f>
        <v/>
      </c>
      <c r="BD87" s="2" t="str" cm="1">
        <f t="array" ref="BD87">IF('NILAI CPL'!$B87&lt;&gt;"",IFERROR(_xlfn.IFS(AG87&gt;='NILAI CPL'!$B$3,4,AG87&gt;='NILAI CPL'!$B$4,3,AG87&gt;='NILAI CPL'!$B$5,2,AG87&gt;'NILAI CPL'!$B$6,1),0),"")</f>
        <v/>
      </c>
      <c r="BE87" s="2" t="str" cm="1">
        <f t="array" ref="BE87">IF('NILAI CPL'!$B87&lt;&gt;"",IFERROR(_xlfn.IFS(AH87&gt;='NILAI CPL'!$B$3,4,AH87&gt;='NILAI CPL'!$B$4,3,AH87&gt;='NILAI CPL'!$B$5,2,AH87&gt;'NILAI CPL'!$B$6,1),0),"")</f>
        <v/>
      </c>
      <c r="BF87" s="2" t="str" cm="1">
        <f t="array" ref="BF87">IF('NILAI CPL'!$B87&lt;&gt;"",IFERROR(_xlfn.IFS(AI87&gt;='NILAI CPL'!$B$3,4,AI87&gt;='NILAI CPL'!$B$4,3,AI87&gt;='NILAI CPL'!$B$5,2,AI87&gt;'NILAI CPL'!$B$6,1),0),"")</f>
        <v/>
      </c>
      <c r="BG87" s="2" t="str" cm="1">
        <f t="array" ref="BG87">IF('NILAI CPL'!$B87&lt;&gt;"",IFERROR(_xlfn.IFS(AJ87&gt;='NILAI CPL'!$B$3,4,AJ87&gt;='NILAI CPL'!$B$4,3,AJ87&gt;='NILAI CPL'!$B$5,2,AJ87&gt;'NILAI CPL'!$B$6,1),0),"")</f>
        <v/>
      </c>
      <c r="BH87" s="2" t="str" cm="1">
        <f t="array" ref="BH87">IF('NILAI CPL'!$B87&lt;&gt;"",IFERROR(_xlfn.IFS(AK87&gt;='NILAI CPL'!$B$3,4,AK87&gt;='NILAI CPL'!$B$4,3,AK87&gt;='NILAI CPL'!$B$5,2,AK87&gt;'NILAI CPL'!$B$6,1),0),"")</f>
        <v/>
      </c>
      <c r="BI87" s="2" t="str" cm="1">
        <f t="array" ref="BI87">IF('NILAI CPL'!$B87&lt;&gt;"",IFERROR(_xlfn.IFS(AL87&gt;='NILAI CPL'!$B$3,4,AL87&gt;='NILAI CPL'!$B$4,3,AL87&gt;='NILAI CPL'!$B$5,2,AL87&gt;'NILAI CPL'!$B$6,1),0),"")</f>
        <v/>
      </c>
      <c r="BJ87" s="2" t="str" cm="1">
        <f t="array" ref="BJ87">IF('NILAI CPL'!$B87&lt;&gt;"",IFERROR(_xlfn.IFS(AM87&gt;='NILAI CPL'!$B$3,4,AM87&gt;='NILAI CPL'!$B$4,3,AM87&gt;='NILAI CPL'!$B$5,2,AM87&gt;'NILAI CPL'!$B$6,1),0),"")</f>
        <v/>
      </c>
      <c r="BK87" s="2" t="str" cm="1">
        <f t="array" ref="BK87">IF('NILAI CPL'!$B87&lt;&gt;"",IFERROR(_xlfn.IFS(AN87&gt;='NILAI CPL'!$B$3,4,AN87&gt;='NILAI CPL'!$B$4,3,AN87&gt;='NILAI CPL'!$B$5,2,AN87&gt;'NILAI CPL'!$B$6,1),0),"")</f>
        <v/>
      </c>
    </row>
    <row r="88" spans="1:63" x14ac:dyDescent="0.2">
      <c r="A88" s="2">
        <v>78</v>
      </c>
      <c r="B88" s="2" t="str">
        <f>IF(LEN(SUMMARY!B88)&gt;0, SUMMARY!B88, "")</f>
        <v/>
      </c>
      <c r="C88" s="2" t="str">
        <f>IF(LEN(SUMMARY!C88)&gt;0, SUMMARY!C88, "")</f>
        <v/>
      </c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" t="str">
        <f t="shared" si="25"/>
        <v/>
      </c>
      <c r="S88" s="2" t="str">
        <f t="shared" si="26"/>
        <v/>
      </c>
      <c r="T88" s="2" t="str">
        <f t="shared" si="27"/>
        <v/>
      </c>
      <c r="U88" s="2" t="str">
        <f t="shared" si="28"/>
        <v/>
      </c>
      <c r="V88" s="2" t="str">
        <f t="shared" si="29"/>
        <v/>
      </c>
      <c r="W88" s="2" t="str">
        <f t="shared" si="30"/>
        <v/>
      </c>
      <c r="X88" s="2" t="str">
        <f t="shared" si="31"/>
        <v/>
      </c>
      <c r="Y88" s="2" t="str">
        <f t="shared" si="32"/>
        <v/>
      </c>
      <c r="Z88" s="2" t="str">
        <f t="shared" si="33"/>
        <v/>
      </c>
      <c r="AA88" s="2" t="str">
        <f t="shared" si="34"/>
        <v/>
      </c>
      <c r="AB88" s="2" t="str">
        <f t="shared" si="35"/>
        <v/>
      </c>
      <c r="AC88" s="2" t="str">
        <f t="shared" si="36"/>
        <v/>
      </c>
      <c r="AD88" s="2" t="str">
        <f t="shared" si="37"/>
        <v/>
      </c>
      <c r="AE88" s="2" t="str">
        <f t="shared" si="38"/>
        <v/>
      </c>
      <c r="AF88" s="2" t="str">
        <f t="shared" si="39"/>
        <v/>
      </c>
      <c r="AG88" s="2" t="str">
        <f t="shared" si="40"/>
        <v/>
      </c>
      <c r="AH88" s="2" t="str">
        <f t="shared" si="41"/>
        <v/>
      </c>
      <c r="AI88" s="2" t="str">
        <f t="shared" si="42"/>
        <v/>
      </c>
      <c r="AJ88" s="2" t="str">
        <f t="shared" si="43"/>
        <v/>
      </c>
      <c r="AK88" s="2" t="str">
        <f t="shared" si="44"/>
        <v/>
      </c>
      <c r="AL88" s="2" t="str">
        <f t="shared" si="45"/>
        <v/>
      </c>
      <c r="AM88" s="2" t="str">
        <f t="shared" si="46"/>
        <v/>
      </c>
      <c r="AN88" s="2" t="str">
        <f t="shared" si="47"/>
        <v/>
      </c>
      <c r="AP88" s="2" t="str" cm="1">
        <f t="array" ref="AP88">IF('NILAI CPL'!$B88&lt;&gt;"",IFERROR(_xlfn.IFS(S88&gt;='NILAI CPL'!$B$3,4,S88&gt;='NILAI CPL'!$B$4,3,S88&gt;='NILAI CPL'!$B$5,2,S88&gt;'NILAI CPL'!$B$6,1),0),"")</f>
        <v/>
      </c>
      <c r="AQ88" s="2" t="str" cm="1">
        <f t="array" ref="AQ88">IF('NILAI CPL'!$B88&lt;&gt;"",IFERROR(_xlfn.IFS(T88&gt;='NILAI CPL'!$B$3,4,T88&gt;='NILAI CPL'!$B$4,3,T88&gt;='NILAI CPL'!$B$5,2,T88&gt;'NILAI CPL'!$B$6,1),0),"")</f>
        <v/>
      </c>
      <c r="AR88" s="2" t="str" cm="1">
        <f t="array" ref="AR88">IF('NILAI CPL'!$B88&lt;&gt;"",IFERROR(_xlfn.IFS(U88&gt;='NILAI CPL'!$B$3,4,U88&gt;='NILAI CPL'!$B$4,3,U88&gt;='NILAI CPL'!$B$5,2,U88&gt;'NILAI CPL'!$B$6,1),0),"")</f>
        <v/>
      </c>
      <c r="AS88" s="2" t="str" cm="1">
        <f t="array" ref="AS88">IF('NILAI CPL'!$B88&lt;&gt;"",IFERROR(_xlfn.IFS(V88&gt;='NILAI CPL'!$B$3,4,V88&gt;='NILAI CPL'!$B$4,3,V88&gt;='NILAI CPL'!$B$5,2,V88&gt;'NILAI CPL'!$B$6,1),0),"")</f>
        <v/>
      </c>
      <c r="AT88" s="2" t="str" cm="1">
        <f t="array" ref="AT88">IF('NILAI CPL'!$B88&lt;&gt;"",IFERROR(_xlfn.IFS(W88&gt;='NILAI CPL'!$B$3,4,W88&gt;='NILAI CPL'!$B$4,3,W88&gt;='NILAI CPL'!$B$5,2,W88&gt;'NILAI CPL'!$B$6,1),0),"")</f>
        <v/>
      </c>
      <c r="AU88" s="2" t="str" cm="1">
        <f t="array" ref="AU88">IF('NILAI CPL'!$B88&lt;&gt;"",IFERROR(_xlfn.IFS(X88&gt;='NILAI CPL'!$B$3,4,X88&gt;='NILAI CPL'!$B$4,3,X88&gt;='NILAI CPL'!$B$5,2,X88&gt;'NILAI CPL'!$B$6,1),0),"")</f>
        <v/>
      </c>
      <c r="AV88" s="2" t="str" cm="1">
        <f t="array" ref="AV88">IF('NILAI CPL'!$B88&lt;&gt;"",IFERROR(_xlfn.IFS(Y88&gt;='NILAI CPL'!$B$3,4,Y88&gt;='NILAI CPL'!$B$4,3,Y88&gt;='NILAI CPL'!$B$5,2,Y88&gt;'NILAI CPL'!$B$6,1),0),"")</f>
        <v/>
      </c>
      <c r="AW88" s="2" t="str" cm="1">
        <f t="array" ref="AW88">IF('NILAI CPL'!$B88&lt;&gt;"",IFERROR(_xlfn.IFS(Z88&gt;='NILAI CPL'!$B$3,4,Z88&gt;='NILAI CPL'!$B$4,3,Z88&gt;='NILAI CPL'!$B$5,2,Z88&gt;'NILAI CPL'!$B$6,1),0),"")</f>
        <v/>
      </c>
      <c r="AX88" s="2" t="str" cm="1">
        <f t="array" ref="AX88">IF('NILAI CPL'!$B88&lt;&gt;"",IFERROR(_xlfn.IFS(AA88&gt;='NILAI CPL'!$B$3,4,AA88&gt;='NILAI CPL'!$B$4,3,AA88&gt;='NILAI CPL'!$B$5,2,AA88&gt;'NILAI CPL'!$B$6,1),0),"")</f>
        <v/>
      </c>
      <c r="AY88" s="2" t="str" cm="1">
        <f t="array" ref="AY88">IF('NILAI CPL'!$B88&lt;&gt;"",IFERROR(_xlfn.IFS(AB88&gt;='NILAI CPL'!$B$3,4,AB88&gt;='NILAI CPL'!$B$4,3,AB88&gt;='NILAI CPL'!$B$5,2,AB88&gt;'NILAI CPL'!$B$6,1),0),"")</f>
        <v/>
      </c>
      <c r="AZ88" s="2" t="str" cm="1">
        <f t="array" ref="AZ88">IF('NILAI CPL'!$B88&lt;&gt;"",IFERROR(_xlfn.IFS(AC88&gt;='NILAI CPL'!$B$3,4,AC88&gt;='NILAI CPL'!$B$4,3,AC88&gt;='NILAI CPL'!$B$5,2,AC88&gt;'NILAI CPL'!$B$6,1),0),"")</f>
        <v/>
      </c>
      <c r="BA88" s="2" t="str" cm="1">
        <f t="array" ref="BA88">IF('NILAI CPL'!$B88&lt;&gt;"",IFERROR(_xlfn.IFS(AD88&gt;='NILAI CPL'!$B$3,4,AD88&gt;='NILAI CPL'!$B$4,3,AD88&gt;='NILAI CPL'!$B$5,2,AD88&gt;'NILAI CPL'!$B$6,1),0),"")</f>
        <v/>
      </c>
      <c r="BB88" s="2" t="str" cm="1">
        <f t="array" ref="BB88">IF('NILAI CPL'!$B88&lt;&gt;"",IFERROR(_xlfn.IFS(AE88&gt;='NILAI CPL'!$B$3,4,AE88&gt;='NILAI CPL'!$B$4,3,AE88&gt;='NILAI CPL'!$B$5,2,AE88&gt;'NILAI CPL'!$B$6,1),0),"")</f>
        <v/>
      </c>
      <c r="BC88" s="2" t="str" cm="1">
        <f t="array" ref="BC88">IF('NILAI CPL'!$B88&lt;&gt;"",IFERROR(_xlfn.IFS(AF88&gt;='NILAI CPL'!$B$3,4,AF88&gt;='NILAI CPL'!$B$4,3,AF88&gt;='NILAI CPL'!$B$5,2,AF88&gt;'NILAI CPL'!$B$6,1),0),"")</f>
        <v/>
      </c>
      <c r="BD88" s="2" t="str" cm="1">
        <f t="array" ref="BD88">IF('NILAI CPL'!$B88&lt;&gt;"",IFERROR(_xlfn.IFS(AG88&gt;='NILAI CPL'!$B$3,4,AG88&gt;='NILAI CPL'!$B$4,3,AG88&gt;='NILAI CPL'!$B$5,2,AG88&gt;'NILAI CPL'!$B$6,1),0),"")</f>
        <v/>
      </c>
      <c r="BE88" s="2" t="str" cm="1">
        <f t="array" ref="BE88">IF('NILAI CPL'!$B88&lt;&gt;"",IFERROR(_xlfn.IFS(AH88&gt;='NILAI CPL'!$B$3,4,AH88&gt;='NILAI CPL'!$B$4,3,AH88&gt;='NILAI CPL'!$B$5,2,AH88&gt;'NILAI CPL'!$B$6,1),0),"")</f>
        <v/>
      </c>
      <c r="BF88" s="2" t="str" cm="1">
        <f t="array" ref="BF88">IF('NILAI CPL'!$B88&lt;&gt;"",IFERROR(_xlfn.IFS(AI88&gt;='NILAI CPL'!$B$3,4,AI88&gt;='NILAI CPL'!$B$4,3,AI88&gt;='NILAI CPL'!$B$5,2,AI88&gt;'NILAI CPL'!$B$6,1),0),"")</f>
        <v/>
      </c>
      <c r="BG88" s="2" t="str" cm="1">
        <f t="array" ref="BG88">IF('NILAI CPL'!$B88&lt;&gt;"",IFERROR(_xlfn.IFS(AJ88&gt;='NILAI CPL'!$B$3,4,AJ88&gt;='NILAI CPL'!$B$4,3,AJ88&gt;='NILAI CPL'!$B$5,2,AJ88&gt;'NILAI CPL'!$B$6,1),0),"")</f>
        <v/>
      </c>
      <c r="BH88" s="2" t="str" cm="1">
        <f t="array" ref="BH88">IF('NILAI CPL'!$B88&lt;&gt;"",IFERROR(_xlfn.IFS(AK88&gt;='NILAI CPL'!$B$3,4,AK88&gt;='NILAI CPL'!$B$4,3,AK88&gt;='NILAI CPL'!$B$5,2,AK88&gt;'NILAI CPL'!$B$6,1),0),"")</f>
        <v/>
      </c>
      <c r="BI88" s="2" t="str" cm="1">
        <f t="array" ref="BI88">IF('NILAI CPL'!$B88&lt;&gt;"",IFERROR(_xlfn.IFS(AL88&gt;='NILAI CPL'!$B$3,4,AL88&gt;='NILAI CPL'!$B$4,3,AL88&gt;='NILAI CPL'!$B$5,2,AL88&gt;'NILAI CPL'!$B$6,1),0),"")</f>
        <v/>
      </c>
      <c r="BJ88" s="2" t="str" cm="1">
        <f t="array" ref="BJ88">IF('NILAI CPL'!$B88&lt;&gt;"",IFERROR(_xlfn.IFS(AM88&gt;='NILAI CPL'!$B$3,4,AM88&gt;='NILAI CPL'!$B$4,3,AM88&gt;='NILAI CPL'!$B$5,2,AM88&gt;'NILAI CPL'!$B$6,1),0),"")</f>
        <v/>
      </c>
      <c r="BK88" s="2" t="str" cm="1">
        <f t="array" ref="BK88">IF('NILAI CPL'!$B88&lt;&gt;"",IFERROR(_xlfn.IFS(AN88&gt;='NILAI CPL'!$B$3,4,AN88&gt;='NILAI CPL'!$B$4,3,AN88&gt;='NILAI CPL'!$B$5,2,AN88&gt;'NILAI CPL'!$B$6,1),0),"")</f>
        <v/>
      </c>
    </row>
    <row r="89" spans="1:63" x14ac:dyDescent="0.2">
      <c r="A89" s="2">
        <v>79</v>
      </c>
      <c r="B89" s="2" t="str">
        <f>IF(LEN(SUMMARY!B89)&gt;0, SUMMARY!B89, "")</f>
        <v/>
      </c>
      <c r="C89" s="2" t="str">
        <f>IF(LEN(SUMMARY!C89)&gt;0, SUMMARY!C89, "")</f>
        <v/>
      </c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" t="str">
        <f t="shared" si="25"/>
        <v/>
      </c>
      <c r="S89" s="2" t="str">
        <f t="shared" si="26"/>
        <v/>
      </c>
      <c r="T89" s="2" t="str">
        <f t="shared" si="27"/>
        <v/>
      </c>
      <c r="U89" s="2" t="str">
        <f t="shared" si="28"/>
        <v/>
      </c>
      <c r="V89" s="2" t="str">
        <f t="shared" si="29"/>
        <v/>
      </c>
      <c r="W89" s="2" t="str">
        <f t="shared" si="30"/>
        <v/>
      </c>
      <c r="X89" s="2" t="str">
        <f t="shared" si="31"/>
        <v/>
      </c>
      <c r="Y89" s="2" t="str">
        <f t="shared" si="32"/>
        <v/>
      </c>
      <c r="Z89" s="2" t="str">
        <f t="shared" si="33"/>
        <v/>
      </c>
      <c r="AA89" s="2" t="str">
        <f t="shared" si="34"/>
        <v/>
      </c>
      <c r="AB89" s="2" t="str">
        <f t="shared" si="35"/>
        <v/>
      </c>
      <c r="AC89" s="2" t="str">
        <f t="shared" si="36"/>
        <v/>
      </c>
      <c r="AD89" s="2" t="str">
        <f t="shared" si="37"/>
        <v/>
      </c>
      <c r="AE89" s="2" t="str">
        <f t="shared" si="38"/>
        <v/>
      </c>
      <c r="AF89" s="2" t="str">
        <f t="shared" si="39"/>
        <v/>
      </c>
      <c r="AG89" s="2" t="str">
        <f t="shared" si="40"/>
        <v/>
      </c>
      <c r="AH89" s="2" t="str">
        <f t="shared" si="41"/>
        <v/>
      </c>
      <c r="AI89" s="2" t="str">
        <f t="shared" si="42"/>
        <v/>
      </c>
      <c r="AJ89" s="2" t="str">
        <f t="shared" si="43"/>
        <v/>
      </c>
      <c r="AK89" s="2" t="str">
        <f t="shared" si="44"/>
        <v/>
      </c>
      <c r="AL89" s="2" t="str">
        <f t="shared" si="45"/>
        <v/>
      </c>
      <c r="AM89" s="2" t="str">
        <f t="shared" si="46"/>
        <v/>
      </c>
      <c r="AN89" s="2" t="str">
        <f t="shared" si="47"/>
        <v/>
      </c>
      <c r="AP89" s="2" t="str" cm="1">
        <f t="array" ref="AP89">IF('NILAI CPL'!$B89&lt;&gt;"",IFERROR(_xlfn.IFS(S89&gt;='NILAI CPL'!$B$3,4,S89&gt;='NILAI CPL'!$B$4,3,S89&gt;='NILAI CPL'!$B$5,2,S89&gt;'NILAI CPL'!$B$6,1),0),"")</f>
        <v/>
      </c>
      <c r="AQ89" s="2" t="str" cm="1">
        <f t="array" ref="AQ89">IF('NILAI CPL'!$B89&lt;&gt;"",IFERROR(_xlfn.IFS(T89&gt;='NILAI CPL'!$B$3,4,T89&gt;='NILAI CPL'!$B$4,3,T89&gt;='NILAI CPL'!$B$5,2,T89&gt;'NILAI CPL'!$B$6,1),0),"")</f>
        <v/>
      </c>
      <c r="AR89" s="2" t="str" cm="1">
        <f t="array" ref="AR89">IF('NILAI CPL'!$B89&lt;&gt;"",IFERROR(_xlfn.IFS(U89&gt;='NILAI CPL'!$B$3,4,U89&gt;='NILAI CPL'!$B$4,3,U89&gt;='NILAI CPL'!$B$5,2,U89&gt;'NILAI CPL'!$B$6,1),0),"")</f>
        <v/>
      </c>
      <c r="AS89" s="2" t="str" cm="1">
        <f t="array" ref="AS89">IF('NILAI CPL'!$B89&lt;&gt;"",IFERROR(_xlfn.IFS(V89&gt;='NILAI CPL'!$B$3,4,V89&gt;='NILAI CPL'!$B$4,3,V89&gt;='NILAI CPL'!$B$5,2,V89&gt;'NILAI CPL'!$B$6,1),0),"")</f>
        <v/>
      </c>
      <c r="AT89" s="2" t="str" cm="1">
        <f t="array" ref="AT89">IF('NILAI CPL'!$B89&lt;&gt;"",IFERROR(_xlfn.IFS(W89&gt;='NILAI CPL'!$B$3,4,W89&gt;='NILAI CPL'!$B$4,3,W89&gt;='NILAI CPL'!$B$5,2,W89&gt;'NILAI CPL'!$B$6,1),0),"")</f>
        <v/>
      </c>
      <c r="AU89" s="2" t="str" cm="1">
        <f t="array" ref="AU89">IF('NILAI CPL'!$B89&lt;&gt;"",IFERROR(_xlfn.IFS(X89&gt;='NILAI CPL'!$B$3,4,X89&gt;='NILAI CPL'!$B$4,3,X89&gt;='NILAI CPL'!$B$5,2,X89&gt;'NILAI CPL'!$B$6,1),0),"")</f>
        <v/>
      </c>
      <c r="AV89" s="2" t="str" cm="1">
        <f t="array" ref="AV89">IF('NILAI CPL'!$B89&lt;&gt;"",IFERROR(_xlfn.IFS(Y89&gt;='NILAI CPL'!$B$3,4,Y89&gt;='NILAI CPL'!$B$4,3,Y89&gt;='NILAI CPL'!$B$5,2,Y89&gt;'NILAI CPL'!$B$6,1),0),"")</f>
        <v/>
      </c>
      <c r="AW89" s="2" t="str" cm="1">
        <f t="array" ref="AW89">IF('NILAI CPL'!$B89&lt;&gt;"",IFERROR(_xlfn.IFS(Z89&gt;='NILAI CPL'!$B$3,4,Z89&gt;='NILAI CPL'!$B$4,3,Z89&gt;='NILAI CPL'!$B$5,2,Z89&gt;'NILAI CPL'!$B$6,1),0),"")</f>
        <v/>
      </c>
      <c r="AX89" s="2" t="str" cm="1">
        <f t="array" ref="AX89">IF('NILAI CPL'!$B89&lt;&gt;"",IFERROR(_xlfn.IFS(AA89&gt;='NILAI CPL'!$B$3,4,AA89&gt;='NILAI CPL'!$B$4,3,AA89&gt;='NILAI CPL'!$B$5,2,AA89&gt;'NILAI CPL'!$B$6,1),0),"")</f>
        <v/>
      </c>
      <c r="AY89" s="2" t="str" cm="1">
        <f t="array" ref="AY89">IF('NILAI CPL'!$B89&lt;&gt;"",IFERROR(_xlfn.IFS(AB89&gt;='NILAI CPL'!$B$3,4,AB89&gt;='NILAI CPL'!$B$4,3,AB89&gt;='NILAI CPL'!$B$5,2,AB89&gt;'NILAI CPL'!$B$6,1),0),"")</f>
        <v/>
      </c>
      <c r="AZ89" s="2" t="str" cm="1">
        <f t="array" ref="AZ89">IF('NILAI CPL'!$B89&lt;&gt;"",IFERROR(_xlfn.IFS(AC89&gt;='NILAI CPL'!$B$3,4,AC89&gt;='NILAI CPL'!$B$4,3,AC89&gt;='NILAI CPL'!$B$5,2,AC89&gt;'NILAI CPL'!$B$6,1),0),"")</f>
        <v/>
      </c>
      <c r="BA89" s="2" t="str" cm="1">
        <f t="array" ref="BA89">IF('NILAI CPL'!$B89&lt;&gt;"",IFERROR(_xlfn.IFS(AD89&gt;='NILAI CPL'!$B$3,4,AD89&gt;='NILAI CPL'!$B$4,3,AD89&gt;='NILAI CPL'!$B$5,2,AD89&gt;'NILAI CPL'!$B$6,1),0),"")</f>
        <v/>
      </c>
      <c r="BB89" s="2" t="str" cm="1">
        <f t="array" ref="BB89">IF('NILAI CPL'!$B89&lt;&gt;"",IFERROR(_xlfn.IFS(AE89&gt;='NILAI CPL'!$B$3,4,AE89&gt;='NILAI CPL'!$B$4,3,AE89&gt;='NILAI CPL'!$B$5,2,AE89&gt;'NILAI CPL'!$B$6,1),0),"")</f>
        <v/>
      </c>
      <c r="BC89" s="2" t="str" cm="1">
        <f t="array" ref="BC89">IF('NILAI CPL'!$B89&lt;&gt;"",IFERROR(_xlfn.IFS(AF89&gt;='NILAI CPL'!$B$3,4,AF89&gt;='NILAI CPL'!$B$4,3,AF89&gt;='NILAI CPL'!$B$5,2,AF89&gt;'NILAI CPL'!$B$6,1),0),"")</f>
        <v/>
      </c>
      <c r="BD89" s="2" t="str" cm="1">
        <f t="array" ref="BD89">IF('NILAI CPL'!$B89&lt;&gt;"",IFERROR(_xlfn.IFS(AG89&gt;='NILAI CPL'!$B$3,4,AG89&gt;='NILAI CPL'!$B$4,3,AG89&gt;='NILAI CPL'!$B$5,2,AG89&gt;'NILAI CPL'!$B$6,1),0),"")</f>
        <v/>
      </c>
      <c r="BE89" s="2" t="str" cm="1">
        <f t="array" ref="BE89">IF('NILAI CPL'!$B89&lt;&gt;"",IFERROR(_xlfn.IFS(AH89&gt;='NILAI CPL'!$B$3,4,AH89&gt;='NILAI CPL'!$B$4,3,AH89&gt;='NILAI CPL'!$B$5,2,AH89&gt;'NILAI CPL'!$B$6,1),0),"")</f>
        <v/>
      </c>
      <c r="BF89" s="2" t="str" cm="1">
        <f t="array" ref="BF89">IF('NILAI CPL'!$B89&lt;&gt;"",IFERROR(_xlfn.IFS(AI89&gt;='NILAI CPL'!$B$3,4,AI89&gt;='NILAI CPL'!$B$4,3,AI89&gt;='NILAI CPL'!$B$5,2,AI89&gt;'NILAI CPL'!$B$6,1),0),"")</f>
        <v/>
      </c>
      <c r="BG89" s="2" t="str" cm="1">
        <f t="array" ref="BG89">IF('NILAI CPL'!$B89&lt;&gt;"",IFERROR(_xlfn.IFS(AJ89&gt;='NILAI CPL'!$B$3,4,AJ89&gt;='NILAI CPL'!$B$4,3,AJ89&gt;='NILAI CPL'!$B$5,2,AJ89&gt;'NILAI CPL'!$B$6,1),0),"")</f>
        <v/>
      </c>
      <c r="BH89" s="2" t="str" cm="1">
        <f t="array" ref="BH89">IF('NILAI CPL'!$B89&lt;&gt;"",IFERROR(_xlfn.IFS(AK89&gt;='NILAI CPL'!$B$3,4,AK89&gt;='NILAI CPL'!$B$4,3,AK89&gt;='NILAI CPL'!$B$5,2,AK89&gt;'NILAI CPL'!$B$6,1),0),"")</f>
        <v/>
      </c>
      <c r="BI89" s="2" t="str" cm="1">
        <f t="array" ref="BI89">IF('NILAI CPL'!$B89&lt;&gt;"",IFERROR(_xlfn.IFS(AL89&gt;='NILAI CPL'!$B$3,4,AL89&gt;='NILAI CPL'!$B$4,3,AL89&gt;='NILAI CPL'!$B$5,2,AL89&gt;'NILAI CPL'!$B$6,1),0),"")</f>
        <v/>
      </c>
      <c r="BJ89" s="2" t="str" cm="1">
        <f t="array" ref="BJ89">IF('NILAI CPL'!$B89&lt;&gt;"",IFERROR(_xlfn.IFS(AM89&gt;='NILAI CPL'!$B$3,4,AM89&gt;='NILAI CPL'!$B$4,3,AM89&gt;='NILAI CPL'!$B$5,2,AM89&gt;'NILAI CPL'!$B$6,1),0),"")</f>
        <v/>
      </c>
      <c r="BK89" s="2" t="str" cm="1">
        <f t="array" ref="BK89">IF('NILAI CPL'!$B89&lt;&gt;"",IFERROR(_xlfn.IFS(AN89&gt;='NILAI CPL'!$B$3,4,AN89&gt;='NILAI CPL'!$B$4,3,AN89&gt;='NILAI CPL'!$B$5,2,AN89&gt;'NILAI CPL'!$B$6,1),0),"")</f>
        <v/>
      </c>
    </row>
    <row r="90" spans="1:63" x14ac:dyDescent="0.2">
      <c r="A90" s="2">
        <v>80</v>
      </c>
      <c r="B90" s="2" t="str">
        <f>IF(LEN(SUMMARY!B90)&gt;0, SUMMARY!B90, "")</f>
        <v/>
      </c>
      <c r="C90" s="2" t="str">
        <f>IF(LEN(SUMMARY!C90)&gt;0, SUMMARY!C90, "")</f>
        <v/>
      </c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" t="str">
        <f t="shared" si="25"/>
        <v/>
      </c>
      <c r="S90" s="2" t="str">
        <f t="shared" si="26"/>
        <v/>
      </c>
      <c r="T90" s="2" t="str">
        <f t="shared" si="27"/>
        <v/>
      </c>
      <c r="U90" s="2" t="str">
        <f t="shared" si="28"/>
        <v/>
      </c>
      <c r="V90" s="2" t="str">
        <f t="shared" si="29"/>
        <v/>
      </c>
      <c r="W90" s="2" t="str">
        <f t="shared" si="30"/>
        <v/>
      </c>
      <c r="X90" s="2" t="str">
        <f t="shared" si="31"/>
        <v/>
      </c>
      <c r="Y90" s="2" t="str">
        <f t="shared" si="32"/>
        <v/>
      </c>
      <c r="Z90" s="2" t="str">
        <f t="shared" si="33"/>
        <v/>
      </c>
      <c r="AA90" s="2" t="str">
        <f t="shared" si="34"/>
        <v/>
      </c>
      <c r="AB90" s="2" t="str">
        <f t="shared" si="35"/>
        <v/>
      </c>
      <c r="AC90" s="2" t="str">
        <f t="shared" si="36"/>
        <v/>
      </c>
      <c r="AD90" s="2" t="str">
        <f t="shared" si="37"/>
        <v/>
      </c>
      <c r="AE90" s="2" t="str">
        <f t="shared" si="38"/>
        <v/>
      </c>
      <c r="AF90" s="2" t="str">
        <f t="shared" si="39"/>
        <v/>
      </c>
      <c r="AG90" s="2" t="str">
        <f t="shared" si="40"/>
        <v/>
      </c>
      <c r="AH90" s="2" t="str">
        <f t="shared" si="41"/>
        <v/>
      </c>
      <c r="AI90" s="2" t="str">
        <f t="shared" si="42"/>
        <v/>
      </c>
      <c r="AJ90" s="2" t="str">
        <f t="shared" si="43"/>
        <v/>
      </c>
      <c r="AK90" s="2" t="str">
        <f t="shared" si="44"/>
        <v/>
      </c>
      <c r="AL90" s="2" t="str">
        <f t="shared" si="45"/>
        <v/>
      </c>
      <c r="AM90" s="2" t="str">
        <f t="shared" si="46"/>
        <v/>
      </c>
      <c r="AN90" s="2" t="str">
        <f t="shared" si="47"/>
        <v/>
      </c>
      <c r="AP90" s="2" t="str" cm="1">
        <f t="array" ref="AP90">IF('NILAI CPL'!$B90&lt;&gt;"",IFERROR(_xlfn.IFS(S90&gt;='NILAI CPL'!$B$3,4,S90&gt;='NILAI CPL'!$B$4,3,S90&gt;='NILAI CPL'!$B$5,2,S90&gt;'NILAI CPL'!$B$6,1),0),"")</f>
        <v/>
      </c>
      <c r="AQ90" s="2" t="str" cm="1">
        <f t="array" ref="AQ90">IF('NILAI CPL'!$B90&lt;&gt;"",IFERROR(_xlfn.IFS(T90&gt;='NILAI CPL'!$B$3,4,T90&gt;='NILAI CPL'!$B$4,3,T90&gt;='NILAI CPL'!$B$5,2,T90&gt;'NILAI CPL'!$B$6,1),0),"")</f>
        <v/>
      </c>
      <c r="AR90" s="2" t="str" cm="1">
        <f t="array" ref="AR90">IF('NILAI CPL'!$B90&lt;&gt;"",IFERROR(_xlfn.IFS(U90&gt;='NILAI CPL'!$B$3,4,U90&gt;='NILAI CPL'!$B$4,3,U90&gt;='NILAI CPL'!$B$5,2,U90&gt;'NILAI CPL'!$B$6,1),0),"")</f>
        <v/>
      </c>
      <c r="AS90" s="2" t="str" cm="1">
        <f t="array" ref="AS90">IF('NILAI CPL'!$B90&lt;&gt;"",IFERROR(_xlfn.IFS(V90&gt;='NILAI CPL'!$B$3,4,V90&gt;='NILAI CPL'!$B$4,3,V90&gt;='NILAI CPL'!$B$5,2,V90&gt;'NILAI CPL'!$B$6,1),0),"")</f>
        <v/>
      </c>
      <c r="AT90" s="2" t="str" cm="1">
        <f t="array" ref="AT90">IF('NILAI CPL'!$B90&lt;&gt;"",IFERROR(_xlfn.IFS(W90&gt;='NILAI CPL'!$B$3,4,W90&gt;='NILAI CPL'!$B$4,3,W90&gt;='NILAI CPL'!$B$5,2,W90&gt;'NILAI CPL'!$B$6,1),0),"")</f>
        <v/>
      </c>
      <c r="AU90" s="2" t="str" cm="1">
        <f t="array" ref="AU90">IF('NILAI CPL'!$B90&lt;&gt;"",IFERROR(_xlfn.IFS(X90&gt;='NILAI CPL'!$B$3,4,X90&gt;='NILAI CPL'!$B$4,3,X90&gt;='NILAI CPL'!$B$5,2,X90&gt;'NILAI CPL'!$B$6,1),0),"")</f>
        <v/>
      </c>
      <c r="AV90" s="2" t="str" cm="1">
        <f t="array" ref="AV90">IF('NILAI CPL'!$B90&lt;&gt;"",IFERROR(_xlfn.IFS(Y90&gt;='NILAI CPL'!$B$3,4,Y90&gt;='NILAI CPL'!$B$4,3,Y90&gt;='NILAI CPL'!$B$5,2,Y90&gt;'NILAI CPL'!$B$6,1),0),"")</f>
        <v/>
      </c>
      <c r="AW90" s="2" t="str" cm="1">
        <f t="array" ref="AW90">IF('NILAI CPL'!$B90&lt;&gt;"",IFERROR(_xlfn.IFS(Z90&gt;='NILAI CPL'!$B$3,4,Z90&gt;='NILAI CPL'!$B$4,3,Z90&gt;='NILAI CPL'!$B$5,2,Z90&gt;'NILAI CPL'!$B$6,1),0),"")</f>
        <v/>
      </c>
      <c r="AX90" s="2" t="str" cm="1">
        <f t="array" ref="AX90">IF('NILAI CPL'!$B90&lt;&gt;"",IFERROR(_xlfn.IFS(AA90&gt;='NILAI CPL'!$B$3,4,AA90&gt;='NILAI CPL'!$B$4,3,AA90&gt;='NILAI CPL'!$B$5,2,AA90&gt;'NILAI CPL'!$B$6,1),0),"")</f>
        <v/>
      </c>
      <c r="AY90" s="2" t="str" cm="1">
        <f t="array" ref="AY90">IF('NILAI CPL'!$B90&lt;&gt;"",IFERROR(_xlfn.IFS(AB90&gt;='NILAI CPL'!$B$3,4,AB90&gt;='NILAI CPL'!$B$4,3,AB90&gt;='NILAI CPL'!$B$5,2,AB90&gt;'NILAI CPL'!$B$6,1),0),"")</f>
        <v/>
      </c>
      <c r="AZ90" s="2" t="str" cm="1">
        <f t="array" ref="AZ90">IF('NILAI CPL'!$B90&lt;&gt;"",IFERROR(_xlfn.IFS(AC90&gt;='NILAI CPL'!$B$3,4,AC90&gt;='NILAI CPL'!$B$4,3,AC90&gt;='NILAI CPL'!$B$5,2,AC90&gt;'NILAI CPL'!$B$6,1),0),"")</f>
        <v/>
      </c>
      <c r="BA90" s="2" t="str" cm="1">
        <f t="array" ref="BA90">IF('NILAI CPL'!$B90&lt;&gt;"",IFERROR(_xlfn.IFS(AD90&gt;='NILAI CPL'!$B$3,4,AD90&gt;='NILAI CPL'!$B$4,3,AD90&gt;='NILAI CPL'!$B$5,2,AD90&gt;'NILAI CPL'!$B$6,1),0),"")</f>
        <v/>
      </c>
      <c r="BB90" s="2" t="str" cm="1">
        <f t="array" ref="BB90">IF('NILAI CPL'!$B90&lt;&gt;"",IFERROR(_xlfn.IFS(AE90&gt;='NILAI CPL'!$B$3,4,AE90&gt;='NILAI CPL'!$B$4,3,AE90&gt;='NILAI CPL'!$B$5,2,AE90&gt;'NILAI CPL'!$B$6,1),0),"")</f>
        <v/>
      </c>
      <c r="BC90" s="2" t="str" cm="1">
        <f t="array" ref="BC90">IF('NILAI CPL'!$B90&lt;&gt;"",IFERROR(_xlfn.IFS(AF90&gt;='NILAI CPL'!$B$3,4,AF90&gt;='NILAI CPL'!$B$4,3,AF90&gt;='NILAI CPL'!$B$5,2,AF90&gt;'NILAI CPL'!$B$6,1),0),"")</f>
        <v/>
      </c>
      <c r="BD90" s="2" t="str" cm="1">
        <f t="array" ref="BD90">IF('NILAI CPL'!$B90&lt;&gt;"",IFERROR(_xlfn.IFS(AG90&gt;='NILAI CPL'!$B$3,4,AG90&gt;='NILAI CPL'!$B$4,3,AG90&gt;='NILAI CPL'!$B$5,2,AG90&gt;'NILAI CPL'!$B$6,1),0),"")</f>
        <v/>
      </c>
      <c r="BE90" s="2" t="str" cm="1">
        <f t="array" ref="BE90">IF('NILAI CPL'!$B90&lt;&gt;"",IFERROR(_xlfn.IFS(AH90&gt;='NILAI CPL'!$B$3,4,AH90&gt;='NILAI CPL'!$B$4,3,AH90&gt;='NILAI CPL'!$B$5,2,AH90&gt;'NILAI CPL'!$B$6,1),0),"")</f>
        <v/>
      </c>
      <c r="BF90" s="2" t="str" cm="1">
        <f t="array" ref="BF90">IF('NILAI CPL'!$B90&lt;&gt;"",IFERROR(_xlfn.IFS(AI90&gt;='NILAI CPL'!$B$3,4,AI90&gt;='NILAI CPL'!$B$4,3,AI90&gt;='NILAI CPL'!$B$5,2,AI90&gt;'NILAI CPL'!$B$6,1),0),"")</f>
        <v/>
      </c>
      <c r="BG90" s="2" t="str" cm="1">
        <f t="array" ref="BG90">IF('NILAI CPL'!$B90&lt;&gt;"",IFERROR(_xlfn.IFS(AJ90&gt;='NILAI CPL'!$B$3,4,AJ90&gt;='NILAI CPL'!$B$4,3,AJ90&gt;='NILAI CPL'!$B$5,2,AJ90&gt;'NILAI CPL'!$B$6,1),0),"")</f>
        <v/>
      </c>
      <c r="BH90" s="2" t="str" cm="1">
        <f t="array" ref="BH90">IF('NILAI CPL'!$B90&lt;&gt;"",IFERROR(_xlfn.IFS(AK90&gt;='NILAI CPL'!$B$3,4,AK90&gt;='NILAI CPL'!$B$4,3,AK90&gt;='NILAI CPL'!$B$5,2,AK90&gt;'NILAI CPL'!$B$6,1),0),"")</f>
        <v/>
      </c>
      <c r="BI90" s="2" t="str" cm="1">
        <f t="array" ref="BI90">IF('NILAI CPL'!$B90&lt;&gt;"",IFERROR(_xlfn.IFS(AL90&gt;='NILAI CPL'!$B$3,4,AL90&gt;='NILAI CPL'!$B$4,3,AL90&gt;='NILAI CPL'!$B$5,2,AL90&gt;'NILAI CPL'!$B$6,1),0),"")</f>
        <v/>
      </c>
      <c r="BJ90" s="2" t="str" cm="1">
        <f t="array" ref="BJ90">IF('NILAI CPL'!$B90&lt;&gt;"",IFERROR(_xlfn.IFS(AM90&gt;='NILAI CPL'!$B$3,4,AM90&gt;='NILAI CPL'!$B$4,3,AM90&gt;='NILAI CPL'!$B$5,2,AM90&gt;'NILAI CPL'!$B$6,1),0),"")</f>
        <v/>
      </c>
      <c r="BK90" s="2" t="str" cm="1">
        <f t="array" ref="BK90">IF('NILAI CPL'!$B90&lt;&gt;"",IFERROR(_xlfn.IFS(AN90&gt;='NILAI CPL'!$B$3,4,AN90&gt;='NILAI CPL'!$B$4,3,AN90&gt;='NILAI CPL'!$B$5,2,AN90&gt;'NILAI CPL'!$B$6,1),0),"")</f>
        <v/>
      </c>
    </row>
    <row r="93" spans="1:63" x14ac:dyDescent="0.2"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</row>
    <row r="94" spans="1:63" x14ac:dyDescent="0.2">
      <c r="B94" s="11" t="s">
        <v>6</v>
      </c>
      <c r="C94" s="11" t="s">
        <v>16</v>
      </c>
      <c r="D94" s="3" t="s">
        <v>79</v>
      </c>
      <c r="E94" s="11" t="s">
        <v>67</v>
      </c>
      <c r="F94" s="11" t="s">
        <v>68</v>
      </c>
      <c r="G94" s="11" t="s">
        <v>69</v>
      </c>
      <c r="H94" s="11" t="s">
        <v>70</v>
      </c>
      <c r="I94" s="11" t="s">
        <v>71</v>
      </c>
      <c r="J94" s="11" t="s">
        <v>72</v>
      </c>
      <c r="K94" s="11" t="s">
        <v>73</v>
      </c>
      <c r="L94" s="11" t="s">
        <v>74</v>
      </c>
      <c r="M94" s="11" t="s">
        <v>75</v>
      </c>
      <c r="N94" s="11" t="s">
        <v>76</v>
      </c>
      <c r="O94" s="11" t="s">
        <v>77</v>
      </c>
      <c r="P94" s="11" t="s">
        <v>78</v>
      </c>
    </row>
    <row r="95" spans="1:63" ht="17" x14ac:dyDescent="0.2">
      <c r="B95" s="55">
        <v>1</v>
      </c>
      <c r="C95" s="5" t="s">
        <v>39</v>
      </c>
      <c r="D95" s="10"/>
      <c r="E95" s="25">
        <v>0</v>
      </c>
      <c r="F95" s="25">
        <v>0</v>
      </c>
      <c r="G95" s="25">
        <v>0</v>
      </c>
      <c r="H95" s="25">
        <v>0</v>
      </c>
      <c r="I95" s="25">
        <v>0</v>
      </c>
      <c r="J95" s="25">
        <v>0</v>
      </c>
      <c r="K95" s="25">
        <v>0</v>
      </c>
      <c r="L95" s="25">
        <v>0</v>
      </c>
      <c r="M95" s="25">
        <v>0</v>
      </c>
      <c r="N95" s="25">
        <v>0</v>
      </c>
      <c r="O95" s="25">
        <v>0</v>
      </c>
      <c r="P95" s="25">
        <v>0</v>
      </c>
    </row>
    <row r="96" spans="1:63" ht="17" x14ac:dyDescent="0.2">
      <c r="B96" s="56"/>
      <c r="C96" s="5" t="s">
        <v>40</v>
      </c>
      <c r="D96" s="10"/>
      <c r="E96" s="25">
        <v>0</v>
      </c>
      <c r="F96" s="25">
        <v>0</v>
      </c>
      <c r="G96" s="25">
        <v>0</v>
      </c>
      <c r="H96" s="25">
        <v>0</v>
      </c>
      <c r="I96" s="25">
        <v>0</v>
      </c>
      <c r="J96" s="25">
        <v>0</v>
      </c>
      <c r="K96" s="25">
        <v>0</v>
      </c>
      <c r="L96" s="25">
        <v>0</v>
      </c>
      <c r="M96" s="25">
        <v>0</v>
      </c>
      <c r="N96" s="25">
        <v>0</v>
      </c>
      <c r="O96" s="25">
        <v>0</v>
      </c>
      <c r="P96" s="25">
        <v>0</v>
      </c>
    </row>
    <row r="97" spans="2:16" ht="17" x14ac:dyDescent="0.2">
      <c r="B97" s="55">
        <v>2</v>
      </c>
      <c r="C97" s="5" t="s">
        <v>41</v>
      </c>
      <c r="D97" s="10"/>
      <c r="E97" s="25">
        <v>0</v>
      </c>
      <c r="F97" s="25">
        <v>0</v>
      </c>
      <c r="G97" s="25">
        <v>0</v>
      </c>
      <c r="H97" s="25">
        <v>0</v>
      </c>
      <c r="I97" s="25">
        <v>0</v>
      </c>
      <c r="J97" s="25">
        <v>0</v>
      </c>
      <c r="K97" s="25">
        <v>0</v>
      </c>
      <c r="L97" s="25">
        <v>0</v>
      </c>
      <c r="M97" s="25">
        <v>0</v>
      </c>
      <c r="N97" s="25">
        <v>0</v>
      </c>
      <c r="O97" s="25">
        <v>0</v>
      </c>
      <c r="P97" s="25">
        <v>0</v>
      </c>
    </row>
    <row r="98" spans="2:16" ht="17" x14ac:dyDescent="0.2">
      <c r="B98" s="57"/>
      <c r="C98" s="5" t="s">
        <v>42</v>
      </c>
      <c r="D98" s="10"/>
      <c r="E98" s="25">
        <v>0</v>
      </c>
      <c r="F98" s="25">
        <v>0</v>
      </c>
      <c r="G98" s="25">
        <v>0</v>
      </c>
      <c r="H98" s="25">
        <v>0</v>
      </c>
      <c r="I98" s="25">
        <v>0</v>
      </c>
      <c r="J98" s="25">
        <v>0</v>
      </c>
      <c r="K98" s="25">
        <v>0</v>
      </c>
      <c r="L98" s="25">
        <v>0</v>
      </c>
      <c r="M98" s="25">
        <v>0</v>
      </c>
      <c r="N98" s="25">
        <v>0</v>
      </c>
      <c r="O98" s="25">
        <v>0</v>
      </c>
      <c r="P98" s="25">
        <v>0</v>
      </c>
    </row>
    <row r="99" spans="2:16" ht="17" x14ac:dyDescent="0.2">
      <c r="B99" s="57"/>
      <c r="C99" s="5" t="s">
        <v>43</v>
      </c>
      <c r="D99" s="10"/>
      <c r="E99" s="25">
        <v>0</v>
      </c>
      <c r="F99" s="25">
        <v>0</v>
      </c>
      <c r="G99" s="25">
        <v>0</v>
      </c>
      <c r="H99" s="25">
        <v>0</v>
      </c>
      <c r="I99" s="25">
        <v>0</v>
      </c>
      <c r="J99" s="25">
        <v>0</v>
      </c>
      <c r="K99" s="25">
        <v>0</v>
      </c>
      <c r="L99" s="25">
        <v>0</v>
      </c>
      <c r="M99" s="25">
        <v>0</v>
      </c>
      <c r="N99" s="25">
        <v>0</v>
      </c>
      <c r="O99" s="25">
        <v>0</v>
      </c>
      <c r="P99" s="25">
        <v>0</v>
      </c>
    </row>
    <row r="100" spans="2:16" ht="17" x14ac:dyDescent="0.2">
      <c r="B100" s="56"/>
      <c r="C100" s="5" t="s">
        <v>44</v>
      </c>
      <c r="D100" s="10"/>
      <c r="E100" s="25">
        <v>0</v>
      </c>
      <c r="F100" s="25">
        <v>0</v>
      </c>
      <c r="G100" s="25">
        <v>0</v>
      </c>
      <c r="H100" s="25">
        <v>0</v>
      </c>
      <c r="I100" s="25">
        <v>0</v>
      </c>
      <c r="J100" s="25">
        <v>0</v>
      </c>
      <c r="K100" s="25">
        <v>0</v>
      </c>
      <c r="L100" s="25">
        <v>0</v>
      </c>
      <c r="M100" s="25">
        <v>0</v>
      </c>
      <c r="N100" s="25">
        <v>0</v>
      </c>
      <c r="O100" s="25">
        <v>0</v>
      </c>
      <c r="P100" s="25">
        <v>0</v>
      </c>
    </row>
    <row r="101" spans="2:16" ht="17" x14ac:dyDescent="0.2">
      <c r="B101" s="55">
        <v>3</v>
      </c>
      <c r="C101" s="5" t="s">
        <v>45</v>
      </c>
      <c r="D101" s="10"/>
      <c r="E101" s="25">
        <v>0</v>
      </c>
      <c r="F101" s="25">
        <v>0</v>
      </c>
      <c r="G101" s="25">
        <v>0</v>
      </c>
      <c r="H101" s="25">
        <v>0</v>
      </c>
      <c r="I101" s="25">
        <v>0</v>
      </c>
      <c r="J101" s="25">
        <v>0</v>
      </c>
      <c r="K101" s="25">
        <v>0</v>
      </c>
      <c r="L101" s="25">
        <v>0</v>
      </c>
      <c r="M101" s="25">
        <v>0</v>
      </c>
      <c r="N101" s="25">
        <v>0</v>
      </c>
      <c r="O101" s="25">
        <v>0</v>
      </c>
      <c r="P101" s="25">
        <v>0</v>
      </c>
    </row>
    <row r="102" spans="2:16" ht="17" x14ac:dyDescent="0.2">
      <c r="B102" s="56"/>
      <c r="C102" s="5" t="s">
        <v>46</v>
      </c>
      <c r="D102" s="10"/>
      <c r="E102" s="25">
        <v>0</v>
      </c>
      <c r="F102" s="25">
        <v>0</v>
      </c>
      <c r="G102" s="25">
        <v>0</v>
      </c>
      <c r="H102" s="25">
        <v>0</v>
      </c>
      <c r="I102" s="25">
        <v>0</v>
      </c>
      <c r="J102" s="25">
        <v>0</v>
      </c>
      <c r="K102" s="25">
        <v>0</v>
      </c>
      <c r="L102" s="25">
        <v>0</v>
      </c>
      <c r="M102" s="25">
        <v>0</v>
      </c>
      <c r="N102" s="25">
        <v>0</v>
      </c>
      <c r="O102" s="25">
        <v>0</v>
      </c>
      <c r="P102" s="25">
        <v>0</v>
      </c>
    </row>
    <row r="103" spans="2:16" ht="17" x14ac:dyDescent="0.2">
      <c r="B103" s="55">
        <v>4</v>
      </c>
      <c r="C103" s="5" t="s">
        <v>47</v>
      </c>
      <c r="D103" s="10"/>
      <c r="E103" s="25">
        <v>0</v>
      </c>
      <c r="F103" s="25">
        <v>0</v>
      </c>
      <c r="G103" s="25">
        <v>0</v>
      </c>
      <c r="H103" s="25">
        <v>0</v>
      </c>
      <c r="I103" s="25">
        <v>0</v>
      </c>
      <c r="J103" s="25">
        <v>0</v>
      </c>
      <c r="K103" s="25">
        <v>0</v>
      </c>
      <c r="L103" s="25">
        <v>0</v>
      </c>
      <c r="M103" s="25">
        <v>0</v>
      </c>
      <c r="N103" s="25">
        <v>0</v>
      </c>
      <c r="O103" s="25">
        <v>0</v>
      </c>
      <c r="P103" s="25">
        <v>0</v>
      </c>
    </row>
    <row r="104" spans="2:16" ht="17" x14ac:dyDescent="0.2">
      <c r="B104" s="56"/>
      <c r="C104" s="5" t="s">
        <v>48</v>
      </c>
      <c r="D104" s="10"/>
      <c r="E104" s="25">
        <v>0</v>
      </c>
      <c r="F104" s="25">
        <v>0</v>
      </c>
      <c r="G104" s="25">
        <v>0</v>
      </c>
      <c r="H104" s="25">
        <v>0</v>
      </c>
      <c r="I104" s="25">
        <v>0</v>
      </c>
      <c r="J104" s="25">
        <v>0</v>
      </c>
      <c r="K104" s="25">
        <v>0</v>
      </c>
      <c r="L104" s="25">
        <v>0</v>
      </c>
      <c r="M104" s="25">
        <v>0</v>
      </c>
      <c r="N104" s="25">
        <v>0</v>
      </c>
      <c r="O104" s="25">
        <v>0</v>
      </c>
      <c r="P104" s="25">
        <v>0</v>
      </c>
    </row>
    <row r="105" spans="2:16" ht="17" x14ac:dyDescent="0.2">
      <c r="B105" s="55">
        <v>5</v>
      </c>
      <c r="C105" s="5" t="s">
        <v>49</v>
      </c>
      <c r="D105" s="10"/>
      <c r="E105" s="25">
        <v>0</v>
      </c>
      <c r="F105" s="25">
        <v>0</v>
      </c>
      <c r="G105" s="25">
        <v>0</v>
      </c>
      <c r="H105" s="25">
        <v>0</v>
      </c>
      <c r="I105" s="25">
        <v>0</v>
      </c>
      <c r="J105" s="25">
        <v>0</v>
      </c>
      <c r="K105" s="25">
        <v>0</v>
      </c>
      <c r="L105" s="25">
        <v>0</v>
      </c>
      <c r="M105" s="25">
        <v>0</v>
      </c>
      <c r="N105" s="25">
        <v>0</v>
      </c>
      <c r="O105" s="25">
        <v>0</v>
      </c>
      <c r="P105" s="25">
        <v>0</v>
      </c>
    </row>
    <row r="106" spans="2:16" ht="17" x14ac:dyDescent="0.2">
      <c r="B106" s="56"/>
      <c r="C106" s="5" t="s">
        <v>50</v>
      </c>
      <c r="D106" s="10"/>
      <c r="E106" s="25">
        <v>0</v>
      </c>
      <c r="F106" s="25">
        <v>0</v>
      </c>
      <c r="G106" s="25">
        <v>0</v>
      </c>
      <c r="H106" s="25">
        <v>0</v>
      </c>
      <c r="I106" s="25">
        <v>0</v>
      </c>
      <c r="J106" s="25">
        <v>0</v>
      </c>
      <c r="K106" s="25">
        <v>0</v>
      </c>
      <c r="L106" s="25">
        <v>0</v>
      </c>
      <c r="M106" s="25">
        <v>0</v>
      </c>
      <c r="N106" s="25">
        <v>0</v>
      </c>
      <c r="O106" s="25">
        <v>0</v>
      </c>
      <c r="P106" s="25">
        <v>0</v>
      </c>
    </row>
    <row r="107" spans="2:16" ht="17" x14ac:dyDescent="0.2">
      <c r="B107" s="55">
        <v>6</v>
      </c>
      <c r="C107" s="5" t="s">
        <v>51</v>
      </c>
      <c r="D107" s="10"/>
      <c r="E107" s="25">
        <v>0</v>
      </c>
      <c r="F107" s="25">
        <v>0</v>
      </c>
      <c r="G107" s="25">
        <v>0</v>
      </c>
      <c r="H107" s="25">
        <v>0</v>
      </c>
      <c r="I107" s="25">
        <v>0</v>
      </c>
      <c r="J107" s="25">
        <v>0</v>
      </c>
      <c r="K107" s="25">
        <v>0</v>
      </c>
      <c r="L107" s="25">
        <v>0</v>
      </c>
      <c r="M107" s="25">
        <v>0</v>
      </c>
      <c r="N107" s="25">
        <v>0</v>
      </c>
      <c r="O107" s="25">
        <v>0</v>
      </c>
      <c r="P107" s="25">
        <v>0</v>
      </c>
    </row>
    <row r="108" spans="2:16" ht="17" x14ac:dyDescent="0.2">
      <c r="B108" s="56"/>
      <c r="C108" s="5" t="s">
        <v>52</v>
      </c>
      <c r="D108" s="10"/>
      <c r="E108" s="25">
        <v>0</v>
      </c>
      <c r="F108" s="25">
        <v>0</v>
      </c>
      <c r="G108" s="25">
        <v>0</v>
      </c>
      <c r="H108" s="25">
        <v>0</v>
      </c>
      <c r="I108" s="25">
        <v>0</v>
      </c>
      <c r="J108" s="25">
        <v>0</v>
      </c>
      <c r="K108" s="25">
        <v>0</v>
      </c>
      <c r="L108" s="25">
        <v>0</v>
      </c>
      <c r="M108" s="25">
        <v>0</v>
      </c>
      <c r="N108" s="25">
        <v>0</v>
      </c>
      <c r="O108" s="25">
        <v>0</v>
      </c>
      <c r="P108" s="25">
        <v>0</v>
      </c>
    </row>
    <row r="109" spans="2:16" ht="17" x14ac:dyDescent="0.2">
      <c r="B109" s="55">
        <v>7</v>
      </c>
      <c r="C109" s="5" t="s">
        <v>53</v>
      </c>
      <c r="D109" s="10"/>
      <c r="E109" s="25">
        <v>0</v>
      </c>
      <c r="F109" s="25">
        <v>0</v>
      </c>
      <c r="G109" s="25">
        <v>0</v>
      </c>
      <c r="H109" s="25">
        <v>0</v>
      </c>
      <c r="I109" s="25">
        <v>0</v>
      </c>
      <c r="J109" s="25">
        <v>0</v>
      </c>
      <c r="K109" s="25">
        <v>0</v>
      </c>
      <c r="L109" s="25">
        <v>0</v>
      </c>
      <c r="M109" s="25">
        <v>0</v>
      </c>
      <c r="N109" s="25">
        <v>0</v>
      </c>
      <c r="O109" s="25">
        <v>0</v>
      </c>
      <c r="P109" s="25">
        <v>0</v>
      </c>
    </row>
    <row r="110" spans="2:16" ht="17" x14ac:dyDescent="0.2">
      <c r="B110" s="56"/>
      <c r="C110" s="5" t="s">
        <v>54</v>
      </c>
      <c r="D110" s="10"/>
      <c r="E110" s="25">
        <v>0</v>
      </c>
      <c r="F110" s="25">
        <v>0</v>
      </c>
      <c r="G110" s="25">
        <v>0</v>
      </c>
      <c r="H110" s="25">
        <v>0</v>
      </c>
      <c r="I110" s="25">
        <v>0</v>
      </c>
      <c r="J110" s="25">
        <v>0</v>
      </c>
      <c r="K110" s="25">
        <v>0</v>
      </c>
      <c r="L110" s="25">
        <v>0</v>
      </c>
      <c r="M110" s="25">
        <v>0</v>
      </c>
      <c r="N110" s="25">
        <v>0</v>
      </c>
      <c r="O110" s="25">
        <v>0</v>
      </c>
      <c r="P110" s="25">
        <v>0</v>
      </c>
    </row>
    <row r="111" spans="2:16" ht="17" x14ac:dyDescent="0.2">
      <c r="B111" s="55">
        <v>8</v>
      </c>
      <c r="C111" s="5" t="s">
        <v>55</v>
      </c>
      <c r="D111" s="10"/>
      <c r="E111" s="25">
        <v>0</v>
      </c>
      <c r="F111" s="25">
        <v>0</v>
      </c>
      <c r="G111" s="25">
        <v>0</v>
      </c>
      <c r="H111" s="25">
        <v>0</v>
      </c>
      <c r="I111" s="25">
        <v>0</v>
      </c>
      <c r="J111" s="25">
        <v>0</v>
      </c>
      <c r="K111" s="25">
        <v>0</v>
      </c>
      <c r="L111" s="25">
        <v>0</v>
      </c>
      <c r="M111" s="25">
        <v>0</v>
      </c>
      <c r="N111" s="25">
        <v>0</v>
      </c>
      <c r="O111" s="25">
        <v>0</v>
      </c>
      <c r="P111" s="25">
        <v>0</v>
      </c>
    </row>
    <row r="112" spans="2:16" ht="17" x14ac:dyDescent="0.2">
      <c r="B112" s="56"/>
      <c r="C112" s="5" t="s">
        <v>56</v>
      </c>
      <c r="D112" s="10"/>
      <c r="E112" s="25">
        <v>0</v>
      </c>
      <c r="F112" s="25">
        <v>0</v>
      </c>
      <c r="G112" s="25">
        <v>0</v>
      </c>
      <c r="H112" s="25">
        <v>0</v>
      </c>
      <c r="I112" s="25">
        <v>0</v>
      </c>
      <c r="J112" s="25">
        <v>0</v>
      </c>
      <c r="K112" s="25">
        <v>0</v>
      </c>
      <c r="L112" s="25">
        <v>0</v>
      </c>
      <c r="M112" s="25">
        <v>0</v>
      </c>
      <c r="N112" s="25">
        <v>0</v>
      </c>
      <c r="O112" s="25">
        <v>0</v>
      </c>
      <c r="P112" s="25">
        <v>0</v>
      </c>
    </row>
    <row r="113" spans="2:16" ht="17" x14ac:dyDescent="0.2">
      <c r="B113" s="55">
        <v>9</v>
      </c>
      <c r="C113" s="5" t="s">
        <v>57</v>
      </c>
      <c r="D113" s="10"/>
      <c r="E113" s="25">
        <v>0</v>
      </c>
      <c r="F113" s="25">
        <v>0</v>
      </c>
      <c r="G113" s="25">
        <v>0</v>
      </c>
      <c r="H113" s="25">
        <v>0</v>
      </c>
      <c r="I113" s="25">
        <v>0</v>
      </c>
      <c r="J113" s="25">
        <v>0</v>
      </c>
      <c r="K113" s="25">
        <v>0</v>
      </c>
      <c r="L113" s="25">
        <v>0</v>
      </c>
      <c r="M113" s="25">
        <v>0</v>
      </c>
      <c r="N113" s="25">
        <v>0</v>
      </c>
      <c r="O113" s="25">
        <v>0</v>
      </c>
      <c r="P113" s="25">
        <v>0</v>
      </c>
    </row>
    <row r="114" spans="2:16" ht="17" x14ac:dyDescent="0.2">
      <c r="B114" s="56"/>
      <c r="C114" s="5" t="s">
        <v>58</v>
      </c>
      <c r="D114" s="10"/>
      <c r="E114" s="25">
        <v>0</v>
      </c>
      <c r="F114" s="25">
        <v>0</v>
      </c>
      <c r="G114" s="25">
        <v>0</v>
      </c>
      <c r="H114" s="25">
        <v>0</v>
      </c>
      <c r="I114" s="25">
        <v>0</v>
      </c>
      <c r="J114" s="25">
        <v>0</v>
      </c>
      <c r="K114" s="25">
        <v>0</v>
      </c>
      <c r="L114" s="25">
        <v>0</v>
      </c>
      <c r="M114" s="25">
        <v>0</v>
      </c>
      <c r="N114" s="25">
        <v>0</v>
      </c>
      <c r="O114" s="25">
        <v>0</v>
      </c>
      <c r="P114" s="25">
        <v>0</v>
      </c>
    </row>
    <row r="115" spans="2:16" ht="17" x14ac:dyDescent="0.2">
      <c r="B115" s="55">
        <v>10</v>
      </c>
      <c r="C115" s="5" t="s">
        <v>59</v>
      </c>
      <c r="D115" s="10"/>
      <c r="E115" s="25">
        <v>0</v>
      </c>
      <c r="F115" s="25">
        <v>0</v>
      </c>
      <c r="G115" s="25">
        <v>0</v>
      </c>
      <c r="H115" s="25">
        <v>0</v>
      </c>
      <c r="I115" s="25">
        <v>0</v>
      </c>
      <c r="J115" s="25">
        <v>0</v>
      </c>
      <c r="K115" s="25">
        <v>0</v>
      </c>
      <c r="L115" s="25">
        <v>0</v>
      </c>
      <c r="M115" s="25">
        <v>0</v>
      </c>
      <c r="N115" s="25">
        <v>0</v>
      </c>
      <c r="O115" s="25">
        <v>0</v>
      </c>
      <c r="P115" s="25">
        <v>0</v>
      </c>
    </row>
    <row r="116" spans="2:16" ht="17" x14ac:dyDescent="0.2">
      <c r="B116" s="56"/>
      <c r="C116" s="5" t="s">
        <v>60</v>
      </c>
      <c r="D116" s="10"/>
      <c r="E116" s="25">
        <v>0</v>
      </c>
      <c r="F116" s="25">
        <v>0</v>
      </c>
      <c r="G116" s="25">
        <v>0</v>
      </c>
      <c r="H116" s="25">
        <v>0</v>
      </c>
      <c r="I116" s="25">
        <v>0</v>
      </c>
      <c r="J116" s="25">
        <v>0</v>
      </c>
      <c r="K116" s="25">
        <v>0</v>
      </c>
      <c r="L116" s="25">
        <v>0</v>
      </c>
      <c r="M116" s="25">
        <v>0</v>
      </c>
      <c r="N116" s="25">
        <v>0</v>
      </c>
      <c r="O116" s="25">
        <v>0</v>
      </c>
      <c r="P116" s="25">
        <v>0</v>
      </c>
    </row>
  </sheetData>
  <mergeCells count="41">
    <mergeCell ref="B95:B96"/>
    <mergeCell ref="B115:B116"/>
    <mergeCell ref="B113:B114"/>
    <mergeCell ref="B111:B112"/>
    <mergeCell ref="B109:B110"/>
    <mergeCell ref="B107:B108"/>
    <mergeCell ref="B105:B106"/>
    <mergeCell ref="B103:B104"/>
    <mergeCell ref="B101:B102"/>
    <mergeCell ref="B97:B100"/>
    <mergeCell ref="AG9:AH9"/>
    <mergeCell ref="AI9:AJ9"/>
    <mergeCell ref="AK9:AL9"/>
    <mergeCell ref="AM9:AN9"/>
    <mergeCell ref="E93:P93"/>
    <mergeCell ref="S9:T9"/>
    <mergeCell ref="U9:X9"/>
    <mergeCell ref="Y9:Z9"/>
    <mergeCell ref="AA9:AB9"/>
    <mergeCell ref="AC9:AD9"/>
    <mergeCell ref="AE9:AF9"/>
    <mergeCell ref="AP8:AQ8"/>
    <mergeCell ref="AR8:AU8"/>
    <mergeCell ref="AV8:AW8"/>
    <mergeCell ref="AX8:AY8"/>
    <mergeCell ref="AZ8:BA8"/>
    <mergeCell ref="BB8:BC8"/>
    <mergeCell ref="BD8:BE8"/>
    <mergeCell ref="BF8:BG8"/>
    <mergeCell ref="BH8:BI8"/>
    <mergeCell ref="BJ8:BK8"/>
    <mergeCell ref="AP9:AQ9"/>
    <mergeCell ref="AR9:AU9"/>
    <mergeCell ref="AV9:AW9"/>
    <mergeCell ref="AX9:AY9"/>
    <mergeCell ref="AZ9:BA9"/>
    <mergeCell ref="BB9:BC9"/>
    <mergeCell ref="BD9:BE9"/>
    <mergeCell ref="BF9:BG9"/>
    <mergeCell ref="BH9:BI9"/>
    <mergeCell ref="BJ9:BK9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B12A0-525F-4240-8423-BEDD13700F21}">
  <sheetPr codeName="Sheet7"/>
  <dimension ref="A1:BK116"/>
  <sheetViews>
    <sheetView showGridLines="0" zoomScale="75" zoomScaleNormal="75" workbookViewId="0"/>
  </sheetViews>
  <sheetFormatPr baseColWidth="10" defaultRowHeight="16" x14ac:dyDescent="0.2"/>
  <cols>
    <col min="1" max="2" width="10.83203125" style="6"/>
    <col min="3" max="3" width="23" style="6" bestFit="1" customWidth="1"/>
    <col min="4" max="16384" width="10.83203125" style="6"/>
  </cols>
  <sheetData>
    <row r="1" spans="1:63" x14ac:dyDescent="0.2">
      <c r="A1" s="3" t="s">
        <v>66</v>
      </c>
      <c r="B1" s="14" t="str" cm="1">
        <f t="array" aca="1" ref="B1" ca="1">GetCurrentSheetName()</f>
        <v>TUGAS 2</v>
      </c>
    </row>
    <row r="2" spans="1:63" x14ac:dyDescent="0.2">
      <c r="A2" s="3" t="s">
        <v>61</v>
      </c>
      <c r="B2" s="25">
        <v>1</v>
      </c>
    </row>
    <row r="3" spans="1:63" x14ac:dyDescent="0.2">
      <c r="A3" s="3" t="s">
        <v>80</v>
      </c>
      <c r="B3" s="25">
        <v>1</v>
      </c>
    </row>
    <row r="7" spans="1:63" x14ac:dyDescent="0.2">
      <c r="A7" s="3"/>
      <c r="B7" s="3"/>
      <c r="C7" s="3"/>
      <c r="D7" s="3" t="s">
        <v>79</v>
      </c>
      <c r="E7" s="11" t="s">
        <v>67</v>
      </c>
      <c r="F7" s="11" t="s">
        <v>68</v>
      </c>
      <c r="G7" s="11" t="s">
        <v>69</v>
      </c>
      <c r="H7" s="11" t="s">
        <v>70</v>
      </c>
      <c r="I7" s="11" t="s">
        <v>71</v>
      </c>
      <c r="J7" s="11" t="s">
        <v>72</v>
      </c>
      <c r="K7" s="11" t="s">
        <v>73</v>
      </c>
      <c r="L7" s="11" t="s">
        <v>74</v>
      </c>
      <c r="M7" s="11" t="s">
        <v>75</v>
      </c>
      <c r="N7" s="11" t="s">
        <v>76</v>
      </c>
      <c r="O7" s="11" t="s">
        <v>77</v>
      </c>
      <c r="P7" s="11" t="s">
        <v>78</v>
      </c>
      <c r="Q7" s="21" t="s">
        <v>65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63" x14ac:dyDescent="0.2">
      <c r="A8" s="3"/>
      <c r="B8" s="3"/>
      <c r="C8" s="3"/>
      <c r="D8" s="3" t="s">
        <v>63</v>
      </c>
      <c r="E8" s="19">
        <f>IFERROR(ROUNDUP(STDEV(E11:E90),2),0)</f>
        <v>0</v>
      </c>
      <c r="F8" s="19">
        <f t="shared" ref="F8:Q8" si="0">IFERROR(ROUNDUP(STDEV(F11:F90),2),0)</f>
        <v>0</v>
      </c>
      <c r="G8" s="19">
        <f t="shared" si="0"/>
        <v>0</v>
      </c>
      <c r="H8" s="19">
        <f t="shared" si="0"/>
        <v>0</v>
      </c>
      <c r="I8" s="19">
        <f t="shared" si="0"/>
        <v>0</v>
      </c>
      <c r="J8" s="19">
        <f t="shared" si="0"/>
        <v>0</v>
      </c>
      <c r="K8" s="19">
        <f t="shared" si="0"/>
        <v>0</v>
      </c>
      <c r="L8" s="19">
        <f t="shared" si="0"/>
        <v>0</v>
      </c>
      <c r="M8" s="19">
        <f t="shared" si="0"/>
        <v>0</v>
      </c>
      <c r="N8" s="19">
        <f t="shared" si="0"/>
        <v>0</v>
      </c>
      <c r="O8" s="19">
        <f t="shared" si="0"/>
        <v>0</v>
      </c>
      <c r="P8" s="19">
        <f t="shared" si="0"/>
        <v>0</v>
      </c>
      <c r="Q8" s="19">
        <f t="shared" si="0"/>
        <v>0</v>
      </c>
      <c r="R8" s="3"/>
      <c r="S8" s="3"/>
      <c r="T8" s="9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</row>
    <row r="9" spans="1:63" x14ac:dyDescent="0.2">
      <c r="A9" s="3"/>
      <c r="B9" s="3"/>
      <c r="C9" s="3"/>
      <c r="D9" s="3" t="s">
        <v>62</v>
      </c>
      <c r="E9" s="20">
        <f>IFERROR(ROUNDUP(AVERAGE(E11:E90),2),0)</f>
        <v>0</v>
      </c>
      <c r="F9" s="20">
        <f t="shared" ref="F9:Q9" si="1">IFERROR(ROUNDUP(AVERAGE(F11:F90),2),0)</f>
        <v>0</v>
      </c>
      <c r="G9" s="20">
        <f t="shared" si="1"/>
        <v>0</v>
      </c>
      <c r="H9" s="20">
        <f t="shared" si="1"/>
        <v>0</v>
      </c>
      <c r="I9" s="20">
        <f t="shared" si="1"/>
        <v>0</v>
      </c>
      <c r="J9" s="20">
        <f t="shared" si="1"/>
        <v>0</v>
      </c>
      <c r="K9" s="20">
        <f t="shared" si="1"/>
        <v>0</v>
      </c>
      <c r="L9" s="20">
        <f t="shared" si="1"/>
        <v>0</v>
      </c>
      <c r="M9" s="20">
        <f t="shared" si="1"/>
        <v>0</v>
      </c>
      <c r="N9" s="20">
        <f t="shared" si="1"/>
        <v>0</v>
      </c>
      <c r="O9" s="20">
        <f t="shared" si="1"/>
        <v>0</v>
      </c>
      <c r="P9" s="20">
        <f t="shared" si="1"/>
        <v>0</v>
      </c>
      <c r="Q9" s="20">
        <f t="shared" si="1"/>
        <v>0</v>
      </c>
      <c r="R9" s="8" t="s">
        <v>6</v>
      </c>
      <c r="S9" s="48">
        <v>1</v>
      </c>
      <c r="T9" s="49"/>
      <c r="U9" s="52">
        <v>2</v>
      </c>
      <c r="V9" s="53"/>
      <c r="W9" s="53"/>
      <c r="X9" s="54"/>
      <c r="Y9" s="52">
        <v>3</v>
      </c>
      <c r="Z9" s="54"/>
      <c r="AA9" s="52">
        <v>4</v>
      </c>
      <c r="AB9" s="54"/>
      <c r="AC9" s="52">
        <v>5</v>
      </c>
      <c r="AD9" s="54"/>
      <c r="AE9" s="52">
        <v>6</v>
      </c>
      <c r="AF9" s="54"/>
      <c r="AG9" s="48">
        <v>7</v>
      </c>
      <c r="AH9" s="49"/>
      <c r="AI9" s="48">
        <v>8</v>
      </c>
      <c r="AJ9" s="49"/>
      <c r="AK9" s="48">
        <v>9</v>
      </c>
      <c r="AL9" s="49"/>
      <c r="AM9" s="48">
        <v>10</v>
      </c>
      <c r="AN9" s="49"/>
      <c r="AO9" s="8" t="s">
        <v>6</v>
      </c>
      <c r="AP9" s="42">
        <v>1</v>
      </c>
      <c r="AQ9" s="42"/>
      <c r="AR9" s="41">
        <v>2</v>
      </c>
      <c r="AS9" s="41"/>
      <c r="AT9" s="41"/>
      <c r="AU9" s="41"/>
      <c r="AV9" s="41">
        <v>3</v>
      </c>
      <c r="AW9" s="41"/>
      <c r="AX9" s="41">
        <v>4</v>
      </c>
      <c r="AY9" s="41"/>
      <c r="AZ9" s="41">
        <v>5</v>
      </c>
      <c r="BA9" s="41"/>
      <c r="BB9" s="41">
        <v>6</v>
      </c>
      <c r="BC9" s="41"/>
      <c r="BD9" s="42">
        <v>7</v>
      </c>
      <c r="BE9" s="42"/>
      <c r="BF9" s="42">
        <v>8</v>
      </c>
      <c r="BG9" s="42"/>
      <c r="BH9" s="42">
        <v>9</v>
      </c>
      <c r="BI9" s="42"/>
      <c r="BJ9" s="42">
        <v>10</v>
      </c>
      <c r="BK9" s="42"/>
    </row>
    <row r="10" spans="1:63" x14ac:dyDescent="0.2">
      <c r="A10" s="11" t="s">
        <v>5</v>
      </c>
      <c r="B10" s="11" t="s">
        <v>0</v>
      </c>
      <c r="C10" s="11" t="s">
        <v>1</v>
      </c>
      <c r="D10" s="3" t="s">
        <v>61</v>
      </c>
      <c r="E10" s="26">
        <v>1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2"/>
      <c r="R10" s="8" t="s">
        <v>16</v>
      </c>
      <c r="S10" s="16" t="s">
        <v>39</v>
      </c>
      <c r="T10" s="16" t="s">
        <v>40</v>
      </c>
      <c r="U10" s="16" t="s">
        <v>41</v>
      </c>
      <c r="V10" s="16" t="s">
        <v>42</v>
      </c>
      <c r="W10" s="16" t="s">
        <v>43</v>
      </c>
      <c r="X10" s="16" t="s">
        <v>44</v>
      </c>
      <c r="Y10" s="16" t="s">
        <v>45</v>
      </c>
      <c r="Z10" s="16" t="s">
        <v>46</v>
      </c>
      <c r="AA10" s="16" t="s">
        <v>47</v>
      </c>
      <c r="AB10" s="16" t="s">
        <v>48</v>
      </c>
      <c r="AC10" s="16" t="s">
        <v>49</v>
      </c>
      <c r="AD10" s="16" t="s">
        <v>50</v>
      </c>
      <c r="AE10" s="16" t="s">
        <v>51</v>
      </c>
      <c r="AF10" s="16" t="s">
        <v>52</v>
      </c>
      <c r="AG10" s="16" t="s">
        <v>53</v>
      </c>
      <c r="AH10" s="16" t="s">
        <v>54</v>
      </c>
      <c r="AI10" s="16" t="s">
        <v>55</v>
      </c>
      <c r="AJ10" s="16" t="s">
        <v>56</v>
      </c>
      <c r="AK10" s="16" t="s">
        <v>57</v>
      </c>
      <c r="AL10" s="16" t="s">
        <v>58</v>
      </c>
      <c r="AM10" s="16" t="s">
        <v>59</v>
      </c>
      <c r="AN10" s="16" t="s">
        <v>60</v>
      </c>
      <c r="AO10" s="8" t="s">
        <v>16</v>
      </c>
      <c r="AP10" s="31" t="s">
        <v>39</v>
      </c>
      <c r="AQ10" s="31" t="s">
        <v>40</v>
      </c>
      <c r="AR10" s="31" t="s">
        <v>41</v>
      </c>
      <c r="AS10" s="31" t="s">
        <v>42</v>
      </c>
      <c r="AT10" s="31" t="s">
        <v>43</v>
      </c>
      <c r="AU10" s="31" t="s">
        <v>44</v>
      </c>
      <c r="AV10" s="31" t="s">
        <v>45</v>
      </c>
      <c r="AW10" s="31" t="s">
        <v>46</v>
      </c>
      <c r="AX10" s="31" t="s">
        <v>47</v>
      </c>
      <c r="AY10" s="31" t="s">
        <v>48</v>
      </c>
      <c r="AZ10" s="31" t="s">
        <v>49</v>
      </c>
      <c r="BA10" s="31" t="s">
        <v>50</v>
      </c>
      <c r="BB10" s="31" t="s">
        <v>51</v>
      </c>
      <c r="BC10" s="31" t="s">
        <v>52</v>
      </c>
      <c r="BD10" s="31" t="s">
        <v>53</v>
      </c>
      <c r="BE10" s="31" t="s">
        <v>54</v>
      </c>
      <c r="BF10" s="31" t="s">
        <v>55</v>
      </c>
      <c r="BG10" s="31" t="s">
        <v>56</v>
      </c>
      <c r="BH10" s="31" t="s">
        <v>57</v>
      </c>
      <c r="BI10" s="31" t="s">
        <v>58</v>
      </c>
      <c r="BJ10" s="31" t="s">
        <v>59</v>
      </c>
      <c r="BK10" s="31" t="s">
        <v>60</v>
      </c>
    </row>
    <row r="11" spans="1:63" x14ac:dyDescent="0.2">
      <c r="A11" s="2">
        <v>1</v>
      </c>
      <c r="B11" s="2" t="str">
        <f>IF(LEN(SUMMARY!B11)&gt;0, SUMMARY!B11, "")</f>
        <v/>
      </c>
      <c r="C11" s="2" t="str">
        <f>IF(LEN(SUMMARY!C11)&gt;0, SUMMARY!C11, "")</f>
        <v/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" t="str">
        <f>IF(B11&lt;&gt;"",IFERROR(ROUNDUP(SUMPRODUCT($E$10:$P$10,E11:P11)/SUM($E$10:$P$10),2),0),"")</f>
        <v/>
      </c>
      <c r="S11" s="2" t="str">
        <f>IF(B11&lt;&gt;"",IFERROR(ROUNDUP(SUMPRODUCT(E11:P11,$E$95:$P$95)/SUM($E$95:$P$95),2),0),"")</f>
        <v/>
      </c>
      <c r="T11" s="2" t="str">
        <f>IF(B11&lt;&gt;"",IFERROR(ROUNDUP(SUMPRODUCT(E11:P11,$E$96:$P$96)/SUM($E$96:$P$96),2),0),"")</f>
        <v/>
      </c>
      <c r="U11" s="2" t="str">
        <f>IF(B11&lt;&gt;"",IFERROR(ROUNDUP(SUMPRODUCT(E11:P11,$E$97:$P$97)/SUM($E$97:$P$97),2),0),"")</f>
        <v/>
      </c>
      <c r="V11" s="2" t="str">
        <f>IF(B11&lt;&gt;"",IFERROR(ROUNDUP(SUMPRODUCT(E11:P11,$E$98:$P$98)/SUM($E$98:$P$98),2),0),"")</f>
        <v/>
      </c>
      <c r="W11" s="2" t="str">
        <f>IF(B11&lt;&gt;"",IFERROR(ROUNDUP(SUMPRODUCT(E11:P11,$E$99:$P$99)/SUM($E$99:$P$99),2),0),"")</f>
        <v/>
      </c>
      <c r="X11" s="2" t="str">
        <f>IF(B11&lt;&gt;"",IFERROR(ROUNDUP(SUMPRODUCT(E11:P11,$E$100:$P$100)/SUM($E$100:$P$100),2),0),"")</f>
        <v/>
      </c>
      <c r="Y11" s="2" t="str">
        <f>IF(B11&lt;&gt;"",IFERROR(ROUNDUP(SUMPRODUCT(E11:P11,$E$101:$P$101)/SUM($E$101:$P$101),2),0),"")</f>
        <v/>
      </c>
      <c r="Z11" s="2" t="str">
        <f>IF(B11&lt;&gt;"",IFERROR(ROUNDUP(SUMPRODUCT(E11:P11,$E$102:$P$102)/SUM($E$102:$P$102),2),0),"")</f>
        <v/>
      </c>
      <c r="AA11" s="2" t="str">
        <f>IF(B11&lt;&gt;"",IFERROR(ROUNDUP(SUMPRODUCT(E11:P11,$E$103:$P$103)/SUM($E$103:$P$103),2),0),"")</f>
        <v/>
      </c>
      <c r="AB11" s="2" t="str">
        <f>IF(B11&lt;&gt;"",IFERROR(ROUNDUP(SUMPRODUCT(E11:P11,$E$104:$P$104)/SUM($E$104:$P$104),2),0),"")</f>
        <v/>
      </c>
      <c r="AC11" s="2" t="str">
        <f>IF(B11&lt;&gt;"",IFERROR(ROUNDUP(SUMPRODUCT(E11:P11,$E$105:$P$105)/SUM($E$105:$P$105),2),0),"")</f>
        <v/>
      </c>
      <c r="AD11" s="2" t="str">
        <f>IF(B11&lt;&gt;"",IFERROR(ROUNDUP(SUMPRODUCT(E11:P11,$E$106:$P$106)/SUM($E$106:$P$106),2),0),"")</f>
        <v/>
      </c>
      <c r="AE11" s="2" t="str">
        <f>IF(B11&lt;&gt;"",IFERROR(ROUNDUP(SUMPRODUCT(E11:P11,$E$107:$P$107)/SUM($E$107:$P$107),2),0),"")</f>
        <v/>
      </c>
      <c r="AF11" s="2" t="str">
        <f>IF(B11&lt;&gt;"",IFERROR(ROUNDUP(SUMPRODUCT(E11:P11,$E$108:$P$108)/SUM($E$108:$P$108),2),0),"")</f>
        <v/>
      </c>
      <c r="AG11" s="2" t="str">
        <f>IF(B11&lt;&gt;"",IFERROR(ROUNDUP(SUMPRODUCT(E11:P11,$E$109:$P$109)/SUM($E$109:$P$109),2),0),"")</f>
        <v/>
      </c>
      <c r="AH11" s="2" t="str">
        <f>IF(B11&lt;&gt;"",IFERROR(ROUNDUP(SUMPRODUCT(E11:P11,$E$110:$P$110)/SUM($E$110:$P$110),2),0),"")</f>
        <v/>
      </c>
      <c r="AI11" s="2" t="str">
        <f>IF(B11&lt;&gt;"",IFERROR(ROUNDUP(SUMPRODUCT(E11:P11,$E$111:$P$111)/SUM($E$111:$P$111),2),0),"")</f>
        <v/>
      </c>
      <c r="AJ11" s="2" t="str">
        <f>IF(B11&lt;&gt;"",IFERROR(ROUNDUP(SUMPRODUCT(E11:P11,$E$112:$P$112)/SUM($E$112:$P$112),2),0),"")</f>
        <v/>
      </c>
      <c r="AK11" s="2" t="str">
        <f>IF(B11&lt;&gt;"",IFERROR(ROUNDUP(SUMPRODUCT(E11:P11,$E$113:$P$113)/SUM($E$113:$P$113),2),0),"")</f>
        <v/>
      </c>
      <c r="AL11" s="2" t="str">
        <f>IF(B11&lt;&gt;"",IFERROR(ROUNDUP(SUMPRODUCT(E11:P11,$E$114:$P$114)/SUM($E$114:$P$114),2),0),"")</f>
        <v/>
      </c>
      <c r="AM11" s="2" t="str">
        <f>IF(B11&lt;&gt;"",IFERROR(ROUNDUP(SUMPRODUCT(E11:P11,$E$115:$P$115)/SUM($E$115:$P$115),2),0),"")</f>
        <v/>
      </c>
      <c r="AN11" s="2" t="str">
        <f>IF(B11&lt;&gt;"",IFERROR(ROUNDUP(SUMPRODUCT(E11:P11,$E$116:$P$116)/SUM($E$116:$P$116),2),0),"")</f>
        <v/>
      </c>
      <c r="AP11" s="2" t="str" cm="1">
        <f t="array" ref="AP11">IF('NILAI CPL'!$B11&lt;&gt;"",IFERROR(_xlfn.IFS(S11&gt;='NILAI CPL'!$B$3,4,S11&gt;='NILAI CPL'!$B$4,3,S11&gt;='NILAI CPL'!$B$5,2,S11&gt;'NILAI CPL'!$B$6,1),0),"")</f>
        <v/>
      </c>
      <c r="AQ11" s="2" t="str" cm="1">
        <f t="array" ref="AQ11">IF('NILAI CPL'!$B11&lt;&gt;"",IFERROR(_xlfn.IFS(T11&gt;='NILAI CPL'!$B$3,4,T11&gt;='NILAI CPL'!$B$4,3,T11&gt;='NILAI CPL'!$B$5,2,T11&gt;'NILAI CPL'!$B$6,1),0),"")</f>
        <v/>
      </c>
      <c r="AR11" s="2" t="str" cm="1">
        <f t="array" ref="AR11">IF('NILAI CPL'!$B11&lt;&gt;"",IFERROR(_xlfn.IFS(U11&gt;='NILAI CPL'!$B$3,4,U11&gt;='NILAI CPL'!$B$4,3,U11&gt;='NILAI CPL'!$B$5,2,U11&gt;'NILAI CPL'!$B$6,1),0),"")</f>
        <v/>
      </c>
      <c r="AS11" s="2" t="str" cm="1">
        <f t="array" ref="AS11">IF('NILAI CPL'!$B11&lt;&gt;"",IFERROR(_xlfn.IFS(V11&gt;='NILAI CPL'!$B$3,4,V11&gt;='NILAI CPL'!$B$4,3,V11&gt;='NILAI CPL'!$B$5,2,V11&gt;'NILAI CPL'!$B$6,1),0),"")</f>
        <v/>
      </c>
      <c r="AT11" s="2" t="str" cm="1">
        <f t="array" ref="AT11">IF('NILAI CPL'!$B11&lt;&gt;"",IFERROR(_xlfn.IFS(W11&gt;='NILAI CPL'!$B$3,4,W11&gt;='NILAI CPL'!$B$4,3,W11&gt;='NILAI CPL'!$B$5,2,W11&gt;'NILAI CPL'!$B$6,1),0),"")</f>
        <v/>
      </c>
      <c r="AU11" s="2" t="str" cm="1">
        <f t="array" ref="AU11">IF('NILAI CPL'!$B11&lt;&gt;"",IFERROR(_xlfn.IFS(X11&gt;='NILAI CPL'!$B$3,4,X11&gt;='NILAI CPL'!$B$4,3,X11&gt;='NILAI CPL'!$B$5,2,X11&gt;'NILAI CPL'!$B$6,1),0),"")</f>
        <v/>
      </c>
      <c r="AV11" s="2" t="str" cm="1">
        <f t="array" ref="AV11">IF('NILAI CPL'!$B11&lt;&gt;"",IFERROR(_xlfn.IFS(Y11&gt;='NILAI CPL'!$B$3,4,Y11&gt;='NILAI CPL'!$B$4,3,Y11&gt;='NILAI CPL'!$B$5,2,Y11&gt;'NILAI CPL'!$B$6,1),0),"")</f>
        <v/>
      </c>
      <c r="AW11" s="2" t="str" cm="1">
        <f t="array" ref="AW11">IF('NILAI CPL'!$B11&lt;&gt;"",IFERROR(_xlfn.IFS(Z11&gt;='NILAI CPL'!$B$3,4,Z11&gt;='NILAI CPL'!$B$4,3,Z11&gt;='NILAI CPL'!$B$5,2,Z11&gt;'NILAI CPL'!$B$6,1),0),"")</f>
        <v/>
      </c>
      <c r="AX11" s="2" t="str" cm="1">
        <f t="array" ref="AX11">IF('NILAI CPL'!$B11&lt;&gt;"",IFERROR(_xlfn.IFS(AA11&gt;='NILAI CPL'!$B$3,4,AA11&gt;='NILAI CPL'!$B$4,3,AA11&gt;='NILAI CPL'!$B$5,2,AA11&gt;'NILAI CPL'!$B$6,1),0),"")</f>
        <v/>
      </c>
      <c r="AY11" s="2" t="str" cm="1">
        <f t="array" ref="AY11">IF('NILAI CPL'!$B11&lt;&gt;"",IFERROR(_xlfn.IFS(AB11&gt;='NILAI CPL'!$B$3,4,AB11&gt;='NILAI CPL'!$B$4,3,AB11&gt;='NILAI CPL'!$B$5,2,AB11&gt;'NILAI CPL'!$B$6,1),0),"")</f>
        <v/>
      </c>
      <c r="AZ11" s="2" t="str" cm="1">
        <f t="array" ref="AZ11">IF('NILAI CPL'!$B11&lt;&gt;"",IFERROR(_xlfn.IFS(AC11&gt;='NILAI CPL'!$B$3,4,AC11&gt;='NILAI CPL'!$B$4,3,AC11&gt;='NILAI CPL'!$B$5,2,AC11&gt;'NILAI CPL'!$B$6,1),0),"")</f>
        <v/>
      </c>
      <c r="BA11" s="2" t="str" cm="1">
        <f t="array" ref="BA11">IF('NILAI CPL'!$B11&lt;&gt;"",IFERROR(_xlfn.IFS(AD11&gt;='NILAI CPL'!$B$3,4,AD11&gt;='NILAI CPL'!$B$4,3,AD11&gt;='NILAI CPL'!$B$5,2,AD11&gt;'NILAI CPL'!$B$6,1),0),"")</f>
        <v/>
      </c>
      <c r="BB11" s="2" t="str" cm="1">
        <f t="array" ref="BB11">IF('NILAI CPL'!$B11&lt;&gt;"",IFERROR(_xlfn.IFS(AE11&gt;='NILAI CPL'!$B$3,4,AE11&gt;='NILAI CPL'!$B$4,3,AE11&gt;='NILAI CPL'!$B$5,2,AE11&gt;'NILAI CPL'!$B$6,1),0),"")</f>
        <v/>
      </c>
      <c r="BC11" s="2" t="str" cm="1">
        <f t="array" ref="BC11">IF('NILAI CPL'!$B11&lt;&gt;"",IFERROR(_xlfn.IFS(AF11&gt;='NILAI CPL'!$B$3,4,AF11&gt;='NILAI CPL'!$B$4,3,AF11&gt;='NILAI CPL'!$B$5,2,AF11&gt;'NILAI CPL'!$B$6,1),0),"")</f>
        <v/>
      </c>
      <c r="BD11" s="2" t="str" cm="1">
        <f t="array" ref="BD11">IF('NILAI CPL'!$B11&lt;&gt;"",IFERROR(_xlfn.IFS(AG11&gt;='NILAI CPL'!$B$3,4,AG11&gt;='NILAI CPL'!$B$4,3,AG11&gt;='NILAI CPL'!$B$5,2,AG11&gt;'NILAI CPL'!$B$6,1),0),"")</f>
        <v/>
      </c>
      <c r="BE11" s="2" t="str" cm="1">
        <f t="array" ref="BE11">IF('NILAI CPL'!$B11&lt;&gt;"",IFERROR(_xlfn.IFS(AH11&gt;='NILAI CPL'!$B$3,4,AH11&gt;='NILAI CPL'!$B$4,3,AH11&gt;='NILAI CPL'!$B$5,2,AH11&gt;'NILAI CPL'!$B$6,1),0),"")</f>
        <v/>
      </c>
      <c r="BF11" s="2" t="str" cm="1">
        <f t="array" ref="BF11">IF('NILAI CPL'!$B11&lt;&gt;"",IFERROR(_xlfn.IFS(AI11&gt;='NILAI CPL'!$B$3,4,AI11&gt;='NILAI CPL'!$B$4,3,AI11&gt;='NILAI CPL'!$B$5,2,AI11&gt;'NILAI CPL'!$B$6,1),0),"")</f>
        <v/>
      </c>
      <c r="BG11" s="2" t="str" cm="1">
        <f t="array" ref="BG11">IF('NILAI CPL'!$B11&lt;&gt;"",IFERROR(_xlfn.IFS(AJ11&gt;='NILAI CPL'!$B$3,4,AJ11&gt;='NILAI CPL'!$B$4,3,AJ11&gt;='NILAI CPL'!$B$5,2,AJ11&gt;'NILAI CPL'!$B$6,1),0),"")</f>
        <v/>
      </c>
      <c r="BH11" s="2" t="str" cm="1">
        <f t="array" ref="BH11">IF('NILAI CPL'!$B11&lt;&gt;"",IFERROR(_xlfn.IFS(AK11&gt;='NILAI CPL'!$B$3,4,AK11&gt;='NILAI CPL'!$B$4,3,AK11&gt;='NILAI CPL'!$B$5,2,AK11&gt;'NILAI CPL'!$B$6,1),0),"")</f>
        <v/>
      </c>
      <c r="BI11" s="2" t="str" cm="1">
        <f t="array" ref="BI11">IF('NILAI CPL'!$B11&lt;&gt;"",IFERROR(_xlfn.IFS(AL11&gt;='NILAI CPL'!$B$3,4,AL11&gt;='NILAI CPL'!$B$4,3,AL11&gt;='NILAI CPL'!$B$5,2,AL11&gt;'NILAI CPL'!$B$6,1),0),"")</f>
        <v/>
      </c>
      <c r="BJ11" s="2" t="str" cm="1">
        <f t="array" ref="BJ11">IF('NILAI CPL'!$B11&lt;&gt;"",IFERROR(_xlfn.IFS(AM11&gt;='NILAI CPL'!$B$3,4,AM11&gt;='NILAI CPL'!$B$4,3,AM11&gt;='NILAI CPL'!$B$5,2,AM11&gt;'NILAI CPL'!$B$6,1),0),"")</f>
        <v/>
      </c>
      <c r="BK11" s="2" t="str" cm="1">
        <f t="array" ref="BK11">IF('NILAI CPL'!$B11&lt;&gt;"",IFERROR(_xlfn.IFS(AN11&gt;='NILAI CPL'!$B$3,4,AN11&gt;='NILAI CPL'!$B$4,3,AN11&gt;='NILAI CPL'!$B$5,2,AN11&gt;'NILAI CPL'!$B$6,1),0),"")</f>
        <v/>
      </c>
    </row>
    <row r="12" spans="1:63" x14ac:dyDescent="0.2">
      <c r="A12" s="2">
        <v>2</v>
      </c>
      <c r="B12" s="2" t="str">
        <f>IF(LEN(SUMMARY!B12)&gt;0, SUMMARY!B12, "")</f>
        <v/>
      </c>
      <c r="C12" s="2" t="str">
        <f>IF(LEN(SUMMARY!C12)&gt;0, SUMMARY!C12, "")</f>
        <v/>
      </c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" t="str">
        <f t="shared" ref="Q12:Q75" si="2">IF(B12&lt;&gt;"",IFERROR(ROUNDUP(SUMPRODUCT($E$10:$P$10,E12:P12)/SUM($E$10:$P$10),2),0),"")</f>
        <v/>
      </c>
      <c r="S12" s="2" t="str">
        <f t="shared" ref="S12:S75" si="3">IF(B12&lt;&gt;"",IFERROR(ROUNDUP(SUMPRODUCT(E12:P12,$E$95:$P$95)/SUM($E$95:$P$95),2),0),"")</f>
        <v/>
      </c>
      <c r="T12" s="2" t="str">
        <f t="shared" ref="T12:T75" si="4">IF(B12&lt;&gt;"",IFERROR(ROUNDUP(SUMPRODUCT(E12:P12,$E$96:$P$96)/SUM($E$96:$P$96),2),0),"")</f>
        <v/>
      </c>
      <c r="U12" s="2" t="str">
        <f t="shared" ref="U12:U75" si="5">IF(B12&lt;&gt;"",IFERROR(ROUNDUP(SUMPRODUCT(E12:P12,$E$97:$P$97)/SUM($E$97:$P$97),2),0),"")</f>
        <v/>
      </c>
      <c r="V12" s="2" t="str">
        <f t="shared" ref="V12:V75" si="6">IF(B12&lt;&gt;"",IFERROR(ROUNDUP(SUMPRODUCT(E12:P12,$E$98:$P$98)/SUM($E$98:$P$98),2),0),"")</f>
        <v/>
      </c>
      <c r="W12" s="2" t="str">
        <f t="shared" ref="W12:W75" si="7">IF(B12&lt;&gt;"",IFERROR(ROUNDUP(SUMPRODUCT(E12:P12,$E$99:$P$99)/SUM($E$99:$P$99),2),0),"")</f>
        <v/>
      </c>
      <c r="X12" s="2" t="str">
        <f t="shared" ref="X12:X75" si="8">IF(B12&lt;&gt;"",IFERROR(ROUNDUP(SUMPRODUCT(E12:P12,$E$100:$P$100)/SUM($E$100:$P$100),2),0),"")</f>
        <v/>
      </c>
      <c r="Y12" s="2" t="str">
        <f t="shared" ref="Y12:Y75" si="9">IF(B12&lt;&gt;"",IFERROR(ROUNDUP(SUMPRODUCT(E12:P12,$E$101:$P$101)/SUM($E$101:$P$101),2),0),"")</f>
        <v/>
      </c>
      <c r="Z12" s="2" t="str">
        <f t="shared" ref="Z12:Z75" si="10">IF(B12&lt;&gt;"",IFERROR(ROUNDUP(SUMPRODUCT(E12:P12,$E$102:$P$102)/SUM($E$102:$P$102),2),0),"")</f>
        <v/>
      </c>
      <c r="AA12" s="2" t="str">
        <f t="shared" ref="AA12:AA75" si="11">IF(B12&lt;&gt;"",IFERROR(ROUNDUP(SUMPRODUCT(E12:P12,$E$103:$P$103)/SUM($E$103:$P$103),2),0),"")</f>
        <v/>
      </c>
      <c r="AB12" s="2" t="str">
        <f t="shared" ref="AB12:AB75" si="12">IF(B12&lt;&gt;"",IFERROR(ROUNDUP(SUMPRODUCT(E12:P12,$E$104:$P$104)/SUM($E$104:$P$104),2),0),"")</f>
        <v/>
      </c>
      <c r="AC12" s="2" t="str">
        <f t="shared" ref="AC12:AC75" si="13">IF(B12&lt;&gt;"",IFERROR(ROUNDUP(SUMPRODUCT(E12:P12,$E$105:$P$105)/SUM($E$105:$P$105),2),0),"")</f>
        <v/>
      </c>
      <c r="AD12" s="2" t="str">
        <f t="shared" ref="AD12:AD75" si="14">IF(B12&lt;&gt;"",IFERROR(ROUNDUP(SUMPRODUCT(E12:P12,$E$106:$P$106)/SUM($E$106:$P$106),2),0),"")</f>
        <v/>
      </c>
      <c r="AE12" s="2" t="str">
        <f t="shared" ref="AE12:AE75" si="15">IF(B12&lt;&gt;"",IFERROR(ROUNDUP(SUMPRODUCT(E12:P12,$E$107:$P$107)/SUM($E$107:$P$107),2),0),"")</f>
        <v/>
      </c>
      <c r="AF12" s="2" t="str">
        <f t="shared" ref="AF12:AF75" si="16">IF(B12&lt;&gt;"",IFERROR(ROUNDUP(SUMPRODUCT(E12:P12,$E$108:$P$108)/SUM($E$108:$P$108),2),0),"")</f>
        <v/>
      </c>
      <c r="AG12" s="2" t="str">
        <f t="shared" ref="AG12:AG75" si="17">IF(B12&lt;&gt;"",IFERROR(ROUNDUP(SUMPRODUCT(E12:P12,$E$109:$P$109)/SUM($E$109:$P$109),2),0),"")</f>
        <v/>
      </c>
      <c r="AH12" s="2" t="str">
        <f t="shared" ref="AH12:AH75" si="18">IF(B12&lt;&gt;"",IFERROR(ROUNDUP(SUMPRODUCT(E12:P12,$E$110:$P$110)/SUM($E$110:$P$110),2),0),"")</f>
        <v/>
      </c>
      <c r="AI12" s="2" t="str">
        <f t="shared" ref="AI12:AI75" si="19">IF(B12&lt;&gt;"",IFERROR(ROUNDUP(SUMPRODUCT(E12:P12,$E$111:$P$111)/SUM($E$111:$P$111),2),0),"")</f>
        <v/>
      </c>
      <c r="AJ12" s="2" t="str">
        <f t="shared" ref="AJ12:AJ75" si="20">IF(B12&lt;&gt;"",IFERROR(ROUNDUP(SUMPRODUCT(E12:P12,$E$112:$P$112)/SUM($E$112:$P$112),2),0),"")</f>
        <v/>
      </c>
      <c r="AK12" s="2" t="str">
        <f t="shared" ref="AK12:AK75" si="21">IF(B12&lt;&gt;"",IFERROR(ROUNDUP(SUMPRODUCT(E12:P12,$E$113:$P$113)/SUM($E$113:$P$113),2),0),"")</f>
        <v/>
      </c>
      <c r="AL12" s="2" t="str">
        <f t="shared" ref="AL12:AL75" si="22">IF(B12&lt;&gt;"",IFERROR(ROUNDUP(SUMPRODUCT(E12:P12,$E$114:$P$114)/SUM($E$114:$P$114),2),0),"")</f>
        <v/>
      </c>
      <c r="AM12" s="2" t="str">
        <f t="shared" ref="AM12:AM75" si="23">IF(B12&lt;&gt;"",IFERROR(ROUNDUP(SUMPRODUCT(E12:P12,$E$115:$P$115)/SUM($E$115:$P$115),2),0),"")</f>
        <v/>
      </c>
      <c r="AN12" s="2" t="str">
        <f t="shared" ref="AN12:AN75" si="24">IF(B12&lt;&gt;"",IFERROR(ROUNDUP(SUMPRODUCT(E12:P12,$E$116:$P$116)/SUM($E$116:$P$116),2),0),"")</f>
        <v/>
      </c>
      <c r="AP12" s="2" t="str" cm="1">
        <f t="array" ref="AP12">IF('NILAI CPL'!$B12&lt;&gt;"",IFERROR(_xlfn.IFS(S12&gt;='NILAI CPL'!$B$3,4,S12&gt;='NILAI CPL'!$B$4,3,S12&gt;='NILAI CPL'!$B$5,2,S12&gt;'NILAI CPL'!$B$6,1),0),"")</f>
        <v/>
      </c>
      <c r="AQ12" s="2" t="str" cm="1">
        <f t="array" ref="AQ12">IF('NILAI CPL'!$B12&lt;&gt;"",IFERROR(_xlfn.IFS(T12&gt;='NILAI CPL'!$B$3,4,T12&gt;='NILAI CPL'!$B$4,3,T12&gt;='NILAI CPL'!$B$5,2,T12&gt;'NILAI CPL'!$B$6,1),0),"")</f>
        <v/>
      </c>
      <c r="AR12" s="2" t="str" cm="1">
        <f t="array" ref="AR12">IF('NILAI CPL'!$B12&lt;&gt;"",IFERROR(_xlfn.IFS(U12&gt;='NILAI CPL'!$B$3,4,U12&gt;='NILAI CPL'!$B$4,3,U12&gt;='NILAI CPL'!$B$5,2,U12&gt;'NILAI CPL'!$B$6,1),0),"")</f>
        <v/>
      </c>
      <c r="AS12" s="2" t="str" cm="1">
        <f t="array" ref="AS12">IF('NILAI CPL'!$B12&lt;&gt;"",IFERROR(_xlfn.IFS(V12&gt;='NILAI CPL'!$B$3,4,V12&gt;='NILAI CPL'!$B$4,3,V12&gt;='NILAI CPL'!$B$5,2,V12&gt;'NILAI CPL'!$B$6,1),0),"")</f>
        <v/>
      </c>
      <c r="AT12" s="2" t="str" cm="1">
        <f t="array" ref="AT12">IF('NILAI CPL'!$B12&lt;&gt;"",IFERROR(_xlfn.IFS(W12&gt;='NILAI CPL'!$B$3,4,W12&gt;='NILAI CPL'!$B$4,3,W12&gt;='NILAI CPL'!$B$5,2,W12&gt;'NILAI CPL'!$B$6,1),0),"")</f>
        <v/>
      </c>
      <c r="AU12" s="2" t="str" cm="1">
        <f t="array" ref="AU12">IF('NILAI CPL'!$B12&lt;&gt;"",IFERROR(_xlfn.IFS(X12&gt;='NILAI CPL'!$B$3,4,X12&gt;='NILAI CPL'!$B$4,3,X12&gt;='NILAI CPL'!$B$5,2,X12&gt;'NILAI CPL'!$B$6,1),0),"")</f>
        <v/>
      </c>
      <c r="AV12" s="2" t="str" cm="1">
        <f t="array" ref="AV12">IF('NILAI CPL'!$B12&lt;&gt;"",IFERROR(_xlfn.IFS(Y12&gt;='NILAI CPL'!$B$3,4,Y12&gt;='NILAI CPL'!$B$4,3,Y12&gt;='NILAI CPL'!$B$5,2,Y12&gt;'NILAI CPL'!$B$6,1),0),"")</f>
        <v/>
      </c>
      <c r="AW12" s="2" t="str" cm="1">
        <f t="array" ref="AW12">IF('NILAI CPL'!$B12&lt;&gt;"",IFERROR(_xlfn.IFS(Z12&gt;='NILAI CPL'!$B$3,4,Z12&gt;='NILAI CPL'!$B$4,3,Z12&gt;='NILAI CPL'!$B$5,2,Z12&gt;'NILAI CPL'!$B$6,1),0),"")</f>
        <v/>
      </c>
      <c r="AX12" s="2" t="str" cm="1">
        <f t="array" ref="AX12">IF('NILAI CPL'!$B12&lt;&gt;"",IFERROR(_xlfn.IFS(AA12&gt;='NILAI CPL'!$B$3,4,AA12&gt;='NILAI CPL'!$B$4,3,AA12&gt;='NILAI CPL'!$B$5,2,AA12&gt;'NILAI CPL'!$B$6,1),0),"")</f>
        <v/>
      </c>
      <c r="AY12" s="2" t="str" cm="1">
        <f t="array" ref="AY12">IF('NILAI CPL'!$B12&lt;&gt;"",IFERROR(_xlfn.IFS(AB12&gt;='NILAI CPL'!$B$3,4,AB12&gt;='NILAI CPL'!$B$4,3,AB12&gt;='NILAI CPL'!$B$5,2,AB12&gt;'NILAI CPL'!$B$6,1),0),"")</f>
        <v/>
      </c>
      <c r="AZ12" s="2" t="str" cm="1">
        <f t="array" ref="AZ12">IF('NILAI CPL'!$B12&lt;&gt;"",IFERROR(_xlfn.IFS(AC12&gt;='NILAI CPL'!$B$3,4,AC12&gt;='NILAI CPL'!$B$4,3,AC12&gt;='NILAI CPL'!$B$5,2,AC12&gt;'NILAI CPL'!$B$6,1),0),"")</f>
        <v/>
      </c>
      <c r="BA12" s="2" t="str" cm="1">
        <f t="array" ref="BA12">IF('NILAI CPL'!$B12&lt;&gt;"",IFERROR(_xlfn.IFS(AD12&gt;='NILAI CPL'!$B$3,4,AD12&gt;='NILAI CPL'!$B$4,3,AD12&gt;='NILAI CPL'!$B$5,2,AD12&gt;'NILAI CPL'!$B$6,1),0),"")</f>
        <v/>
      </c>
      <c r="BB12" s="2" t="str" cm="1">
        <f t="array" ref="BB12">IF('NILAI CPL'!$B12&lt;&gt;"",IFERROR(_xlfn.IFS(AE12&gt;='NILAI CPL'!$B$3,4,AE12&gt;='NILAI CPL'!$B$4,3,AE12&gt;='NILAI CPL'!$B$5,2,AE12&gt;'NILAI CPL'!$B$6,1),0),"")</f>
        <v/>
      </c>
      <c r="BC12" s="2" t="str" cm="1">
        <f t="array" ref="BC12">IF('NILAI CPL'!$B12&lt;&gt;"",IFERROR(_xlfn.IFS(AF12&gt;='NILAI CPL'!$B$3,4,AF12&gt;='NILAI CPL'!$B$4,3,AF12&gt;='NILAI CPL'!$B$5,2,AF12&gt;'NILAI CPL'!$B$6,1),0),"")</f>
        <v/>
      </c>
      <c r="BD12" s="2" t="str" cm="1">
        <f t="array" ref="BD12">IF('NILAI CPL'!$B12&lt;&gt;"",IFERROR(_xlfn.IFS(AG12&gt;='NILAI CPL'!$B$3,4,AG12&gt;='NILAI CPL'!$B$4,3,AG12&gt;='NILAI CPL'!$B$5,2,AG12&gt;'NILAI CPL'!$B$6,1),0),"")</f>
        <v/>
      </c>
      <c r="BE12" s="2" t="str" cm="1">
        <f t="array" ref="BE12">IF('NILAI CPL'!$B12&lt;&gt;"",IFERROR(_xlfn.IFS(AH12&gt;='NILAI CPL'!$B$3,4,AH12&gt;='NILAI CPL'!$B$4,3,AH12&gt;='NILAI CPL'!$B$5,2,AH12&gt;'NILAI CPL'!$B$6,1),0),"")</f>
        <v/>
      </c>
      <c r="BF12" s="2" t="str" cm="1">
        <f t="array" ref="BF12">IF('NILAI CPL'!$B12&lt;&gt;"",IFERROR(_xlfn.IFS(AI12&gt;='NILAI CPL'!$B$3,4,AI12&gt;='NILAI CPL'!$B$4,3,AI12&gt;='NILAI CPL'!$B$5,2,AI12&gt;'NILAI CPL'!$B$6,1),0),"")</f>
        <v/>
      </c>
      <c r="BG12" s="2" t="str" cm="1">
        <f t="array" ref="BG12">IF('NILAI CPL'!$B12&lt;&gt;"",IFERROR(_xlfn.IFS(AJ12&gt;='NILAI CPL'!$B$3,4,AJ12&gt;='NILAI CPL'!$B$4,3,AJ12&gt;='NILAI CPL'!$B$5,2,AJ12&gt;'NILAI CPL'!$B$6,1),0),"")</f>
        <v/>
      </c>
      <c r="BH12" s="2" t="str" cm="1">
        <f t="array" ref="BH12">IF('NILAI CPL'!$B12&lt;&gt;"",IFERROR(_xlfn.IFS(AK12&gt;='NILAI CPL'!$B$3,4,AK12&gt;='NILAI CPL'!$B$4,3,AK12&gt;='NILAI CPL'!$B$5,2,AK12&gt;'NILAI CPL'!$B$6,1),0),"")</f>
        <v/>
      </c>
      <c r="BI12" s="2" t="str" cm="1">
        <f t="array" ref="BI12">IF('NILAI CPL'!$B12&lt;&gt;"",IFERROR(_xlfn.IFS(AL12&gt;='NILAI CPL'!$B$3,4,AL12&gt;='NILAI CPL'!$B$4,3,AL12&gt;='NILAI CPL'!$B$5,2,AL12&gt;'NILAI CPL'!$B$6,1),0),"")</f>
        <v/>
      </c>
      <c r="BJ12" s="2" t="str" cm="1">
        <f t="array" ref="BJ12">IF('NILAI CPL'!$B12&lt;&gt;"",IFERROR(_xlfn.IFS(AM12&gt;='NILAI CPL'!$B$3,4,AM12&gt;='NILAI CPL'!$B$4,3,AM12&gt;='NILAI CPL'!$B$5,2,AM12&gt;'NILAI CPL'!$B$6,1),0),"")</f>
        <v/>
      </c>
      <c r="BK12" s="2" t="str" cm="1">
        <f t="array" ref="BK12">IF('NILAI CPL'!$B12&lt;&gt;"",IFERROR(_xlfn.IFS(AN12&gt;='NILAI CPL'!$B$3,4,AN12&gt;='NILAI CPL'!$B$4,3,AN12&gt;='NILAI CPL'!$B$5,2,AN12&gt;'NILAI CPL'!$B$6,1),0),"")</f>
        <v/>
      </c>
    </row>
    <row r="13" spans="1:63" x14ac:dyDescent="0.2">
      <c r="A13" s="2">
        <v>3</v>
      </c>
      <c r="B13" s="2" t="str">
        <f>IF(LEN(SUMMARY!B13)&gt;0, SUMMARY!B13, "")</f>
        <v/>
      </c>
      <c r="C13" s="2" t="str">
        <f>IF(LEN(SUMMARY!C13)&gt;0, SUMMARY!C13, "")</f>
        <v/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" t="str">
        <f t="shared" si="2"/>
        <v/>
      </c>
      <c r="S13" s="2" t="str">
        <f t="shared" si="3"/>
        <v/>
      </c>
      <c r="T13" s="2" t="str">
        <f t="shared" si="4"/>
        <v/>
      </c>
      <c r="U13" s="2" t="str">
        <f t="shared" si="5"/>
        <v/>
      </c>
      <c r="V13" s="2" t="str">
        <f t="shared" si="6"/>
        <v/>
      </c>
      <c r="W13" s="2" t="str">
        <f t="shared" si="7"/>
        <v/>
      </c>
      <c r="X13" s="2" t="str">
        <f t="shared" si="8"/>
        <v/>
      </c>
      <c r="Y13" s="2" t="str">
        <f t="shared" si="9"/>
        <v/>
      </c>
      <c r="Z13" s="2" t="str">
        <f t="shared" si="10"/>
        <v/>
      </c>
      <c r="AA13" s="2" t="str">
        <f t="shared" si="11"/>
        <v/>
      </c>
      <c r="AB13" s="2" t="str">
        <f t="shared" si="12"/>
        <v/>
      </c>
      <c r="AC13" s="2" t="str">
        <f t="shared" si="13"/>
        <v/>
      </c>
      <c r="AD13" s="2" t="str">
        <f t="shared" si="14"/>
        <v/>
      </c>
      <c r="AE13" s="2" t="str">
        <f t="shared" si="15"/>
        <v/>
      </c>
      <c r="AF13" s="2" t="str">
        <f t="shared" si="16"/>
        <v/>
      </c>
      <c r="AG13" s="2" t="str">
        <f t="shared" si="17"/>
        <v/>
      </c>
      <c r="AH13" s="2" t="str">
        <f t="shared" si="18"/>
        <v/>
      </c>
      <c r="AI13" s="2" t="str">
        <f t="shared" si="19"/>
        <v/>
      </c>
      <c r="AJ13" s="2" t="str">
        <f t="shared" si="20"/>
        <v/>
      </c>
      <c r="AK13" s="2" t="str">
        <f t="shared" si="21"/>
        <v/>
      </c>
      <c r="AL13" s="2" t="str">
        <f t="shared" si="22"/>
        <v/>
      </c>
      <c r="AM13" s="2" t="str">
        <f t="shared" si="23"/>
        <v/>
      </c>
      <c r="AN13" s="2" t="str">
        <f t="shared" si="24"/>
        <v/>
      </c>
      <c r="AP13" s="2" t="str" cm="1">
        <f t="array" ref="AP13">IF('NILAI CPL'!$B13&lt;&gt;"",IFERROR(_xlfn.IFS(S13&gt;='NILAI CPL'!$B$3,4,S13&gt;='NILAI CPL'!$B$4,3,S13&gt;='NILAI CPL'!$B$5,2,S13&gt;'NILAI CPL'!$B$6,1),0),"")</f>
        <v/>
      </c>
      <c r="AQ13" s="2" t="str" cm="1">
        <f t="array" ref="AQ13">IF('NILAI CPL'!$B13&lt;&gt;"",IFERROR(_xlfn.IFS(T13&gt;='NILAI CPL'!$B$3,4,T13&gt;='NILAI CPL'!$B$4,3,T13&gt;='NILAI CPL'!$B$5,2,T13&gt;'NILAI CPL'!$B$6,1),0),"")</f>
        <v/>
      </c>
      <c r="AR13" s="2" t="str" cm="1">
        <f t="array" ref="AR13">IF('NILAI CPL'!$B13&lt;&gt;"",IFERROR(_xlfn.IFS(U13&gt;='NILAI CPL'!$B$3,4,U13&gt;='NILAI CPL'!$B$4,3,U13&gt;='NILAI CPL'!$B$5,2,U13&gt;'NILAI CPL'!$B$6,1),0),"")</f>
        <v/>
      </c>
      <c r="AS13" s="2" t="str" cm="1">
        <f t="array" ref="AS13">IF('NILAI CPL'!$B13&lt;&gt;"",IFERROR(_xlfn.IFS(V13&gt;='NILAI CPL'!$B$3,4,V13&gt;='NILAI CPL'!$B$4,3,V13&gt;='NILAI CPL'!$B$5,2,V13&gt;'NILAI CPL'!$B$6,1),0),"")</f>
        <v/>
      </c>
      <c r="AT13" s="2" t="str" cm="1">
        <f t="array" ref="AT13">IF('NILAI CPL'!$B13&lt;&gt;"",IFERROR(_xlfn.IFS(W13&gt;='NILAI CPL'!$B$3,4,W13&gt;='NILAI CPL'!$B$4,3,W13&gt;='NILAI CPL'!$B$5,2,W13&gt;'NILAI CPL'!$B$6,1),0),"")</f>
        <v/>
      </c>
      <c r="AU13" s="2" t="str" cm="1">
        <f t="array" ref="AU13">IF('NILAI CPL'!$B13&lt;&gt;"",IFERROR(_xlfn.IFS(X13&gt;='NILAI CPL'!$B$3,4,X13&gt;='NILAI CPL'!$B$4,3,X13&gt;='NILAI CPL'!$B$5,2,X13&gt;'NILAI CPL'!$B$6,1),0),"")</f>
        <v/>
      </c>
      <c r="AV13" s="2" t="str" cm="1">
        <f t="array" ref="AV13">IF('NILAI CPL'!$B13&lt;&gt;"",IFERROR(_xlfn.IFS(Y13&gt;='NILAI CPL'!$B$3,4,Y13&gt;='NILAI CPL'!$B$4,3,Y13&gt;='NILAI CPL'!$B$5,2,Y13&gt;'NILAI CPL'!$B$6,1),0),"")</f>
        <v/>
      </c>
      <c r="AW13" s="2" t="str" cm="1">
        <f t="array" ref="AW13">IF('NILAI CPL'!$B13&lt;&gt;"",IFERROR(_xlfn.IFS(Z13&gt;='NILAI CPL'!$B$3,4,Z13&gt;='NILAI CPL'!$B$4,3,Z13&gt;='NILAI CPL'!$B$5,2,Z13&gt;'NILAI CPL'!$B$6,1),0),"")</f>
        <v/>
      </c>
      <c r="AX13" s="2" t="str" cm="1">
        <f t="array" ref="AX13">IF('NILAI CPL'!$B13&lt;&gt;"",IFERROR(_xlfn.IFS(AA13&gt;='NILAI CPL'!$B$3,4,AA13&gt;='NILAI CPL'!$B$4,3,AA13&gt;='NILAI CPL'!$B$5,2,AA13&gt;'NILAI CPL'!$B$6,1),0),"")</f>
        <v/>
      </c>
      <c r="AY13" s="2" t="str" cm="1">
        <f t="array" ref="AY13">IF('NILAI CPL'!$B13&lt;&gt;"",IFERROR(_xlfn.IFS(AB13&gt;='NILAI CPL'!$B$3,4,AB13&gt;='NILAI CPL'!$B$4,3,AB13&gt;='NILAI CPL'!$B$5,2,AB13&gt;'NILAI CPL'!$B$6,1),0),"")</f>
        <v/>
      </c>
      <c r="AZ13" s="2" t="str" cm="1">
        <f t="array" ref="AZ13">IF('NILAI CPL'!$B13&lt;&gt;"",IFERROR(_xlfn.IFS(AC13&gt;='NILAI CPL'!$B$3,4,AC13&gt;='NILAI CPL'!$B$4,3,AC13&gt;='NILAI CPL'!$B$5,2,AC13&gt;'NILAI CPL'!$B$6,1),0),"")</f>
        <v/>
      </c>
      <c r="BA13" s="2" t="str" cm="1">
        <f t="array" ref="BA13">IF('NILAI CPL'!$B13&lt;&gt;"",IFERROR(_xlfn.IFS(AD13&gt;='NILAI CPL'!$B$3,4,AD13&gt;='NILAI CPL'!$B$4,3,AD13&gt;='NILAI CPL'!$B$5,2,AD13&gt;'NILAI CPL'!$B$6,1),0),"")</f>
        <v/>
      </c>
      <c r="BB13" s="2" t="str" cm="1">
        <f t="array" ref="BB13">IF('NILAI CPL'!$B13&lt;&gt;"",IFERROR(_xlfn.IFS(AE13&gt;='NILAI CPL'!$B$3,4,AE13&gt;='NILAI CPL'!$B$4,3,AE13&gt;='NILAI CPL'!$B$5,2,AE13&gt;'NILAI CPL'!$B$6,1),0),"")</f>
        <v/>
      </c>
      <c r="BC13" s="2" t="str" cm="1">
        <f t="array" ref="BC13">IF('NILAI CPL'!$B13&lt;&gt;"",IFERROR(_xlfn.IFS(AF13&gt;='NILAI CPL'!$B$3,4,AF13&gt;='NILAI CPL'!$B$4,3,AF13&gt;='NILAI CPL'!$B$5,2,AF13&gt;'NILAI CPL'!$B$6,1),0),"")</f>
        <v/>
      </c>
      <c r="BD13" s="2" t="str" cm="1">
        <f t="array" ref="BD13">IF('NILAI CPL'!$B13&lt;&gt;"",IFERROR(_xlfn.IFS(AG13&gt;='NILAI CPL'!$B$3,4,AG13&gt;='NILAI CPL'!$B$4,3,AG13&gt;='NILAI CPL'!$B$5,2,AG13&gt;'NILAI CPL'!$B$6,1),0),"")</f>
        <v/>
      </c>
      <c r="BE13" s="2" t="str" cm="1">
        <f t="array" ref="BE13">IF('NILAI CPL'!$B13&lt;&gt;"",IFERROR(_xlfn.IFS(AH13&gt;='NILAI CPL'!$B$3,4,AH13&gt;='NILAI CPL'!$B$4,3,AH13&gt;='NILAI CPL'!$B$5,2,AH13&gt;'NILAI CPL'!$B$6,1),0),"")</f>
        <v/>
      </c>
      <c r="BF13" s="2" t="str" cm="1">
        <f t="array" ref="BF13">IF('NILAI CPL'!$B13&lt;&gt;"",IFERROR(_xlfn.IFS(AI13&gt;='NILAI CPL'!$B$3,4,AI13&gt;='NILAI CPL'!$B$4,3,AI13&gt;='NILAI CPL'!$B$5,2,AI13&gt;'NILAI CPL'!$B$6,1),0),"")</f>
        <v/>
      </c>
      <c r="BG13" s="2" t="str" cm="1">
        <f t="array" ref="BG13">IF('NILAI CPL'!$B13&lt;&gt;"",IFERROR(_xlfn.IFS(AJ13&gt;='NILAI CPL'!$B$3,4,AJ13&gt;='NILAI CPL'!$B$4,3,AJ13&gt;='NILAI CPL'!$B$5,2,AJ13&gt;'NILAI CPL'!$B$6,1),0),"")</f>
        <v/>
      </c>
      <c r="BH13" s="2" t="str" cm="1">
        <f t="array" ref="BH13">IF('NILAI CPL'!$B13&lt;&gt;"",IFERROR(_xlfn.IFS(AK13&gt;='NILAI CPL'!$B$3,4,AK13&gt;='NILAI CPL'!$B$4,3,AK13&gt;='NILAI CPL'!$B$5,2,AK13&gt;'NILAI CPL'!$B$6,1),0),"")</f>
        <v/>
      </c>
      <c r="BI13" s="2" t="str" cm="1">
        <f t="array" ref="BI13">IF('NILAI CPL'!$B13&lt;&gt;"",IFERROR(_xlfn.IFS(AL13&gt;='NILAI CPL'!$B$3,4,AL13&gt;='NILAI CPL'!$B$4,3,AL13&gt;='NILAI CPL'!$B$5,2,AL13&gt;'NILAI CPL'!$B$6,1),0),"")</f>
        <v/>
      </c>
      <c r="BJ13" s="2" t="str" cm="1">
        <f t="array" ref="BJ13">IF('NILAI CPL'!$B13&lt;&gt;"",IFERROR(_xlfn.IFS(AM13&gt;='NILAI CPL'!$B$3,4,AM13&gt;='NILAI CPL'!$B$4,3,AM13&gt;='NILAI CPL'!$B$5,2,AM13&gt;'NILAI CPL'!$B$6,1),0),"")</f>
        <v/>
      </c>
      <c r="BK13" s="2" t="str" cm="1">
        <f t="array" ref="BK13">IF('NILAI CPL'!$B13&lt;&gt;"",IFERROR(_xlfn.IFS(AN13&gt;='NILAI CPL'!$B$3,4,AN13&gt;='NILAI CPL'!$B$4,3,AN13&gt;='NILAI CPL'!$B$5,2,AN13&gt;'NILAI CPL'!$B$6,1),0),"")</f>
        <v/>
      </c>
    </row>
    <row r="14" spans="1:63" x14ac:dyDescent="0.2">
      <c r="A14" s="2">
        <v>4</v>
      </c>
      <c r="B14" s="2" t="str">
        <f>IF(LEN(SUMMARY!B14)&gt;0, SUMMARY!B14, "")</f>
        <v/>
      </c>
      <c r="C14" s="2" t="str">
        <f>IF(LEN(SUMMARY!C14)&gt;0, SUMMARY!C14, "")</f>
        <v/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" t="str">
        <f t="shared" si="2"/>
        <v/>
      </c>
      <c r="S14" s="2" t="str">
        <f t="shared" si="3"/>
        <v/>
      </c>
      <c r="T14" s="2" t="str">
        <f t="shared" si="4"/>
        <v/>
      </c>
      <c r="U14" s="2" t="str">
        <f t="shared" si="5"/>
        <v/>
      </c>
      <c r="V14" s="2" t="str">
        <f t="shared" si="6"/>
        <v/>
      </c>
      <c r="W14" s="2" t="str">
        <f t="shared" si="7"/>
        <v/>
      </c>
      <c r="X14" s="2" t="str">
        <f t="shared" si="8"/>
        <v/>
      </c>
      <c r="Y14" s="2" t="str">
        <f t="shared" si="9"/>
        <v/>
      </c>
      <c r="Z14" s="2" t="str">
        <f t="shared" si="10"/>
        <v/>
      </c>
      <c r="AA14" s="2" t="str">
        <f t="shared" si="11"/>
        <v/>
      </c>
      <c r="AB14" s="2" t="str">
        <f t="shared" si="12"/>
        <v/>
      </c>
      <c r="AC14" s="2" t="str">
        <f t="shared" si="13"/>
        <v/>
      </c>
      <c r="AD14" s="2" t="str">
        <f t="shared" si="14"/>
        <v/>
      </c>
      <c r="AE14" s="2" t="str">
        <f t="shared" si="15"/>
        <v/>
      </c>
      <c r="AF14" s="2" t="str">
        <f t="shared" si="16"/>
        <v/>
      </c>
      <c r="AG14" s="2" t="str">
        <f t="shared" si="17"/>
        <v/>
      </c>
      <c r="AH14" s="2" t="str">
        <f t="shared" si="18"/>
        <v/>
      </c>
      <c r="AI14" s="2" t="str">
        <f t="shared" si="19"/>
        <v/>
      </c>
      <c r="AJ14" s="2" t="str">
        <f t="shared" si="20"/>
        <v/>
      </c>
      <c r="AK14" s="2" t="str">
        <f t="shared" si="21"/>
        <v/>
      </c>
      <c r="AL14" s="2" t="str">
        <f t="shared" si="22"/>
        <v/>
      </c>
      <c r="AM14" s="2" t="str">
        <f t="shared" si="23"/>
        <v/>
      </c>
      <c r="AN14" s="2" t="str">
        <f t="shared" si="24"/>
        <v/>
      </c>
      <c r="AP14" s="2" t="str" cm="1">
        <f t="array" ref="AP14">IF('NILAI CPL'!$B14&lt;&gt;"",IFERROR(_xlfn.IFS(S14&gt;='NILAI CPL'!$B$3,4,S14&gt;='NILAI CPL'!$B$4,3,S14&gt;='NILAI CPL'!$B$5,2,S14&gt;'NILAI CPL'!$B$6,1),0),"")</f>
        <v/>
      </c>
      <c r="AQ14" s="2" t="str" cm="1">
        <f t="array" ref="AQ14">IF('NILAI CPL'!$B14&lt;&gt;"",IFERROR(_xlfn.IFS(T14&gt;='NILAI CPL'!$B$3,4,T14&gt;='NILAI CPL'!$B$4,3,T14&gt;='NILAI CPL'!$B$5,2,T14&gt;'NILAI CPL'!$B$6,1),0),"")</f>
        <v/>
      </c>
      <c r="AR14" s="2" t="str" cm="1">
        <f t="array" ref="AR14">IF('NILAI CPL'!$B14&lt;&gt;"",IFERROR(_xlfn.IFS(U14&gt;='NILAI CPL'!$B$3,4,U14&gt;='NILAI CPL'!$B$4,3,U14&gt;='NILAI CPL'!$B$5,2,U14&gt;'NILAI CPL'!$B$6,1),0),"")</f>
        <v/>
      </c>
      <c r="AS14" s="2" t="str" cm="1">
        <f t="array" ref="AS14">IF('NILAI CPL'!$B14&lt;&gt;"",IFERROR(_xlfn.IFS(V14&gt;='NILAI CPL'!$B$3,4,V14&gt;='NILAI CPL'!$B$4,3,V14&gt;='NILAI CPL'!$B$5,2,V14&gt;'NILAI CPL'!$B$6,1),0),"")</f>
        <v/>
      </c>
      <c r="AT14" s="2" t="str" cm="1">
        <f t="array" ref="AT14">IF('NILAI CPL'!$B14&lt;&gt;"",IFERROR(_xlfn.IFS(W14&gt;='NILAI CPL'!$B$3,4,W14&gt;='NILAI CPL'!$B$4,3,W14&gt;='NILAI CPL'!$B$5,2,W14&gt;'NILAI CPL'!$B$6,1),0),"")</f>
        <v/>
      </c>
      <c r="AU14" s="2" t="str" cm="1">
        <f t="array" ref="AU14">IF('NILAI CPL'!$B14&lt;&gt;"",IFERROR(_xlfn.IFS(X14&gt;='NILAI CPL'!$B$3,4,X14&gt;='NILAI CPL'!$B$4,3,X14&gt;='NILAI CPL'!$B$5,2,X14&gt;'NILAI CPL'!$B$6,1),0),"")</f>
        <v/>
      </c>
      <c r="AV14" s="2" t="str" cm="1">
        <f t="array" ref="AV14">IF('NILAI CPL'!$B14&lt;&gt;"",IFERROR(_xlfn.IFS(Y14&gt;='NILAI CPL'!$B$3,4,Y14&gt;='NILAI CPL'!$B$4,3,Y14&gt;='NILAI CPL'!$B$5,2,Y14&gt;'NILAI CPL'!$B$6,1),0),"")</f>
        <v/>
      </c>
      <c r="AW14" s="2" t="str" cm="1">
        <f t="array" ref="AW14">IF('NILAI CPL'!$B14&lt;&gt;"",IFERROR(_xlfn.IFS(Z14&gt;='NILAI CPL'!$B$3,4,Z14&gt;='NILAI CPL'!$B$4,3,Z14&gt;='NILAI CPL'!$B$5,2,Z14&gt;'NILAI CPL'!$B$6,1),0),"")</f>
        <v/>
      </c>
      <c r="AX14" s="2" t="str" cm="1">
        <f t="array" ref="AX14">IF('NILAI CPL'!$B14&lt;&gt;"",IFERROR(_xlfn.IFS(AA14&gt;='NILAI CPL'!$B$3,4,AA14&gt;='NILAI CPL'!$B$4,3,AA14&gt;='NILAI CPL'!$B$5,2,AA14&gt;'NILAI CPL'!$B$6,1),0),"")</f>
        <v/>
      </c>
      <c r="AY14" s="2" t="str" cm="1">
        <f t="array" ref="AY14">IF('NILAI CPL'!$B14&lt;&gt;"",IFERROR(_xlfn.IFS(AB14&gt;='NILAI CPL'!$B$3,4,AB14&gt;='NILAI CPL'!$B$4,3,AB14&gt;='NILAI CPL'!$B$5,2,AB14&gt;'NILAI CPL'!$B$6,1),0),"")</f>
        <v/>
      </c>
      <c r="AZ14" s="2" t="str" cm="1">
        <f t="array" ref="AZ14">IF('NILAI CPL'!$B14&lt;&gt;"",IFERROR(_xlfn.IFS(AC14&gt;='NILAI CPL'!$B$3,4,AC14&gt;='NILAI CPL'!$B$4,3,AC14&gt;='NILAI CPL'!$B$5,2,AC14&gt;'NILAI CPL'!$B$6,1),0),"")</f>
        <v/>
      </c>
      <c r="BA14" s="2" t="str" cm="1">
        <f t="array" ref="BA14">IF('NILAI CPL'!$B14&lt;&gt;"",IFERROR(_xlfn.IFS(AD14&gt;='NILAI CPL'!$B$3,4,AD14&gt;='NILAI CPL'!$B$4,3,AD14&gt;='NILAI CPL'!$B$5,2,AD14&gt;'NILAI CPL'!$B$6,1),0),"")</f>
        <v/>
      </c>
      <c r="BB14" s="2" t="str" cm="1">
        <f t="array" ref="BB14">IF('NILAI CPL'!$B14&lt;&gt;"",IFERROR(_xlfn.IFS(AE14&gt;='NILAI CPL'!$B$3,4,AE14&gt;='NILAI CPL'!$B$4,3,AE14&gt;='NILAI CPL'!$B$5,2,AE14&gt;'NILAI CPL'!$B$6,1),0),"")</f>
        <v/>
      </c>
      <c r="BC14" s="2" t="str" cm="1">
        <f t="array" ref="BC14">IF('NILAI CPL'!$B14&lt;&gt;"",IFERROR(_xlfn.IFS(AF14&gt;='NILAI CPL'!$B$3,4,AF14&gt;='NILAI CPL'!$B$4,3,AF14&gt;='NILAI CPL'!$B$5,2,AF14&gt;'NILAI CPL'!$B$6,1),0),"")</f>
        <v/>
      </c>
      <c r="BD14" s="2" t="str" cm="1">
        <f t="array" ref="BD14">IF('NILAI CPL'!$B14&lt;&gt;"",IFERROR(_xlfn.IFS(AG14&gt;='NILAI CPL'!$B$3,4,AG14&gt;='NILAI CPL'!$B$4,3,AG14&gt;='NILAI CPL'!$B$5,2,AG14&gt;'NILAI CPL'!$B$6,1),0),"")</f>
        <v/>
      </c>
      <c r="BE14" s="2" t="str" cm="1">
        <f t="array" ref="BE14">IF('NILAI CPL'!$B14&lt;&gt;"",IFERROR(_xlfn.IFS(AH14&gt;='NILAI CPL'!$B$3,4,AH14&gt;='NILAI CPL'!$B$4,3,AH14&gt;='NILAI CPL'!$B$5,2,AH14&gt;'NILAI CPL'!$B$6,1),0),"")</f>
        <v/>
      </c>
      <c r="BF14" s="2" t="str" cm="1">
        <f t="array" ref="BF14">IF('NILAI CPL'!$B14&lt;&gt;"",IFERROR(_xlfn.IFS(AI14&gt;='NILAI CPL'!$B$3,4,AI14&gt;='NILAI CPL'!$B$4,3,AI14&gt;='NILAI CPL'!$B$5,2,AI14&gt;'NILAI CPL'!$B$6,1),0),"")</f>
        <v/>
      </c>
      <c r="BG14" s="2" t="str" cm="1">
        <f t="array" ref="BG14">IF('NILAI CPL'!$B14&lt;&gt;"",IFERROR(_xlfn.IFS(AJ14&gt;='NILAI CPL'!$B$3,4,AJ14&gt;='NILAI CPL'!$B$4,3,AJ14&gt;='NILAI CPL'!$B$5,2,AJ14&gt;'NILAI CPL'!$B$6,1),0),"")</f>
        <v/>
      </c>
      <c r="BH14" s="2" t="str" cm="1">
        <f t="array" ref="BH14">IF('NILAI CPL'!$B14&lt;&gt;"",IFERROR(_xlfn.IFS(AK14&gt;='NILAI CPL'!$B$3,4,AK14&gt;='NILAI CPL'!$B$4,3,AK14&gt;='NILAI CPL'!$B$5,2,AK14&gt;'NILAI CPL'!$B$6,1),0),"")</f>
        <v/>
      </c>
      <c r="BI14" s="2" t="str" cm="1">
        <f t="array" ref="BI14">IF('NILAI CPL'!$B14&lt;&gt;"",IFERROR(_xlfn.IFS(AL14&gt;='NILAI CPL'!$B$3,4,AL14&gt;='NILAI CPL'!$B$4,3,AL14&gt;='NILAI CPL'!$B$5,2,AL14&gt;'NILAI CPL'!$B$6,1),0),"")</f>
        <v/>
      </c>
      <c r="BJ14" s="2" t="str" cm="1">
        <f t="array" ref="BJ14">IF('NILAI CPL'!$B14&lt;&gt;"",IFERROR(_xlfn.IFS(AM14&gt;='NILAI CPL'!$B$3,4,AM14&gt;='NILAI CPL'!$B$4,3,AM14&gt;='NILAI CPL'!$B$5,2,AM14&gt;'NILAI CPL'!$B$6,1),0),"")</f>
        <v/>
      </c>
      <c r="BK14" s="2" t="str" cm="1">
        <f t="array" ref="BK14">IF('NILAI CPL'!$B14&lt;&gt;"",IFERROR(_xlfn.IFS(AN14&gt;='NILAI CPL'!$B$3,4,AN14&gt;='NILAI CPL'!$B$4,3,AN14&gt;='NILAI CPL'!$B$5,2,AN14&gt;'NILAI CPL'!$B$6,1),0),"")</f>
        <v/>
      </c>
    </row>
    <row r="15" spans="1:63" x14ac:dyDescent="0.2">
      <c r="A15" s="2">
        <v>5</v>
      </c>
      <c r="B15" s="2" t="str">
        <f>IF(LEN(SUMMARY!B15)&gt;0, SUMMARY!B15, "")</f>
        <v/>
      </c>
      <c r="C15" s="2" t="str">
        <f>IF(LEN(SUMMARY!C15)&gt;0, SUMMARY!C15, "")</f>
        <v/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" t="str">
        <f>IF(B15&lt;&gt;"",IFERROR(ROUNDUP(SUMPRODUCT($E$10:$P$10,E15:P15)/SUM($E$10:$P$10),2),0),"")</f>
        <v/>
      </c>
      <c r="S15" s="2" t="str">
        <f t="shared" si="3"/>
        <v/>
      </c>
      <c r="T15" s="2" t="str">
        <f t="shared" si="4"/>
        <v/>
      </c>
      <c r="U15" s="2" t="str">
        <f t="shared" si="5"/>
        <v/>
      </c>
      <c r="V15" s="2" t="str">
        <f t="shared" si="6"/>
        <v/>
      </c>
      <c r="W15" s="2" t="str">
        <f t="shared" si="7"/>
        <v/>
      </c>
      <c r="X15" s="2" t="str">
        <f t="shared" si="8"/>
        <v/>
      </c>
      <c r="Y15" s="2" t="str">
        <f t="shared" si="9"/>
        <v/>
      </c>
      <c r="Z15" s="2" t="str">
        <f t="shared" si="10"/>
        <v/>
      </c>
      <c r="AA15" s="2" t="str">
        <f t="shared" si="11"/>
        <v/>
      </c>
      <c r="AB15" s="2" t="str">
        <f t="shared" si="12"/>
        <v/>
      </c>
      <c r="AC15" s="2" t="str">
        <f t="shared" si="13"/>
        <v/>
      </c>
      <c r="AD15" s="2" t="str">
        <f t="shared" si="14"/>
        <v/>
      </c>
      <c r="AE15" s="2" t="str">
        <f t="shared" si="15"/>
        <v/>
      </c>
      <c r="AF15" s="2" t="str">
        <f t="shared" si="16"/>
        <v/>
      </c>
      <c r="AG15" s="2" t="str">
        <f t="shared" si="17"/>
        <v/>
      </c>
      <c r="AH15" s="2" t="str">
        <f t="shared" si="18"/>
        <v/>
      </c>
      <c r="AI15" s="2" t="str">
        <f t="shared" si="19"/>
        <v/>
      </c>
      <c r="AJ15" s="2" t="str">
        <f t="shared" si="20"/>
        <v/>
      </c>
      <c r="AK15" s="2" t="str">
        <f t="shared" si="21"/>
        <v/>
      </c>
      <c r="AL15" s="2" t="str">
        <f t="shared" si="22"/>
        <v/>
      </c>
      <c r="AM15" s="2" t="str">
        <f t="shared" si="23"/>
        <v/>
      </c>
      <c r="AN15" s="2" t="str">
        <f t="shared" si="24"/>
        <v/>
      </c>
      <c r="AP15" s="2" t="str" cm="1">
        <f t="array" ref="AP15">IF('NILAI CPL'!$B15&lt;&gt;"",IFERROR(_xlfn.IFS(S15&gt;='NILAI CPL'!$B$3,4,S15&gt;='NILAI CPL'!$B$4,3,S15&gt;='NILAI CPL'!$B$5,2,S15&gt;'NILAI CPL'!$B$6,1),0),"")</f>
        <v/>
      </c>
      <c r="AQ15" s="2" t="str" cm="1">
        <f t="array" ref="AQ15">IF('NILAI CPL'!$B15&lt;&gt;"",IFERROR(_xlfn.IFS(T15&gt;='NILAI CPL'!$B$3,4,T15&gt;='NILAI CPL'!$B$4,3,T15&gt;='NILAI CPL'!$B$5,2,T15&gt;'NILAI CPL'!$B$6,1),0),"")</f>
        <v/>
      </c>
      <c r="AR15" s="2" t="str" cm="1">
        <f t="array" ref="AR15">IF('NILAI CPL'!$B15&lt;&gt;"",IFERROR(_xlfn.IFS(U15&gt;='NILAI CPL'!$B$3,4,U15&gt;='NILAI CPL'!$B$4,3,U15&gt;='NILAI CPL'!$B$5,2,U15&gt;'NILAI CPL'!$B$6,1),0),"")</f>
        <v/>
      </c>
      <c r="AS15" s="2" t="str" cm="1">
        <f t="array" ref="AS15">IF('NILAI CPL'!$B15&lt;&gt;"",IFERROR(_xlfn.IFS(V15&gt;='NILAI CPL'!$B$3,4,V15&gt;='NILAI CPL'!$B$4,3,V15&gt;='NILAI CPL'!$B$5,2,V15&gt;'NILAI CPL'!$B$6,1),0),"")</f>
        <v/>
      </c>
      <c r="AT15" s="2" t="str" cm="1">
        <f t="array" ref="AT15">IF('NILAI CPL'!$B15&lt;&gt;"",IFERROR(_xlfn.IFS(W15&gt;='NILAI CPL'!$B$3,4,W15&gt;='NILAI CPL'!$B$4,3,W15&gt;='NILAI CPL'!$B$5,2,W15&gt;'NILAI CPL'!$B$6,1),0),"")</f>
        <v/>
      </c>
      <c r="AU15" s="2" t="str" cm="1">
        <f t="array" ref="AU15">IF('NILAI CPL'!$B15&lt;&gt;"",IFERROR(_xlfn.IFS(X15&gt;='NILAI CPL'!$B$3,4,X15&gt;='NILAI CPL'!$B$4,3,X15&gt;='NILAI CPL'!$B$5,2,X15&gt;'NILAI CPL'!$B$6,1),0),"")</f>
        <v/>
      </c>
      <c r="AV15" s="2" t="str" cm="1">
        <f t="array" ref="AV15">IF('NILAI CPL'!$B15&lt;&gt;"",IFERROR(_xlfn.IFS(Y15&gt;='NILAI CPL'!$B$3,4,Y15&gt;='NILAI CPL'!$B$4,3,Y15&gt;='NILAI CPL'!$B$5,2,Y15&gt;'NILAI CPL'!$B$6,1),0),"")</f>
        <v/>
      </c>
      <c r="AW15" s="2" t="str" cm="1">
        <f t="array" ref="AW15">IF('NILAI CPL'!$B15&lt;&gt;"",IFERROR(_xlfn.IFS(Z15&gt;='NILAI CPL'!$B$3,4,Z15&gt;='NILAI CPL'!$B$4,3,Z15&gt;='NILAI CPL'!$B$5,2,Z15&gt;'NILAI CPL'!$B$6,1),0),"")</f>
        <v/>
      </c>
      <c r="AX15" s="2" t="str" cm="1">
        <f t="array" ref="AX15">IF('NILAI CPL'!$B15&lt;&gt;"",IFERROR(_xlfn.IFS(AA15&gt;='NILAI CPL'!$B$3,4,AA15&gt;='NILAI CPL'!$B$4,3,AA15&gt;='NILAI CPL'!$B$5,2,AA15&gt;'NILAI CPL'!$B$6,1),0),"")</f>
        <v/>
      </c>
      <c r="AY15" s="2" t="str" cm="1">
        <f t="array" ref="AY15">IF('NILAI CPL'!$B15&lt;&gt;"",IFERROR(_xlfn.IFS(AB15&gt;='NILAI CPL'!$B$3,4,AB15&gt;='NILAI CPL'!$B$4,3,AB15&gt;='NILAI CPL'!$B$5,2,AB15&gt;'NILAI CPL'!$B$6,1),0),"")</f>
        <v/>
      </c>
      <c r="AZ15" s="2" t="str" cm="1">
        <f t="array" ref="AZ15">IF('NILAI CPL'!$B15&lt;&gt;"",IFERROR(_xlfn.IFS(AC15&gt;='NILAI CPL'!$B$3,4,AC15&gt;='NILAI CPL'!$B$4,3,AC15&gt;='NILAI CPL'!$B$5,2,AC15&gt;'NILAI CPL'!$B$6,1),0),"")</f>
        <v/>
      </c>
      <c r="BA15" s="2" t="str" cm="1">
        <f t="array" ref="BA15">IF('NILAI CPL'!$B15&lt;&gt;"",IFERROR(_xlfn.IFS(AD15&gt;='NILAI CPL'!$B$3,4,AD15&gt;='NILAI CPL'!$B$4,3,AD15&gt;='NILAI CPL'!$B$5,2,AD15&gt;'NILAI CPL'!$B$6,1),0),"")</f>
        <v/>
      </c>
      <c r="BB15" s="2" t="str" cm="1">
        <f t="array" ref="BB15">IF('NILAI CPL'!$B15&lt;&gt;"",IFERROR(_xlfn.IFS(AE15&gt;='NILAI CPL'!$B$3,4,AE15&gt;='NILAI CPL'!$B$4,3,AE15&gt;='NILAI CPL'!$B$5,2,AE15&gt;'NILAI CPL'!$B$6,1),0),"")</f>
        <v/>
      </c>
      <c r="BC15" s="2" t="str" cm="1">
        <f t="array" ref="BC15">IF('NILAI CPL'!$B15&lt;&gt;"",IFERROR(_xlfn.IFS(AF15&gt;='NILAI CPL'!$B$3,4,AF15&gt;='NILAI CPL'!$B$4,3,AF15&gt;='NILAI CPL'!$B$5,2,AF15&gt;'NILAI CPL'!$B$6,1),0),"")</f>
        <v/>
      </c>
      <c r="BD15" s="2" t="str" cm="1">
        <f t="array" ref="BD15">IF('NILAI CPL'!$B15&lt;&gt;"",IFERROR(_xlfn.IFS(AG15&gt;='NILAI CPL'!$B$3,4,AG15&gt;='NILAI CPL'!$B$4,3,AG15&gt;='NILAI CPL'!$B$5,2,AG15&gt;'NILAI CPL'!$B$6,1),0),"")</f>
        <v/>
      </c>
      <c r="BE15" s="2" t="str" cm="1">
        <f t="array" ref="BE15">IF('NILAI CPL'!$B15&lt;&gt;"",IFERROR(_xlfn.IFS(AH15&gt;='NILAI CPL'!$B$3,4,AH15&gt;='NILAI CPL'!$B$4,3,AH15&gt;='NILAI CPL'!$B$5,2,AH15&gt;'NILAI CPL'!$B$6,1),0),"")</f>
        <v/>
      </c>
      <c r="BF15" s="2" t="str" cm="1">
        <f t="array" ref="BF15">IF('NILAI CPL'!$B15&lt;&gt;"",IFERROR(_xlfn.IFS(AI15&gt;='NILAI CPL'!$B$3,4,AI15&gt;='NILAI CPL'!$B$4,3,AI15&gt;='NILAI CPL'!$B$5,2,AI15&gt;'NILAI CPL'!$B$6,1),0),"")</f>
        <v/>
      </c>
      <c r="BG15" s="2" t="str" cm="1">
        <f t="array" ref="BG15">IF('NILAI CPL'!$B15&lt;&gt;"",IFERROR(_xlfn.IFS(AJ15&gt;='NILAI CPL'!$B$3,4,AJ15&gt;='NILAI CPL'!$B$4,3,AJ15&gt;='NILAI CPL'!$B$5,2,AJ15&gt;'NILAI CPL'!$B$6,1),0),"")</f>
        <v/>
      </c>
      <c r="BH15" s="2" t="str" cm="1">
        <f t="array" ref="BH15">IF('NILAI CPL'!$B15&lt;&gt;"",IFERROR(_xlfn.IFS(AK15&gt;='NILAI CPL'!$B$3,4,AK15&gt;='NILAI CPL'!$B$4,3,AK15&gt;='NILAI CPL'!$B$5,2,AK15&gt;'NILAI CPL'!$B$6,1),0),"")</f>
        <v/>
      </c>
      <c r="BI15" s="2" t="str" cm="1">
        <f t="array" ref="BI15">IF('NILAI CPL'!$B15&lt;&gt;"",IFERROR(_xlfn.IFS(AL15&gt;='NILAI CPL'!$B$3,4,AL15&gt;='NILAI CPL'!$B$4,3,AL15&gt;='NILAI CPL'!$B$5,2,AL15&gt;'NILAI CPL'!$B$6,1),0),"")</f>
        <v/>
      </c>
      <c r="BJ15" s="2" t="str" cm="1">
        <f t="array" ref="BJ15">IF('NILAI CPL'!$B15&lt;&gt;"",IFERROR(_xlfn.IFS(AM15&gt;='NILAI CPL'!$B$3,4,AM15&gt;='NILAI CPL'!$B$4,3,AM15&gt;='NILAI CPL'!$B$5,2,AM15&gt;'NILAI CPL'!$B$6,1),0),"")</f>
        <v/>
      </c>
      <c r="BK15" s="2" t="str" cm="1">
        <f t="array" ref="BK15">IF('NILAI CPL'!$B15&lt;&gt;"",IFERROR(_xlfn.IFS(AN15&gt;='NILAI CPL'!$B$3,4,AN15&gt;='NILAI CPL'!$B$4,3,AN15&gt;='NILAI CPL'!$B$5,2,AN15&gt;'NILAI CPL'!$B$6,1),0),"")</f>
        <v/>
      </c>
    </row>
    <row r="16" spans="1:63" x14ac:dyDescent="0.2">
      <c r="A16" s="2">
        <v>6</v>
      </c>
      <c r="B16" s="2" t="str">
        <f>IF(LEN(SUMMARY!B16)&gt;0, SUMMARY!B16, "")</f>
        <v/>
      </c>
      <c r="C16" s="2" t="str">
        <f>IF(LEN(SUMMARY!C16)&gt;0, SUMMARY!C16, "")</f>
        <v/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" t="str">
        <f>IF(B16&lt;&gt;"",IFERROR(ROUNDUP(SUMPRODUCT($E$10:$P$10,E16:P16)/SUM($E$10:$P$10),2),0),"")</f>
        <v/>
      </c>
      <c r="S16" s="2" t="str">
        <f t="shared" si="3"/>
        <v/>
      </c>
      <c r="T16" s="2" t="str">
        <f t="shared" si="4"/>
        <v/>
      </c>
      <c r="U16" s="2" t="str">
        <f t="shared" si="5"/>
        <v/>
      </c>
      <c r="V16" s="2" t="str">
        <f t="shared" si="6"/>
        <v/>
      </c>
      <c r="W16" s="2" t="str">
        <f t="shared" si="7"/>
        <v/>
      </c>
      <c r="X16" s="2" t="str">
        <f t="shared" si="8"/>
        <v/>
      </c>
      <c r="Y16" s="2" t="str">
        <f t="shared" si="9"/>
        <v/>
      </c>
      <c r="Z16" s="2" t="str">
        <f t="shared" si="10"/>
        <v/>
      </c>
      <c r="AA16" s="2" t="str">
        <f t="shared" si="11"/>
        <v/>
      </c>
      <c r="AB16" s="2" t="str">
        <f t="shared" si="12"/>
        <v/>
      </c>
      <c r="AC16" s="2" t="str">
        <f t="shared" si="13"/>
        <v/>
      </c>
      <c r="AD16" s="2" t="str">
        <f t="shared" si="14"/>
        <v/>
      </c>
      <c r="AE16" s="2" t="str">
        <f t="shared" si="15"/>
        <v/>
      </c>
      <c r="AF16" s="2" t="str">
        <f t="shared" si="16"/>
        <v/>
      </c>
      <c r="AG16" s="2" t="str">
        <f t="shared" si="17"/>
        <v/>
      </c>
      <c r="AH16" s="2" t="str">
        <f t="shared" si="18"/>
        <v/>
      </c>
      <c r="AI16" s="2" t="str">
        <f t="shared" si="19"/>
        <v/>
      </c>
      <c r="AJ16" s="2" t="str">
        <f t="shared" si="20"/>
        <v/>
      </c>
      <c r="AK16" s="2" t="str">
        <f t="shared" si="21"/>
        <v/>
      </c>
      <c r="AL16" s="2" t="str">
        <f t="shared" si="22"/>
        <v/>
      </c>
      <c r="AM16" s="2" t="str">
        <f t="shared" si="23"/>
        <v/>
      </c>
      <c r="AN16" s="2" t="str">
        <f t="shared" si="24"/>
        <v/>
      </c>
      <c r="AP16" s="2" t="str" cm="1">
        <f t="array" ref="AP16">IF('NILAI CPL'!$B16&lt;&gt;"",IFERROR(_xlfn.IFS(S16&gt;='NILAI CPL'!$B$3,4,S16&gt;='NILAI CPL'!$B$4,3,S16&gt;='NILAI CPL'!$B$5,2,S16&gt;'NILAI CPL'!$B$6,1),0),"")</f>
        <v/>
      </c>
      <c r="AQ16" s="2" t="str" cm="1">
        <f t="array" ref="AQ16">IF('NILAI CPL'!$B16&lt;&gt;"",IFERROR(_xlfn.IFS(T16&gt;='NILAI CPL'!$B$3,4,T16&gt;='NILAI CPL'!$B$4,3,T16&gt;='NILAI CPL'!$B$5,2,T16&gt;'NILAI CPL'!$B$6,1),0),"")</f>
        <v/>
      </c>
      <c r="AR16" s="2" t="str" cm="1">
        <f t="array" ref="AR16">IF('NILAI CPL'!$B16&lt;&gt;"",IFERROR(_xlfn.IFS(U16&gt;='NILAI CPL'!$B$3,4,U16&gt;='NILAI CPL'!$B$4,3,U16&gt;='NILAI CPL'!$B$5,2,U16&gt;'NILAI CPL'!$B$6,1),0),"")</f>
        <v/>
      </c>
      <c r="AS16" s="2" t="str" cm="1">
        <f t="array" ref="AS16">IF('NILAI CPL'!$B16&lt;&gt;"",IFERROR(_xlfn.IFS(V16&gt;='NILAI CPL'!$B$3,4,V16&gt;='NILAI CPL'!$B$4,3,V16&gt;='NILAI CPL'!$B$5,2,V16&gt;'NILAI CPL'!$B$6,1),0),"")</f>
        <v/>
      </c>
      <c r="AT16" s="2" t="str" cm="1">
        <f t="array" ref="AT16">IF('NILAI CPL'!$B16&lt;&gt;"",IFERROR(_xlfn.IFS(W16&gt;='NILAI CPL'!$B$3,4,W16&gt;='NILAI CPL'!$B$4,3,W16&gt;='NILAI CPL'!$B$5,2,W16&gt;'NILAI CPL'!$B$6,1),0),"")</f>
        <v/>
      </c>
      <c r="AU16" s="2" t="str" cm="1">
        <f t="array" ref="AU16">IF('NILAI CPL'!$B16&lt;&gt;"",IFERROR(_xlfn.IFS(X16&gt;='NILAI CPL'!$B$3,4,X16&gt;='NILAI CPL'!$B$4,3,X16&gt;='NILAI CPL'!$B$5,2,X16&gt;'NILAI CPL'!$B$6,1),0),"")</f>
        <v/>
      </c>
      <c r="AV16" s="2" t="str" cm="1">
        <f t="array" ref="AV16">IF('NILAI CPL'!$B16&lt;&gt;"",IFERROR(_xlfn.IFS(Y16&gt;='NILAI CPL'!$B$3,4,Y16&gt;='NILAI CPL'!$B$4,3,Y16&gt;='NILAI CPL'!$B$5,2,Y16&gt;'NILAI CPL'!$B$6,1),0),"")</f>
        <v/>
      </c>
      <c r="AW16" s="2" t="str" cm="1">
        <f t="array" ref="AW16">IF('NILAI CPL'!$B16&lt;&gt;"",IFERROR(_xlfn.IFS(Z16&gt;='NILAI CPL'!$B$3,4,Z16&gt;='NILAI CPL'!$B$4,3,Z16&gt;='NILAI CPL'!$B$5,2,Z16&gt;'NILAI CPL'!$B$6,1),0),"")</f>
        <v/>
      </c>
      <c r="AX16" s="2" t="str" cm="1">
        <f t="array" ref="AX16">IF('NILAI CPL'!$B16&lt;&gt;"",IFERROR(_xlfn.IFS(AA16&gt;='NILAI CPL'!$B$3,4,AA16&gt;='NILAI CPL'!$B$4,3,AA16&gt;='NILAI CPL'!$B$5,2,AA16&gt;'NILAI CPL'!$B$6,1),0),"")</f>
        <v/>
      </c>
      <c r="AY16" s="2" t="str" cm="1">
        <f t="array" ref="AY16">IF('NILAI CPL'!$B16&lt;&gt;"",IFERROR(_xlfn.IFS(AB16&gt;='NILAI CPL'!$B$3,4,AB16&gt;='NILAI CPL'!$B$4,3,AB16&gt;='NILAI CPL'!$B$5,2,AB16&gt;'NILAI CPL'!$B$6,1),0),"")</f>
        <v/>
      </c>
      <c r="AZ16" s="2" t="str" cm="1">
        <f t="array" ref="AZ16">IF('NILAI CPL'!$B16&lt;&gt;"",IFERROR(_xlfn.IFS(AC16&gt;='NILAI CPL'!$B$3,4,AC16&gt;='NILAI CPL'!$B$4,3,AC16&gt;='NILAI CPL'!$B$5,2,AC16&gt;'NILAI CPL'!$B$6,1),0),"")</f>
        <v/>
      </c>
      <c r="BA16" s="2" t="str" cm="1">
        <f t="array" ref="BA16">IF('NILAI CPL'!$B16&lt;&gt;"",IFERROR(_xlfn.IFS(AD16&gt;='NILAI CPL'!$B$3,4,AD16&gt;='NILAI CPL'!$B$4,3,AD16&gt;='NILAI CPL'!$B$5,2,AD16&gt;'NILAI CPL'!$B$6,1),0),"")</f>
        <v/>
      </c>
      <c r="BB16" s="2" t="str" cm="1">
        <f t="array" ref="BB16">IF('NILAI CPL'!$B16&lt;&gt;"",IFERROR(_xlfn.IFS(AE16&gt;='NILAI CPL'!$B$3,4,AE16&gt;='NILAI CPL'!$B$4,3,AE16&gt;='NILAI CPL'!$B$5,2,AE16&gt;'NILAI CPL'!$B$6,1),0),"")</f>
        <v/>
      </c>
      <c r="BC16" s="2" t="str" cm="1">
        <f t="array" ref="BC16">IF('NILAI CPL'!$B16&lt;&gt;"",IFERROR(_xlfn.IFS(AF16&gt;='NILAI CPL'!$B$3,4,AF16&gt;='NILAI CPL'!$B$4,3,AF16&gt;='NILAI CPL'!$B$5,2,AF16&gt;'NILAI CPL'!$B$6,1),0),"")</f>
        <v/>
      </c>
      <c r="BD16" s="2" t="str" cm="1">
        <f t="array" ref="BD16">IF('NILAI CPL'!$B16&lt;&gt;"",IFERROR(_xlfn.IFS(AG16&gt;='NILAI CPL'!$B$3,4,AG16&gt;='NILAI CPL'!$B$4,3,AG16&gt;='NILAI CPL'!$B$5,2,AG16&gt;'NILAI CPL'!$B$6,1),0),"")</f>
        <v/>
      </c>
      <c r="BE16" s="2" t="str" cm="1">
        <f t="array" ref="BE16">IF('NILAI CPL'!$B16&lt;&gt;"",IFERROR(_xlfn.IFS(AH16&gt;='NILAI CPL'!$B$3,4,AH16&gt;='NILAI CPL'!$B$4,3,AH16&gt;='NILAI CPL'!$B$5,2,AH16&gt;'NILAI CPL'!$B$6,1),0),"")</f>
        <v/>
      </c>
      <c r="BF16" s="2" t="str" cm="1">
        <f t="array" ref="BF16">IF('NILAI CPL'!$B16&lt;&gt;"",IFERROR(_xlfn.IFS(AI16&gt;='NILAI CPL'!$B$3,4,AI16&gt;='NILAI CPL'!$B$4,3,AI16&gt;='NILAI CPL'!$B$5,2,AI16&gt;'NILAI CPL'!$B$6,1),0),"")</f>
        <v/>
      </c>
      <c r="BG16" s="2" t="str" cm="1">
        <f t="array" ref="BG16">IF('NILAI CPL'!$B16&lt;&gt;"",IFERROR(_xlfn.IFS(AJ16&gt;='NILAI CPL'!$B$3,4,AJ16&gt;='NILAI CPL'!$B$4,3,AJ16&gt;='NILAI CPL'!$B$5,2,AJ16&gt;'NILAI CPL'!$B$6,1),0),"")</f>
        <v/>
      </c>
      <c r="BH16" s="2" t="str" cm="1">
        <f t="array" ref="BH16">IF('NILAI CPL'!$B16&lt;&gt;"",IFERROR(_xlfn.IFS(AK16&gt;='NILAI CPL'!$B$3,4,AK16&gt;='NILAI CPL'!$B$4,3,AK16&gt;='NILAI CPL'!$B$5,2,AK16&gt;'NILAI CPL'!$B$6,1),0),"")</f>
        <v/>
      </c>
      <c r="BI16" s="2" t="str" cm="1">
        <f t="array" ref="BI16">IF('NILAI CPL'!$B16&lt;&gt;"",IFERROR(_xlfn.IFS(AL16&gt;='NILAI CPL'!$B$3,4,AL16&gt;='NILAI CPL'!$B$4,3,AL16&gt;='NILAI CPL'!$B$5,2,AL16&gt;'NILAI CPL'!$B$6,1),0),"")</f>
        <v/>
      </c>
      <c r="BJ16" s="2" t="str" cm="1">
        <f t="array" ref="BJ16">IF('NILAI CPL'!$B16&lt;&gt;"",IFERROR(_xlfn.IFS(AM16&gt;='NILAI CPL'!$B$3,4,AM16&gt;='NILAI CPL'!$B$4,3,AM16&gt;='NILAI CPL'!$B$5,2,AM16&gt;'NILAI CPL'!$B$6,1),0),"")</f>
        <v/>
      </c>
      <c r="BK16" s="2" t="str" cm="1">
        <f t="array" ref="BK16">IF('NILAI CPL'!$B16&lt;&gt;"",IFERROR(_xlfn.IFS(AN16&gt;='NILAI CPL'!$B$3,4,AN16&gt;='NILAI CPL'!$B$4,3,AN16&gt;='NILAI CPL'!$B$5,2,AN16&gt;'NILAI CPL'!$B$6,1),0),"")</f>
        <v/>
      </c>
    </row>
    <row r="17" spans="1:63" x14ac:dyDescent="0.2">
      <c r="A17" s="2">
        <v>7</v>
      </c>
      <c r="B17" s="2" t="str">
        <f>IF(LEN(SUMMARY!B17)&gt;0, SUMMARY!B17, "")</f>
        <v/>
      </c>
      <c r="C17" s="2" t="str">
        <f>IF(LEN(SUMMARY!C17)&gt;0, SUMMARY!C17, "")</f>
        <v/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" t="str">
        <f t="shared" si="2"/>
        <v/>
      </c>
      <c r="S17" s="2" t="str">
        <f t="shared" si="3"/>
        <v/>
      </c>
      <c r="T17" s="2" t="str">
        <f t="shared" si="4"/>
        <v/>
      </c>
      <c r="U17" s="2" t="str">
        <f t="shared" si="5"/>
        <v/>
      </c>
      <c r="V17" s="2" t="str">
        <f t="shared" si="6"/>
        <v/>
      </c>
      <c r="W17" s="2" t="str">
        <f t="shared" si="7"/>
        <v/>
      </c>
      <c r="X17" s="2" t="str">
        <f t="shared" si="8"/>
        <v/>
      </c>
      <c r="Y17" s="2" t="str">
        <f t="shared" si="9"/>
        <v/>
      </c>
      <c r="Z17" s="2" t="str">
        <f t="shared" si="10"/>
        <v/>
      </c>
      <c r="AA17" s="2" t="str">
        <f t="shared" si="11"/>
        <v/>
      </c>
      <c r="AB17" s="2" t="str">
        <f t="shared" si="12"/>
        <v/>
      </c>
      <c r="AC17" s="2" t="str">
        <f t="shared" si="13"/>
        <v/>
      </c>
      <c r="AD17" s="2" t="str">
        <f t="shared" si="14"/>
        <v/>
      </c>
      <c r="AE17" s="2" t="str">
        <f t="shared" si="15"/>
        <v/>
      </c>
      <c r="AF17" s="2" t="str">
        <f t="shared" si="16"/>
        <v/>
      </c>
      <c r="AG17" s="2" t="str">
        <f t="shared" si="17"/>
        <v/>
      </c>
      <c r="AH17" s="2" t="str">
        <f t="shared" si="18"/>
        <v/>
      </c>
      <c r="AI17" s="2" t="str">
        <f t="shared" si="19"/>
        <v/>
      </c>
      <c r="AJ17" s="2" t="str">
        <f t="shared" si="20"/>
        <v/>
      </c>
      <c r="AK17" s="2" t="str">
        <f t="shared" si="21"/>
        <v/>
      </c>
      <c r="AL17" s="2" t="str">
        <f t="shared" si="22"/>
        <v/>
      </c>
      <c r="AM17" s="2" t="str">
        <f t="shared" si="23"/>
        <v/>
      </c>
      <c r="AN17" s="2" t="str">
        <f t="shared" si="24"/>
        <v/>
      </c>
      <c r="AP17" s="2" t="str" cm="1">
        <f t="array" ref="AP17">IF('NILAI CPL'!$B17&lt;&gt;"",IFERROR(_xlfn.IFS(S17&gt;='NILAI CPL'!$B$3,4,S17&gt;='NILAI CPL'!$B$4,3,S17&gt;='NILAI CPL'!$B$5,2,S17&gt;'NILAI CPL'!$B$6,1),0),"")</f>
        <v/>
      </c>
      <c r="AQ17" s="2" t="str" cm="1">
        <f t="array" ref="AQ17">IF('NILAI CPL'!$B17&lt;&gt;"",IFERROR(_xlfn.IFS(T17&gt;='NILAI CPL'!$B$3,4,T17&gt;='NILAI CPL'!$B$4,3,T17&gt;='NILAI CPL'!$B$5,2,T17&gt;'NILAI CPL'!$B$6,1),0),"")</f>
        <v/>
      </c>
      <c r="AR17" s="2" t="str" cm="1">
        <f t="array" ref="AR17">IF('NILAI CPL'!$B17&lt;&gt;"",IFERROR(_xlfn.IFS(U17&gt;='NILAI CPL'!$B$3,4,U17&gt;='NILAI CPL'!$B$4,3,U17&gt;='NILAI CPL'!$B$5,2,U17&gt;'NILAI CPL'!$B$6,1),0),"")</f>
        <v/>
      </c>
      <c r="AS17" s="2" t="str" cm="1">
        <f t="array" ref="AS17">IF('NILAI CPL'!$B17&lt;&gt;"",IFERROR(_xlfn.IFS(V17&gt;='NILAI CPL'!$B$3,4,V17&gt;='NILAI CPL'!$B$4,3,V17&gt;='NILAI CPL'!$B$5,2,V17&gt;'NILAI CPL'!$B$6,1),0),"")</f>
        <v/>
      </c>
      <c r="AT17" s="2" t="str" cm="1">
        <f t="array" ref="AT17">IF('NILAI CPL'!$B17&lt;&gt;"",IFERROR(_xlfn.IFS(W17&gt;='NILAI CPL'!$B$3,4,W17&gt;='NILAI CPL'!$B$4,3,W17&gt;='NILAI CPL'!$B$5,2,W17&gt;'NILAI CPL'!$B$6,1),0),"")</f>
        <v/>
      </c>
      <c r="AU17" s="2" t="str" cm="1">
        <f t="array" ref="AU17">IF('NILAI CPL'!$B17&lt;&gt;"",IFERROR(_xlfn.IFS(X17&gt;='NILAI CPL'!$B$3,4,X17&gt;='NILAI CPL'!$B$4,3,X17&gt;='NILAI CPL'!$B$5,2,X17&gt;'NILAI CPL'!$B$6,1),0),"")</f>
        <v/>
      </c>
      <c r="AV17" s="2" t="str" cm="1">
        <f t="array" ref="AV17">IF('NILAI CPL'!$B17&lt;&gt;"",IFERROR(_xlfn.IFS(Y17&gt;='NILAI CPL'!$B$3,4,Y17&gt;='NILAI CPL'!$B$4,3,Y17&gt;='NILAI CPL'!$B$5,2,Y17&gt;'NILAI CPL'!$B$6,1),0),"")</f>
        <v/>
      </c>
      <c r="AW17" s="2" t="str" cm="1">
        <f t="array" ref="AW17">IF('NILAI CPL'!$B17&lt;&gt;"",IFERROR(_xlfn.IFS(Z17&gt;='NILAI CPL'!$B$3,4,Z17&gt;='NILAI CPL'!$B$4,3,Z17&gt;='NILAI CPL'!$B$5,2,Z17&gt;'NILAI CPL'!$B$6,1),0),"")</f>
        <v/>
      </c>
      <c r="AX17" s="2" t="str" cm="1">
        <f t="array" ref="AX17">IF('NILAI CPL'!$B17&lt;&gt;"",IFERROR(_xlfn.IFS(AA17&gt;='NILAI CPL'!$B$3,4,AA17&gt;='NILAI CPL'!$B$4,3,AA17&gt;='NILAI CPL'!$B$5,2,AA17&gt;'NILAI CPL'!$B$6,1),0),"")</f>
        <v/>
      </c>
      <c r="AY17" s="2" t="str" cm="1">
        <f t="array" ref="AY17">IF('NILAI CPL'!$B17&lt;&gt;"",IFERROR(_xlfn.IFS(AB17&gt;='NILAI CPL'!$B$3,4,AB17&gt;='NILAI CPL'!$B$4,3,AB17&gt;='NILAI CPL'!$B$5,2,AB17&gt;'NILAI CPL'!$B$6,1),0),"")</f>
        <v/>
      </c>
      <c r="AZ17" s="2" t="str" cm="1">
        <f t="array" ref="AZ17">IF('NILAI CPL'!$B17&lt;&gt;"",IFERROR(_xlfn.IFS(AC17&gt;='NILAI CPL'!$B$3,4,AC17&gt;='NILAI CPL'!$B$4,3,AC17&gt;='NILAI CPL'!$B$5,2,AC17&gt;'NILAI CPL'!$B$6,1),0),"")</f>
        <v/>
      </c>
      <c r="BA17" s="2" t="str" cm="1">
        <f t="array" ref="BA17">IF('NILAI CPL'!$B17&lt;&gt;"",IFERROR(_xlfn.IFS(AD17&gt;='NILAI CPL'!$B$3,4,AD17&gt;='NILAI CPL'!$B$4,3,AD17&gt;='NILAI CPL'!$B$5,2,AD17&gt;'NILAI CPL'!$B$6,1),0),"")</f>
        <v/>
      </c>
      <c r="BB17" s="2" t="str" cm="1">
        <f t="array" ref="BB17">IF('NILAI CPL'!$B17&lt;&gt;"",IFERROR(_xlfn.IFS(AE17&gt;='NILAI CPL'!$B$3,4,AE17&gt;='NILAI CPL'!$B$4,3,AE17&gt;='NILAI CPL'!$B$5,2,AE17&gt;'NILAI CPL'!$B$6,1),0),"")</f>
        <v/>
      </c>
      <c r="BC17" s="2" t="str" cm="1">
        <f t="array" ref="BC17">IF('NILAI CPL'!$B17&lt;&gt;"",IFERROR(_xlfn.IFS(AF17&gt;='NILAI CPL'!$B$3,4,AF17&gt;='NILAI CPL'!$B$4,3,AF17&gt;='NILAI CPL'!$B$5,2,AF17&gt;'NILAI CPL'!$B$6,1),0),"")</f>
        <v/>
      </c>
      <c r="BD17" s="2" t="str" cm="1">
        <f t="array" ref="BD17">IF('NILAI CPL'!$B17&lt;&gt;"",IFERROR(_xlfn.IFS(AG17&gt;='NILAI CPL'!$B$3,4,AG17&gt;='NILAI CPL'!$B$4,3,AG17&gt;='NILAI CPL'!$B$5,2,AG17&gt;'NILAI CPL'!$B$6,1),0),"")</f>
        <v/>
      </c>
      <c r="BE17" s="2" t="str" cm="1">
        <f t="array" ref="BE17">IF('NILAI CPL'!$B17&lt;&gt;"",IFERROR(_xlfn.IFS(AH17&gt;='NILAI CPL'!$B$3,4,AH17&gt;='NILAI CPL'!$B$4,3,AH17&gt;='NILAI CPL'!$B$5,2,AH17&gt;'NILAI CPL'!$B$6,1),0),"")</f>
        <v/>
      </c>
      <c r="BF17" s="2" t="str" cm="1">
        <f t="array" ref="BF17">IF('NILAI CPL'!$B17&lt;&gt;"",IFERROR(_xlfn.IFS(AI17&gt;='NILAI CPL'!$B$3,4,AI17&gt;='NILAI CPL'!$B$4,3,AI17&gt;='NILAI CPL'!$B$5,2,AI17&gt;'NILAI CPL'!$B$6,1),0),"")</f>
        <v/>
      </c>
      <c r="BG17" s="2" t="str" cm="1">
        <f t="array" ref="BG17">IF('NILAI CPL'!$B17&lt;&gt;"",IFERROR(_xlfn.IFS(AJ17&gt;='NILAI CPL'!$B$3,4,AJ17&gt;='NILAI CPL'!$B$4,3,AJ17&gt;='NILAI CPL'!$B$5,2,AJ17&gt;'NILAI CPL'!$B$6,1),0),"")</f>
        <v/>
      </c>
      <c r="BH17" s="2" t="str" cm="1">
        <f t="array" ref="BH17">IF('NILAI CPL'!$B17&lt;&gt;"",IFERROR(_xlfn.IFS(AK17&gt;='NILAI CPL'!$B$3,4,AK17&gt;='NILAI CPL'!$B$4,3,AK17&gt;='NILAI CPL'!$B$5,2,AK17&gt;'NILAI CPL'!$B$6,1),0),"")</f>
        <v/>
      </c>
      <c r="BI17" s="2" t="str" cm="1">
        <f t="array" ref="BI17">IF('NILAI CPL'!$B17&lt;&gt;"",IFERROR(_xlfn.IFS(AL17&gt;='NILAI CPL'!$B$3,4,AL17&gt;='NILAI CPL'!$B$4,3,AL17&gt;='NILAI CPL'!$B$5,2,AL17&gt;'NILAI CPL'!$B$6,1),0),"")</f>
        <v/>
      </c>
      <c r="BJ17" s="2" t="str" cm="1">
        <f t="array" ref="BJ17">IF('NILAI CPL'!$B17&lt;&gt;"",IFERROR(_xlfn.IFS(AM17&gt;='NILAI CPL'!$B$3,4,AM17&gt;='NILAI CPL'!$B$4,3,AM17&gt;='NILAI CPL'!$B$5,2,AM17&gt;'NILAI CPL'!$B$6,1),0),"")</f>
        <v/>
      </c>
      <c r="BK17" s="2" t="str" cm="1">
        <f t="array" ref="BK17">IF('NILAI CPL'!$B17&lt;&gt;"",IFERROR(_xlfn.IFS(AN17&gt;='NILAI CPL'!$B$3,4,AN17&gt;='NILAI CPL'!$B$4,3,AN17&gt;='NILAI CPL'!$B$5,2,AN17&gt;'NILAI CPL'!$B$6,1),0),"")</f>
        <v/>
      </c>
    </row>
    <row r="18" spans="1:63" x14ac:dyDescent="0.2">
      <c r="A18" s="2">
        <v>8</v>
      </c>
      <c r="B18" s="2" t="str">
        <f>IF(LEN(SUMMARY!B18)&gt;0, SUMMARY!B18, "")</f>
        <v/>
      </c>
      <c r="C18" s="2" t="str">
        <f>IF(LEN(SUMMARY!C18)&gt;0, SUMMARY!C18, "")</f>
        <v/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" t="str">
        <f t="shared" si="2"/>
        <v/>
      </c>
      <c r="S18" s="2" t="str">
        <f t="shared" si="3"/>
        <v/>
      </c>
      <c r="T18" s="2" t="str">
        <f t="shared" si="4"/>
        <v/>
      </c>
      <c r="U18" s="2" t="str">
        <f t="shared" si="5"/>
        <v/>
      </c>
      <c r="V18" s="2" t="str">
        <f t="shared" si="6"/>
        <v/>
      </c>
      <c r="W18" s="2" t="str">
        <f t="shared" si="7"/>
        <v/>
      </c>
      <c r="X18" s="2" t="str">
        <f t="shared" si="8"/>
        <v/>
      </c>
      <c r="Y18" s="2" t="str">
        <f t="shared" si="9"/>
        <v/>
      </c>
      <c r="Z18" s="2" t="str">
        <f t="shared" si="10"/>
        <v/>
      </c>
      <c r="AA18" s="2" t="str">
        <f t="shared" si="11"/>
        <v/>
      </c>
      <c r="AB18" s="2" t="str">
        <f t="shared" si="12"/>
        <v/>
      </c>
      <c r="AC18" s="2" t="str">
        <f t="shared" si="13"/>
        <v/>
      </c>
      <c r="AD18" s="2" t="str">
        <f t="shared" si="14"/>
        <v/>
      </c>
      <c r="AE18" s="2" t="str">
        <f t="shared" si="15"/>
        <v/>
      </c>
      <c r="AF18" s="2" t="str">
        <f t="shared" si="16"/>
        <v/>
      </c>
      <c r="AG18" s="2" t="str">
        <f t="shared" si="17"/>
        <v/>
      </c>
      <c r="AH18" s="2" t="str">
        <f t="shared" si="18"/>
        <v/>
      </c>
      <c r="AI18" s="2" t="str">
        <f t="shared" si="19"/>
        <v/>
      </c>
      <c r="AJ18" s="2" t="str">
        <f t="shared" si="20"/>
        <v/>
      </c>
      <c r="AK18" s="2" t="str">
        <f t="shared" si="21"/>
        <v/>
      </c>
      <c r="AL18" s="2" t="str">
        <f t="shared" si="22"/>
        <v/>
      </c>
      <c r="AM18" s="2" t="str">
        <f t="shared" si="23"/>
        <v/>
      </c>
      <c r="AN18" s="2" t="str">
        <f t="shared" si="24"/>
        <v/>
      </c>
      <c r="AP18" s="2" t="str" cm="1">
        <f t="array" ref="AP18">IF('NILAI CPL'!$B18&lt;&gt;"",IFERROR(_xlfn.IFS(S18&gt;='NILAI CPL'!$B$3,4,S18&gt;='NILAI CPL'!$B$4,3,S18&gt;='NILAI CPL'!$B$5,2,S18&gt;'NILAI CPL'!$B$6,1),0),"")</f>
        <v/>
      </c>
      <c r="AQ18" s="2" t="str" cm="1">
        <f t="array" ref="AQ18">IF('NILAI CPL'!$B18&lt;&gt;"",IFERROR(_xlfn.IFS(T18&gt;='NILAI CPL'!$B$3,4,T18&gt;='NILAI CPL'!$B$4,3,T18&gt;='NILAI CPL'!$B$5,2,T18&gt;'NILAI CPL'!$B$6,1),0),"")</f>
        <v/>
      </c>
      <c r="AR18" s="2" t="str" cm="1">
        <f t="array" ref="AR18">IF('NILAI CPL'!$B18&lt;&gt;"",IFERROR(_xlfn.IFS(U18&gt;='NILAI CPL'!$B$3,4,U18&gt;='NILAI CPL'!$B$4,3,U18&gt;='NILAI CPL'!$B$5,2,U18&gt;'NILAI CPL'!$B$6,1),0),"")</f>
        <v/>
      </c>
      <c r="AS18" s="2" t="str" cm="1">
        <f t="array" ref="AS18">IF('NILAI CPL'!$B18&lt;&gt;"",IFERROR(_xlfn.IFS(V18&gt;='NILAI CPL'!$B$3,4,V18&gt;='NILAI CPL'!$B$4,3,V18&gt;='NILAI CPL'!$B$5,2,V18&gt;'NILAI CPL'!$B$6,1),0),"")</f>
        <v/>
      </c>
      <c r="AT18" s="2" t="str" cm="1">
        <f t="array" ref="AT18">IF('NILAI CPL'!$B18&lt;&gt;"",IFERROR(_xlfn.IFS(W18&gt;='NILAI CPL'!$B$3,4,W18&gt;='NILAI CPL'!$B$4,3,W18&gt;='NILAI CPL'!$B$5,2,W18&gt;'NILAI CPL'!$B$6,1),0),"")</f>
        <v/>
      </c>
      <c r="AU18" s="2" t="str" cm="1">
        <f t="array" ref="AU18">IF('NILAI CPL'!$B18&lt;&gt;"",IFERROR(_xlfn.IFS(X18&gt;='NILAI CPL'!$B$3,4,X18&gt;='NILAI CPL'!$B$4,3,X18&gt;='NILAI CPL'!$B$5,2,X18&gt;'NILAI CPL'!$B$6,1),0),"")</f>
        <v/>
      </c>
      <c r="AV18" s="2" t="str" cm="1">
        <f t="array" ref="AV18">IF('NILAI CPL'!$B18&lt;&gt;"",IFERROR(_xlfn.IFS(Y18&gt;='NILAI CPL'!$B$3,4,Y18&gt;='NILAI CPL'!$B$4,3,Y18&gt;='NILAI CPL'!$B$5,2,Y18&gt;'NILAI CPL'!$B$6,1),0),"")</f>
        <v/>
      </c>
      <c r="AW18" s="2" t="str" cm="1">
        <f t="array" ref="AW18">IF('NILAI CPL'!$B18&lt;&gt;"",IFERROR(_xlfn.IFS(Z18&gt;='NILAI CPL'!$B$3,4,Z18&gt;='NILAI CPL'!$B$4,3,Z18&gt;='NILAI CPL'!$B$5,2,Z18&gt;'NILAI CPL'!$B$6,1),0),"")</f>
        <v/>
      </c>
      <c r="AX18" s="2" t="str" cm="1">
        <f t="array" ref="AX18">IF('NILAI CPL'!$B18&lt;&gt;"",IFERROR(_xlfn.IFS(AA18&gt;='NILAI CPL'!$B$3,4,AA18&gt;='NILAI CPL'!$B$4,3,AA18&gt;='NILAI CPL'!$B$5,2,AA18&gt;'NILAI CPL'!$B$6,1),0),"")</f>
        <v/>
      </c>
      <c r="AY18" s="2" t="str" cm="1">
        <f t="array" ref="AY18">IF('NILAI CPL'!$B18&lt;&gt;"",IFERROR(_xlfn.IFS(AB18&gt;='NILAI CPL'!$B$3,4,AB18&gt;='NILAI CPL'!$B$4,3,AB18&gt;='NILAI CPL'!$B$5,2,AB18&gt;'NILAI CPL'!$B$6,1),0),"")</f>
        <v/>
      </c>
      <c r="AZ18" s="2" t="str" cm="1">
        <f t="array" ref="AZ18">IF('NILAI CPL'!$B18&lt;&gt;"",IFERROR(_xlfn.IFS(AC18&gt;='NILAI CPL'!$B$3,4,AC18&gt;='NILAI CPL'!$B$4,3,AC18&gt;='NILAI CPL'!$B$5,2,AC18&gt;'NILAI CPL'!$B$6,1),0),"")</f>
        <v/>
      </c>
      <c r="BA18" s="2" t="str" cm="1">
        <f t="array" ref="BA18">IF('NILAI CPL'!$B18&lt;&gt;"",IFERROR(_xlfn.IFS(AD18&gt;='NILAI CPL'!$B$3,4,AD18&gt;='NILAI CPL'!$B$4,3,AD18&gt;='NILAI CPL'!$B$5,2,AD18&gt;'NILAI CPL'!$B$6,1),0),"")</f>
        <v/>
      </c>
      <c r="BB18" s="2" t="str" cm="1">
        <f t="array" ref="BB18">IF('NILAI CPL'!$B18&lt;&gt;"",IFERROR(_xlfn.IFS(AE18&gt;='NILAI CPL'!$B$3,4,AE18&gt;='NILAI CPL'!$B$4,3,AE18&gt;='NILAI CPL'!$B$5,2,AE18&gt;'NILAI CPL'!$B$6,1),0),"")</f>
        <v/>
      </c>
      <c r="BC18" s="2" t="str" cm="1">
        <f t="array" ref="BC18">IF('NILAI CPL'!$B18&lt;&gt;"",IFERROR(_xlfn.IFS(AF18&gt;='NILAI CPL'!$B$3,4,AF18&gt;='NILAI CPL'!$B$4,3,AF18&gt;='NILAI CPL'!$B$5,2,AF18&gt;'NILAI CPL'!$B$6,1),0),"")</f>
        <v/>
      </c>
      <c r="BD18" s="2" t="str" cm="1">
        <f t="array" ref="BD18">IF('NILAI CPL'!$B18&lt;&gt;"",IFERROR(_xlfn.IFS(AG18&gt;='NILAI CPL'!$B$3,4,AG18&gt;='NILAI CPL'!$B$4,3,AG18&gt;='NILAI CPL'!$B$5,2,AG18&gt;'NILAI CPL'!$B$6,1),0),"")</f>
        <v/>
      </c>
      <c r="BE18" s="2" t="str" cm="1">
        <f t="array" ref="BE18">IF('NILAI CPL'!$B18&lt;&gt;"",IFERROR(_xlfn.IFS(AH18&gt;='NILAI CPL'!$B$3,4,AH18&gt;='NILAI CPL'!$B$4,3,AH18&gt;='NILAI CPL'!$B$5,2,AH18&gt;'NILAI CPL'!$B$6,1),0),"")</f>
        <v/>
      </c>
      <c r="BF18" s="2" t="str" cm="1">
        <f t="array" ref="BF18">IF('NILAI CPL'!$B18&lt;&gt;"",IFERROR(_xlfn.IFS(AI18&gt;='NILAI CPL'!$B$3,4,AI18&gt;='NILAI CPL'!$B$4,3,AI18&gt;='NILAI CPL'!$B$5,2,AI18&gt;'NILAI CPL'!$B$6,1),0),"")</f>
        <v/>
      </c>
      <c r="BG18" s="2" t="str" cm="1">
        <f t="array" ref="BG18">IF('NILAI CPL'!$B18&lt;&gt;"",IFERROR(_xlfn.IFS(AJ18&gt;='NILAI CPL'!$B$3,4,AJ18&gt;='NILAI CPL'!$B$4,3,AJ18&gt;='NILAI CPL'!$B$5,2,AJ18&gt;'NILAI CPL'!$B$6,1),0),"")</f>
        <v/>
      </c>
      <c r="BH18" s="2" t="str" cm="1">
        <f t="array" ref="BH18">IF('NILAI CPL'!$B18&lt;&gt;"",IFERROR(_xlfn.IFS(AK18&gt;='NILAI CPL'!$B$3,4,AK18&gt;='NILAI CPL'!$B$4,3,AK18&gt;='NILAI CPL'!$B$5,2,AK18&gt;'NILAI CPL'!$B$6,1),0),"")</f>
        <v/>
      </c>
      <c r="BI18" s="2" t="str" cm="1">
        <f t="array" ref="BI18">IF('NILAI CPL'!$B18&lt;&gt;"",IFERROR(_xlfn.IFS(AL18&gt;='NILAI CPL'!$B$3,4,AL18&gt;='NILAI CPL'!$B$4,3,AL18&gt;='NILAI CPL'!$B$5,2,AL18&gt;'NILAI CPL'!$B$6,1),0),"")</f>
        <v/>
      </c>
      <c r="BJ18" s="2" t="str" cm="1">
        <f t="array" ref="BJ18">IF('NILAI CPL'!$B18&lt;&gt;"",IFERROR(_xlfn.IFS(AM18&gt;='NILAI CPL'!$B$3,4,AM18&gt;='NILAI CPL'!$B$4,3,AM18&gt;='NILAI CPL'!$B$5,2,AM18&gt;'NILAI CPL'!$B$6,1),0),"")</f>
        <v/>
      </c>
      <c r="BK18" s="2" t="str" cm="1">
        <f t="array" ref="BK18">IF('NILAI CPL'!$B18&lt;&gt;"",IFERROR(_xlfn.IFS(AN18&gt;='NILAI CPL'!$B$3,4,AN18&gt;='NILAI CPL'!$B$4,3,AN18&gt;='NILAI CPL'!$B$5,2,AN18&gt;'NILAI CPL'!$B$6,1),0),"")</f>
        <v/>
      </c>
    </row>
    <row r="19" spans="1:63" x14ac:dyDescent="0.2">
      <c r="A19" s="2">
        <v>9</v>
      </c>
      <c r="B19" s="2" t="str">
        <f>IF(LEN(SUMMARY!B19)&gt;0, SUMMARY!B19, "")</f>
        <v/>
      </c>
      <c r="C19" s="2" t="str">
        <f>IF(LEN(SUMMARY!C19)&gt;0, SUMMARY!C19, "")</f>
        <v/>
      </c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" t="str">
        <f t="shared" si="2"/>
        <v/>
      </c>
      <c r="S19" s="2" t="str">
        <f t="shared" si="3"/>
        <v/>
      </c>
      <c r="T19" s="2" t="str">
        <f t="shared" si="4"/>
        <v/>
      </c>
      <c r="U19" s="2" t="str">
        <f t="shared" si="5"/>
        <v/>
      </c>
      <c r="V19" s="2" t="str">
        <f t="shared" si="6"/>
        <v/>
      </c>
      <c r="W19" s="2" t="str">
        <f t="shared" si="7"/>
        <v/>
      </c>
      <c r="X19" s="2" t="str">
        <f t="shared" si="8"/>
        <v/>
      </c>
      <c r="Y19" s="2" t="str">
        <f t="shared" si="9"/>
        <v/>
      </c>
      <c r="Z19" s="2" t="str">
        <f t="shared" si="10"/>
        <v/>
      </c>
      <c r="AA19" s="2" t="str">
        <f t="shared" si="11"/>
        <v/>
      </c>
      <c r="AB19" s="2" t="str">
        <f t="shared" si="12"/>
        <v/>
      </c>
      <c r="AC19" s="2" t="str">
        <f t="shared" si="13"/>
        <v/>
      </c>
      <c r="AD19" s="2" t="str">
        <f t="shared" si="14"/>
        <v/>
      </c>
      <c r="AE19" s="2" t="str">
        <f t="shared" si="15"/>
        <v/>
      </c>
      <c r="AF19" s="2" t="str">
        <f t="shared" si="16"/>
        <v/>
      </c>
      <c r="AG19" s="2" t="str">
        <f t="shared" si="17"/>
        <v/>
      </c>
      <c r="AH19" s="2" t="str">
        <f t="shared" si="18"/>
        <v/>
      </c>
      <c r="AI19" s="2" t="str">
        <f t="shared" si="19"/>
        <v/>
      </c>
      <c r="AJ19" s="2" t="str">
        <f t="shared" si="20"/>
        <v/>
      </c>
      <c r="AK19" s="2" t="str">
        <f t="shared" si="21"/>
        <v/>
      </c>
      <c r="AL19" s="2" t="str">
        <f t="shared" si="22"/>
        <v/>
      </c>
      <c r="AM19" s="2" t="str">
        <f t="shared" si="23"/>
        <v/>
      </c>
      <c r="AN19" s="2" t="str">
        <f t="shared" si="24"/>
        <v/>
      </c>
      <c r="AP19" s="2" t="str" cm="1">
        <f t="array" ref="AP19">IF('NILAI CPL'!$B19&lt;&gt;"",IFERROR(_xlfn.IFS(S19&gt;='NILAI CPL'!$B$3,4,S19&gt;='NILAI CPL'!$B$4,3,S19&gt;='NILAI CPL'!$B$5,2,S19&gt;'NILAI CPL'!$B$6,1),0),"")</f>
        <v/>
      </c>
      <c r="AQ19" s="2" t="str" cm="1">
        <f t="array" ref="AQ19">IF('NILAI CPL'!$B19&lt;&gt;"",IFERROR(_xlfn.IFS(T19&gt;='NILAI CPL'!$B$3,4,T19&gt;='NILAI CPL'!$B$4,3,T19&gt;='NILAI CPL'!$B$5,2,T19&gt;'NILAI CPL'!$B$6,1),0),"")</f>
        <v/>
      </c>
      <c r="AR19" s="2" t="str" cm="1">
        <f t="array" ref="AR19">IF('NILAI CPL'!$B19&lt;&gt;"",IFERROR(_xlfn.IFS(U19&gt;='NILAI CPL'!$B$3,4,U19&gt;='NILAI CPL'!$B$4,3,U19&gt;='NILAI CPL'!$B$5,2,U19&gt;'NILAI CPL'!$B$6,1),0),"")</f>
        <v/>
      </c>
      <c r="AS19" s="2" t="str" cm="1">
        <f t="array" ref="AS19">IF('NILAI CPL'!$B19&lt;&gt;"",IFERROR(_xlfn.IFS(V19&gt;='NILAI CPL'!$B$3,4,V19&gt;='NILAI CPL'!$B$4,3,V19&gt;='NILAI CPL'!$B$5,2,V19&gt;'NILAI CPL'!$B$6,1),0),"")</f>
        <v/>
      </c>
      <c r="AT19" s="2" t="str" cm="1">
        <f t="array" ref="AT19">IF('NILAI CPL'!$B19&lt;&gt;"",IFERROR(_xlfn.IFS(W19&gt;='NILAI CPL'!$B$3,4,W19&gt;='NILAI CPL'!$B$4,3,W19&gt;='NILAI CPL'!$B$5,2,W19&gt;'NILAI CPL'!$B$6,1),0),"")</f>
        <v/>
      </c>
      <c r="AU19" s="2" t="str" cm="1">
        <f t="array" ref="AU19">IF('NILAI CPL'!$B19&lt;&gt;"",IFERROR(_xlfn.IFS(X19&gt;='NILAI CPL'!$B$3,4,X19&gt;='NILAI CPL'!$B$4,3,X19&gt;='NILAI CPL'!$B$5,2,X19&gt;'NILAI CPL'!$B$6,1),0),"")</f>
        <v/>
      </c>
      <c r="AV19" s="2" t="str" cm="1">
        <f t="array" ref="AV19">IF('NILAI CPL'!$B19&lt;&gt;"",IFERROR(_xlfn.IFS(Y19&gt;='NILAI CPL'!$B$3,4,Y19&gt;='NILAI CPL'!$B$4,3,Y19&gt;='NILAI CPL'!$B$5,2,Y19&gt;'NILAI CPL'!$B$6,1),0),"")</f>
        <v/>
      </c>
      <c r="AW19" s="2" t="str" cm="1">
        <f t="array" ref="AW19">IF('NILAI CPL'!$B19&lt;&gt;"",IFERROR(_xlfn.IFS(Z19&gt;='NILAI CPL'!$B$3,4,Z19&gt;='NILAI CPL'!$B$4,3,Z19&gt;='NILAI CPL'!$B$5,2,Z19&gt;'NILAI CPL'!$B$6,1),0),"")</f>
        <v/>
      </c>
      <c r="AX19" s="2" t="str" cm="1">
        <f t="array" ref="AX19">IF('NILAI CPL'!$B19&lt;&gt;"",IFERROR(_xlfn.IFS(AA19&gt;='NILAI CPL'!$B$3,4,AA19&gt;='NILAI CPL'!$B$4,3,AA19&gt;='NILAI CPL'!$B$5,2,AA19&gt;'NILAI CPL'!$B$6,1),0),"")</f>
        <v/>
      </c>
      <c r="AY19" s="2" t="str" cm="1">
        <f t="array" ref="AY19">IF('NILAI CPL'!$B19&lt;&gt;"",IFERROR(_xlfn.IFS(AB19&gt;='NILAI CPL'!$B$3,4,AB19&gt;='NILAI CPL'!$B$4,3,AB19&gt;='NILAI CPL'!$B$5,2,AB19&gt;'NILAI CPL'!$B$6,1),0),"")</f>
        <v/>
      </c>
      <c r="AZ19" s="2" t="str" cm="1">
        <f t="array" ref="AZ19">IF('NILAI CPL'!$B19&lt;&gt;"",IFERROR(_xlfn.IFS(AC19&gt;='NILAI CPL'!$B$3,4,AC19&gt;='NILAI CPL'!$B$4,3,AC19&gt;='NILAI CPL'!$B$5,2,AC19&gt;'NILAI CPL'!$B$6,1),0),"")</f>
        <v/>
      </c>
      <c r="BA19" s="2" t="str" cm="1">
        <f t="array" ref="BA19">IF('NILAI CPL'!$B19&lt;&gt;"",IFERROR(_xlfn.IFS(AD19&gt;='NILAI CPL'!$B$3,4,AD19&gt;='NILAI CPL'!$B$4,3,AD19&gt;='NILAI CPL'!$B$5,2,AD19&gt;'NILAI CPL'!$B$6,1),0),"")</f>
        <v/>
      </c>
      <c r="BB19" s="2" t="str" cm="1">
        <f t="array" ref="BB19">IF('NILAI CPL'!$B19&lt;&gt;"",IFERROR(_xlfn.IFS(AE19&gt;='NILAI CPL'!$B$3,4,AE19&gt;='NILAI CPL'!$B$4,3,AE19&gt;='NILAI CPL'!$B$5,2,AE19&gt;'NILAI CPL'!$B$6,1),0),"")</f>
        <v/>
      </c>
      <c r="BC19" s="2" t="str" cm="1">
        <f t="array" ref="BC19">IF('NILAI CPL'!$B19&lt;&gt;"",IFERROR(_xlfn.IFS(AF19&gt;='NILAI CPL'!$B$3,4,AF19&gt;='NILAI CPL'!$B$4,3,AF19&gt;='NILAI CPL'!$B$5,2,AF19&gt;'NILAI CPL'!$B$6,1),0),"")</f>
        <v/>
      </c>
      <c r="BD19" s="2" t="str" cm="1">
        <f t="array" ref="BD19">IF('NILAI CPL'!$B19&lt;&gt;"",IFERROR(_xlfn.IFS(AG19&gt;='NILAI CPL'!$B$3,4,AG19&gt;='NILAI CPL'!$B$4,3,AG19&gt;='NILAI CPL'!$B$5,2,AG19&gt;'NILAI CPL'!$B$6,1),0),"")</f>
        <v/>
      </c>
      <c r="BE19" s="2" t="str" cm="1">
        <f t="array" ref="BE19">IF('NILAI CPL'!$B19&lt;&gt;"",IFERROR(_xlfn.IFS(AH19&gt;='NILAI CPL'!$B$3,4,AH19&gt;='NILAI CPL'!$B$4,3,AH19&gt;='NILAI CPL'!$B$5,2,AH19&gt;'NILAI CPL'!$B$6,1),0),"")</f>
        <v/>
      </c>
      <c r="BF19" s="2" t="str" cm="1">
        <f t="array" ref="BF19">IF('NILAI CPL'!$B19&lt;&gt;"",IFERROR(_xlfn.IFS(AI19&gt;='NILAI CPL'!$B$3,4,AI19&gt;='NILAI CPL'!$B$4,3,AI19&gt;='NILAI CPL'!$B$5,2,AI19&gt;'NILAI CPL'!$B$6,1),0),"")</f>
        <v/>
      </c>
      <c r="BG19" s="2" t="str" cm="1">
        <f t="array" ref="BG19">IF('NILAI CPL'!$B19&lt;&gt;"",IFERROR(_xlfn.IFS(AJ19&gt;='NILAI CPL'!$B$3,4,AJ19&gt;='NILAI CPL'!$B$4,3,AJ19&gt;='NILAI CPL'!$B$5,2,AJ19&gt;'NILAI CPL'!$B$6,1),0),"")</f>
        <v/>
      </c>
      <c r="BH19" s="2" t="str" cm="1">
        <f t="array" ref="BH19">IF('NILAI CPL'!$B19&lt;&gt;"",IFERROR(_xlfn.IFS(AK19&gt;='NILAI CPL'!$B$3,4,AK19&gt;='NILAI CPL'!$B$4,3,AK19&gt;='NILAI CPL'!$B$5,2,AK19&gt;'NILAI CPL'!$B$6,1),0),"")</f>
        <v/>
      </c>
      <c r="BI19" s="2" t="str" cm="1">
        <f t="array" ref="BI19">IF('NILAI CPL'!$B19&lt;&gt;"",IFERROR(_xlfn.IFS(AL19&gt;='NILAI CPL'!$B$3,4,AL19&gt;='NILAI CPL'!$B$4,3,AL19&gt;='NILAI CPL'!$B$5,2,AL19&gt;'NILAI CPL'!$B$6,1),0),"")</f>
        <v/>
      </c>
      <c r="BJ19" s="2" t="str" cm="1">
        <f t="array" ref="BJ19">IF('NILAI CPL'!$B19&lt;&gt;"",IFERROR(_xlfn.IFS(AM19&gt;='NILAI CPL'!$B$3,4,AM19&gt;='NILAI CPL'!$B$4,3,AM19&gt;='NILAI CPL'!$B$5,2,AM19&gt;'NILAI CPL'!$B$6,1),0),"")</f>
        <v/>
      </c>
      <c r="BK19" s="2" t="str" cm="1">
        <f t="array" ref="BK19">IF('NILAI CPL'!$B19&lt;&gt;"",IFERROR(_xlfn.IFS(AN19&gt;='NILAI CPL'!$B$3,4,AN19&gt;='NILAI CPL'!$B$4,3,AN19&gt;='NILAI CPL'!$B$5,2,AN19&gt;'NILAI CPL'!$B$6,1),0),"")</f>
        <v/>
      </c>
    </row>
    <row r="20" spans="1:63" x14ac:dyDescent="0.2">
      <c r="A20" s="2">
        <v>10</v>
      </c>
      <c r="B20" s="2" t="str">
        <f>IF(LEN(SUMMARY!B20)&gt;0, SUMMARY!B20, "")</f>
        <v/>
      </c>
      <c r="C20" s="2" t="str">
        <f>IF(LEN(SUMMARY!C20)&gt;0, SUMMARY!C20, "")</f>
        <v/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" t="str">
        <f t="shared" si="2"/>
        <v/>
      </c>
      <c r="S20" s="2" t="str">
        <f t="shared" si="3"/>
        <v/>
      </c>
      <c r="T20" s="2" t="str">
        <f t="shared" si="4"/>
        <v/>
      </c>
      <c r="U20" s="2" t="str">
        <f t="shared" si="5"/>
        <v/>
      </c>
      <c r="V20" s="2" t="str">
        <f t="shared" si="6"/>
        <v/>
      </c>
      <c r="W20" s="2" t="str">
        <f t="shared" si="7"/>
        <v/>
      </c>
      <c r="X20" s="2" t="str">
        <f t="shared" si="8"/>
        <v/>
      </c>
      <c r="Y20" s="2" t="str">
        <f t="shared" si="9"/>
        <v/>
      </c>
      <c r="Z20" s="2" t="str">
        <f t="shared" si="10"/>
        <v/>
      </c>
      <c r="AA20" s="2" t="str">
        <f t="shared" si="11"/>
        <v/>
      </c>
      <c r="AB20" s="2" t="str">
        <f t="shared" si="12"/>
        <v/>
      </c>
      <c r="AC20" s="2" t="str">
        <f t="shared" si="13"/>
        <v/>
      </c>
      <c r="AD20" s="2" t="str">
        <f t="shared" si="14"/>
        <v/>
      </c>
      <c r="AE20" s="2" t="str">
        <f t="shared" si="15"/>
        <v/>
      </c>
      <c r="AF20" s="2" t="str">
        <f t="shared" si="16"/>
        <v/>
      </c>
      <c r="AG20" s="2" t="str">
        <f t="shared" si="17"/>
        <v/>
      </c>
      <c r="AH20" s="2" t="str">
        <f t="shared" si="18"/>
        <v/>
      </c>
      <c r="AI20" s="2" t="str">
        <f t="shared" si="19"/>
        <v/>
      </c>
      <c r="AJ20" s="2" t="str">
        <f t="shared" si="20"/>
        <v/>
      </c>
      <c r="AK20" s="2" t="str">
        <f t="shared" si="21"/>
        <v/>
      </c>
      <c r="AL20" s="2" t="str">
        <f t="shared" si="22"/>
        <v/>
      </c>
      <c r="AM20" s="2" t="str">
        <f t="shared" si="23"/>
        <v/>
      </c>
      <c r="AN20" s="2" t="str">
        <f t="shared" si="24"/>
        <v/>
      </c>
      <c r="AP20" s="2" t="str" cm="1">
        <f t="array" ref="AP20">IF('NILAI CPL'!$B20&lt;&gt;"",IFERROR(_xlfn.IFS(S20&gt;='NILAI CPL'!$B$3,4,S20&gt;='NILAI CPL'!$B$4,3,S20&gt;='NILAI CPL'!$B$5,2,S20&gt;'NILAI CPL'!$B$6,1),0),"")</f>
        <v/>
      </c>
      <c r="AQ20" s="2" t="str" cm="1">
        <f t="array" ref="AQ20">IF('NILAI CPL'!$B20&lt;&gt;"",IFERROR(_xlfn.IFS(T20&gt;='NILAI CPL'!$B$3,4,T20&gt;='NILAI CPL'!$B$4,3,T20&gt;='NILAI CPL'!$B$5,2,T20&gt;'NILAI CPL'!$B$6,1),0),"")</f>
        <v/>
      </c>
      <c r="AR20" s="2" t="str" cm="1">
        <f t="array" ref="AR20">IF('NILAI CPL'!$B20&lt;&gt;"",IFERROR(_xlfn.IFS(U20&gt;='NILAI CPL'!$B$3,4,U20&gt;='NILAI CPL'!$B$4,3,U20&gt;='NILAI CPL'!$B$5,2,U20&gt;'NILAI CPL'!$B$6,1),0),"")</f>
        <v/>
      </c>
      <c r="AS20" s="2" t="str" cm="1">
        <f t="array" ref="AS20">IF('NILAI CPL'!$B20&lt;&gt;"",IFERROR(_xlfn.IFS(V20&gt;='NILAI CPL'!$B$3,4,V20&gt;='NILAI CPL'!$B$4,3,V20&gt;='NILAI CPL'!$B$5,2,V20&gt;'NILAI CPL'!$B$6,1),0),"")</f>
        <v/>
      </c>
      <c r="AT20" s="2" t="str" cm="1">
        <f t="array" ref="AT20">IF('NILAI CPL'!$B20&lt;&gt;"",IFERROR(_xlfn.IFS(W20&gt;='NILAI CPL'!$B$3,4,W20&gt;='NILAI CPL'!$B$4,3,W20&gt;='NILAI CPL'!$B$5,2,W20&gt;'NILAI CPL'!$B$6,1),0),"")</f>
        <v/>
      </c>
      <c r="AU20" s="2" t="str" cm="1">
        <f t="array" ref="AU20">IF('NILAI CPL'!$B20&lt;&gt;"",IFERROR(_xlfn.IFS(X20&gt;='NILAI CPL'!$B$3,4,X20&gt;='NILAI CPL'!$B$4,3,X20&gt;='NILAI CPL'!$B$5,2,X20&gt;'NILAI CPL'!$B$6,1),0),"")</f>
        <v/>
      </c>
      <c r="AV20" s="2" t="str" cm="1">
        <f t="array" ref="AV20">IF('NILAI CPL'!$B20&lt;&gt;"",IFERROR(_xlfn.IFS(Y20&gt;='NILAI CPL'!$B$3,4,Y20&gt;='NILAI CPL'!$B$4,3,Y20&gt;='NILAI CPL'!$B$5,2,Y20&gt;'NILAI CPL'!$B$6,1),0),"")</f>
        <v/>
      </c>
      <c r="AW20" s="2" t="str" cm="1">
        <f t="array" ref="AW20">IF('NILAI CPL'!$B20&lt;&gt;"",IFERROR(_xlfn.IFS(Z20&gt;='NILAI CPL'!$B$3,4,Z20&gt;='NILAI CPL'!$B$4,3,Z20&gt;='NILAI CPL'!$B$5,2,Z20&gt;'NILAI CPL'!$B$6,1),0),"")</f>
        <v/>
      </c>
      <c r="AX20" s="2" t="str" cm="1">
        <f t="array" ref="AX20">IF('NILAI CPL'!$B20&lt;&gt;"",IFERROR(_xlfn.IFS(AA20&gt;='NILAI CPL'!$B$3,4,AA20&gt;='NILAI CPL'!$B$4,3,AA20&gt;='NILAI CPL'!$B$5,2,AA20&gt;'NILAI CPL'!$B$6,1),0),"")</f>
        <v/>
      </c>
      <c r="AY20" s="2" t="str" cm="1">
        <f t="array" ref="AY20">IF('NILAI CPL'!$B20&lt;&gt;"",IFERROR(_xlfn.IFS(AB20&gt;='NILAI CPL'!$B$3,4,AB20&gt;='NILAI CPL'!$B$4,3,AB20&gt;='NILAI CPL'!$B$5,2,AB20&gt;'NILAI CPL'!$B$6,1),0),"")</f>
        <v/>
      </c>
      <c r="AZ20" s="2" t="str" cm="1">
        <f t="array" ref="AZ20">IF('NILAI CPL'!$B20&lt;&gt;"",IFERROR(_xlfn.IFS(AC20&gt;='NILAI CPL'!$B$3,4,AC20&gt;='NILAI CPL'!$B$4,3,AC20&gt;='NILAI CPL'!$B$5,2,AC20&gt;'NILAI CPL'!$B$6,1),0),"")</f>
        <v/>
      </c>
      <c r="BA20" s="2" t="str" cm="1">
        <f t="array" ref="BA20">IF('NILAI CPL'!$B20&lt;&gt;"",IFERROR(_xlfn.IFS(AD20&gt;='NILAI CPL'!$B$3,4,AD20&gt;='NILAI CPL'!$B$4,3,AD20&gt;='NILAI CPL'!$B$5,2,AD20&gt;'NILAI CPL'!$B$6,1),0),"")</f>
        <v/>
      </c>
      <c r="BB20" s="2" t="str" cm="1">
        <f t="array" ref="BB20">IF('NILAI CPL'!$B20&lt;&gt;"",IFERROR(_xlfn.IFS(AE20&gt;='NILAI CPL'!$B$3,4,AE20&gt;='NILAI CPL'!$B$4,3,AE20&gt;='NILAI CPL'!$B$5,2,AE20&gt;'NILAI CPL'!$B$6,1),0),"")</f>
        <v/>
      </c>
      <c r="BC20" s="2" t="str" cm="1">
        <f t="array" ref="BC20">IF('NILAI CPL'!$B20&lt;&gt;"",IFERROR(_xlfn.IFS(AF20&gt;='NILAI CPL'!$B$3,4,AF20&gt;='NILAI CPL'!$B$4,3,AF20&gt;='NILAI CPL'!$B$5,2,AF20&gt;'NILAI CPL'!$B$6,1),0),"")</f>
        <v/>
      </c>
      <c r="BD20" s="2" t="str" cm="1">
        <f t="array" ref="BD20">IF('NILAI CPL'!$B20&lt;&gt;"",IFERROR(_xlfn.IFS(AG20&gt;='NILAI CPL'!$B$3,4,AG20&gt;='NILAI CPL'!$B$4,3,AG20&gt;='NILAI CPL'!$B$5,2,AG20&gt;'NILAI CPL'!$B$6,1),0),"")</f>
        <v/>
      </c>
      <c r="BE20" s="2" t="str" cm="1">
        <f t="array" ref="BE20">IF('NILAI CPL'!$B20&lt;&gt;"",IFERROR(_xlfn.IFS(AH20&gt;='NILAI CPL'!$B$3,4,AH20&gt;='NILAI CPL'!$B$4,3,AH20&gt;='NILAI CPL'!$B$5,2,AH20&gt;'NILAI CPL'!$B$6,1),0),"")</f>
        <v/>
      </c>
      <c r="BF20" s="2" t="str" cm="1">
        <f t="array" ref="BF20">IF('NILAI CPL'!$B20&lt;&gt;"",IFERROR(_xlfn.IFS(AI20&gt;='NILAI CPL'!$B$3,4,AI20&gt;='NILAI CPL'!$B$4,3,AI20&gt;='NILAI CPL'!$B$5,2,AI20&gt;'NILAI CPL'!$B$6,1),0),"")</f>
        <v/>
      </c>
      <c r="BG20" s="2" t="str" cm="1">
        <f t="array" ref="BG20">IF('NILAI CPL'!$B20&lt;&gt;"",IFERROR(_xlfn.IFS(AJ20&gt;='NILAI CPL'!$B$3,4,AJ20&gt;='NILAI CPL'!$B$4,3,AJ20&gt;='NILAI CPL'!$B$5,2,AJ20&gt;'NILAI CPL'!$B$6,1),0),"")</f>
        <v/>
      </c>
      <c r="BH20" s="2" t="str" cm="1">
        <f t="array" ref="BH20">IF('NILAI CPL'!$B20&lt;&gt;"",IFERROR(_xlfn.IFS(AK20&gt;='NILAI CPL'!$B$3,4,AK20&gt;='NILAI CPL'!$B$4,3,AK20&gt;='NILAI CPL'!$B$5,2,AK20&gt;'NILAI CPL'!$B$6,1),0),"")</f>
        <v/>
      </c>
      <c r="BI20" s="2" t="str" cm="1">
        <f t="array" ref="BI20">IF('NILAI CPL'!$B20&lt;&gt;"",IFERROR(_xlfn.IFS(AL20&gt;='NILAI CPL'!$B$3,4,AL20&gt;='NILAI CPL'!$B$4,3,AL20&gt;='NILAI CPL'!$B$5,2,AL20&gt;'NILAI CPL'!$B$6,1),0),"")</f>
        <v/>
      </c>
      <c r="BJ20" s="2" t="str" cm="1">
        <f t="array" ref="BJ20">IF('NILAI CPL'!$B20&lt;&gt;"",IFERROR(_xlfn.IFS(AM20&gt;='NILAI CPL'!$B$3,4,AM20&gt;='NILAI CPL'!$B$4,3,AM20&gt;='NILAI CPL'!$B$5,2,AM20&gt;'NILAI CPL'!$B$6,1),0),"")</f>
        <v/>
      </c>
      <c r="BK20" s="2" t="str" cm="1">
        <f t="array" ref="BK20">IF('NILAI CPL'!$B20&lt;&gt;"",IFERROR(_xlfn.IFS(AN20&gt;='NILAI CPL'!$B$3,4,AN20&gt;='NILAI CPL'!$B$4,3,AN20&gt;='NILAI CPL'!$B$5,2,AN20&gt;'NILAI CPL'!$B$6,1),0),"")</f>
        <v/>
      </c>
    </row>
    <row r="21" spans="1:63" x14ac:dyDescent="0.2">
      <c r="A21" s="2">
        <v>11</v>
      </c>
      <c r="B21" s="2" t="str">
        <f>IF(LEN(SUMMARY!B21)&gt;0, SUMMARY!B21, "")</f>
        <v/>
      </c>
      <c r="C21" s="2" t="str">
        <f>IF(LEN(SUMMARY!C21)&gt;0, SUMMARY!C21, "")</f>
        <v/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" t="str">
        <f t="shared" si="2"/>
        <v/>
      </c>
      <c r="S21" s="2" t="str">
        <f t="shared" si="3"/>
        <v/>
      </c>
      <c r="T21" s="2" t="str">
        <f t="shared" si="4"/>
        <v/>
      </c>
      <c r="U21" s="2" t="str">
        <f t="shared" si="5"/>
        <v/>
      </c>
      <c r="V21" s="2" t="str">
        <f t="shared" si="6"/>
        <v/>
      </c>
      <c r="W21" s="2" t="str">
        <f t="shared" si="7"/>
        <v/>
      </c>
      <c r="X21" s="2" t="str">
        <f t="shared" si="8"/>
        <v/>
      </c>
      <c r="Y21" s="2" t="str">
        <f t="shared" si="9"/>
        <v/>
      </c>
      <c r="Z21" s="2" t="str">
        <f t="shared" si="10"/>
        <v/>
      </c>
      <c r="AA21" s="2" t="str">
        <f t="shared" si="11"/>
        <v/>
      </c>
      <c r="AB21" s="2" t="str">
        <f t="shared" si="12"/>
        <v/>
      </c>
      <c r="AC21" s="2" t="str">
        <f t="shared" si="13"/>
        <v/>
      </c>
      <c r="AD21" s="2" t="str">
        <f t="shared" si="14"/>
        <v/>
      </c>
      <c r="AE21" s="2" t="str">
        <f t="shared" si="15"/>
        <v/>
      </c>
      <c r="AF21" s="2" t="str">
        <f t="shared" si="16"/>
        <v/>
      </c>
      <c r="AG21" s="2" t="str">
        <f t="shared" si="17"/>
        <v/>
      </c>
      <c r="AH21" s="2" t="str">
        <f t="shared" si="18"/>
        <v/>
      </c>
      <c r="AI21" s="2" t="str">
        <f t="shared" si="19"/>
        <v/>
      </c>
      <c r="AJ21" s="2" t="str">
        <f t="shared" si="20"/>
        <v/>
      </c>
      <c r="AK21" s="2" t="str">
        <f t="shared" si="21"/>
        <v/>
      </c>
      <c r="AL21" s="2" t="str">
        <f t="shared" si="22"/>
        <v/>
      </c>
      <c r="AM21" s="2" t="str">
        <f t="shared" si="23"/>
        <v/>
      </c>
      <c r="AN21" s="2" t="str">
        <f t="shared" si="24"/>
        <v/>
      </c>
      <c r="AP21" s="2" t="str" cm="1">
        <f t="array" ref="AP21">IF('NILAI CPL'!$B21&lt;&gt;"",IFERROR(_xlfn.IFS(S21&gt;='NILAI CPL'!$B$3,4,S21&gt;='NILAI CPL'!$B$4,3,S21&gt;='NILAI CPL'!$B$5,2,S21&gt;'NILAI CPL'!$B$6,1),0),"")</f>
        <v/>
      </c>
      <c r="AQ21" s="2" t="str" cm="1">
        <f t="array" ref="AQ21">IF('NILAI CPL'!$B21&lt;&gt;"",IFERROR(_xlfn.IFS(T21&gt;='NILAI CPL'!$B$3,4,T21&gt;='NILAI CPL'!$B$4,3,T21&gt;='NILAI CPL'!$B$5,2,T21&gt;'NILAI CPL'!$B$6,1),0),"")</f>
        <v/>
      </c>
      <c r="AR21" s="2" t="str" cm="1">
        <f t="array" ref="AR21">IF('NILAI CPL'!$B21&lt;&gt;"",IFERROR(_xlfn.IFS(U21&gt;='NILAI CPL'!$B$3,4,U21&gt;='NILAI CPL'!$B$4,3,U21&gt;='NILAI CPL'!$B$5,2,U21&gt;'NILAI CPL'!$B$6,1),0),"")</f>
        <v/>
      </c>
      <c r="AS21" s="2" t="str" cm="1">
        <f t="array" ref="AS21">IF('NILAI CPL'!$B21&lt;&gt;"",IFERROR(_xlfn.IFS(V21&gt;='NILAI CPL'!$B$3,4,V21&gt;='NILAI CPL'!$B$4,3,V21&gt;='NILAI CPL'!$B$5,2,V21&gt;'NILAI CPL'!$B$6,1),0),"")</f>
        <v/>
      </c>
      <c r="AT21" s="2" t="str" cm="1">
        <f t="array" ref="AT21">IF('NILAI CPL'!$B21&lt;&gt;"",IFERROR(_xlfn.IFS(W21&gt;='NILAI CPL'!$B$3,4,W21&gt;='NILAI CPL'!$B$4,3,W21&gt;='NILAI CPL'!$B$5,2,W21&gt;'NILAI CPL'!$B$6,1),0),"")</f>
        <v/>
      </c>
      <c r="AU21" s="2" t="str" cm="1">
        <f t="array" ref="AU21">IF('NILAI CPL'!$B21&lt;&gt;"",IFERROR(_xlfn.IFS(X21&gt;='NILAI CPL'!$B$3,4,X21&gt;='NILAI CPL'!$B$4,3,X21&gt;='NILAI CPL'!$B$5,2,X21&gt;'NILAI CPL'!$B$6,1),0),"")</f>
        <v/>
      </c>
      <c r="AV21" s="2" t="str" cm="1">
        <f t="array" ref="AV21">IF('NILAI CPL'!$B21&lt;&gt;"",IFERROR(_xlfn.IFS(Y21&gt;='NILAI CPL'!$B$3,4,Y21&gt;='NILAI CPL'!$B$4,3,Y21&gt;='NILAI CPL'!$B$5,2,Y21&gt;'NILAI CPL'!$B$6,1),0),"")</f>
        <v/>
      </c>
      <c r="AW21" s="2" t="str" cm="1">
        <f t="array" ref="AW21">IF('NILAI CPL'!$B21&lt;&gt;"",IFERROR(_xlfn.IFS(Z21&gt;='NILAI CPL'!$B$3,4,Z21&gt;='NILAI CPL'!$B$4,3,Z21&gt;='NILAI CPL'!$B$5,2,Z21&gt;'NILAI CPL'!$B$6,1),0),"")</f>
        <v/>
      </c>
      <c r="AX21" s="2" t="str" cm="1">
        <f t="array" ref="AX21">IF('NILAI CPL'!$B21&lt;&gt;"",IFERROR(_xlfn.IFS(AA21&gt;='NILAI CPL'!$B$3,4,AA21&gt;='NILAI CPL'!$B$4,3,AA21&gt;='NILAI CPL'!$B$5,2,AA21&gt;'NILAI CPL'!$B$6,1),0),"")</f>
        <v/>
      </c>
      <c r="AY21" s="2" t="str" cm="1">
        <f t="array" ref="AY21">IF('NILAI CPL'!$B21&lt;&gt;"",IFERROR(_xlfn.IFS(AB21&gt;='NILAI CPL'!$B$3,4,AB21&gt;='NILAI CPL'!$B$4,3,AB21&gt;='NILAI CPL'!$B$5,2,AB21&gt;'NILAI CPL'!$B$6,1),0),"")</f>
        <v/>
      </c>
      <c r="AZ21" s="2" t="str" cm="1">
        <f t="array" ref="AZ21">IF('NILAI CPL'!$B21&lt;&gt;"",IFERROR(_xlfn.IFS(AC21&gt;='NILAI CPL'!$B$3,4,AC21&gt;='NILAI CPL'!$B$4,3,AC21&gt;='NILAI CPL'!$B$5,2,AC21&gt;'NILAI CPL'!$B$6,1),0),"")</f>
        <v/>
      </c>
      <c r="BA21" s="2" t="str" cm="1">
        <f t="array" ref="BA21">IF('NILAI CPL'!$B21&lt;&gt;"",IFERROR(_xlfn.IFS(AD21&gt;='NILAI CPL'!$B$3,4,AD21&gt;='NILAI CPL'!$B$4,3,AD21&gt;='NILAI CPL'!$B$5,2,AD21&gt;'NILAI CPL'!$B$6,1),0),"")</f>
        <v/>
      </c>
      <c r="BB21" s="2" t="str" cm="1">
        <f t="array" ref="BB21">IF('NILAI CPL'!$B21&lt;&gt;"",IFERROR(_xlfn.IFS(AE21&gt;='NILAI CPL'!$B$3,4,AE21&gt;='NILAI CPL'!$B$4,3,AE21&gt;='NILAI CPL'!$B$5,2,AE21&gt;'NILAI CPL'!$B$6,1),0),"")</f>
        <v/>
      </c>
      <c r="BC21" s="2" t="str" cm="1">
        <f t="array" ref="BC21">IF('NILAI CPL'!$B21&lt;&gt;"",IFERROR(_xlfn.IFS(AF21&gt;='NILAI CPL'!$B$3,4,AF21&gt;='NILAI CPL'!$B$4,3,AF21&gt;='NILAI CPL'!$B$5,2,AF21&gt;'NILAI CPL'!$B$6,1),0),"")</f>
        <v/>
      </c>
      <c r="BD21" s="2" t="str" cm="1">
        <f t="array" ref="BD21">IF('NILAI CPL'!$B21&lt;&gt;"",IFERROR(_xlfn.IFS(AG21&gt;='NILAI CPL'!$B$3,4,AG21&gt;='NILAI CPL'!$B$4,3,AG21&gt;='NILAI CPL'!$B$5,2,AG21&gt;'NILAI CPL'!$B$6,1),0),"")</f>
        <v/>
      </c>
      <c r="BE21" s="2" t="str" cm="1">
        <f t="array" ref="BE21">IF('NILAI CPL'!$B21&lt;&gt;"",IFERROR(_xlfn.IFS(AH21&gt;='NILAI CPL'!$B$3,4,AH21&gt;='NILAI CPL'!$B$4,3,AH21&gt;='NILAI CPL'!$B$5,2,AH21&gt;'NILAI CPL'!$B$6,1),0),"")</f>
        <v/>
      </c>
      <c r="BF21" s="2" t="str" cm="1">
        <f t="array" ref="BF21">IF('NILAI CPL'!$B21&lt;&gt;"",IFERROR(_xlfn.IFS(AI21&gt;='NILAI CPL'!$B$3,4,AI21&gt;='NILAI CPL'!$B$4,3,AI21&gt;='NILAI CPL'!$B$5,2,AI21&gt;'NILAI CPL'!$B$6,1),0),"")</f>
        <v/>
      </c>
      <c r="BG21" s="2" t="str" cm="1">
        <f t="array" ref="BG21">IF('NILAI CPL'!$B21&lt;&gt;"",IFERROR(_xlfn.IFS(AJ21&gt;='NILAI CPL'!$B$3,4,AJ21&gt;='NILAI CPL'!$B$4,3,AJ21&gt;='NILAI CPL'!$B$5,2,AJ21&gt;'NILAI CPL'!$B$6,1),0),"")</f>
        <v/>
      </c>
      <c r="BH21" s="2" t="str" cm="1">
        <f t="array" ref="BH21">IF('NILAI CPL'!$B21&lt;&gt;"",IFERROR(_xlfn.IFS(AK21&gt;='NILAI CPL'!$B$3,4,AK21&gt;='NILAI CPL'!$B$4,3,AK21&gt;='NILAI CPL'!$B$5,2,AK21&gt;'NILAI CPL'!$B$6,1),0),"")</f>
        <v/>
      </c>
      <c r="BI21" s="2" t="str" cm="1">
        <f t="array" ref="BI21">IF('NILAI CPL'!$B21&lt;&gt;"",IFERROR(_xlfn.IFS(AL21&gt;='NILAI CPL'!$B$3,4,AL21&gt;='NILAI CPL'!$B$4,3,AL21&gt;='NILAI CPL'!$B$5,2,AL21&gt;'NILAI CPL'!$B$6,1),0),"")</f>
        <v/>
      </c>
      <c r="BJ21" s="2" t="str" cm="1">
        <f t="array" ref="BJ21">IF('NILAI CPL'!$B21&lt;&gt;"",IFERROR(_xlfn.IFS(AM21&gt;='NILAI CPL'!$B$3,4,AM21&gt;='NILAI CPL'!$B$4,3,AM21&gt;='NILAI CPL'!$B$5,2,AM21&gt;'NILAI CPL'!$B$6,1),0),"")</f>
        <v/>
      </c>
      <c r="BK21" s="2" t="str" cm="1">
        <f t="array" ref="BK21">IF('NILAI CPL'!$B21&lt;&gt;"",IFERROR(_xlfn.IFS(AN21&gt;='NILAI CPL'!$B$3,4,AN21&gt;='NILAI CPL'!$B$4,3,AN21&gt;='NILAI CPL'!$B$5,2,AN21&gt;'NILAI CPL'!$B$6,1),0),"")</f>
        <v/>
      </c>
    </row>
    <row r="22" spans="1:63" x14ac:dyDescent="0.2">
      <c r="A22" s="2">
        <v>12</v>
      </c>
      <c r="B22" s="2" t="str">
        <f>IF(LEN(SUMMARY!B22)&gt;0, SUMMARY!B22, "")</f>
        <v/>
      </c>
      <c r="C22" s="2" t="str">
        <f>IF(LEN(SUMMARY!C22)&gt;0, SUMMARY!C22, "")</f>
        <v/>
      </c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" t="str">
        <f t="shared" si="2"/>
        <v/>
      </c>
      <c r="S22" s="2" t="str">
        <f t="shared" si="3"/>
        <v/>
      </c>
      <c r="T22" s="2" t="str">
        <f t="shared" si="4"/>
        <v/>
      </c>
      <c r="U22" s="2" t="str">
        <f t="shared" si="5"/>
        <v/>
      </c>
      <c r="V22" s="2" t="str">
        <f t="shared" si="6"/>
        <v/>
      </c>
      <c r="W22" s="2" t="str">
        <f t="shared" si="7"/>
        <v/>
      </c>
      <c r="X22" s="2" t="str">
        <f t="shared" si="8"/>
        <v/>
      </c>
      <c r="Y22" s="2" t="str">
        <f t="shared" si="9"/>
        <v/>
      </c>
      <c r="Z22" s="2" t="str">
        <f t="shared" si="10"/>
        <v/>
      </c>
      <c r="AA22" s="2" t="str">
        <f t="shared" si="11"/>
        <v/>
      </c>
      <c r="AB22" s="2" t="str">
        <f t="shared" si="12"/>
        <v/>
      </c>
      <c r="AC22" s="2" t="str">
        <f t="shared" si="13"/>
        <v/>
      </c>
      <c r="AD22" s="2" t="str">
        <f t="shared" si="14"/>
        <v/>
      </c>
      <c r="AE22" s="2" t="str">
        <f t="shared" si="15"/>
        <v/>
      </c>
      <c r="AF22" s="2" t="str">
        <f t="shared" si="16"/>
        <v/>
      </c>
      <c r="AG22" s="2" t="str">
        <f t="shared" si="17"/>
        <v/>
      </c>
      <c r="AH22" s="2" t="str">
        <f t="shared" si="18"/>
        <v/>
      </c>
      <c r="AI22" s="2" t="str">
        <f t="shared" si="19"/>
        <v/>
      </c>
      <c r="AJ22" s="2" t="str">
        <f t="shared" si="20"/>
        <v/>
      </c>
      <c r="AK22" s="2" t="str">
        <f t="shared" si="21"/>
        <v/>
      </c>
      <c r="AL22" s="2" t="str">
        <f t="shared" si="22"/>
        <v/>
      </c>
      <c r="AM22" s="2" t="str">
        <f t="shared" si="23"/>
        <v/>
      </c>
      <c r="AN22" s="2" t="str">
        <f t="shared" si="24"/>
        <v/>
      </c>
      <c r="AP22" s="2" t="str" cm="1">
        <f t="array" ref="AP22">IF('NILAI CPL'!$B22&lt;&gt;"",IFERROR(_xlfn.IFS(S22&gt;='NILAI CPL'!$B$3,4,S22&gt;='NILAI CPL'!$B$4,3,S22&gt;='NILAI CPL'!$B$5,2,S22&gt;'NILAI CPL'!$B$6,1),0),"")</f>
        <v/>
      </c>
      <c r="AQ22" s="2" t="str" cm="1">
        <f t="array" ref="AQ22">IF('NILAI CPL'!$B22&lt;&gt;"",IFERROR(_xlfn.IFS(T22&gt;='NILAI CPL'!$B$3,4,T22&gt;='NILAI CPL'!$B$4,3,T22&gt;='NILAI CPL'!$B$5,2,T22&gt;'NILAI CPL'!$B$6,1),0),"")</f>
        <v/>
      </c>
      <c r="AR22" s="2" t="str" cm="1">
        <f t="array" ref="AR22">IF('NILAI CPL'!$B22&lt;&gt;"",IFERROR(_xlfn.IFS(U22&gt;='NILAI CPL'!$B$3,4,U22&gt;='NILAI CPL'!$B$4,3,U22&gt;='NILAI CPL'!$B$5,2,U22&gt;'NILAI CPL'!$B$6,1),0),"")</f>
        <v/>
      </c>
      <c r="AS22" s="2" t="str" cm="1">
        <f t="array" ref="AS22">IF('NILAI CPL'!$B22&lt;&gt;"",IFERROR(_xlfn.IFS(V22&gt;='NILAI CPL'!$B$3,4,V22&gt;='NILAI CPL'!$B$4,3,V22&gt;='NILAI CPL'!$B$5,2,V22&gt;'NILAI CPL'!$B$6,1),0),"")</f>
        <v/>
      </c>
      <c r="AT22" s="2" t="str" cm="1">
        <f t="array" ref="AT22">IF('NILAI CPL'!$B22&lt;&gt;"",IFERROR(_xlfn.IFS(W22&gt;='NILAI CPL'!$B$3,4,W22&gt;='NILAI CPL'!$B$4,3,W22&gt;='NILAI CPL'!$B$5,2,W22&gt;'NILAI CPL'!$B$6,1),0),"")</f>
        <v/>
      </c>
      <c r="AU22" s="2" t="str" cm="1">
        <f t="array" ref="AU22">IF('NILAI CPL'!$B22&lt;&gt;"",IFERROR(_xlfn.IFS(X22&gt;='NILAI CPL'!$B$3,4,X22&gt;='NILAI CPL'!$B$4,3,X22&gt;='NILAI CPL'!$B$5,2,X22&gt;'NILAI CPL'!$B$6,1),0),"")</f>
        <v/>
      </c>
      <c r="AV22" s="2" t="str" cm="1">
        <f t="array" ref="AV22">IF('NILAI CPL'!$B22&lt;&gt;"",IFERROR(_xlfn.IFS(Y22&gt;='NILAI CPL'!$B$3,4,Y22&gt;='NILAI CPL'!$B$4,3,Y22&gt;='NILAI CPL'!$B$5,2,Y22&gt;'NILAI CPL'!$B$6,1),0),"")</f>
        <v/>
      </c>
      <c r="AW22" s="2" t="str" cm="1">
        <f t="array" ref="AW22">IF('NILAI CPL'!$B22&lt;&gt;"",IFERROR(_xlfn.IFS(Z22&gt;='NILAI CPL'!$B$3,4,Z22&gt;='NILAI CPL'!$B$4,3,Z22&gt;='NILAI CPL'!$B$5,2,Z22&gt;'NILAI CPL'!$B$6,1),0),"")</f>
        <v/>
      </c>
      <c r="AX22" s="2" t="str" cm="1">
        <f t="array" ref="AX22">IF('NILAI CPL'!$B22&lt;&gt;"",IFERROR(_xlfn.IFS(AA22&gt;='NILAI CPL'!$B$3,4,AA22&gt;='NILAI CPL'!$B$4,3,AA22&gt;='NILAI CPL'!$B$5,2,AA22&gt;'NILAI CPL'!$B$6,1),0),"")</f>
        <v/>
      </c>
      <c r="AY22" s="2" t="str" cm="1">
        <f t="array" ref="AY22">IF('NILAI CPL'!$B22&lt;&gt;"",IFERROR(_xlfn.IFS(AB22&gt;='NILAI CPL'!$B$3,4,AB22&gt;='NILAI CPL'!$B$4,3,AB22&gt;='NILAI CPL'!$B$5,2,AB22&gt;'NILAI CPL'!$B$6,1),0),"")</f>
        <v/>
      </c>
      <c r="AZ22" s="2" t="str" cm="1">
        <f t="array" ref="AZ22">IF('NILAI CPL'!$B22&lt;&gt;"",IFERROR(_xlfn.IFS(AC22&gt;='NILAI CPL'!$B$3,4,AC22&gt;='NILAI CPL'!$B$4,3,AC22&gt;='NILAI CPL'!$B$5,2,AC22&gt;'NILAI CPL'!$B$6,1),0),"")</f>
        <v/>
      </c>
      <c r="BA22" s="2" t="str" cm="1">
        <f t="array" ref="BA22">IF('NILAI CPL'!$B22&lt;&gt;"",IFERROR(_xlfn.IFS(AD22&gt;='NILAI CPL'!$B$3,4,AD22&gt;='NILAI CPL'!$B$4,3,AD22&gt;='NILAI CPL'!$B$5,2,AD22&gt;'NILAI CPL'!$B$6,1),0),"")</f>
        <v/>
      </c>
      <c r="BB22" s="2" t="str" cm="1">
        <f t="array" ref="BB22">IF('NILAI CPL'!$B22&lt;&gt;"",IFERROR(_xlfn.IFS(AE22&gt;='NILAI CPL'!$B$3,4,AE22&gt;='NILAI CPL'!$B$4,3,AE22&gt;='NILAI CPL'!$B$5,2,AE22&gt;'NILAI CPL'!$B$6,1),0),"")</f>
        <v/>
      </c>
      <c r="BC22" s="2" t="str" cm="1">
        <f t="array" ref="BC22">IF('NILAI CPL'!$B22&lt;&gt;"",IFERROR(_xlfn.IFS(AF22&gt;='NILAI CPL'!$B$3,4,AF22&gt;='NILAI CPL'!$B$4,3,AF22&gt;='NILAI CPL'!$B$5,2,AF22&gt;'NILAI CPL'!$B$6,1),0),"")</f>
        <v/>
      </c>
      <c r="BD22" s="2" t="str" cm="1">
        <f t="array" ref="BD22">IF('NILAI CPL'!$B22&lt;&gt;"",IFERROR(_xlfn.IFS(AG22&gt;='NILAI CPL'!$B$3,4,AG22&gt;='NILAI CPL'!$B$4,3,AG22&gt;='NILAI CPL'!$B$5,2,AG22&gt;'NILAI CPL'!$B$6,1),0),"")</f>
        <v/>
      </c>
      <c r="BE22" s="2" t="str" cm="1">
        <f t="array" ref="BE22">IF('NILAI CPL'!$B22&lt;&gt;"",IFERROR(_xlfn.IFS(AH22&gt;='NILAI CPL'!$B$3,4,AH22&gt;='NILAI CPL'!$B$4,3,AH22&gt;='NILAI CPL'!$B$5,2,AH22&gt;'NILAI CPL'!$B$6,1),0),"")</f>
        <v/>
      </c>
      <c r="BF22" s="2" t="str" cm="1">
        <f t="array" ref="BF22">IF('NILAI CPL'!$B22&lt;&gt;"",IFERROR(_xlfn.IFS(AI22&gt;='NILAI CPL'!$B$3,4,AI22&gt;='NILAI CPL'!$B$4,3,AI22&gt;='NILAI CPL'!$B$5,2,AI22&gt;'NILAI CPL'!$B$6,1),0),"")</f>
        <v/>
      </c>
      <c r="BG22" s="2" t="str" cm="1">
        <f t="array" ref="BG22">IF('NILAI CPL'!$B22&lt;&gt;"",IFERROR(_xlfn.IFS(AJ22&gt;='NILAI CPL'!$B$3,4,AJ22&gt;='NILAI CPL'!$B$4,3,AJ22&gt;='NILAI CPL'!$B$5,2,AJ22&gt;'NILAI CPL'!$B$6,1),0),"")</f>
        <v/>
      </c>
      <c r="BH22" s="2" t="str" cm="1">
        <f t="array" ref="BH22">IF('NILAI CPL'!$B22&lt;&gt;"",IFERROR(_xlfn.IFS(AK22&gt;='NILAI CPL'!$B$3,4,AK22&gt;='NILAI CPL'!$B$4,3,AK22&gt;='NILAI CPL'!$B$5,2,AK22&gt;'NILAI CPL'!$B$6,1),0),"")</f>
        <v/>
      </c>
      <c r="BI22" s="2" t="str" cm="1">
        <f t="array" ref="BI22">IF('NILAI CPL'!$B22&lt;&gt;"",IFERROR(_xlfn.IFS(AL22&gt;='NILAI CPL'!$B$3,4,AL22&gt;='NILAI CPL'!$B$4,3,AL22&gt;='NILAI CPL'!$B$5,2,AL22&gt;'NILAI CPL'!$B$6,1),0),"")</f>
        <v/>
      </c>
      <c r="BJ22" s="2" t="str" cm="1">
        <f t="array" ref="BJ22">IF('NILAI CPL'!$B22&lt;&gt;"",IFERROR(_xlfn.IFS(AM22&gt;='NILAI CPL'!$B$3,4,AM22&gt;='NILAI CPL'!$B$4,3,AM22&gt;='NILAI CPL'!$B$5,2,AM22&gt;'NILAI CPL'!$B$6,1),0),"")</f>
        <v/>
      </c>
      <c r="BK22" s="2" t="str" cm="1">
        <f t="array" ref="BK22">IF('NILAI CPL'!$B22&lt;&gt;"",IFERROR(_xlfn.IFS(AN22&gt;='NILAI CPL'!$B$3,4,AN22&gt;='NILAI CPL'!$B$4,3,AN22&gt;='NILAI CPL'!$B$5,2,AN22&gt;'NILAI CPL'!$B$6,1),0),"")</f>
        <v/>
      </c>
    </row>
    <row r="23" spans="1:63" x14ac:dyDescent="0.2">
      <c r="A23" s="2">
        <v>13</v>
      </c>
      <c r="B23" s="2" t="str">
        <f>IF(LEN(SUMMARY!B23)&gt;0, SUMMARY!B23, "")</f>
        <v/>
      </c>
      <c r="C23" s="2" t="str">
        <f>IF(LEN(SUMMARY!C23)&gt;0, SUMMARY!C23, "")</f>
        <v/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" t="str">
        <f t="shared" si="2"/>
        <v/>
      </c>
      <c r="S23" s="2" t="str">
        <f t="shared" si="3"/>
        <v/>
      </c>
      <c r="T23" s="2" t="str">
        <f t="shared" si="4"/>
        <v/>
      </c>
      <c r="U23" s="2" t="str">
        <f t="shared" si="5"/>
        <v/>
      </c>
      <c r="V23" s="2" t="str">
        <f t="shared" si="6"/>
        <v/>
      </c>
      <c r="W23" s="2" t="str">
        <f t="shared" si="7"/>
        <v/>
      </c>
      <c r="X23" s="2" t="str">
        <f t="shared" si="8"/>
        <v/>
      </c>
      <c r="Y23" s="2" t="str">
        <f t="shared" si="9"/>
        <v/>
      </c>
      <c r="Z23" s="2" t="str">
        <f t="shared" si="10"/>
        <v/>
      </c>
      <c r="AA23" s="2" t="str">
        <f t="shared" si="11"/>
        <v/>
      </c>
      <c r="AB23" s="2" t="str">
        <f t="shared" si="12"/>
        <v/>
      </c>
      <c r="AC23" s="2" t="str">
        <f t="shared" si="13"/>
        <v/>
      </c>
      <c r="AD23" s="2" t="str">
        <f t="shared" si="14"/>
        <v/>
      </c>
      <c r="AE23" s="2" t="str">
        <f t="shared" si="15"/>
        <v/>
      </c>
      <c r="AF23" s="2" t="str">
        <f t="shared" si="16"/>
        <v/>
      </c>
      <c r="AG23" s="2" t="str">
        <f t="shared" si="17"/>
        <v/>
      </c>
      <c r="AH23" s="2" t="str">
        <f t="shared" si="18"/>
        <v/>
      </c>
      <c r="AI23" s="2" t="str">
        <f t="shared" si="19"/>
        <v/>
      </c>
      <c r="AJ23" s="2" t="str">
        <f t="shared" si="20"/>
        <v/>
      </c>
      <c r="AK23" s="2" t="str">
        <f t="shared" si="21"/>
        <v/>
      </c>
      <c r="AL23" s="2" t="str">
        <f t="shared" si="22"/>
        <v/>
      </c>
      <c r="AM23" s="2" t="str">
        <f t="shared" si="23"/>
        <v/>
      </c>
      <c r="AN23" s="2" t="str">
        <f t="shared" si="24"/>
        <v/>
      </c>
      <c r="AP23" s="2" t="str" cm="1">
        <f t="array" ref="AP23">IF('NILAI CPL'!$B23&lt;&gt;"",IFERROR(_xlfn.IFS(S23&gt;='NILAI CPL'!$B$3,4,S23&gt;='NILAI CPL'!$B$4,3,S23&gt;='NILAI CPL'!$B$5,2,S23&gt;'NILAI CPL'!$B$6,1),0),"")</f>
        <v/>
      </c>
      <c r="AQ23" s="2" t="str" cm="1">
        <f t="array" ref="AQ23">IF('NILAI CPL'!$B23&lt;&gt;"",IFERROR(_xlfn.IFS(T23&gt;='NILAI CPL'!$B$3,4,T23&gt;='NILAI CPL'!$B$4,3,T23&gt;='NILAI CPL'!$B$5,2,T23&gt;'NILAI CPL'!$B$6,1),0),"")</f>
        <v/>
      </c>
      <c r="AR23" s="2" t="str" cm="1">
        <f t="array" ref="AR23">IF('NILAI CPL'!$B23&lt;&gt;"",IFERROR(_xlfn.IFS(U23&gt;='NILAI CPL'!$B$3,4,U23&gt;='NILAI CPL'!$B$4,3,U23&gt;='NILAI CPL'!$B$5,2,U23&gt;'NILAI CPL'!$B$6,1),0),"")</f>
        <v/>
      </c>
      <c r="AS23" s="2" t="str" cm="1">
        <f t="array" ref="AS23">IF('NILAI CPL'!$B23&lt;&gt;"",IFERROR(_xlfn.IFS(V23&gt;='NILAI CPL'!$B$3,4,V23&gt;='NILAI CPL'!$B$4,3,V23&gt;='NILAI CPL'!$B$5,2,V23&gt;'NILAI CPL'!$B$6,1),0),"")</f>
        <v/>
      </c>
      <c r="AT23" s="2" t="str" cm="1">
        <f t="array" ref="AT23">IF('NILAI CPL'!$B23&lt;&gt;"",IFERROR(_xlfn.IFS(W23&gt;='NILAI CPL'!$B$3,4,W23&gt;='NILAI CPL'!$B$4,3,W23&gt;='NILAI CPL'!$B$5,2,W23&gt;'NILAI CPL'!$B$6,1),0),"")</f>
        <v/>
      </c>
      <c r="AU23" s="2" t="str" cm="1">
        <f t="array" ref="AU23">IF('NILAI CPL'!$B23&lt;&gt;"",IFERROR(_xlfn.IFS(X23&gt;='NILAI CPL'!$B$3,4,X23&gt;='NILAI CPL'!$B$4,3,X23&gt;='NILAI CPL'!$B$5,2,X23&gt;'NILAI CPL'!$B$6,1),0),"")</f>
        <v/>
      </c>
      <c r="AV23" s="2" t="str" cm="1">
        <f t="array" ref="AV23">IF('NILAI CPL'!$B23&lt;&gt;"",IFERROR(_xlfn.IFS(Y23&gt;='NILAI CPL'!$B$3,4,Y23&gt;='NILAI CPL'!$B$4,3,Y23&gt;='NILAI CPL'!$B$5,2,Y23&gt;'NILAI CPL'!$B$6,1),0),"")</f>
        <v/>
      </c>
      <c r="AW23" s="2" t="str" cm="1">
        <f t="array" ref="AW23">IF('NILAI CPL'!$B23&lt;&gt;"",IFERROR(_xlfn.IFS(Z23&gt;='NILAI CPL'!$B$3,4,Z23&gt;='NILAI CPL'!$B$4,3,Z23&gt;='NILAI CPL'!$B$5,2,Z23&gt;'NILAI CPL'!$B$6,1),0),"")</f>
        <v/>
      </c>
      <c r="AX23" s="2" t="str" cm="1">
        <f t="array" ref="AX23">IF('NILAI CPL'!$B23&lt;&gt;"",IFERROR(_xlfn.IFS(AA23&gt;='NILAI CPL'!$B$3,4,AA23&gt;='NILAI CPL'!$B$4,3,AA23&gt;='NILAI CPL'!$B$5,2,AA23&gt;'NILAI CPL'!$B$6,1),0),"")</f>
        <v/>
      </c>
      <c r="AY23" s="2" t="str" cm="1">
        <f t="array" ref="AY23">IF('NILAI CPL'!$B23&lt;&gt;"",IFERROR(_xlfn.IFS(AB23&gt;='NILAI CPL'!$B$3,4,AB23&gt;='NILAI CPL'!$B$4,3,AB23&gt;='NILAI CPL'!$B$5,2,AB23&gt;'NILAI CPL'!$B$6,1),0),"")</f>
        <v/>
      </c>
      <c r="AZ23" s="2" t="str" cm="1">
        <f t="array" ref="AZ23">IF('NILAI CPL'!$B23&lt;&gt;"",IFERROR(_xlfn.IFS(AC23&gt;='NILAI CPL'!$B$3,4,AC23&gt;='NILAI CPL'!$B$4,3,AC23&gt;='NILAI CPL'!$B$5,2,AC23&gt;'NILAI CPL'!$B$6,1),0),"")</f>
        <v/>
      </c>
      <c r="BA23" s="2" t="str" cm="1">
        <f t="array" ref="BA23">IF('NILAI CPL'!$B23&lt;&gt;"",IFERROR(_xlfn.IFS(AD23&gt;='NILAI CPL'!$B$3,4,AD23&gt;='NILAI CPL'!$B$4,3,AD23&gt;='NILAI CPL'!$B$5,2,AD23&gt;'NILAI CPL'!$B$6,1),0),"")</f>
        <v/>
      </c>
      <c r="BB23" s="2" t="str" cm="1">
        <f t="array" ref="BB23">IF('NILAI CPL'!$B23&lt;&gt;"",IFERROR(_xlfn.IFS(AE23&gt;='NILAI CPL'!$B$3,4,AE23&gt;='NILAI CPL'!$B$4,3,AE23&gt;='NILAI CPL'!$B$5,2,AE23&gt;'NILAI CPL'!$B$6,1),0),"")</f>
        <v/>
      </c>
      <c r="BC23" s="2" t="str" cm="1">
        <f t="array" ref="BC23">IF('NILAI CPL'!$B23&lt;&gt;"",IFERROR(_xlfn.IFS(AF23&gt;='NILAI CPL'!$B$3,4,AF23&gt;='NILAI CPL'!$B$4,3,AF23&gt;='NILAI CPL'!$B$5,2,AF23&gt;'NILAI CPL'!$B$6,1),0),"")</f>
        <v/>
      </c>
      <c r="BD23" s="2" t="str" cm="1">
        <f t="array" ref="BD23">IF('NILAI CPL'!$B23&lt;&gt;"",IFERROR(_xlfn.IFS(AG23&gt;='NILAI CPL'!$B$3,4,AG23&gt;='NILAI CPL'!$B$4,3,AG23&gt;='NILAI CPL'!$B$5,2,AG23&gt;'NILAI CPL'!$B$6,1),0),"")</f>
        <v/>
      </c>
      <c r="BE23" s="2" t="str" cm="1">
        <f t="array" ref="BE23">IF('NILAI CPL'!$B23&lt;&gt;"",IFERROR(_xlfn.IFS(AH23&gt;='NILAI CPL'!$B$3,4,AH23&gt;='NILAI CPL'!$B$4,3,AH23&gt;='NILAI CPL'!$B$5,2,AH23&gt;'NILAI CPL'!$B$6,1),0),"")</f>
        <v/>
      </c>
      <c r="BF23" s="2" t="str" cm="1">
        <f t="array" ref="BF23">IF('NILAI CPL'!$B23&lt;&gt;"",IFERROR(_xlfn.IFS(AI23&gt;='NILAI CPL'!$B$3,4,AI23&gt;='NILAI CPL'!$B$4,3,AI23&gt;='NILAI CPL'!$B$5,2,AI23&gt;'NILAI CPL'!$B$6,1),0),"")</f>
        <v/>
      </c>
      <c r="BG23" s="2" t="str" cm="1">
        <f t="array" ref="BG23">IF('NILAI CPL'!$B23&lt;&gt;"",IFERROR(_xlfn.IFS(AJ23&gt;='NILAI CPL'!$B$3,4,AJ23&gt;='NILAI CPL'!$B$4,3,AJ23&gt;='NILAI CPL'!$B$5,2,AJ23&gt;'NILAI CPL'!$B$6,1),0),"")</f>
        <v/>
      </c>
      <c r="BH23" s="2" t="str" cm="1">
        <f t="array" ref="BH23">IF('NILAI CPL'!$B23&lt;&gt;"",IFERROR(_xlfn.IFS(AK23&gt;='NILAI CPL'!$B$3,4,AK23&gt;='NILAI CPL'!$B$4,3,AK23&gt;='NILAI CPL'!$B$5,2,AK23&gt;'NILAI CPL'!$B$6,1),0),"")</f>
        <v/>
      </c>
      <c r="BI23" s="2" t="str" cm="1">
        <f t="array" ref="BI23">IF('NILAI CPL'!$B23&lt;&gt;"",IFERROR(_xlfn.IFS(AL23&gt;='NILAI CPL'!$B$3,4,AL23&gt;='NILAI CPL'!$B$4,3,AL23&gt;='NILAI CPL'!$B$5,2,AL23&gt;'NILAI CPL'!$B$6,1),0),"")</f>
        <v/>
      </c>
      <c r="BJ23" s="2" t="str" cm="1">
        <f t="array" ref="BJ23">IF('NILAI CPL'!$B23&lt;&gt;"",IFERROR(_xlfn.IFS(AM23&gt;='NILAI CPL'!$B$3,4,AM23&gt;='NILAI CPL'!$B$4,3,AM23&gt;='NILAI CPL'!$B$5,2,AM23&gt;'NILAI CPL'!$B$6,1),0),"")</f>
        <v/>
      </c>
      <c r="BK23" s="2" t="str" cm="1">
        <f t="array" ref="BK23">IF('NILAI CPL'!$B23&lt;&gt;"",IFERROR(_xlfn.IFS(AN23&gt;='NILAI CPL'!$B$3,4,AN23&gt;='NILAI CPL'!$B$4,3,AN23&gt;='NILAI CPL'!$B$5,2,AN23&gt;'NILAI CPL'!$B$6,1),0),"")</f>
        <v/>
      </c>
    </row>
    <row r="24" spans="1:63" x14ac:dyDescent="0.2">
      <c r="A24" s="2">
        <v>14</v>
      </c>
      <c r="B24" s="2" t="str">
        <f>IF(LEN(SUMMARY!B24)&gt;0, SUMMARY!B24, "")</f>
        <v/>
      </c>
      <c r="C24" s="2" t="str">
        <f>IF(LEN(SUMMARY!C24)&gt;0, SUMMARY!C24, "")</f>
        <v/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" t="str">
        <f t="shared" si="2"/>
        <v/>
      </c>
      <c r="S24" s="2" t="str">
        <f t="shared" si="3"/>
        <v/>
      </c>
      <c r="T24" s="2" t="str">
        <f t="shared" si="4"/>
        <v/>
      </c>
      <c r="U24" s="2" t="str">
        <f t="shared" si="5"/>
        <v/>
      </c>
      <c r="V24" s="2" t="str">
        <f t="shared" si="6"/>
        <v/>
      </c>
      <c r="W24" s="2" t="str">
        <f t="shared" si="7"/>
        <v/>
      </c>
      <c r="X24" s="2" t="str">
        <f t="shared" si="8"/>
        <v/>
      </c>
      <c r="Y24" s="2" t="str">
        <f t="shared" si="9"/>
        <v/>
      </c>
      <c r="Z24" s="2" t="str">
        <f t="shared" si="10"/>
        <v/>
      </c>
      <c r="AA24" s="2" t="str">
        <f t="shared" si="11"/>
        <v/>
      </c>
      <c r="AB24" s="2" t="str">
        <f t="shared" si="12"/>
        <v/>
      </c>
      <c r="AC24" s="2" t="str">
        <f t="shared" si="13"/>
        <v/>
      </c>
      <c r="AD24" s="2" t="str">
        <f t="shared" si="14"/>
        <v/>
      </c>
      <c r="AE24" s="2" t="str">
        <f t="shared" si="15"/>
        <v/>
      </c>
      <c r="AF24" s="2" t="str">
        <f t="shared" si="16"/>
        <v/>
      </c>
      <c r="AG24" s="2" t="str">
        <f t="shared" si="17"/>
        <v/>
      </c>
      <c r="AH24" s="2" t="str">
        <f t="shared" si="18"/>
        <v/>
      </c>
      <c r="AI24" s="2" t="str">
        <f t="shared" si="19"/>
        <v/>
      </c>
      <c r="AJ24" s="2" t="str">
        <f t="shared" si="20"/>
        <v/>
      </c>
      <c r="AK24" s="2" t="str">
        <f t="shared" si="21"/>
        <v/>
      </c>
      <c r="AL24" s="2" t="str">
        <f t="shared" si="22"/>
        <v/>
      </c>
      <c r="AM24" s="2" t="str">
        <f t="shared" si="23"/>
        <v/>
      </c>
      <c r="AN24" s="2" t="str">
        <f t="shared" si="24"/>
        <v/>
      </c>
      <c r="AP24" s="2" t="str" cm="1">
        <f t="array" ref="AP24">IF('NILAI CPL'!$B24&lt;&gt;"",IFERROR(_xlfn.IFS(S24&gt;='NILAI CPL'!$B$3,4,S24&gt;='NILAI CPL'!$B$4,3,S24&gt;='NILAI CPL'!$B$5,2,S24&gt;'NILAI CPL'!$B$6,1),0),"")</f>
        <v/>
      </c>
      <c r="AQ24" s="2" t="str" cm="1">
        <f t="array" ref="AQ24">IF('NILAI CPL'!$B24&lt;&gt;"",IFERROR(_xlfn.IFS(T24&gt;='NILAI CPL'!$B$3,4,T24&gt;='NILAI CPL'!$B$4,3,T24&gt;='NILAI CPL'!$B$5,2,T24&gt;'NILAI CPL'!$B$6,1),0),"")</f>
        <v/>
      </c>
      <c r="AR24" s="2" t="str" cm="1">
        <f t="array" ref="AR24">IF('NILAI CPL'!$B24&lt;&gt;"",IFERROR(_xlfn.IFS(U24&gt;='NILAI CPL'!$B$3,4,U24&gt;='NILAI CPL'!$B$4,3,U24&gt;='NILAI CPL'!$B$5,2,U24&gt;'NILAI CPL'!$B$6,1),0),"")</f>
        <v/>
      </c>
      <c r="AS24" s="2" t="str" cm="1">
        <f t="array" ref="AS24">IF('NILAI CPL'!$B24&lt;&gt;"",IFERROR(_xlfn.IFS(V24&gt;='NILAI CPL'!$B$3,4,V24&gt;='NILAI CPL'!$B$4,3,V24&gt;='NILAI CPL'!$B$5,2,V24&gt;'NILAI CPL'!$B$6,1),0),"")</f>
        <v/>
      </c>
      <c r="AT24" s="2" t="str" cm="1">
        <f t="array" ref="AT24">IF('NILAI CPL'!$B24&lt;&gt;"",IFERROR(_xlfn.IFS(W24&gt;='NILAI CPL'!$B$3,4,W24&gt;='NILAI CPL'!$B$4,3,W24&gt;='NILAI CPL'!$B$5,2,W24&gt;'NILAI CPL'!$B$6,1),0),"")</f>
        <v/>
      </c>
      <c r="AU24" s="2" t="str" cm="1">
        <f t="array" ref="AU24">IF('NILAI CPL'!$B24&lt;&gt;"",IFERROR(_xlfn.IFS(X24&gt;='NILAI CPL'!$B$3,4,X24&gt;='NILAI CPL'!$B$4,3,X24&gt;='NILAI CPL'!$B$5,2,X24&gt;'NILAI CPL'!$B$6,1),0),"")</f>
        <v/>
      </c>
      <c r="AV24" s="2" t="str" cm="1">
        <f t="array" ref="AV24">IF('NILAI CPL'!$B24&lt;&gt;"",IFERROR(_xlfn.IFS(Y24&gt;='NILAI CPL'!$B$3,4,Y24&gt;='NILAI CPL'!$B$4,3,Y24&gt;='NILAI CPL'!$B$5,2,Y24&gt;'NILAI CPL'!$B$6,1),0),"")</f>
        <v/>
      </c>
      <c r="AW24" s="2" t="str" cm="1">
        <f t="array" ref="AW24">IF('NILAI CPL'!$B24&lt;&gt;"",IFERROR(_xlfn.IFS(Z24&gt;='NILAI CPL'!$B$3,4,Z24&gt;='NILAI CPL'!$B$4,3,Z24&gt;='NILAI CPL'!$B$5,2,Z24&gt;'NILAI CPL'!$B$6,1),0),"")</f>
        <v/>
      </c>
      <c r="AX24" s="2" t="str" cm="1">
        <f t="array" ref="AX24">IF('NILAI CPL'!$B24&lt;&gt;"",IFERROR(_xlfn.IFS(AA24&gt;='NILAI CPL'!$B$3,4,AA24&gt;='NILAI CPL'!$B$4,3,AA24&gt;='NILAI CPL'!$B$5,2,AA24&gt;'NILAI CPL'!$B$6,1),0),"")</f>
        <v/>
      </c>
      <c r="AY24" s="2" t="str" cm="1">
        <f t="array" ref="AY24">IF('NILAI CPL'!$B24&lt;&gt;"",IFERROR(_xlfn.IFS(AB24&gt;='NILAI CPL'!$B$3,4,AB24&gt;='NILAI CPL'!$B$4,3,AB24&gt;='NILAI CPL'!$B$5,2,AB24&gt;'NILAI CPL'!$B$6,1),0),"")</f>
        <v/>
      </c>
      <c r="AZ24" s="2" t="str" cm="1">
        <f t="array" ref="AZ24">IF('NILAI CPL'!$B24&lt;&gt;"",IFERROR(_xlfn.IFS(AC24&gt;='NILAI CPL'!$B$3,4,AC24&gt;='NILAI CPL'!$B$4,3,AC24&gt;='NILAI CPL'!$B$5,2,AC24&gt;'NILAI CPL'!$B$6,1),0),"")</f>
        <v/>
      </c>
      <c r="BA24" s="2" t="str" cm="1">
        <f t="array" ref="BA24">IF('NILAI CPL'!$B24&lt;&gt;"",IFERROR(_xlfn.IFS(AD24&gt;='NILAI CPL'!$B$3,4,AD24&gt;='NILAI CPL'!$B$4,3,AD24&gt;='NILAI CPL'!$B$5,2,AD24&gt;'NILAI CPL'!$B$6,1),0),"")</f>
        <v/>
      </c>
      <c r="BB24" s="2" t="str" cm="1">
        <f t="array" ref="BB24">IF('NILAI CPL'!$B24&lt;&gt;"",IFERROR(_xlfn.IFS(AE24&gt;='NILAI CPL'!$B$3,4,AE24&gt;='NILAI CPL'!$B$4,3,AE24&gt;='NILAI CPL'!$B$5,2,AE24&gt;'NILAI CPL'!$B$6,1),0),"")</f>
        <v/>
      </c>
      <c r="BC24" s="2" t="str" cm="1">
        <f t="array" ref="BC24">IF('NILAI CPL'!$B24&lt;&gt;"",IFERROR(_xlfn.IFS(AF24&gt;='NILAI CPL'!$B$3,4,AF24&gt;='NILAI CPL'!$B$4,3,AF24&gt;='NILAI CPL'!$B$5,2,AF24&gt;'NILAI CPL'!$B$6,1),0),"")</f>
        <v/>
      </c>
      <c r="BD24" s="2" t="str" cm="1">
        <f t="array" ref="BD24">IF('NILAI CPL'!$B24&lt;&gt;"",IFERROR(_xlfn.IFS(AG24&gt;='NILAI CPL'!$B$3,4,AG24&gt;='NILAI CPL'!$B$4,3,AG24&gt;='NILAI CPL'!$B$5,2,AG24&gt;'NILAI CPL'!$B$6,1),0),"")</f>
        <v/>
      </c>
      <c r="BE24" s="2" t="str" cm="1">
        <f t="array" ref="BE24">IF('NILAI CPL'!$B24&lt;&gt;"",IFERROR(_xlfn.IFS(AH24&gt;='NILAI CPL'!$B$3,4,AH24&gt;='NILAI CPL'!$B$4,3,AH24&gt;='NILAI CPL'!$B$5,2,AH24&gt;'NILAI CPL'!$B$6,1),0),"")</f>
        <v/>
      </c>
      <c r="BF24" s="2" t="str" cm="1">
        <f t="array" ref="BF24">IF('NILAI CPL'!$B24&lt;&gt;"",IFERROR(_xlfn.IFS(AI24&gt;='NILAI CPL'!$B$3,4,AI24&gt;='NILAI CPL'!$B$4,3,AI24&gt;='NILAI CPL'!$B$5,2,AI24&gt;'NILAI CPL'!$B$6,1),0),"")</f>
        <v/>
      </c>
      <c r="BG24" s="2" t="str" cm="1">
        <f t="array" ref="BG24">IF('NILAI CPL'!$B24&lt;&gt;"",IFERROR(_xlfn.IFS(AJ24&gt;='NILAI CPL'!$B$3,4,AJ24&gt;='NILAI CPL'!$B$4,3,AJ24&gt;='NILAI CPL'!$B$5,2,AJ24&gt;'NILAI CPL'!$B$6,1),0),"")</f>
        <v/>
      </c>
      <c r="BH24" s="2" t="str" cm="1">
        <f t="array" ref="BH24">IF('NILAI CPL'!$B24&lt;&gt;"",IFERROR(_xlfn.IFS(AK24&gt;='NILAI CPL'!$B$3,4,AK24&gt;='NILAI CPL'!$B$4,3,AK24&gt;='NILAI CPL'!$B$5,2,AK24&gt;'NILAI CPL'!$B$6,1),0),"")</f>
        <v/>
      </c>
      <c r="BI24" s="2" t="str" cm="1">
        <f t="array" ref="BI24">IF('NILAI CPL'!$B24&lt;&gt;"",IFERROR(_xlfn.IFS(AL24&gt;='NILAI CPL'!$B$3,4,AL24&gt;='NILAI CPL'!$B$4,3,AL24&gt;='NILAI CPL'!$B$5,2,AL24&gt;'NILAI CPL'!$B$6,1),0),"")</f>
        <v/>
      </c>
      <c r="BJ24" s="2" t="str" cm="1">
        <f t="array" ref="BJ24">IF('NILAI CPL'!$B24&lt;&gt;"",IFERROR(_xlfn.IFS(AM24&gt;='NILAI CPL'!$B$3,4,AM24&gt;='NILAI CPL'!$B$4,3,AM24&gt;='NILAI CPL'!$B$5,2,AM24&gt;'NILAI CPL'!$B$6,1),0),"")</f>
        <v/>
      </c>
      <c r="BK24" s="2" t="str" cm="1">
        <f t="array" ref="BK24">IF('NILAI CPL'!$B24&lt;&gt;"",IFERROR(_xlfn.IFS(AN24&gt;='NILAI CPL'!$B$3,4,AN24&gt;='NILAI CPL'!$B$4,3,AN24&gt;='NILAI CPL'!$B$5,2,AN24&gt;'NILAI CPL'!$B$6,1),0),"")</f>
        <v/>
      </c>
    </row>
    <row r="25" spans="1:63" x14ac:dyDescent="0.2">
      <c r="A25" s="2">
        <v>15</v>
      </c>
      <c r="B25" s="2" t="str">
        <f>IF(LEN(SUMMARY!B25)&gt;0, SUMMARY!B25, "")</f>
        <v/>
      </c>
      <c r="C25" s="2" t="str">
        <f>IF(LEN(SUMMARY!C25)&gt;0, SUMMARY!C25, "")</f>
        <v/>
      </c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" t="str">
        <f t="shared" si="2"/>
        <v/>
      </c>
      <c r="S25" s="2" t="str">
        <f t="shared" si="3"/>
        <v/>
      </c>
      <c r="T25" s="2" t="str">
        <f t="shared" si="4"/>
        <v/>
      </c>
      <c r="U25" s="2" t="str">
        <f t="shared" si="5"/>
        <v/>
      </c>
      <c r="V25" s="2" t="str">
        <f t="shared" si="6"/>
        <v/>
      </c>
      <c r="W25" s="2" t="str">
        <f t="shared" si="7"/>
        <v/>
      </c>
      <c r="X25" s="2" t="str">
        <f t="shared" si="8"/>
        <v/>
      </c>
      <c r="Y25" s="2" t="str">
        <f t="shared" si="9"/>
        <v/>
      </c>
      <c r="Z25" s="2" t="str">
        <f t="shared" si="10"/>
        <v/>
      </c>
      <c r="AA25" s="2" t="str">
        <f t="shared" si="11"/>
        <v/>
      </c>
      <c r="AB25" s="2" t="str">
        <f t="shared" si="12"/>
        <v/>
      </c>
      <c r="AC25" s="2" t="str">
        <f t="shared" si="13"/>
        <v/>
      </c>
      <c r="AD25" s="2" t="str">
        <f t="shared" si="14"/>
        <v/>
      </c>
      <c r="AE25" s="2" t="str">
        <f t="shared" si="15"/>
        <v/>
      </c>
      <c r="AF25" s="2" t="str">
        <f t="shared" si="16"/>
        <v/>
      </c>
      <c r="AG25" s="2" t="str">
        <f t="shared" si="17"/>
        <v/>
      </c>
      <c r="AH25" s="2" t="str">
        <f t="shared" si="18"/>
        <v/>
      </c>
      <c r="AI25" s="2" t="str">
        <f t="shared" si="19"/>
        <v/>
      </c>
      <c r="AJ25" s="2" t="str">
        <f t="shared" si="20"/>
        <v/>
      </c>
      <c r="AK25" s="2" t="str">
        <f t="shared" si="21"/>
        <v/>
      </c>
      <c r="AL25" s="2" t="str">
        <f t="shared" si="22"/>
        <v/>
      </c>
      <c r="AM25" s="2" t="str">
        <f t="shared" si="23"/>
        <v/>
      </c>
      <c r="AN25" s="2" t="str">
        <f t="shared" si="24"/>
        <v/>
      </c>
      <c r="AP25" s="2" t="str" cm="1">
        <f t="array" ref="AP25">IF('NILAI CPL'!$B25&lt;&gt;"",IFERROR(_xlfn.IFS(S25&gt;='NILAI CPL'!$B$3,4,S25&gt;='NILAI CPL'!$B$4,3,S25&gt;='NILAI CPL'!$B$5,2,S25&gt;'NILAI CPL'!$B$6,1),0),"")</f>
        <v/>
      </c>
      <c r="AQ25" s="2" t="str" cm="1">
        <f t="array" ref="AQ25">IF('NILAI CPL'!$B25&lt;&gt;"",IFERROR(_xlfn.IFS(T25&gt;='NILAI CPL'!$B$3,4,T25&gt;='NILAI CPL'!$B$4,3,T25&gt;='NILAI CPL'!$B$5,2,T25&gt;'NILAI CPL'!$B$6,1),0),"")</f>
        <v/>
      </c>
      <c r="AR25" s="2" t="str" cm="1">
        <f t="array" ref="AR25">IF('NILAI CPL'!$B25&lt;&gt;"",IFERROR(_xlfn.IFS(U25&gt;='NILAI CPL'!$B$3,4,U25&gt;='NILAI CPL'!$B$4,3,U25&gt;='NILAI CPL'!$B$5,2,U25&gt;'NILAI CPL'!$B$6,1),0),"")</f>
        <v/>
      </c>
      <c r="AS25" s="2" t="str" cm="1">
        <f t="array" ref="AS25">IF('NILAI CPL'!$B25&lt;&gt;"",IFERROR(_xlfn.IFS(V25&gt;='NILAI CPL'!$B$3,4,V25&gt;='NILAI CPL'!$B$4,3,V25&gt;='NILAI CPL'!$B$5,2,V25&gt;'NILAI CPL'!$B$6,1),0),"")</f>
        <v/>
      </c>
      <c r="AT25" s="2" t="str" cm="1">
        <f t="array" ref="AT25">IF('NILAI CPL'!$B25&lt;&gt;"",IFERROR(_xlfn.IFS(W25&gt;='NILAI CPL'!$B$3,4,W25&gt;='NILAI CPL'!$B$4,3,W25&gt;='NILAI CPL'!$B$5,2,W25&gt;'NILAI CPL'!$B$6,1),0),"")</f>
        <v/>
      </c>
      <c r="AU25" s="2" t="str" cm="1">
        <f t="array" ref="AU25">IF('NILAI CPL'!$B25&lt;&gt;"",IFERROR(_xlfn.IFS(X25&gt;='NILAI CPL'!$B$3,4,X25&gt;='NILAI CPL'!$B$4,3,X25&gt;='NILAI CPL'!$B$5,2,X25&gt;'NILAI CPL'!$B$6,1),0),"")</f>
        <v/>
      </c>
      <c r="AV25" s="2" t="str" cm="1">
        <f t="array" ref="AV25">IF('NILAI CPL'!$B25&lt;&gt;"",IFERROR(_xlfn.IFS(Y25&gt;='NILAI CPL'!$B$3,4,Y25&gt;='NILAI CPL'!$B$4,3,Y25&gt;='NILAI CPL'!$B$5,2,Y25&gt;'NILAI CPL'!$B$6,1),0),"")</f>
        <v/>
      </c>
      <c r="AW25" s="2" t="str" cm="1">
        <f t="array" ref="AW25">IF('NILAI CPL'!$B25&lt;&gt;"",IFERROR(_xlfn.IFS(Z25&gt;='NILAI CPL'!$B$3,4,Z25&gt;='NILAI CPL'!$B$4,3,Z25&gt;='NILAI CPL'!$B$5,2,Z25&gt;'NILAI CPL'!$B$6,1),0),"")</f>
        <v/>
      </c>
      <c r="AX25" s="2" t="str" cm="1">
        <f t="array" ref="AX25">IF('NILAI CPL'!$B25&lt;&gt;"",IFERROR(_xlfn.IFS(AA25&gt;='NILAI CPL'!$B$3,4,AA25&gt;='NILAI CPL'!$B$4,3,AA25&gt;='NILAI CPL'!$B$5,2,AA25&gt;'NILAI CPL'!$B$6,1),0),"")</f>
        <v/>
      </c>
      <c r="AY25" s="2" t="str" cm="1">
        <f t="array" ref="AY25">IF('NILAI CPL'!$B25&lt;&gt;"",IFERROR(_xlfn.IFS(AB25&gt;='NILAI CPL'!$B$3,4,AB25&gt;='NILAI CPL'!$B$4,3,AB25&gt;='NILAI CPL'!$B$5,2,AB25&gt;'NILAI CPL'!$B$6,1),0),"")</f>
        <v/>
      </c>
      <c r="AZ25" s="2" t="str" cm="1">
        <f t="array" ref="AZ25">IF('NILAI CPL'!$B25&lt;&gt;"",IFERROR(_xlfn.IFS(AC25&gt;='NILAI CPL'!$B$3,4,AC25&gt;='NILAI CPL'!$B$4,3,AC25&gt;='NILAI CPL'!$B$5,2,AC25&gt;'NILAI CPL'!$B$6,1),0),"")</f>
        <v/>
      </c>
      <c r="BA25" s="2" t="str" cm="1">
        <f t="array" ref="BA25">IF('NILAI CPL'!$B25&lt;&gt;"",IFERROR(_xlfn.IFS(AD25&gt;='NILAI CPL'!$B$3,4,AD25&gt;='NILAI CPL'!$B$4,3,AD25&gt;='NILAI CPL'!$B$5,2,AD25&gt;'NILAI CPL'!$B$6,1),0),"")</f>
        <v/>
      </c>
      <c r="BB25" s="2" t="str" cm="1">
        <f t="array" ref="BB25">IF('NILAI CPL'!$B25&lt;&gt;"",IFERROR(_xlfn.IFS(AE25&gt;='NILAI CPL'!$B$3,4,AE25&gt;='NILAI CPL'!$B$4,3,AE25&gt;='NILAI CPL'!$B$5,2,AE25&gt;'NILAI CPL'!$B$6,1),0),"")</f>
        <v/>
      </c>
      <c r="BC25" s="2" t="str" cm="1">
        <f t="array" ref="BC25">IF('NILAI CPL'!$B25&lt;&gt;"",IFERROR(_xlfn.IFS(AF25&gt;='NILAI CPL'!$B$3,4,AF25&gt;='NILAI CPL'!$B$4,3,AF25&gt;='NILAI CPL'!$B$5,2,AF25&gt;'NILAI CPL'!$B$6,1),0),"")</f>
        <v/>
      </c>
      <c r="BD25" s="2" t="str" cm="1">
        <f t="array" ref="BD25">IF('NILAI CPL'!$B25&lt;&gt;"",IFERROR(_xlfn.IFS(AG25&gt;='NILAI CPL'!$B$3,4,AG25&gt;='NILAI CPL'!$B$4,3,AG25&gt;='NILAI CPL'!$B$5,2,AG25&gt;'NILAI CPL'!$B$6,1),0),"")</f>
        <v/>
      </c>
      <c r="BE25" s="2" t="str" cm="1">
        <f t="array" ref="BE25">IF('NILAI CPL'!$B25&lt;&gt;"",IFERROR(_xlfn.IFS(AH25&gt;='NILAI CPL'!$B$3,4,AH25&gt;='NILAI CPL'!$B$4,3,AH25&gt;='NILAI CPL'!$B$5,2,AH25&gt;'NILAI CPL'!$B$6,1),0),"")</f>
        <v/>
      </c>
      <c r="BF25" s="2" t="str" cm="1">
        <f t="array" ref="BF25">IF('NILAI CPL'!$B25&lt;&gt;"",IFERROR(_xlfn.IFS(AI25&gt;='NILAI CPL'!$B$3,4,AI25&gt;='NILAI CPL'!$B$4,3,AI25&gt;='NILAI CPL'!$B$5,2,AI25&gt;'NILAI CPL'!$B$6,1),0),"")</f>
        <v/>
      </c>
      <c r="BG25" s="2" t="str" cm="1">
        <f t="array" ref="BG25">IF('NILAI CPL'!$B25&lt;&gt;"",IFERROR(_xlfn.IFS(AJ25&gt;='NILAI CPL'!$B$3,4,AJ25&gt;='NILAI CPL'!$B$4,3,AJ25&gt;='NILAI CPL'!$B$5,2,AJ25&gt;'NILAI CPL'!$B$6,1),0),"")</f>
        <v/>
      </c>
      <c r="BH25" s="2" t="str" cm="1">
        <f t="array" ref="BH25">IF('NILAI CPL'!$B25&lt;&gt;"",IFERROR(_xlfn.IFS(AK25&gt;='NILAI CPL'!$B$3,4,AK25&gt;='NILAI CPL'!$B$4,3,AK25&gt;='NILAI CPL'!$B$5,2,AK25&gt;'NILAI CPL'!$B$6,1),0),"")</f>
        <v/>
      </c>
      <c r="BI25" s="2" t="str" cm="1">
        <f t="array" ref="BI25">IF('NILAI CPL'!$B25&lt;&gt;"",IFERROR(_xlfn.IFS(AL25&gt;='NILAI CPL'!$B$3,4,AL25&gt;='NILAI CPL'!$B$4,3,AL25&gt;='NILAI CPL'!$B$5,2,AL25&gt;'NILAI CPL'!$B$6,1),0),"")</f>
        <v/>
      </c>
      <c r="BJ25" s="2" t="str" cm="1">
        <f t="array" ref="BJ25">IF('NILAI CPL'!$B25&lt;&gt;"",IFERROR(_xlfn.IFS(AM25&gt;='NILAI CPL'!$B$3,4,AM25&gt;='NILAI CPL'!$B$4,3,AM25&gt;='NILAI CPL'!$B$5,2,AM25&gt;'NILAI CPL'!$B$6,1),0),"")</f>
        <v/>
      </c>
      <c r="BK25" s="2" t="str" cm="1">
        <f t="array" ref="BK25">IF('NILAI CPL'!$B25&lt;&gt;"",IFERROR(_xlfn.IFS(AN25&gt;='NILAI CPL'!$B$3,4,AN25&gt;='NILAI CPL'!$B$4,3,AN25&gt;='NILAI CPL'!$B$5,2,AN25&gt;'NILAI CPL'!$B$6,1),0),"")</f>
        <v/>
      </c>
    </row>
    <row r="26" spans="1:63" x14ac:dyDescent="0.2">
      <c r="A26" s="2">
        <v>16</v>
      </c>
      <c r="B26" s="2" t="str">
        <f>IF(LEN(SUMMARY!B26)&gt;0, SUMMARY!B26, "")</f>
        <v/>
      </c>
      <c r="C26" s="2" t="str">
        <f>IF(LEN(SUMMARY!C26)&gt;0, SUMMARY!C26, "")</f>
        <v/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" t="str">
        <f t="shared" si="2"/>
        <v/>
      </c>
      <c r="S26" s="2" t="str">
        <f t="shared" si="3"/>
        <v/>
      </c>
      <c r="T26" s="2" t="str">
        <f t="shared" si="4"/>
        <v/>
      </c>
      <c r="U26" s="2" t="str">
        <f t="shared" si="5"/>
        <v/>
      </c>
      <c r="V26" s="2" t="str">
        <f t="shared" si="6"/>
        <v/>
      </c>
      <c r="W26" s="2" t="str">
        <f t="shared" si="7"/>
        <v/>
      </c>
      <c r="X26" s="2" t="str">
        <f t="shared" si="8"/>
        <v/>
      </c>
      <c r="Y26" s="2" t="str">
        <f t="shared" si="9"/>
        <v/>
      </c>
      <c r="Z26" s="2" t="str">
        <f t="shared" si="10"/>
        <v/>
      </c>
      <c r="AA26" s="2" t="str">
        <f t="shared" si="11"/>
        <v/>
      </c>
      <c r="AB26" s="2" t="str">
        <f t="shared" si="12"/>
        <v/>
      </c>
      <c r="AC26" s="2" t="str">
        <f t="shared" si="13"/>
        <v/>
      </c>
      <c r="AD26" s="2" t="str">
        <f t="shared" si="14"/>
        <v/>
      </c>
      <c r="AE26" s="2" t="str">
        <f t="shared" si="15"/>
        <v/>
      </c>
      <c r="AF26" s="2" t="str">
        <f t="shared" si="16"/>
        <v/>
      </c>
      <c r="AG26" s="2" t="str">
        <f t="shared" si="17"/>
        <v/>
      </c>
      <c r="AH26" s="2" t="str">
        <f t="shared" si="18"/>
        <v/>
      </c>
      <c r="AI26" s="2" t="str">
        <f t="shared" si="19"/>
        <v/>
      </c>
      <c r="AJ26" s="2" t="str">
        <f t="shared" si="20"/>
        <v/>
      </c>
      <c r="AK26" s="2" t="str">
        <f t="shared" si="21"/>
        <v/>
      </c>
      <c r="AL26" s="2" t="str">
        <f t="shared" si="22"/>
        <v/>
      </c>
      <c r="AM26" s="2" t="str">
        <f t="shared" si="23"/>
        <v/>
      </c>
      <c r="AN26" s="2" t="str">
        <f t="shared" si="24"/>
        <v/>
      </c>
      <c r="AP26" s="2" t="str" cm="1">
        <f t="array" ref="AP26">IF('NILAI CPL'!$B26&lt;&gt;"",IFERROR(_xlfn.IFS(S26&gt;='NILAI CPL'!$B$3,4,S26&gt;='NILAI CPL'!$B$4,3,S26&gt;='NILAI CPL'!$B$5,2,S26&gt;'NILAI CPL'!$B$6,1),0),"")</f>
        <v/>
      </c>
      <c r="AQ26" s="2" t="str" cm="1">
        <f t="array" ref="AQ26">IF('NILAI CPL'!$B26&lt;&gt;"",IFERROR(_xlfn.IFS(T26&gt;='NILAI CPL'!$B$3,4,T26&gt;='NILAI CPL'!$B$4,3,T26&gt;='NILAI CPL'!$B$5,2,T26&gt;'NILAI CPL'!$B$6,1),0),"")</f>
        <v/>
      </c>
      <c r="AR26" s="2" t="str" cm="1">
        <f t="array" ref="AR26">IF('NILAI CPL'!$B26&lt;&gt;"",IFERROR(_xlfn.IFS(U26&gt;='NILAI CPL'!$B$3,4,U26&gt;='NILAI CPL'!$B$4,3,U26&gt;='NILAI CPL'!$B$5,2,U26&gt;'NILAI CPL'!$B$6,1),0),"")</f>
        <v/>
      </c>
      <c r="AS26" s="2" t="str" cm="1">
        <f t="array" ref="AS26">IF('NILAI CPL'!$B26&lt;&gt;"",IFERROR(_xlfn.IFS(V26&gt;='NILAI CPL'!$B$3,4,V26&gt;='NILAI CPL'!$B$4,3,V26&gt;='NILAI CPL'!$B$5,2,V26&gt;'NILAI CPL'!$B$6,1),0),"")</f>
        <v/>
      </c>
      <c r="AT26" s="2" t="str" cm="1">
        <f t="array" ref="AT26">IF('NILAI CPL'!$B26&lt;&gt;"",IFERROR(_xlfn.IFS(W26&gt;='NILAI CPL'!$B$3,4,W26&gt;='NILAI CPL'!$B$4,3,W26&gt;='NILAI CPL'!$B$5,2,W26&gt;'NILAI CPL'!$B$6,1),0),"")</f>
        <v/>
      </c>
      <c r="AU26" s="2" t="str" cm="1">
        <f t="array" ref="AU26">IF('NILAI CPL'!$B26&lt;&gt;"",IFERROR(_xlfn.IFS(X26&gt;='NILAI CPL'!$B$3,4,X26&gt;='NILAI CPL'!$B$4,3,X26&gt;='NILAI CPL'!$B$5,2,X26&gt;'NILAI CPL'!$B$6,1),0),"")</f>
        <v/>
      </c>
      <c r="AV26" s="2" t="str" cm="1">
        <f t="array" ref="AV26">IF('NILAI CPL'!$B26&lt;&gt;"",IFERROR(_xlfn.IFS(Y26&gt;='NILAI CPL'!$B$3,4,Y26&gt;='NILAI CPL'!$B$4,3,Y26&gt;='NILAI CPL'!$B$5,2,Y26&gt;'NILAI CPL'!$B$6,1),0),"")</f>
        <v/>
      </c>
      <c r="AW26" s="2" t="str" cm="1">
        <f t="array" ref="AW26">IF('NILAI CPL'!$B26&lt;&gt;"",IFERROR(_xlfn.IFS(Z26&gt;='NILAI CPL'!$B$3,4,Z26&gt;='NILAI CPL'!$B$4,3,Z26&gt;='NILAI CPL'!$B$5,2,Z26&gt;'NILAI CPL'!$B$6,1),0),"")</f>
        <v/>
      </c>
      <c r="AX26" s="2" t="str" cm="1">
        <f t="array" ref="AX26">IF('NILAI CPL'!$B26&lt;&gt;"",IFERROR(_xlfn.IFS(AA26&gt;='NILAI CPL'!$B$3,4,AA26&gt;='NILAI CPL'!$B$4,3,AA26&gt;='NILAI CPL'!$B$5,2,AA26&gt;'NILAI CPL'!$B$6,1),0),"")</f>
        <v/>
      </c>
      <c r="AY26" s="2" t="str" cm="1">
        <f t="array" ref="AY26">IF('NILAI CPL'!$B26&lt;&gt;"",IFERROR(_xlfn.IFS(AB26&gt;='NILAI CPL'!$B$3,4,AB26&gt;='NILAI CPL'!$B$4,3,AB26&gt;='NILAI CPL'!$B$5,2,AB26&gt;'NILAI CPL'!$B$6,1),0),"")</f>
        <v/>
      </c>
      <c r="AZ26" s="2" t="str" cm="1">
        <f t="array" ref="AZ26">IF('NILAI CPL'!$B26&lt;&gt;"",IFERROR(_xlfn.IFS(AC26&gt;='NILAI CPL'!$B$3,4,AC26&gt;='NILAI CPL'!$B$4,3,AC26&gt;='NILAI CPL'!$B$5,2,AC26&gt;'NILAI CPL'!$B$6,1),0),"")</f>
        <v/>
      </c>
      <c r="BA26" s="2" t="str" cm="1">
        <f t="array" ref="BA26">IF('NILAI CPL'!$B26&lt;&gt;"",IFERROR(_xlfn.IFS(AD26&gt;='NILAI CPL'!$B$3,4,AD26&gt;='NILAI CPL'!$B$4,3,AD26&gt;='NILAI CPL'!$B$5,2,AD26&gt;'NILAI CPL'!$B$6,1),0),"")</f>
        <v/>
      </c>
      <c r="BB26" s="2" t="str" cm="1">
        <f t="array" ref="BB26">IF('NILAI CPL'!$B26&lt;&gt;"",IFERROR(_xlfn.IFS(AE26&gt;='NILAI CPL'!$B$3,4,AE26&gt;='NILAI CPL'!$B$4,3,AE26&gt;='NILAI CPL'!$B$5,2,AE26&gt;'NILAI CPL'!$B$6,1),0),"")</f>
        <v/>
      </c>
      <c r="BC26" s="2" t="str" cm="1">
        <f t="array" ref="BC26">IF('NILAI CPL'!$B26&lt;&gt;"",IFERROR(_xlfn.IFS(AF26&gt;='NILAI CPL'!$B$3,4,AF26&gt;='NILAI CPL'!$B$4,3,AF26&gt;='NILAI CPL'!$B$5,2,AF26&gt;'NILAI CPL'!$B$6,1),0),"")</f>
        <v/>
      </c>
      <c r="BD26" s="2" t="str" cm="1">
        <f t="array" ref="BD26">IF('NILAI CPL'!$B26&lt;&gt;"",IFERROR(_xlfn.IFS(AG26&gt;='NILAI CPL'!$B$3,4,AG26&gt;='NILAI CPL'!$B$4,3,AG26&gt;='NILAI CPL'!$B$5,2,AG26&gt;'NILAI CPL'!$B$6,1),0),"")</f>
        <v/>
      </c>
      <c r="BE26" s="2" t="str" cm="1">
        <f t="array" ref="BE26">IF('NILAI CPL'!$B26&lt;&gt;"",IFERROR(_xlfn.IFS(AH26&gt;='NILAI CPL'!$B$3,4,AH26&gt;='NILAI CPL'!$B$4,3,AH26&gt;='NILAI CPL'!$B$5,2,AH26&gt;'NILAI CPL'!$B$6,1),0),"")</f>
        <v/>
      </c>
      <c r="BF26" s="2" t="str" cm="1">
        <f t="array" ref="BF26">IF('NILAI CPL'!$B26&lt;&gt;"",IFERROR(_xlfn.IFS(AI26&gt;='NILAI CPL'!$B$3,4,AI26&gt;='NILAI CPL'!$B$4,3,AI26&gt;='NILAI CPL'!$B$5,2,AI26&gt;'NILAI CPL'!$B$6,1),0),"")</f>
        <v/>
      </c>
      <c r="BG26" s="2" t="str" cm="1">
        <f t="array" ref="BG26">IF('NILAI CPL'!$B26&lt;&gt;"",IFERROR(_xlfn.IFS(AJ26&gt;='NILAI CPL'!$B$3,4,AJ26&gt;='NILAI CPL'!$B$4,3,AJ26&gt;='NILAI CPL'!$B$5,2,AJ26&gt;'NILAI CPL'!$B$6,1),0),"")</f>
        <v/>
      </c>
      <c r="BH26" s="2" t="str" cm="1">
        <f t="array" ref="BH26">IF('NILAI CPL'!$B26&lt;&gt;"",IFERROR(_xlfn.IFS(AK26&gt;='NILAI CPL'!$B$3,4,AK26&gt;='NILAI CPL'!$B$4,3,AK26&gt;='NILAI CPL'!$B$5,2,AK26&gt;'NILAI CPL'!$B$6,1),0),"")</f>
        <v/>
      </c>
      <c r="BI26" s="2" t="str" cm="1">
        <f t="array" ref="BI26">IF('NILAI CPL'!$B26&lt;&gt;"",IFERROR(_xlfn.IFS(AL26&gt;='NILAI CPL'!$B$3,4,AL26&gt;='NILAI CPL'!$B$4,3,AL26&gt;='NILAI CPL'!$B$5,2,AL26&gt;'NILAI CPL'!$B$6,1),0),"")</f>
        <v/>
      </c>
      <c r="BJ26" s="2" t="str" cm="1">
        <f t="array" ref="BJ26">IF('NILAI CPL'!$B26&lt;&gt;"",IFERROR(_xlfn.IFS(AM26&gt;='NILAI CPL'!$B$3,4,AM26&gt;='NILAI CPL'!$B$4,3,AM26&gt;='NILAI CPL'!$B$5,2,AM26&gt;'NILAI CPL'!$B$6,1),0),"")</f>
        <v/>
      </c>
      <c r="BK26" s="2" t="str" cm="1">
        <f t="array" ref="BK26">IF('NILAI CPL'!$B26&lt;&gt;"",IFERROR(_xlfn.IFS(AN26&gt;='NILAI CPL'!$B$3,4,AN26&gt;='NILAI CPL'!$B$4,3,AN26&gt;='NILAI CPL'!$B$5,2,AN26&gt;'NILAI CPL'!$B$6,1),0),"")</f>
        <v/>
      </c>
    </row>
    <row r="27" spans="1:63" x14ac:dyDescent="0.2">
      <c r="A27" s="2">
        <v>17</v>
      </c>
      <c r="B27" s="2" t="str">
        <f>IF(LEN(SUMMARY!B27)&gt;0, SUMMARY!B27, "")</f>
        <v/>
      </c>
      <c r="C27" s="2" t="str">
        <f>IF(LEN(SUMMARY!C27)&gt;0, SUMMARY!C27, "")</f>
        <v/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" t="str">
        <f t="shared" si="2"/>
        <v/>
      </c>
      <c r="S27" s="2" t="str">
        <f t="shared" si="3"/>
        <v/>
      </c>
      <c r="T27" s="2" t="str">
        <f t="shared" si="4"/>
        <v/>
      </c>
      <c r="U27" s="2" t="str">
        <f t="shared" si="5"/>
        <v/>
      </c>
      <c r="V27" s="2" t="str">
        <f t="shared" si="6"/>
        <v/>
      </c>
      <c r="W27" s="2" t="str">
        <f t="shared" si="7"/>
        <v/>
      </c>
      <c r="X27" s="2" t="str">
        <f t="shared" si="8"/>
        <v/>
      </c>
      <c r="Y27" s="2" t="str">
        <f t="shared" si="9"/>
        <v/>
      </c>
      <c r="Z27" s="2" t="str">
        <f t="shared" si="10"/>
        <v/>
      </c>
      <c r="AA27" s="2" t="str">
        <f t="shared" si="11"/>
        <v/>
      </c>
      <c r="AB27" s="2" t="str">
        <f t="shared" si="12"/>
        <v/>
      </c>
      <c r="AC27" s="2" t="str">
        <f t="shared" si="13"/>
        <v/>
      </c>
      <c r="AD27" s="2" t="str">
        <f t="shared" si="14"/>
        <v/>
      </c>
      <c r="AE27" s="2" t="str">
        <f t="shared" si="15"/>
        <v/>
      </c>
      <c r="AF27" s="2" t="str">
        <f t="shared" si="16"/>
        <v/>
      </c>
      <c r="AG27" s="2" t="str">
        <f t="shared" si="17"/>
        <v/>
      </c>
      <c r="AH27" s="2" t="str">
        <f t="shared" si="18"/>
        <v/>
      </c>
      <c r="AI27" s="2" t="str">
        <f t="shared" si="19"/>
        <v/>
      </c>
      <c r="AJ27" s="2" t="str">
        <f t="shared" si="20"/>
        <v/>
      </c>
      <c r="AK27" s="2" t="str">
        <f t="shared" si="21"/>
        <v/>
      </c>
      <c r="AL27" s="2" t="str">
        <f t="shared" si="22"/>
        <v/>
      </c>
      <c r="AM27" s="2" t="str">
        <f t="shared" si="23"/>
        <v/>
      </c>
      <c r="AN27" s="2" t="str">
        <f t="shared" si="24"/>
        <v/>
      </c>
      <c r="AP27" s="2" t="str" cm="1">
        <f t="array" ref="AP27">IF('NILAI CPL'!$B27&lt;&gt;"",IFERROR(_xlfn.IFS(S27&gt;='NILAI CPL'!$B$3,4,S27&gt;='NILAI CPL'!$B$4,3,S27&gt;='NILAI CPL'!$B$5,2,S27&gt;'NILAI CPL'!$B$6,1),0),"")</f>
        <v/>
      </c>
      <c r="AQ27" s="2" t="str" cm="1">
        <f t="array" ref="AQ27">IF('NILAI CPL'!$B27&lt;&gt;"",IFERROR(_xlfn.IFS(T27&gt;='NILAI CPL'!$B$3,4,T27&gt;='NILAI CPL'!$B$4,3,T27&gt;='NILAI CPL'!$B$5,2,T27&gt;'NILAI CPL'!$B$6,1),0),"")</f>
        <v/>
      </c>
      <c r="AR27" s="2" t="str" cm="1">
        <f t="array" ref="AR27">IF('NILAI CPL'!$B27&lt;&gt;"",IFERROR(_xlfn.IFS(U27&gt;='NILAI CPL'!$B$3,4,U27&gt;='NILAI CPL'!$B$4,3,U27&gt;='NILAI CPL'!$B$5,2,U27&gt;'NILAI CPL'!$B$6,1),0),"")</f>
        <v/>
      </c>
      <c r="AS27" s="2" t="str" cm="1">
        <f t="array" ref="AS27">IF('NILAI CPL'!$B27&lt;&gt;"",IFERROR(_xlfn.IFS(V27&gt;='NILAI CPL'!$B$3,4,V27&gt;='NILAI CPL'!$B$4,3,V27&gt;='NILAI CPL'!$B$5,2,V27&gt;'NILAI CPL'!$B$6,1),0),"")</f>
        <v/>
      </c>
      <c r="AT27" s="2" t="str" cm="1">
        <f t="array" ref="AT27">IF('NILAI CPL'!$B27&lt;&gt;"",IFERROR(_xlfn.IFS(W27&gt;='NILAI CPL'!$B$3,4,W27&gt;='NILAI CPL'!$B$4,3,W27&gt;='NILAI CPL'!$B$5,2,W27&gt;'NILAI CPL'!$B$6,1),0),"")</f>
        <v/>
      </c>
      <c r="AU27" s="2" t="str" cm="1">
        <f t="array" ref="AU27">IF('NILAI CPL'!$B27&lt;&gt;"",IFERROR(_xlfn.IFS(X27&gt;='NILAI CPL'!$B$3,4,X27&gt;='NILAI CPL'!$B$4,3,X27&gt;='NILAI CPL'!$B$5,2,X27&gt;'NILAI CPL'!$B$6,1),0),"")</f>
        <v/>
      </c>
      <c r="AV27" s="2" t="str" cm="1">
        <f t="array" ref="AV27">IF('NILAI CPL'!$B27&lt;&gt;"",IFERROR(_xlfn.IFS(Y27&gt;='NILAI CPL'!$B$3,4,Y27&gt;='NILAI CPL'!$B$4,3,Y27&gt;='NILAI CPL'!$B$5,2,Y27&gt;'NILAI CPL'!$B$6,1),0),"")</f>
        <v/>
      </c>
      <c r="AW27" s="2" t="str" cm="1">
        <f t="array" ref="AW27">IF('NILAI CPL'!$B27&lt;&gt;"",IFERROR(_xlfn.IFS(Z27&gt;='NILAI CPL'!$B$3,4,Z27&gt;='NILAI CPL'!$B$4,3,Z27&gt;='NILAI CPL'!$B$5,2,Z27&gt;'NILAI CPL'!$B$6,1),0),"")</f>
        <v/>
      </c>
      <c r="AX27" s="2" t="str" cm="1">
        <f t="array" ref="AX27">IF('NILAI CPL'!$B27&lt;&gt;"",IFERROR(_xlfn.IFS(AA27&gt;='NILAI CPL'!$B$3,4,AA27&gt;='NILAI CPL'!$B$4,3,AA27&gt;='NILAI CPL'!$B$5,2,AA27&gt;'NILAI CPL'!$B$6,1),0),"")</f>
        <v/>
      </c>
      <c r="AY27" s="2" t="str" cm="1">
        <f t="array" ref="AY27">IF('NILAI CPL'!$B27&lt;&gt;"",IFERROR(_xlfn.IFS(AB27&gt;='NILAI CPL'!$B$3,4,AB27&gt;='NILAI CPL'!$B$4,3,AB27&gt;='NILAI CPL'!$B$5,2,AB27&gt;'NILAI CPL'!$B$6,1),0),"")</f>
        <v/>
      </c>
      <c r="AZ27" s="2" t="str" cm="1">
        <f t="array" ref="AZ27">IF('NILAI CPL'!$B27&lt;&gt;"",IFERROR(_xlfn.IFS(AC27&gt;='NILAI CPL'!$B$3,4,AC27&gt;='NILAI CPL'!$B$4,3,AC27&gt;='NILAI CPL'!$B$5,2,AC27&gt;'NILAI CPL'!$B$6,1),0),"")</f>
        <v/>
      </c>
      <c r="BA27" s="2" t="str" cm="1">
        <f t="array" ref="BA27">IF('NILAI CPL'!$B27&lt;&gt;"",IFERROR(_xlfn.IFS(AD27&gt;='NILAI CPL'!$B$3,4,AD27&gt;='NILAI CPL'!$B$4,3,AD27&gt;='NILAI CPL'!$B$5,2,AD27&gt;'NILAI CPL'!$B$6,1),0),"")</f>
        <v/>
      </c>
      <c r="BB27" s="2" t="str" cm="1">
        <f t="array" ref="BB27">IF('NILAI CPL'!$B27&lt;&gt;"",IFERROR(_xlfn.IFS(AE27&gt;='NILAI CPL'!$B$3,4,AE27&gt;='NILAI CPL'!$B$4,3,AE27&gt;='NILAI CPL'!$B$5,2,AE27&gt;'NILAI CPL'!$B$6,1),0),"")</f>
        <v/>
      </c>
      <c r="BC27" s="2" t="str" cm="1">
        <f t="array" ref="BC27">IF('NILAI CPL'!$B27&lt;&gt;"",IFERROR(_xlfn.IFS(AF27&gt;='NILAI CPL'!$B$3,4,AF27&gt;='NILAI CPL'!$B$4,3,AF27&gt;='NILAI CPL'!$B$5,2,AF27&gt;'NILAI CPL'!$B$6,1),0),"")</f>
        <v/>
      </c>
      <c r="BD27" s="2" t="str" cm="1">
        <f t="array" ref="BD27">IF('NILAI CPL'!$B27&lt;&gt;"",IFERROR(_xlfn.IFS(AG27&gt;='NILAI CPL'!$B$3,4,AG27&gt;='NILAI CPL'!$B$4,3,AG27&gt;='NILAI CPL'!$B$5,2,AG27&gt;'NILAI CPL'!$B$6,1),0),"")</f>
        <v/>
      </c>
      <c r="BE27" s="2" t="str" cm="1">
        <f t="array" ref="BE27">IF('NILAI CPL'!$B27&lt;&gt;"",IFERROR(_xlfn.IFS(AH27&gt;='NILAI CPL'!$B$3,4,AH27&gt;='NILAI CPL'!$B$4,3,AH27&gt;='NILAI CPL'!$B$5,2,AH27&gt;'NILAI CPL'!$B$6,1),0),"")</f>
        <v/>
      </c>
      <c r="BF27" s="2" t="str" cm="1">
        <f t="array" ref="BF27">IF('NILAI CPL'!$B27&lt;&gt;"",IFERROR(_xlfn.IFS(AI27&gt;='NILAI CPL'!$B$3,4,AI27&gt;='NILAI CPL'!$B$4,3,AI27&gt;='NILAI CPL'!$B$5,2,AI27&gt;'NILAI CPL'!$B$6,1),0),"")</f>
        <v/>
      </c>
      <c r="BG27" s="2" t="str" cm="1">
        <f t="array" ref="BG27">IF('NILAI CPL'!$B27&lt;&gt;"",IFERROR(_xlfn.IFS(AJ27&gt;='NILAI CPL'!$B$3,4,AJ27&gt;='NILAI CPL'!$B$4,3,AJ27&gt;='NILAI CPL'!$B$5,2,AJ27&gt;'NILAI CPL'!$B$6,1),0),"")</f>
        <v/>
      </c>
      <c r="BH27" s="2" t="str" cm="1">
        <f t="array" ref="BH27">IF('NILAI CPL'!$B27&lt;&gt;"",IFERROR(_xlfn.IFS(AK27&gt;='NILAI CPL'!$B$3,4,AK27&gt;='NILAI CPL'!$B$4,3,AK27&gt;='NILAI CPL'!$B$5,2,AK27&gt;'NILAI CPL'!$B$6,1),0),"")</f>
        <v/>
      </c>
      <c r="BI27" s="2" t="str" cm="1">
        <f t="array" ref="BI27">IF('NILAI CPL'!$B27&lt;&gt;"",IFERROR(_xlfn.IFS(AL27&gt;='NILAI CPL'!$B$3,4,AL27&gt;='NILAI CPL'!$B$4,3,AL27&gt;='NILAI CPL'!$B$5,2,AL27&gt;'NILAI CPL'!$B$6,1),0),"")</f>
        <v/>
      </c>
      <c r="BJ27" s="2" t="str" cm="1">
        <f t="array" ref="BJ27">IF('NILAI CPL'!$B27&lt;&gt;"",IFERROR(_xlfn.IFS(AM27&gt;='NILAI CPL'!$B$3,4,AM27&gt;='NILAI CPL'!$B$4,3,AM27&gt;='NILAI CPL'!$B$5,2,AM27&gt;'NILAI CPL'!$B$6,1),0),"")</f>
        <v/>
      </c>
      <c r="BK27" s="2" t="str" cm="1">
        <f t="array" ref="BK27">IF('NILAI CPL'!$B27&lt;&gt;"",IFERROR(_xlfn.IFS(AN27&gt;='NILAI CPL'!$B$3,4,AN27&gt;='NILAI CPL'!$B$4,3,AN27&gt;='NILAI CPL'!$B$5,2,AN27&gt;'NILAI CPL'!$B$6,1),0),"")</f>
        <v/>
      </c>
    </row>
    <row r="28" spans="1:63" x14ac:dyDescent="0.2">
      <c r="A28" s="2">
        <v>18</v>
      </c>
      <c r="B28" s="2" t="str">
        <f>IF(LEN(SUMMARY!B28)&gt;0, SUMMARY!B28, "")</f>
        <v/>
      </c>
      <c r="C28" s="2" t="str">
        <f>IF(LEN(SUMMARY!C28)&gt;0, SUMMARY!C28, "")</f>
        <v/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" t="str">
        <f t="shared" si="2"/>
        <v/>
      </c>
      <c r="S28" s="2" t="str">
        <f t="shared" si="3"/>
        <v/>
      </c>
      <c r="T28" s="2" t="str">
        <f t="shared" si="4"/>
        <v/>
      </c>
      <c r="U28" s="2" t="str">
        <f t="shared" si="5"/>
        <v/>
      </c>
      <c r="V28" s="2" t="str">
        <f t="shared" si="6"/>
        <v/>
      </c>
      <c r="W28" s="2" t="str">
        <f t="shared" si="7"/>
        <v/>
      </c>
      <c r="X28" s="2" t="str">
        <f t="shared" si="8"/>
        <v/>
      </c>
      <c r="Y28" s="2" t="str">
        <f t="shared" si="9"/>
        <v/>
      </c>
      <c r="Z28" s="2" t="str">
        <f t="shared" si="10"/>
        <v/>
      </c>
      <c r="AA28" s="2" t="str">
        <f t="shared" si="11"/>
        <v/>
      </c>
      <c r="AB28" s="2" t="str">
        <f t="shared" si="12"/>
        <v/>
      </c>
      <c r="AC28" s="2" t="str">
        <f t="shared" si="13"/>
        <v/>
      </c>
      <c r="AD28" s="2" t="str">
        <f t="shared" si="14"/>
        <v/>
      </c>
      <c r="AE28" s="2" t="str">
        <f t="shared" si="15"/>
        <v/>
      </c>
      <c r="AF28" s="2" t="str">
        <f t="shared" si="16"/>
        <v/>
      </c>
      <c r="AG28" s="2" t="str">
        <f t="shared" si="17"/>
        <v/>
      </c>
      <c r="AH28" s="2" t="str">
        <f t="shared" si="18"/>
        <v/>
      </c>
      <c r="AI28" s="2" t="str">
        <f t="shared" si="19"/>
        <v/>
      </c>
      <c r="AJ28" s="2" t="str">
        <f t="shared" si="20"/>
        <v/>
      </c>
      <c r="AK28" s="2" t="str">
        <f t="shared" si="21"/>
        <v/>
      </c>
      <c r="AL28" s="2" t="str">
        <f t="shared" si="22"/>
        <v/>
      </c>
      <c r="AM28" s="2" t="str">
        <f t="shared" si="23"/>
        <v/>
      </c>
      <c r="AN28" s="2" t="str">
        <f t="shared" si="24"/>
        <v/>
      </c>
      <c r="AP28" s="2" t="str" cm="1">
        <f t="array" ref="AP28">IF('NILAI CPL'!$B28&lt;&gt;"",IFERROR(_xlfn.IFS(S28&gt;='NILAI CPL'!$B$3,4,S28&gt;='NILAI CPL'!$B$4,3,S28&gt;='NILAI CPL'!$B$5,2,S28&gt;'NILAI CPL'!$B$6,1),0),"")</f>
        <v/>
      </c>
      <c r="AQ28" s="2" t="str" cm="1">
        <f t="array" ref="AQ28">IF('NILAI CPL'!$B28&lt;&gt;"",IFERROR(_xlfn.IFS(T28&gt;='NILAI CPL'!$B$3,4,T28&gt;='NILAI CPL'!$B$4,3,T28&gt;='NILAI CPL'!$B$5,2,T28&gt;'NILAI CPL'!$B$6,1),0),"")</f>
        <v/>
      </c>
      <c r="AR28" s="2" t="str" cm="1">
        <f t="array" ref="AR28">IF('NILAI CPL'!$B28&lt;&gt;"",IFERROR(_xlfn.IFS(U28&gt;='NILAI CPL'!$B$3,4,U28&gt;='NILAI CPL'!$B$4,3,U28&gt;='NILAI CPL'!$B$5,2,U28&gt;'NILAI CPL'!$B$6,1),0),"")</f>
        <v/>
      </c>
      <c r="AS28" s="2" t="str" cm="1">
        <f t="array" ref="AS28">IF('NILAI CPL'!$B28&lt;&gt;"",IFERROR(_xlfn.IFS(V28&gt;='NILAI CPL'!$B$3,4,V28&gt;='NILAI CPL'!$B$4,3,V28&gt;='NILAI CPL'!$B$5,2,V28&gt;'NILAI CPL'!$B$6,1),0),"")</f>
        <v/>
      </c>
      <c r="AT28" s="2" t="str" cm="1">
        <f t="array" ref="AT28">IF('NILAI CPL'!$B28&lt;&gt;"",IFERROR(_xlfn.IFS(W28&gt;='NILAI CPL'!$B$3,4,W28&gt;='NILAI CPL'!$B$4,3,W28&gt;='NILAI CPL'!$B$5,2,W28&gt;'NILAI CPL'!$B$6,1),0),"")</f>
        <v/>
      </c>
      <c r="AU28" s="2" t="str" cm="1">
        <f t="array" ref="AU28">IF('NILAI CPL'!$B28&lt;&gt;"",IFERROR(_xlfn.IFS(X28&gt;='NILAI CPL'!$B$3,4,X28&gt;='NILAI CPL'!$B$4,3,X28&gt;='NILAI CPL'!$B$5,2,X28&gt;'NILAI CPL'!$B$6,1),0),"")</f>
        <v/>
      </c>
      <c r="AV28" s="2" t="str" cm="1">
        <f t="array" ref="AV28">IF('NILAI CPL'!$B28&lt;&gt;"",IFERROR(_xlfn.IFS(Y28&gt;='NILAI CPL'!$B$3,4,Y28&gt;='NILAI CPL'!$B$4,3,Y28&gt;='NILAI CPL'!$B$5,2,Y28&gt;'NILAI CPL'!$B$6,1),0),"")</f>
        <v/>
      </c>
      <c r="AW28" s="2" t="str" cm="1">
        <f t="array" ref="AW28">IF('NILAI CPL'!$B28&lt;&gt;"",IFERROR(_xlfn.IFS(Z28&gt;='NILAI CPL'!$B$3,4,Z28&gt;='NILAI CPL'!$B$4,3,Z28&gt;='NILAI CPL'!$B$5,2,Z28&gt;'NILAI CPL'!$B$6,1),0),"")</f>
        <v/>
      </c>
      <c r="AX28" s="2" t="str" cm="1">
        <f t="array" ref="AX28">IF('NILAI CPL'!$B28&lt;&gt;"",IFERROR(_xlfn.IFS(AA28&gt;='NILAI CPL'!$B$3,4,AA28&gt;='NILAI CPL'!$B$4,3,AA28&gt;='NILAI CPL'!$B$5,2,AA28&gt;'NILAI CPL'!$B$6,1),0),"")</f>
        <v/>
      </c>
      <c r="AY28" s="2" t="str" cm="1">
        <f t="array" ref="AY28">IF('NILAI CPL'!$B28&lt;&gt;"",IFERROR(_xlfn.IFS(AB28&gt;='NILAI CPL'!$B$3,4,AB28&gt;='NILAI CPL'!$B$4,3,AB28&gt;='NILAI CPL'!$B$5,2,AB28&gt;'NILAI CPL'!$B$6,1),0),"")</f>
        <v/>
      </c>
      <c r="AZ28" s="2" t="str" cm="1">
        <f t="array" ref="AZ28">IF('NILAI CPL'!$B28&lt;&gt;"",IFERROR(_xlfn.IFS(AC28&gt;='NILAI CPL'!$B$3,4,AC28&gt;='NILAI CPL'!$B$4,3,AC28&gt;='NILAI CPL'!$B$5,2,AC28&gt;'NILAI CPL'!$B$6,1),0),"")</f>
        <v/>
      </c>
      <c r="BA28" s="2" t="str" cm="1">
        <f t="array" ref="BA28">IF('NILAI CPL'!$B28&lt;&gt;"",IFERROR(_xlfn.IFS(AD28&gt;='NILAI CPL'!$B$3,4,AD28&gt;='NILAI CPL'!$B$4,3,AD28&gt;='NILAI CPL'!$B$5,2,AD28&gt;'NILAI CPL'!$B$6,1),0),"")</f>
        <v/>
      </c>
      <c r="BB28" s="2" t="str" cm="1">
        <f t="array" ref="BB28">IF('NILAI CPL'!$B28&lt;&gt;"",IFERROR(_xlfn.IFS(AE28&gt;='NILAI CPL'!$B$3,4,AE28&gt;='NILAI CPL'!$B$4,3,AE28&gt;='NILAI CPL'!$B$5,2,AE28&gt;'NILAI CPL'!$B$6,1),0),"")</f>
        <v/>
      </c>
      <c r="BC28" s="2" t="str" cm="1">
        <f t="array" ref="BC28">IF('NILAI CPL'!$B28&lt;&gt;"",IFERROR(_xlfn.IFS(AF28&gt;='NILAI CPL'!$B$3,4,AF28&gt;='NILAI CPL'!$B$4,3,AF28&gt;='NILAI CPL'!$B$5,2,AF28&gt;'NILAI CPL'!$B$6,1),0),"")</f>
        <v/>
      </c>
      <c r="BD28" s="2" t="str" cm="1">
        <f t="array" ref="BD28">IF('NILAI CPL'!$B28&lt;&gt;"",IFERROR(_xlfn.IFS(AG28&gt;='NILAI CPL'!$B$3,4,AG28&gt;='NILAI CPL'!$B$4,3,AG28&gt;='NILAI CPL'!$B$5,2,AG28&gt;'NILAI CPL'!$B$6,1),0),"")</f>
        <v/>
      </c>
      <c r="BE28" s="2" t="str" cm="1">
        <f t="array" ref="BE28">IF('NILAI CPL'!$B28&lt;&gt;"",IFERROR(_xlfn.IFS(AH28&gt;='NILAI CPL'!$B$3,4,AH28&gt;='NILAI CPL'!$B$4,3,AH28&gt;='NILAI CPL'!$B$5,2,AH28&gt;'NILAI CPL'!$B$6,1),0),"")</f>
        <v/>
      </c>
      <c r="BF28" s="2" t="str" cm="1">
        <f t="array" ref="BF28">IF('NILAI CPL'!$B28&lt;&gt;"",IFERROR(_xlfn.IFS(AI28&gt;='NILAI CPL'!$B$3,4,AI28&gt;='NILAI CPL'!$B$4,3,AI28&gt;='NILAI CPL'!$B$5,2,AI28&gt;'NILAI CPL'!$B$6,1),0),"")</f>
        <v/>
      </c>
      <c r="BG28" s="2" t="str" cm="1">
        <f t="array" ref="BG28">IF('NILAI CPL'!$B28&lt;&gt;"",IFERROR(_xlfn.IFS(AJ28&gt;='NILAI CPL'!$B$3,4,AJ28&gt;='NILAI CPL'!$B$4,3,AJ28&gt;='NILAI CPL'!$B$5,2,AJ28&gt;'NILAI CPL'!$B$6,1),0),"")</f>
        <v/>
      </c>
      <c r="BH28" s="2" t="str" cm="1">
        <f t="array" ref="BH28">IF('NILAI CPL'!$B28&lt;&gt;"",IFERROR(_xlfn.IFS(AK28&gt;='NILAI CPL'!$B$3,4,AK28&gt;='NILAI CPL'!$B$4,3,AK28&gt;='NILAI CPL'!$B$5,2,AK28&gt;'NILAI CPL'!$B$6,1),0),"")</f>
        <v/>
      </c>
      <c r="BI28" s="2" t="str" cm="1">
        <f t="array" ref="BI28">IF('NILAI CPL'!$B28&lt;&gt;"",IFERROR(_xlfn.IFS(AL28&gt;='NILAI CPL'!$B$3,4,AL28&gt;='NILAI CPL'!$B$4,3,AL28&gt;='NILAI CPL'!$B$5,2,AL28&gt;'NILAI CPL'!$B$6,1),0),"")</f>
        <v/>
      </c>
      <c r="BJ28" s="2" t="str" cm="1">
        <f t="array" ref="BJ28">IF('NILAI CPL'!$B28&lt;&gt;"",IFERROR(_xlfn.IFS(AM28&gt;='NILAI CPL'!$B$3,4,AM28&gt;='NILAI CPL'!$B$4,3,AM28&gt;='NILAI CPL'!$B$5,2,AM28&gt;'NILAI CPL'!$B$6,1),0),"")</f>
        <v/>
      </c>
      <c r="BK28" s="2" t="str" cm="1">
        <f t="array" ref="BK28">IF('NILAI CPL'!$B28&lt;&gt;"",IFERROR(_xlfn.IFS(AN28&gt;='NILAI CPL'!$B$3,4,AN28&gt;='NILAI CPL'!$B$4,3,AN28&gt;='NILAI CPL'!$B$5,2,AN28&gt;'NILAI CPL'!$B$6,1),0),"")</f>
        <v/>
      </c>
    </row>
    <row r="29" spans="1:63" x14ac:dyDescent="0.2">
      <c r="A29" s="2">
        <v>19</v>
      </c>
      <c r="B29" s="2" t="str">
        <f>IF(LEN(SUMMARY!B29)&gt;0, SUMMARY!B29, "")</f>
        <v/>
      </c>
      <c r="C29" s="2" t="str">
        <f>IF(LEN(SUMMARY!C29)&gt;0, SUMMARY!C29, "")</f>
        <v/>
      </c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" t="str">
        <f t="shared" si="2"/>
        <v/>
      </c>
      <c r="S29" s="2" t="str">
        <f t="shared" si="3"/>
        <v/>
      </c>
      <c r="T29" s="2" t="str">
        <f t="shared" si="4"/>
        <v/>
      </c>
      <c r="U29" s="2" t="str">
        <f t="shared" si="5"/>
        <v/>
      </c>
      <c r="V29" s="2" t="str">
        <f t="shared" si="6"/>
        <v/>
      </c>
      <c r="W29" s="2" t="str">
        <f t="shared" si="7"/>
        <v/>
      </c>
      <c r="X29" s="2" t="str">
        <f t="shared" si="8"/>
        <v/>
      </c>
      <c r="Y29" s="2" t="str">
        <f t="shared" si="9"/>
        <v/>
      </c>
      <c r="Z29" s="2" t="str">
        <f t="shared" si="10"/>
        <v/>
      </c>
      <c r="AA29" s="2" t="str">
        <f t="shared" si="11"/>
        <v/>
      </c>
      <c r="AB29" s="2" t="str">
        <f t="shared" si="12"/>
        <v/>
      </c>
      <c r="AC29" s="2" t="str">
        <f t="shared" si="13"/>
        <v/>
      </c>
      <c r="AD29" s="2" t="str">
        <f t="shared" si="14"/>
        <v/>
      </c>
      <c r="AE29" s="2" t="str">
        <f t="shared" si="15"/>
        <v/>
      </c>
      <c r="AF29" s="2" t="str">
        <f t="shared" si="16"/>
        <v/>
      </c>
      <c r="AG29" s="2" t="str">
        <f t="shared" si="17"/>
        <v/>
      </c>
      <c r="AH29" s="2" t="str">
        <f t="shared" si="18"/>
        <v/>
      </c>
      <c r="AI29" s="2" t="str">
        <f t="shared" si="19"/>
        <v/>
      </c>
      <c r="AJ29" s="2" t="str">
        <f t="shared" si="20"/>
        <v/>
      </c>
      <c r="AK29" s="2" t="str">
        <f t="shared" si="21"/>
        <v/>
      </c>
      <c r="AL29" s="2" t="str">
        <f t="shared" si="22"/>
        <v/>
      </c>
      <c r="AM29" s="2" t="str">
        <f t="shared" si="23"/>
        <v/>
      </c>
      <c r="AN29" s="2" t="str">
        <f t="shared" si="24"/>
        <v/>
      </c>
      <c r="AP29" s="2" t="str" cm="1">
        <f t="array" ref="AP29">IF('NILAI CPL'!$B29&lt;&gt;"",IFERROR(_xlfn.IFS(S29&gt;='NILAI CPL'!$B$3,4,S29&gt;='NILAI CPL'!$B$4,3,S29&gt;='NILAI CPL'!$B$5,2,S29&gt;'NILAI CPL'!$B$6,1),0),"")</f>
        <v/>
      </c>
      <c r="AQ29" s="2" t="str" cm="1">
        <f t="array" ref="AQ29">IF('NILAI CPL'!$B29&lt;&gt;"",IFERROR(_xlfn.IFS(T29&gt;='NILAI CPL'!$B$3,4,T29&gt;='NILAI CPL'!$B$4,3,T29&gt;='NILAI CPL'!$B$5,2,T29&gt;'NILAI CPL'!$B$6,1),0),"")</f>
        <v/>
      </c>
      <c r="AR29" s="2" t="str" cm="1">
        <f t="array" ref="AR29">IF('NILAI CPL'!$B29&lt;&gt;"",IFERROR(_xlfn.IFS(U29&gt;='NILAI CPL'!$B$3,4,U29&gt;='NILAI CPL'!$B$4,3,U29&gt;='NILAI CPL'!$B$5,2,U29&gt;'NILAI CPL'!$B$6,1),0),"")</f>
        <v/>
      </c>
      <c r="AS29" s="2" t="str" cm="1">
        <f t="array" ref="AS29">IF('NILAI CPL'!$B29&lt;&gt;"",IFERROR(_xlfn.IFS(V29&gt;='NILAI CPL'!$B$3,4,V29&gt;='NILAI CPL'!$B$4,3,V29&gt;='NILAI CPL'!$B$5,2,V29&gt;'NILAI CPL'!$B$6,1),0),"")</f>
        <v/>
      </c>
      <c r="AT29" s="2" t="str" cm="1">
        <f t="array" ref="AT29">IF('NILAI CPL'!$B29&lt;&gt;"",IFERROR(_xlfn.IFS(W29&gt;='NILAI CPL'!$B$3,4,W29&gt;='NILAI CPL'!$B$4,3,W29&gt;='NILAI CPL'!$B$5,2,W29&gt;'NILAI CPL'!$B$6,1),0),"")</f>
        <v/>
      </c>
      <c r="AU29" s="2" t="str" cm="1">
        <f t="array" ref="AU29">IF('NILAI CPL'!$B29&lt;&gt;"",IFERROR(_xlfn.IFS(X29&gt;='NILAI CPL'!$B$3,4,X29&gt;='NILAI CPL'!$B$4,3,X29&gt;='NILAI CPL'!$B$5,2,X29&gt;'NILAI CPL'!$B$6,1),0),"")</f>
        <v/>
      </c>
      <c r="AV29" s="2" t="str" cm="1">
        <f t="array" ref="AV29">IF('NILAI CPL'!$B29&lt;&gt;"",IFERROR(_xlfn.IFS(Y29&gt;='NILAI CPL'!$B$3,4,Y29&gt;='NILAI CPL'!$B$4,3,Y29&gt;='NILAI CPL'!$B$5,2,Y29&gt;'NILAI CPL'!$B$6,1),0),"")</f>
        <v/>
      </c>
      <c r="AW29" s="2" t="str" cm="1">
        <f t="array" ref="AW29">IF('NILAI CPL'!$B29&lt;&gt;"",IFERROR(_xlfn.IFS(Z29&gt;='NILAI CPL'!$B$3,4,Z29&gt;='NILAI CPL'!$B$4,3,Z29&gt;='NILAI CPL'!$B$5,2,Z29&gt;'NILAI CPL'!$B$6,1),0),"")</f>
        <v/>
      </c>
      <c r="AX29" s="2" t="str" cm="1">
        <f t="array" ref="AX29">IF('NILAI CPL'!$B29&lt;&gt;"",IFERROR(_xlfn.IFS(AA29&gt;='NILAI CPL'!$B$3,4,AA29&gt;='NILAI CPL'!$B$4,3,AA29&gt;='NILAI CPL'!$B$5,2,AA29&gt;'NILAI CPL'!$B$6,1),0),"")</f>
        <v/>
      </c>
      <c r="AY29" s="2" t="str" cm="1">
        <f t="array" ref="AY29">IF('NILAI CPL'!$B29&lt;&gt;"",IFERROR(_xlfn.IFS(AB29&gt;='NILAI CPL'!$B$3,4,AB29&gt;='NILAI CPL'!$B$4,3,AB29&gt;='NILAI CPL'!$B$5,2,AB29&gt;'NILAI CPL'!$B$6,1),0),"")</f>
        <v/>
      </c>
      <c r="AZ29" s="2" t="str" cm="1">
        <f t="array" ref="AZ29">IF('NILAI CPL'!$B29&lt;&gt;"",IFERROR(_xlfn.IFS(AC29&gt;='NILAI CPL'!$B$3,4,AC29&gt;='NILAI CPL'!$B$4,3,AC29&gt;='NILAI CPL'!$B$5,2,AC29&gt;'NILAI CPL'!$B$6,1),0),"")</f>
        <v/>
      </c>
      <c r="BA29" s="2" t="str" cm="1">
        <f t="array" ref="BA29">IF('NILAI CPL'!$B29&lt;&gt;"",IFERROR(_xlfn.IFS(AD29&gt;='NILAI CPL'!$B$3,4,AD29&gt;='NILAI CPL'!$B$4,3,AD29&gt;='NILAI CPL'!$B$5,2,AD29&gt;'NILAI CPL'!$B$6,1),0),"")</f>
        <v/>
      </c>
      <c r="BB29" s="2" t="str" cm="1">
        <f t="array" ref="BB29">IF('NILAI CPL'!$B29&lt;&gt;"",IFERROR(_xlfn.IFS(AE29&gt;='NILAI CPL'!$B$3,4,AE29&gt;='NILAI CPL'!$B$4,3,AE29&gt;='NILAI CPL'!$B$5,2,AE29&gt;'NILAI CPL'!$B$6,1),0),"")</f>
        <v/>
      </c>
      <c r="BC29" s="2" t="str" cm="1">
        <f t="array" ref="BC29">IF('NILAI CPL'!$B29&lt;&gt;"",IFERROR(_xlfn.IFS(AF29&gt;='NILAI CPL'!$B$3,4,AF29&gt;='NILAI CPL'!$B$4,3,AF29&gt;='NILAI CPL'!$B$5,2,AF29&gt;'NILAI CPL'!$B$6,1),0),"")</f>
        <v/>
      </c>
      <c r="BD29" s="2" t="str" cm="1">
        <f t="array" ref="BD29">IF('NILAI CPL'!$B29&lt;&gt;"",IFERROR(_xlfn.IFS(AG29&gt;='NILAI CPL'!$B$3,4,AG29&gt;='NILAI CPL'!$B$4,3,AG29&gt;='NILAI CPL'!$B$5,2,AG29&gt;'NILAI CPL'!$B$6,1),0),"")</f>
        <v/>
      </c>
      <c r="BE29" s="2" t="str" cm="1">
        <f t="array" ref="BE29">IF('NILAI CPL'!$B29&lt;&gt;"",IFERROR(_xlfn.IFS(AH29&gt;='NILAI CPL'!$B$3,4,AH29&gt;='NILAI CPL'!$B$4,3,AH29&gt;='NILAI CPL'!$B$5,2,AH29&gt;'NILAI CPL'!$B$6,1),0),"")</f>
        <v/>
      </c>
      <c r="BF29" s="2" t="str" cm="1">
        <f t="array" ref="BF29">IF('NILAI CPL'!$B29&lt;&gt;"",IFERROR(_xlfn.IFS(AI29&gt;='NILAI CPL'!$B$3,4,AI29&gt;='NILAI CPL'!$B$4,3,AI29&gt;='NILAI CPL'!$B$5,2,AI29&gt;'NILAI CPL'!$B$6,1),0),"")</f>
        <v/>
      </c>
      <c r="BG29" s="2" t="str" cm="1">
        <f t="array" ref="BG29">IF('NILAI CPL'!$B29&lt;&gt;"",IFERROR(_xlfn.IFS(AJ29&gt;='NILAI CPL'!$B$3,4,AJ29&gt;='NILAI CPL'!$B$4,3,AJ29&gt;='NILAI CPL'!$B$5,2,AJ29&gt;'NILAI CPL'!$B$6,1),0),"")</f>
        <v/>
      </c>
      <c r="BH29" s="2" t="str" cm="1">
        <f t="array" ref="BH29">IF('NILAI CPL'!$B29&lt;&gt;"",IFERROR(_xlfn.IFS(AK29&gt;='NILAI CPL'!$B$3,4,AK29&gt;='NILAI CPL'!$B$4,3,AK29&gt;='NILAI CPL'!$B$5,2,AK29&gt;'NILAI CPL'!$B$6,1),0),"")</f>
        <v/>
      </c>
      <c r="BI29" s="2" t="str" cm="1">
        <f t="array" ref="BI29">IF('NILAI CPL'!$B29&lt;&gt;"",IFERROR(_xlfn.IFS(AL29&gt;='NILAI CPL'!$B$3,4,AL29&gt;='NILAI CPL'!$B$4,3,AL29&gt;='NILAI CPL'!$B$5,2,AL29&gt;'NILAI CPL'!$B$6,1),0),"")</f>
        <v/>
      </c>
      <c r="BJ29" s="2" t="str" cm="1">
        <f t="array" ref="BJ29">IF('NILAI CPL'!$B29&lt;&gt;"",IFERROR(_xlfn.IFS(AM29&gt;='NILAI CPL'!$B$3,4,AM29&gt;='NILAI CPL'!$B$4,3,AM29&gt;='NILAI CPL'!$B$5,2,AM29&gt;'NILAI CPL'!$B$6,1),0),"")</f>
        <v/>
      </c>
      <c r="BK29" s="2" t="str" cm="1">
        <f t="array" ref="BK29">IF('NILAI CPL'!$B29&lt;&gt;"",IFERROR(_xlfn.IFS(AN29&gt;='NILAI CPL'!$B$3,4,AN29&gt;='NILAI CPL'!$B$4,3,AN29&gt;='NILAI CPL'!$B$5,2,AN29&gt;'NILAI CPL'!$B$6,1),0),"")</f>
        <v/>
      </c>
    </row>
    <row r="30" spans="1:63" x14ac:dyDescent="0.2">
      <c r="A30" s="2">
        <v>20</v>
      </c>
      <c r="B30" s="2" t="str">
        <f>IF(LEN(SUMMARY!B30)&gt;0, SUMMARY!B30, "")</f>
        <v/>
      </c>
      <c r="C30" s="2" t="str">
        <f>IF(LEN(SUMMARY!C30)&gt;0, SUMMARY!C30, "")</f>
        <v/>
      </c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" t="str">
        <f t="shared" si="2"/>
        <v/>
      </c>
      <c r="S30" s="2" t="str">
        <f t="shared" si="3"/>
        <v/>
      </c>
      <c r="T30" s="2" t="str">
        <f t="shared" si="4"/>
        <v/>
      </c>
      <c r="U30" s="2" t="str">
        <f t="shared" si="5"/>
        <v/>
      </c>
      <c r="V30" s="2" t="str">
        <f t="shared" si="6"/>
        <v/>
      </c>
      <c r="W30" s="2" t="str">
        <f t="shared" si="7"/>
        <v/>
      </c>
      <c r="X30" s="2" t="str">
        <f t="shared" si="8"/>
        <v/>
      </c>
      <c r="Y30" s="2" t="str">
        <f t="shared" si="9"/>
        <v/>
      </c>
      <c r="Z30" s="2" t="str">
        <f t="shared" si="10"/>
        <v/>
      </c>
      <c r="AA30" s="2" t="str">
        <f t="shared" si="11"/>
        <v/>
      </c>
      <c r="AB30" s="2" t="str">
        <f t="shared" si="12"/>
        <v/>
      </c>
      <c r="AC30" s="2" t="str">
        <f t="shared" si="13"/>
        <v/>
      </c>
      <c r="AD30" s="2" t="str">
        <f t="shared" si="14"/>
        <v/>
      </c>
      <c r="AE30" s="2" t="str">
        <f t="shared" si="15"/>
        <v/>
      </c>
      <c r="AF30" s="2" t="str">
        <f t="shared" si="16"/>
        <v/>
      </c>
      <c r="AG30" s="2" t="str">
        <f t="shared" si="17"/>
        <v/>
      </c>
      <c r="AH30" s="2" t="str">
        <f t="shared" si="18"/>
        <v/>
      </c>
      <c r="AI30" s="2" t="str">
        <f t="shared" si="19"/>
        <v/>
      </c>
      <c r="AJ30" s="2" t="str">
        <f t="shared" si="20"/>
        <v/>
      </c>
      <c r="AK30" s="2" t="str">
        <f t="shared" si="21"/>
        <v/>
      </c>
      <c r="AL30" s="2" t="str">
        <f t="shared" si="22"/>
        <v/>
      </c>
      <c r="AM30" s="2" t="str">
        <f t="shared" si="23"/>
        <v/>
      </c>
      <c r="AN30" s="2" t="str">
        <f t="shared" si="24"/>
        <v/>
      </c>
      <c r="AP30" s="2" t="str" cm="1">
        <f t="array" ref="AP30">IF('NILAI CPL'!$B30&lt;&gt;"",IFERROR(_xlfn.IFS(S30&gt;='NILAI CPL'!$B$3,4,S30&gt;='NILAI CPL'!$B$4,3,S30&gt;='NILAI CPL'!$B$5,2,S30&gt;'NILAI CPL'!$B$6,1),0),"")</f>
        <v/>
      </c>
      <c r="AQ30" s="2" t="str" cm="1">
        <f t="array" ref="AQ30">IF('NILAI CPL'!$B30&lt;&gt;"",IFERROR(_xlfn.IFS(T30&gt;='NILAI CPL'!$B$3,4,T30&gt;='NILAI CPL'!$B$4,3,T30&gt;='NILAI CPL'!$B$5,2,T30&gt;'NILAI CPL'!$B$6,1),0),"")</f>
        <v/>
      </c>
      <c r="AR30" s="2" t="str" cm="1">
        <f t="array" ref="AR30">IF('NILAI CPL'!$B30&lt;&gt;"",IFERROR(_xlfn.IFS(U30&gt;='NILAI CPL'!$B$3,4,U30&gt;='NILAI CPL'!$B$4,3,U30&gt;='NILAI CPL'!$B$5,2,U30&gt;'NILAI CPL'!$B$6,1),0),"")</f>
        <v/>
      </c>
      <c r="AS30" s="2" t="str" cm="1">
        <f t="array" ref="AS30">IF('NILAI CPL'!$B30&lt;&gt;"",IFERROR(_xlfn.IFS(V30&gt;='NILAI CPL'!$B$3,4,V30&gt;='NILAI CPL'!$B$4,3,V30&gt;='NILAI CPL'!$B$5,2,V30&gt;'NILAI CPL'!$B$6,1),0),"")</f>
        <v/>
      </c>
      <c r="AT30" s="2" t="str" cm="1">
        <f t="array" ref="AT30">IF('NILAI CPL'!$B30&lt;&gt;"",IFERROR(_xlfn.IFS(W30&gt;='NILAI CPL'!$B$3,4,W30&gt;='NILAI CPL'!$B$4,3,W30&gt;='NILAI CPL'!$B$5,2,W30&gt;'NILAI CPL'!$B$6,1),0),"")</f>
        <v/>
      </c>
      <c r="AU30" s="2" t="str" cm="1">
        <f t="array" ref="AU30">IF('NILAI CPL'!$B30&lt;&gt;"",IFERROR(_xlfn.IFS(X30&gt;='NILAI CPL'!$B$3,4,X30&gt;='NILAI CPL'!$B$4,3,X30&gt;='NILAI CPL'!$B$5,2,X30&gt;'NILAI CPL'!$B$6,1),0),"")</f>
        <v/>
      </c>
      <c r="AV30" s="2" t="str" cm="1">
        <f t="array" ref="AV30">IF('NILAI CPL'!$B30&lt;&gt;"",IFERROR(_xlfn.IFS(Y30&gt;='NILAI CPL'!$B$3,4,Y30&gt;='NILAI CPL'!$B$4,3,Y30&gt;='NILAI CPL'!$B$5,2,Y30&gt;'NILAI CPL'!$B$6,1),0),"")</f>
        <v/>
      </c>
      <c r="AW30" s="2" t="str" cm="1">
        <f t="array" ref="AW30">IF('NILAI CPL'!$B30&lt;&gt;"",IFERROR(_xlfn.IFS(Z30&gt;='NILAI CPL'!$B$3,4,Z30&gt;='NILAI CPL'!$B$4,3,Z30&gt;='NILAI CPL'!$B$5,2,Z30&gt;'NILAI CPL'!$B$6,1),0),"")</f>
        <v/>
      </c>
      <c r="AX30" s="2" t="str" cm="1">
        <f t="array" ref="AX30">IF('NILAI CPL'!$B30&lt;&gt;"",IFERROR(_xlfn.IFS(AA30&gt;='NILAI CPL'!$B$3,4,AA30&gt;='NILAI CPL'!$B$4,3,AA30&gt;='NILAI CPL'!$B$5,2,AA30&gt;'NILAI CPL'!$B$6,1),0),"")</f>
        <v/>
      </c>
      <c r="AY30" s="2" t="str" cm="1">
        <f t="array" ref="AY30">IF('NILAI CPL'!$B30&lt;&gt;"",IFERROR(_xlfn.IFS(AB30&gt;='NILAI CPL'!$B$3,4,AB30&gt;='NILAI CPL'!$B$4,3,AB30&gt;='NILAI CPL'!$B$5,2,AB30&gt;'NILAI CPL'!$B$6,1),0),"")</f>
        <v/>
      </c>
      <c r="AZ30" s="2" t="str" cm="1">
        <f t="array" ref="AZ30">IF('NILAI CPL'!$B30&lt;&gt;"",IFERROR(_xlfn.IFS(AC30&gt;='NILAI CPL'!$B$3,4,AC30&gt;='NILAI CPL'!$B$4,3,AC30&gt;='NILAI CPL'!$B$5,2,AC30&gt;'NILAI CPL'!$B$6,1),0),"")</f>
        <v/>
      </c>
      <c r="BA30" s="2" t="str" cm="1">
        <f t="array" ref="BA30">IF('NILAI CPL'!$B30&lt;&gt;"",IFERROR(_xlfn.IFS(AD30&gt;='NILAI CPL'!$B$3,4,AD30&gt;='NILAI CPL'!$B$4,3,AD30&gt;='NILAI CPL'!$B$5,2,AD30&gt;'NILAI CPL'!$B$6,1),0),"")</f>
        <v/>
      </c>
      <c r="BB30" s="2" t="str" cm="1">
        <f t="array" ref="BB30">IF('NILAI CPL'!$B30&lt;&gt;"",IFERROR(_xlfn.IFS(AE30&gt;='NILAI CPL'!$B$3,4,AE30&gt;='NILAI CPL'!$B$4,3,AE30&gt;='NILAI CPL'!$B$5,2,AE30&gt;'NILAI CPL'!$B$6,1),0),"")</f>
        <v/>
      </c>
      <c r="BC30" s="2" t="str" cm="1">
        <f t="array" ref="BC30">IF('NILAI CPL'!$B30&lt;&gt;"",IFERROR(_xlfn.IFS(AF30&gt;='NILAI CPL'!$B$3,4,AF30&gt;='NILAI CPL'!$B$4,3,AF30&gt;='NILAI CPL'!$B$5,2,AF30&gt;'NILAI CPL'!$B$6,1),0),"")</f>
        <v/>
      </c>
      <c r="BD30" s="2" t="str" cm="1">
        <f t="array" ref="BD30">IF('NILAI CPL'!$B30&lt;&gt;"",IFERROR(_xlfn.IFS(AG30&gt;='NILAI CPL'!$B$3,4,AG30&gt;='NILAI CPL'!$B$4,3,AG30&gt;='NILAI CPL'!$B$5,2,AG30&gt;'NILAI CPL'!$B$6,1),0),"")</f>
        <v/>
      </c>
      <c r="BE30" s="2" t="str" cm="1">
        <f t="array" ref="BE30">IF('NILAI CPL'!$B30&lt;&gt;"",IFERROR(_xlfn.IFS(AH30&gt;='NILAI CPL'!$B$3,4,AH30&gt;='NILAI CPL'!$B$4,3,AH30&gt;='NILAI CPL'!$B$5,2,AH30&gt;'NILAI CPL'!$B$6,1),0),"")</f>
        <v/>
      </c>
      <c r="BF30" s="2" t="str" cm="1">
        <f t="array" ref="BF30">IF('NILAI CPL'!$B30&lt;&gt;"",IFERROR(_xlfn.IFS(AI30&gt;='NILAI CPL'!$B$3,4,AI30&gt;='NILAI CPL'!$B$4,3,AI30&gt;='NILAI CPL'!$B$5,2,AI30&gt;'NILAI CPL'!$B$6,1),0),"")</f>
        <v/>
      </c>
      <c r="BG30" s="2" t="str" cm="1">
        <f t="array" ref="BG30">IF('NILAI CPL'!$B30&lt;&gt;"",IFERROR(_xlfn.IFS(AJ30&gt;='NILAI CPL'!$B$3,4,AJ30&gt;='NILAI CPL'!$B$4,3,AJ30&gt;='NILAI CPL'!$B$5,2,AJ30&gt;'NILAI CPL'!$B$6,1),0),"")</f>
        <v/>
      </c>
      <c r="BH30" s="2" t="str" cm="1">
        <f t="array" ref="BH30">IF('NILAI CPL'!$B30&lt;&gt;"",IFERROR(_xlfn.IFS(AK30&gt;='NILAI CPL'!$B$3,4,AK30&gt;='NILAI CPL'!$B$4,3,AK30&gt;='NILAI CPL'!$B$5,2,AK30&gt;'NILAI CPL'!$B$6,1),0),"")</f>
        <v/>
      </c>
      <c r="BI30" s="2" t="str" cm="1">
        <f t="array" ref="BI30">IF('NILAI CPL'!$B30&lt;&gt;"",IFERROR(_xlfn.IFS(AL30&gt;='NILAI CPL'!$B$3,4,AL30&gt;='NILAI CPL'!$B$4,3,AL30&gt;='NILAI CPL'!$B$5,2,AL30&gt;'NILAI CPL'!$B$6,1),0),"")</f>
        <v/>
      </c>
      <c r="BJ30" s="2" t="str" cm="1">
        <f t="array" ref="BJ30">IF('NILAI CPL'!$B30&lt;&gt;"",IFERROR(_xlfn.IFS(AM30&gt;='NILAI CPL'!$B$3,4,AM30&gt;='NILAI CPL'!$B$4,3,AM30&gt;='NILAI CPL'!$B$5,2,AM30&gt;'NILAI CPL'!$B$6,1),0),"")</f>
        <v/>
      </c>
      <c r="BK30" s="2" t="str" cm="1">
        <f t="array" ref="BK30">IF('NILAI CPL'!$B30&lt;&gt;"",IFERROR(_xlfn.IFS(AN30&gt;='NILAI CPL'!$B$3,4,AN30&gt;='NILAI CPL'!$B$4,3,AN30&gt;='NILAI CPL'!$B$5,2,AN30&gt;'NILAI CPL'!$B$6,1),0),"")</f>
        <v/>
      </c>
    </row>
    <row r="31" spans="1:63" x14ac:dyDescent="0.2">
      <c r="A31" s="2">
        <v>21</v>
      </c>
      <c r="B31" s="2" t="str">
        <f>IF(LEN(SUMMARY!B31)&gt;0, SUMMARY!B31, "")</f>
        <v/>
      </c>
      <c r="C31" s="2" t="str">
        <f>IF(LEN(SUMMARY!C31)&gt;0, SUMMARY!C31, "")</f>
        <v/>
      </c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" t="str">
        <f t="shared" si="2"/>
        <v/>
      </c>
      <c r="S31" s="2" t="str">
        <f t="shared" si="3"/>
        <v/>
      </c>
      <c r="T31" s="2" t="str">
        <f t="shared" si="4"/>
        <v/>
      </c>
      <c r="U31" s="2" t="str">
        <f t="shared" si="5"/>
        <v/>
      </c>
      <c r="V31" s="2" t="str">
        <f t="shared" si="6"/>
        <v/>
      </c>
      <c r="W31" s="2" t="str">
        <f t="shared" si="7"/>
        <v/>
      </c>
      <c r="X31" s="2" t="str">
        <f t="shared" si="8"/>
        <v/>
      </c>
      <c r="Y31" s="2" t="str">
        <f t="shared" si="9"/>
        <v/>
      </c>
      <c r="Z31" s="2" t="str">
        <f t="shared" si="10"/>
        <v/>
      </c>
      <c r="AA31" s="2" t="str">
        <f t="shared" si="11"/>
        <v/>
      </c>
      <c r="AB31" s="2" t="str">
        <f t="shared" si="12"/>
        <v/>
      </c>
      <c r="AC31" s="2" t="str">
        <f t="shared" si="13"/>
        <v/>
      </c>
      <c r="AD31" s="2" t="str">
        <f t="shared" si="14"/>
        <v/>
      </c>
      <c r="AE31" s="2" t="str">
        <f t="shared" si="15"/>
        <v/>
      </c>
      <c r="AF31" s="2" t="str">
        <f t="shared" si="16"/>
        <v/>
      </c>
      <c r="AG31" s="2" t="str">
        <f t="shared" si="17"/>
        <v/>
      </c>
      <c r="AH31" s="2" t="str">
        <f t="shared" si="18"/>
        <v/>
      </c>
      <c r="AI31" s="2" t="str">
        <f t="shared" si="19"/>
        <v/>
      </c>
      <c r="AJ31" s="2" t="str">
        <f t="shared" si="20"/>
        <v/>
      </c>
      <c r="AK31" s="2" t="str">
        <f t="shared" si="21"/>
        <v/>
      </c>
      <c r="AL31" s="2" t="str">
        <f t="shared" si="22"/>
        <v/>
      </c>
      <c r="AM31" s="2" t="str">
        <f t="shared" si="23"/>
        <v/>
      </c>
      <c r="AN31" s="2" t="str">
        <f t="shared" si="24"/>
        <v/>
      </c>
      <c r="AP31" s="2" t="str" cm="1">
        <f t="array" ref="AP31">IF('NILAI CPL'!$B31&lt;&gt;"",IFERROR(_xlfn.IFS(S31&gt;='NILAI CPL'!$B$3,4,S31&gt;='NILAI CPL'!$B$4,3,S31&gt;='NILAI CPL'!$B$5,2,S31&gt;'NILAI CPL'!$B$6,1),0),"")</f>
        <v/>
      </c>
      <c r="AQ31" s="2" t="str" cm="1">
        <f t="array" ref="AQ31">IF('NILAI CPL'!$B31&lt;&gt;"",IFERROR(_xlfn.IFS(T31&gt;='NILAI CPL'!$B$3,4,T31&gt;='NILAI CPL'!$B$4,3,T31&gt;='NILAI CPL'!$B$5,2,T31&gt;'NILAI CPL'!$B$6,1),0),"")</f>
        <v/>
      </c>
      <c r="AR31" s="2" t="str" cm="1">
        <f t="array" ref="AR31">IF('NILAI CPL'!$B31&lt;&gt;"",IFERROR(_xlfn.IFS(U31&gt;='NILAI CPL'!$B$3,4,U31&gt;='NILAI CPL'!$B$4,3,U31&gt;='NILAI CPL'!$B$5,2,U31&gt;'NILAI CPL'!$B$6,1),0),"")</f>
        <v/>
      </c>
      <c r="AS31" s="2" t="str" cm="1">
        <f t="array" ref="AS31">IF('NILAI CPL'!$B31&lt;&gt;"",IFERROR(_xlfn.IFS(V31&gt;='NILAI CPL'!$B$3,4,V31&gt;='NILAI CPL'!$B$4,3,V31&gt;='NILAI CPL'!$B$5,2,V31&gt;'NILAI CPL'!$B$6,1),0),"")</f>
        <v/>
      </c>
      <c r="AT31" s="2" t="str" cm="1">
        <f t="array" ref="AT31">IF('NILAI CPL'!$B31&lt;&gt;"",IFERROR(_xlfn.IFS(W31&gt;='NILAI CPL'!$B$3,4,W31&gt;='NILAI CPL'!$B$4,3,W31&gt;='NILAI CPL'!$B$5,2,W31&gt;'NILAI CPL'!$B$6,1),0),"")</f>
        <v/>
      </c>
      <c r="AU31" s="2" t="str" cm="1">
        <f t="array" ref="AU31">IF('NILAI CPL'!$B31&lt;&gt;"",IFERROR(_xlfn.IFS(X31&gt;='NILAI CPL'!$B$3,4,X31&gt;='NILAI CPL'!$B$4,3,X31&gt;='NILAI CPL'!$B$5,2,X31&gt;'NILAI CPL'!$B$6,1),0),"")</f>
        <v/>
      </c>
      <c r="AV31" s="2" t="str" cm="1">
        <f t="array" ref="AV31">IF('NILAI CPL'!$B31&lt;&gt;"",IFERROR(_xlfn.IFS(Y31&gt;='NILAI CPL'!$B$3,4,Y31&gt;='NILAI CPL'!$B$4,3,Y31&gt;='NILAI CPL'!$B$5,2,Y31&gt;'NILAI CPL'!$B$6,1),0),"")</f>
        <v/>
      </c>
      <c r="AW31" s="2" t="str" cm="1">
        <f t="array" ref="AW31">IF('NILAI CPL'!$B31&lt;&gt;"",IFERROR(_xlfn.IFS(Z31&gt;='NILAI CPL'!$B$3,4,Z31&gt;='NILAI CPL'!$B$4,3,Z31&gt;='NILAI CPL'!$B$5,2,Z31&gt;'NILAI CPL'!$B$6,1),0),"")</f>
        <v/>
      </c>
      <c r="AX31" s="2" t="str" cm="1">
        <f t="array" ref="AX31">IF('NILAI CPL'!$B31&lt;&gt;"",IFERROR(_xlfn.IFS(AA31&gt;='NILAI CPL'!$B$3,4,AA31&gt;='NILAI CPL'!$B$4,3,AA31&gt;='NILAI CPL'!$B$5,2,AA31&gt;'NILAI CPL'!$B$6,1),0),"")</f>
        <v/>
      </c>
      <c r="AY31" s="2" t="str" cm="1">
        <f t="array" ref="AY31">IF('NILAI CPL'!$B31&lt;&gt;"",IFERROR(_xlfn.IFS(AB31&gt;='NILAI CPL'!$B$3,4,AB31&gt;='NILAI CPL'!$B$4,3,AB31&gt;='NILAI CPL'!$B$5,2,AB31&gt;'NILAI CPL'!$B$6,1),0),"")</f>
        <v/>
      </c>
      <c r="AZ31" s="2" t="str" cm="1">
        <f t="array" ref="AZ31">IF('NILAI CPL'!$B31&lt;&gt;"",IFERROR(_xlfn.IFS(AC31&gt;='NILAI CPL'!$B$3,4,AC31&gt;='NILAI CPL'!$B$4,3,AC31&gt;='NILAI CPL'!$B$5,2,AC31&gt;'NILAI CPL'!$B$6,1),0),"")</f>
        <v/>
      </c>
      <c r="BA31" s="2" t="str" cm="1">
        <f t="array" ref="BA31">IF('NILAI CPL'!$B31&lt;&gt;"",IFERROR(_xlfn.IFS(AD31&gt;='NILAI CPL'!$B$3,4,AD31&gt;='NILAI CPL'!$B$4,3,AD31&gt;='NILAI CPL'!$B$5,2,AD31&gt;'NILAI CPL'!$B$6,1),0),"")</f>
        <v/>
      </c>
      <c r="BB31" s="2" t="str" cm="1">
        <f t="array" ref="BB31">IF('NILAI CPL'!$B31&lt;&gt;"",IFERROR(_xlfn.IFS(AE31&gt;='NILAI CPL'!$B$3,4,AE31&gt;='NILAI CPL'!$B$4,3,AE31&gt;='NILAI CPL'!$B$5,2,AE31&gt;'NILAI CPL'!$B$6,1),0),"")</f>
        <v/>
      </c>
      <c r="BC31" s="2" t="str" cm="1">
        <f t="array" ref="BC31">IF('NILAI CPL'!$B31&lt;&gt;"",IFERROR(_xlfn.IFS(AF31&gt;='NILAI CPL'!$B$3,4,AF31&gt;='NILAI CPL'!$B$4,3,AF31&gt;='NILAI CPL'!$B$5,2,AF31&gt;'NILAI CPL'!$B$6,1),0),"")</f>
        <v/>
      </c>
      <c r="BD31" s="2" t="str" cm="1">
        <f t="array" ref="BD31">IF('NILAI CPL'!$B31&lt;&gt;"",IFERROR(_xlfn.IFS(AG31&gt;='NILAI CPL'!$B$3,4,AG31&gt;='NILAI CPL'!$B$4,3,AG31&gt;='NILAI CPL'!$B$5,2,AG31&gt;'NILAI CPL'!$B$6,1),0),"")</f>
        <v/>
      </c>
      <c r="BE31" s="2" t="str" cm="1">
        <f t="array" ref="BE31">IF('NILAI CPL'!$B31&lt;&gt;"",IFERROR(_xlfn.IFS(AH31&gt;='NILAI CPL'!$B$3,4,AH31&gt;='NILAI CPL'!$B$4,3,AH31&gt;='NILAI CPL'!$B$5,2,AH31&gt;'NILAI CPL'!$B$6,1),0),"")</f>
        <v/>
      </c>
      <c r="BF31" s="2" t="str" cm="1">
        <f t="array" ref="BF31">IF('NILAI CPL'!$B31&lt;&gt;"",IFERROR(_xlfn.IFS(AI31&gt;='NILAI CPL'!$B$3,4,AI31&gt;='NILAI CPL'!$B$4,3,AI31&gt;='NILAI CPL'!$B$5,2,AI31&gt;'NILAI CPL'!$B$6,1),0),"")</f>
        <v/>
      </c>
      <c r="BG31" s="2" t="str" cm="1">
        <f t="array" ref="BG31">IF('NILAI CPL'!$B31&lt;&gt;"",IFERROR(_xlfn.IFS(AJ31&gt;='NILAI CPL'!$B$3,4,AJ31&gt;='NILAI CPL'!$B$4,3,AJ31&gt;='NILAI CPL'!$B$5,2,AJ31&gt;'NILAI CPL'!$B$6,1),0),"")</f>
        <v/>
      </c>
      <c r="BH31" s="2" t="str" cm="1">
        <f t="array" ref="BH31">IF('NILAI CPL'!$B31&lt;&gt;"",IFERROR(_xlfn.IFS(AK31&gt;='NILAI CPL'!$B$3,4,AK31&gt;='NILAI CPL'!$B$4,3,AK31&gt;='NILAI CPL'!$B$5,2,AK31&gt;'NILAI CPL'!$B$6,1),0),"")</f>
        <v/>
      </c>
      <c r="BI31" s="2" t="str" cm="1">
        <f t="array" ref="BI31">IF('NILAI CPL'!$B31&lt;&gt;"",IFERROR(_xlfn.IFS(AL31&gt;='NILAI CPL'!$B$3,4,AL31&gt;='NILAI CPL'!$B$4,3,AL31&gt;='NILAI CPL'!$B$5,2,AL31&gt;'NILAI CPL'!$B$6,1),0),"")</f>
        <v/>
      </c>
      <c r="BJ31" s="2" t="str" cm="1">
        <f t="array" ref="BJ31">IF('NILAI CPL'!$B31&lt;&gt;"",IFERROR(_xlfn.IFS(AM31&gt;='NILAI CPL'!$B$3,4,AM31&gt;='NILAI CPL'!$B$4,3,AM31&gt;='NILAI CPL'!$B$5,2,AM31&gt;'NILAI CPL'!$B$6,1),0),"")</f>
        <v/>
      </c>
      <c r="BK31" s="2" t="str" cm="1">
        <f t="array" ref="BK31">IF('NILAI CPL'!$B31&lt;&gt;"",IFERROR(_xlfn.IFS(AN31&gt;='NILAI CPL'!$B$3,4,AN31&gt;='NILAI CPL'!$B$4,3,AN31&gt;='NILAI CPL'!$B$5,2,AN31&gt;'NILAI CPL'!$B$6,1),0),"")</f>
        <v/>
      </c>
    </row>
    <row r="32" spans="1:63" x14ac:dyDescent="0.2">
      <c r="A32" s="2">
        <v>22</v>
      </c>
      <c r="B32" s="2" t="str">
        <f>IF(LEN(SUMMARY!B32)&gt;0, SUMMARY!B32, "")</f>
        <v/>
      </c>
      <c r="C32" s="2" t="str">
        <f>IF(LEN(SUMMARY!C32)&gt;0, SUMMARY!C32, "")</f>
        <v/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" t="str">
        <f t="shared" si="2"/>
        <v/>
      </c>
      <c r="S32" s="2" t="str">
        <f t="shared" si="3"/>
        <v/>
      </c>
      <c r="T32" s="2" t="str">
        <f t="shared" si="4"/>
        <v/>
      </c>
      <c r="U32" s="2" t="str">
        <f t="shared" si="5"/>
        <v/>
      </c>
      <c r="V32" s="2" t="str">
        <f t="shared" si="6"/>
        <v/>
      </c>
      <c r="W32" s="2" t="str">
        <f t="shared" si="7"/>
        <v/>
      </c>
      <c r="X32" s="2" t="str">
        <f t="shared" si="8"/>
        <v/>
      </c>
      <c r="Y32" s="2" t="str">
        <f t="shared" si="9"/>
        <v/>
      </c>
      <c r="Z32" s="2" t="str">
        <f t="shared" si="10"/>
        <v/>
      </c>
      <c r="AA32" s="2" t="str">
        <f t="shared" si="11"/>
        <v/>
      </c>
      <c r="AB32" s="2" t="str">
        <f t="shared" si="12"/>
        <v/>
      </c>
      <c r="AC32" s="2" t="str">
        <f t="shared" si="13"/>
        <v/>
      </c>
      <c r="AD32" s="2" t="str">
        <f t="shared" si="14"/>
        <v/>
      </c>
      <c r="AE32" s="2" t="str">
        <f t="shared" si="15"/>
        <v/>
      </c>
      <c r="AF32" s="2" t="str">
        <f t="shared" si="16"/>
        <v/>
      </c>
      <c r="AG32" s="2" t="str">
        <f t="shared" si="17"/>
        <v/>
      </c>
      <c r="AH32" s="2" t="str">
        <f t="shared" si="18"/>
        <v/>
      </c>
      <c r="AI32" s="2" t="str">
        <f t="shared" si="19"/>
        <v/>
      </c>
      <c r="AJ32" s="2" t="str">
        <f t="shared" si="20"/>
        <v/>
      </c>
      <c r="AK32" s="2" t="str">
        <f t="shared" si="21"/>
        <v/>
      </c>
      <c r="AL32" s="2" t="str">
        <f t="shared" si="22"/>
        <v/>
      </c>
      <c r="AM32" s="2" t="str">
        <f t="shared" si="23"/>
        <v/>
      </c>
      <c r="AN32" s="2" t="str">
        <f t="shared" si="24"/>
        <v/>
      </c>
      <c r="AP32" s="2" t="str" cm="1">
        <f t="array" ref="AP32">IF('NILAI CPL'!$B32&lt;&gt;"",IFERROR(_xlfn.IFS(S32&gt;='NILAI CPL'!$B$3,4,S32&gt;='NILAI CPL'!$B$4,3,S32&gt;='NILAI CPL'!$B$5,2,S32&gt;'NILAI CPL'!$B$6,1),0),"")</f>
        <v/>
      </c>
      <c r="AQ32" s="2" t="str" cm="1">
        <f t="array" ref="AQ32">IF('NILAI CPL'!$B32&lt;&gt;"",IFERROR(_xlfn.IFS(T32&gt;='NILAI CPL'!$B$3,4,T32&gt;='NILAI CPL'!$B$4,3,T32&gt;='NILAI CPL'!$B$5,2,T32&gt;'NILAI CPL'!$B$6,1),0),"")</f>
        <v/>
      </c>
      <c r="AR32" s="2" t="str" cm="1">
        <f t="array" ref="AR32">IF('NILAI CPL'!$B32&lt;&gt;"",IFERROR(_xlfn.IFS(U32&gt;='NILAI CPL'!$B$3,4,U32&gt;='NILAI CPL'!$B$4,3,U32&gt;='NILAI CPL'!$B$5,2,U32&gt;'NILAI CPL'!$B$6,1),0),"")</f>
        <v/>
      </c>
      <c r="AS32" s="2" t="str" cm="1">
        <f t="array" ref="AS32">IF('NILAI CPL'!$B32&lt;&gt;"",IFERROR(_xlfn.IFS(V32&gt;='NILAI CPL'!$B$3,4,V32&gt;='NILAI CPL'!$B$4,3,V32&gt;='NILAI CPL'!$B$5,2,V32&gt;'NILAI CPL'!$B$6,1),0),"")</f>
        <v/>
      </c>
      <c r="AT32" s="2" t="str" cm="1">
        <f t="array" ref="AT32">IF('NILAI CPL'!$B32&lt;&gt;"",IFERROR(_xlfn.IFS(W32&gt;='NILAI CPL'!$B$3,4,W32&gt;='NILAI CPL'!$B$4,3,W32&gt;='NILAI CPL'!$B$5,2,W32&gt;'NILAI CPL'!$B$6,1),0),"")</f>
        <v/>
      </c>
      <c r="AU32" s="2" t="str" cm="1">
        <f t="array" ref="AU32">IF('NILAI CPL'!$B32&lt;&gt;"",IFERROR(_xlfn.IFS(X32&gt;='NILAI CPL'!$B$3,4,X32&gt;='NILAI CPL'!$B$4,3,X32&gt;='NILAI CPL'!$B$5,2,X32&gt;'NILAI CPL'!$B$6,1),0),"")</f>
        <v/>
      </c>
      <c r="AV32" s="2" t="str" cm="1">
        <f t="array" ref="AV32">IF('NILAI CPL'!$B32&lt;&gt;"",IFERROR(_xlfn.IFS(Y32&gt;='NILAI CPL'!$B$3,4,Y32&gt;='NILAI CPL'!$B$4,3,Y32&gt;='NILAI CPL'!$B$5,2,Y32&gt;'NILAI CPL'!$B$6,1),0),"")</f>
        <v/>
      </c>
      <c r="AW32" s="2" t="str" cm="1">
        <f t="array" ref="AW32">IF('NILAI CPL'!$B32&lt;&gt;"",IFERROR(_xlfn.IFS(Z32&gt;='NILAI CPL'!$B$3,4,Z32&gt;='NILAI CPL'!$B$4,3,Z32&gt;='NILAI CPL'!$B$5,2,Z32&gt;'NILAI CPL'!$B$6,1),0),"")</f>
        <v/>
      </c>
      <c r="AX32" s="2" t="str" cm="1">
        <f t="array" ref="AX32">IF('NILAI CPL'!$B32&lt;&gt;"",IFERROR(_xlfn.IFS(AA32&gt;='NILAI CPL'!$B$3,4,AA32&gt;='NILAI CPL'!$B$4,3,AA32&gt;='NILAI CPL'!$B$5,2,AA32&gt;'NILAI CPL'!$B$6,1),0),"")</f>
        <v/>
      </c>
      <c r="AY32" s="2" t="str" cm="1">
        <f t="array" ref="AY32">IF('NILAI CPL'!$B32&lt;&gt;"",IFERROR(_xlfn.IFS(AB32&gt;='NILAI CPL'!$B$3,4,AB32&gt;='NILAI CPL'!$B$4,3,AB32&gt;='NILAI CPL'!$B$5,2,AB32&gt;'NILAI CPL'!$B$6,1),0),"")</f>
        <v/>
      </c>
      <c r="AZ32" s="2" t="str" cm="1">
        <f t="array" ref="AZ32">IF('NILAI CPL'!$B32&lt;&gt;"",IFERROR(_xlfn.IFS(AC32&gt;='NILAI CPL'!$B$3,4,AC32&gt;='NILAI CPL'!$B$4,3,AC32&gt;='NILAI CPL'!$B$5,2,AC32&gt;'NILAI CPL'!$B$6,1),0),"")</f>
        <v/>
      </c>
      <c r="BA32" s="2" t="str" cm="1">
        <f t="array" ref="BA32">IF('NILAI CPL'!$B32&lt;&gt;"",IFERROR(_xlfn.IFS(AD32&gt;='NILAI CPL'!$B$3,4,AD32&gt;='NILAI CPL'!$B$4,3,AD32&gt;='NILAI CPL'!$B$5,2,AD32&gt;'NILAI CPL'!$B$6,1),0),"")</f>
        <v/>
      </c>
      <c r="BB32" s="2" t="str" cm="1">
        <f t="array" ref="BB32">IF('NILAI CPL'!$B32&lt;&gt;"",IFERROR(_xlfn.IFS(AE32&gt;='NILAI CPL'!$B$3,4,AE32&gt;='NILAI CPL'!$B$4,3,AE32&gt;='NILAI CPL'!$B$5,2,AE32&gt;'NILAI CPL'!$B$6,1),0),"")</f>
        <v/>
      </c>
      <c r="BC32" s="2" t="str" cm="1">
        <f t="array" ref="BC32">IF('NILAI CPL'!$B32&lt;&gt;"",IFERROR(_xlfn.IFS(AF32&gt;='NILAI CPL'!$B$3,4,AF32&gt;='NILAI CPL'!$B$4,3,AF32&gt;='NILAI CPL'!$B$5,2,AF32&gt;'NILAI CPL'!$B$6,1),0),"")</f>
        <v/>
      </c>
      <c r="BD32" s="2" t="str" cm="1">
        <f t="array" ref="BD32">IF('NILAI CPL'!$B32&lt;&gt;"",IFERROR(_xlfn.IFS(AG32&gt;='NILAI CPL'!$B$3,4,AG32&gt;='NILAI CPL'!$B$4,3,AG32&gt;='NILAI CPL'!$B$5,2,AG32&gt;'NILAI CPL'!$B$6,1),0),"")</f>
        <v/>
      </c>
      <c r="BE32" s="2" t="str" cm="1">
        <f t="array" ref="BE32">IF('NILAI CPL'!$B32&lt;&gt;"",IFERROR(_xlfn.IFS(AH32&gt;='NILAI CPL'!$B$3,4,AH32&gt;='NILAI CPL'!$B$4,3,AH32&gt;='NILAI CPL'!$B$5,2,AH32&gt;'NILAI CPL'!$B$6,1),0),"")</f>
        <v/>
      </c>
      <c r="BF32" s="2" t="str" cm="1">
        <f t="array" ref="BF32">IF('NILAI CPL'!$B32&lt;&gt;"",IFERROR(_xlfn.IFS(AI32&gt;='NILAI CPL'!$B$3,4,AI32&gt;='NILAI CPL'!$B$4,3,AI32&gt;='NILAI CPL'!$B$5,2,AI32&gt;'NILAI CPL'!$B$6,1),0),"")</f>
        <v/>
      </c>
      <c r="BG32" s="2" t="str" cm="1">
        <f t="array" ref="BG32">IF('NILAI CPL'!$B32&lt;&gt;"",IFERROR(_xlfn.IFS(AJ32&gt;='NILAI CPL'!$B$3,4,AJ32&gt;='NILAI CPL'!$B$4,3,AJ32&gt;='NILAI CPL'!$B$5,2,AJ32&gt;'NILAI CPL'!$B$6,1),0),"")</f>
        <v/>
      </c>
      <c r="BH32" s="2" t="str" cm="1">
        <f t="array" ref="BH32">IF('NILAI CPL'!$B32&lt;&gt;"",IFERROR(_xlfn.IFS(AK32&gt;='NILAI CPL'!$B$3,4,AK32&gt;='NILAI CPL'!$B$4,3,AK32&gt;='NILAI CPL'!$B$5,2,AK32&gt;'NILAI CPL'!$B$6,1),0),"")</f>
        <v/>
      </c>
      <c r="BI32" s="2" t="str" cm="1">
        <f t="array" ref="BI32">IF('NILAI CPL'!$B32&lt;&gt;"",IFERROR(_xlfn.IFS(AL32&gt;='NILAI CPL'!$B$3,4,AL32&gt;='NILAI CPL'!$B$4,3,AL32&gt;='NILAI CPL'!$B$5,2,AL32&gt;'NILAI CPL'!$B$6,1),0),"")</f>
        <v/>
      </c>
      <c r="BJ32" s="2" t="str" cm="1">
        <f t="array" ref="BJ32">IF('NILAI CPL'!$B32&lt;&gt;"",IFERROR(_xlfn.IFS(AM32&gt;='NILAI CPL'!$B$3,4,AM32&gt;='NILAI CPL'!$B$4,3,AM32&gt;='NILAI CPL'!$B$5,2,AM32&gt;'NILAI CPL'!$B$6,1),0),"")</f>
        <v/>
      </c>
      <c r="BK32" s="2" t="str" cm="1">
        <f t="array" ref="BK32">IF('NILAI CPL'!$B32&lt;&gt;"",IFERROR(_xlfn.IFS(AN32&gt;='NILAI CPL'!$B$3,4,AN32&gt;='NILAI CPL'!$B$4,3,AN32&gt;='NILAI CPL'!$B$5,2,AN32&gt;'NILAI CPL'!$B$6,1),0),"")</f>
        <v/>
      </c>
    </row>
    <row r="33" spans="1:63" x14ac:dyDescent="0.2">
      <c r="A33" s="2">
        <v>23</v>
      </c>
      <c r="B33" s="2" t="str">
        <f>IF(LEN(SUMMARY!B33)&gt;0, SUMMARY!B33, "")</f>
        <v/>
      </c>
      <c r="C33" s="2" t="str">
        <f>IF(LEN(SUMMARY!C33)&gt;0, SUMMARY!C33, "")</f>
        <v/>
      </c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" t="str">
        <f t="shared" si="2"/>
        <v/>
      </c>
      <c r="S33" s="2" t="str">
        <f t="shared" si="3"/>
        <v/>
      </c>
      <c r="T33" s="2" t="str">
        <f t="shared" si="4"/>
        <v/>
      </c>
      <c r="U33" s="2" t="str">
        <f t="shared" si="5"/>
        <v/>
      </c>
      <c r="V33" s="2" t="str">
        <f t="shared" si="6"/>
        <v/>
      </c>
      <c r="W33" s="2" t="str">
        <f t="shared" si="7"/>
        <v/>
      </c>
      <c r="X33" s="2" t="str">
        <f t="shared" si="8"/>
        <v/>
      </c>
      <c r="Y33" s="2" t="str">
        <f t="shared" si="9"/>
        <v/>
      </c>
      <c r="Z33" s="2" t="str">
        <f t="shared" si="10"/>
        <v/>
      </c>
      <c r="AA33" s="2" t="str">
        <f t="shared" si="11"/>
        <v/>
      </c>
      <c r="AB33" s="2" t="str">
        <f t="shared" si="12"/>
        <v/>
      </c>
      <c r="AC33" s="2" t="str">
        <f t="shared" si="13"/>
        <v/>
      </c>
      <c r="AD33" s="2" t="str">
        <f t="shared" si="14"/>
        <v/>
      </c>
      <c r="AE33" s="2" t="str">
        <f t="shared" si="15"/>
        <v/>
      </c>
      <c r="AF33" s="2" t="str">
        <f t="shared" si="16"/>
        <v/>
      </c>
      <c r="AG33" s="2" t="str">
        <f t="shared" si="17"/>
        <v/>
      </c>
      <c r="AH33" s="2" t="str">
        <f t="shared" si="18"/>
        <v/>
      </c>
      <c r="AI33" s="2" t="str">
        <f t="shared" si="19"/>
        <v/>
      </c>
      <c r="AJ33" s="2" t="str">
        <f t="shared" si="20"/>
        <v/>
      </c>
      <c r="AK33" s="2" t="str">
        <f t="shared" si="21"/>
        <v/>
      </c>
      <c r="AL33" s="2" t="str">
        <f t="shared" si="22"/>
        <v/>
      </c>
      <c r="AM33" s="2" t="str">
        <f t="shared" si="23"/>
        <v/>
      </c>
      <c r="AN33" s="2" t="str">
        <f t="shared" si="24"/>
        <v/>
      </c>
      <c r="AP33" s="2" t="str" cm="1">
        <f t="array" ref="AP33">IF('NILAI CPL'!$B33&lt;&gt;"",IFERROR(_xlfn.IFS(S33&gt;='NILAI CPL'!$B$3,4,S33&gt;='NILAI CPL'!$B$4,3,S33&gt;='NILAI CPL'!$B$5,2,S33&gt;'NILAI CPL'!$B$6,1),0),"")</f>
        <v/>
      </c>
      <c r="AQ33" s="2" t="str" cm="1">
        <f t="array" ref="AQ33">IF('NILAI CPL'!$B33&lt;&gt;"",IFERROR(_xlfn.IFS(T33&gt;='NILAI CPL'!$B$3,4,T33&gt;='NILAI CPL'!$B$4,3,T33&gt;='NILAI CPL'!$B$5,2,T33&gt;'NILAI CPL'!$B$6,1),0),"")</f>
        <v/>
      </c>
      <c r="AR33" s="2" t="str" cm="1">
        <f t="array" ref="AR33">IF('NILAI CPL'!$B33&lt;&gt;"",IFERROR(_xlfn.IFS(U33&gt;='NILAI CPL'!$B$3,4,U33&gt;='NILAI CPL'!$B$4,3,U33&gt;='NILAI CPL'!$B$5,2,U33&gt;'NILAI CPL'!$B$6,1),0),"")</f>
        <v/>
      </c>
      <c r="AS33" s="2" t="str" cm="1">
        <f t="array" ref="AS33">IF('NILAI CPL'!$B33&lt;&gt;"",IFERROR(_xlfn.IFS(V33&gt;='NILAI CPL'!$B$3,4,V33&gt;='NILAI CPL'!$B$4,3,V33&gt;='NILAI CPL'!$B$5,2,V33&gt;'NILAI CPL'!$B$6,1),0),"")</f>
        <v/>
      </c>
      <c r="AT33" s="2" t="str" cm="1">
        <f t="array" ref="AT33">IF('NILAI CPL'!$B33&lt;&gt;"",IFERROR(_xlfn.IFS(W33&gt;='NILAI CPL'!$B$3,4,W33&gt;='NILAI CPL'!$B$4,3,W33&gt;='NILAI CPL'!$B$5,2,W33&gt;'NILAI CPL'!$B$6,1),0),"")</f>
        <v/>
      </c>
      <c r="AU33" s="2" t="str" cm="1">
        <f t="array" ref="AU33">IF('NILAI CPL'!$B33&lt;&gt;"",IFERROR(_xlfn.IFS(X33&gt;='NILAI CPL'!$B$3,4,X33&gt;='NILAI CPL'!$B$4,3,X33&gt;='NILAI CPL'!$B$5,2,X33&gt;'NILAI CPL'!$B$6,1),0),"")</f>
        <v/>
      </c>
      <c r="AV33" s="2" t="str" cm="1">
        <f t="array" ref="AV33">IF('NILAI CPL'!$B33&lt;&gt;"",IFERROR(_xlfn.IFS(Y33&gt;='NILAI CPL'!$B$3,4,Y33&gt;='NILAI CPL'!$B$4,3,Y33&gt;='NILAI CPL'!$B$5,2,Y33&gt;'NILAI CPL'!$B$6,1),0),"")</f>
        <v/>
      </c>
      <c r="AW33" s="2" t="str" cm="1">
        <f t="array" ref="AW33">IF('NILAI CPL'!$B33&lt;&gt;"",IFERROR(_xlfn.IFS(Z33&gt;='NILAI CPL'!$B$3,4,Z33&gt;='NILAI CPL'!$B$4,3,Z33&gt;='NILAI CPL'!$B$5,2,Z33&gt;'NILAI CPL'!$B$6,1),0),"")</f>
        <v/>
      </c>
      <c r="AX33" s="2" t="str" cm="1">
        <f t="array" ref="AX33">IF('NILAI CPL'!$B33&lt;&gt;"",IFERROR(_xlfn.IFS(AA33&gt;='NILAI CPL'!$B$3,4,AA33&gt;='NILAI CPL'!$B$4,3,AA33&gt;='NILAI CPL'!$B$5,2,AA33&gt;'NILAI CPL'!$B$6,1),0),"")</f>
        <v/>
      </c>
      <c r="AY33" s="2" t="str" cm="1">
        <f t="array" ref="AY33">IF('NILAI CPL'!$B33&lt;&gt;"",IFERROR(_xlfn.IFS(AB33&gt;='NILAI CPL'!$B$3,4,AB33&gt;='NILAI CPL'!$B$4,3,AB33&gt;='NILAI CPL'!$B$5,2,AB33&gt;'NILAI CPL'!$B$6,1),0),"")</f>
        <v/>
      </c>
      <c r="AZ33" s="2" t="str" cm="1">
        <f t="array" ref="AZ33">IF('NILAI CPL'!$B33&lt;&gt;"",IFERROR(_xlfn.IFS(AC33&gt;='NILAI CPL'!$B$3,4,AC33&gt;='NILAI CPL'!$B$4,3,AC33&gt;='NILAI CPL'!$B$5,2,AC33&gt;'NILAI CPL'!$B$6,1),0),"")</f>
        <v/>
      </c>
      <c r="BA33" s="2" t="str" cm="1">
        <f t="array" ref="BA33">IF('NILAI CPL'!$B33&lt;&gt;"",IFERROR(_xlfn.IFS(AD33&gt;='NILAI CPL'!$B$3,4,AD33&gt;='NILAI CPL'!$B$4,3,AD33&gt;='NILAI CPL'!$B$5,2,AD33&gt;'NILAI CPL'!$B$6,1),0),"")</f>
        <v/>
      </c>
      <c r="BB33" s="2" t="str" cm="1">
        <f t="array" ref="BB33">IF('NILAI CPL'!$B33&lt;&gt;"",IFERROR(_xlfn.IFS(AE33&gt;='NILAI CPL'!$B$3,4,AE33&gt;='NILAI CPL'!$B$4,3,AE33&gt;='NILAI CPL'!$B$5,2,AE33&gt;'NILAI CPL'!$B$6,1),0),"")</f>
        <v/>
      </c>
      <c r="BC33" s="2" t="str" cm="1">
        <f t="array" ref="BC33">IF('NILAI CPL'!$B33&lt;&gt;"",IFERROR(_xlfn.IFS(AF33&gt;='NILAI CPL'!$B$3,4,AF33&gt;='NILAI CPL'!$B$4,3,AF33&gt;='NILAI CPL'!$B$5,2,AF33&gt;'NILAI CPL'!$B$6,1),0),"")</f>
        <v/>
      </c>
      <c r="BD33" s="2" t="str" cm="1">
        <f t="array" ref="BD33">IF('NILAI CPL'!$B33&lt;&gt;"",IFERROR(_xlfn.IFS(AG33&gt;='NILAI CPL'!$B$3,4,AG33&gt;='NILAI CPL'!$B$4,3,AG33&gt;='NILAI CPL'!$B$5,2,AG33&gt;'NILAI CPL'!$B$6,1),0),"")</f>
        <v/>
      </c>
      <c r="BE33" s="2" t="str" cm="1">
        <f t="array" ref="BE33">IF('NILAI CPL'!$B33&lt;&gt;"",IFERROR(_xlfn.IFS(AH33&gt;='NILAI CPL'!$B$3,4,AH33&gt;='NILAI CPL'!$B$4,3,AH33&gt;='NILAI CPL'!$B$5,2,AH33&gt;'NILAI CPL'!$B$6,1),0),"")</f>
        <v/>
      </c>
      <c r="BF33" s="2" t="str" cm="1">
        <f t="array" ref="BF33">IF('NILAI CPL'!$B33&lt;&gt;"",IFERROR(_xlfn.IFS(AI33&gt;='NILAI CPL'!$B$3,4,AI33&gt;='NILAI CPL'!$B$4,3,AI33&gt;='NILAI CPL'!$B$5,2,AI33&gt;'NILAI CPL'!$B$6,1),0),"")</f>
        <v/>
      </c>
      <c r="BG33" s="2" t="str" cm="1">
        <f t="array" ref="BG33">IF('NILAI CPL'!$B33&lt;&gt;"",IFERROR(_xlfn.IFS(AJ33&gt;='NILAI CPL'!$B$3,4,AJ33&gt;='NILAI CPL'!$B$4,3,AJ33&gt;='NILAI CPL'!$B$5,2,AJ33&gt;'NILAI CPL'!$B$6,1),0),"")</f>
        <v/>
      </c>
      <c r="BH33" s="2" t="str" cm="1">
        <f t="array" ref="BH33">IF('NILAI CPL'!$B33&lt;&gt;"",IFERROR(_xlfn.IFS(AK33&gt;='NILAI CPL'!$B$3,4,AK33&gt;='NILAI CPL'!$B$4,3,AK33&gt;='NILAI CPL'!$B$5,2,AK33&gt;'NILAI CPL'!$B$6,1),0),"")</f>
        <v/>
      </c>
      <c r="BI33" s="2" t="str" cm="1">
        <f t="array" ref="BI33">IF('NILAI CPL'!$B33&lt;&gt;"",IFERROR(_xlfn.IFS(AL33&gt;='NILAI CPL'!$B$3,4,AL33&gt;='NILAI CPL'!$B$4,3,AL33&gt;='NILAI CPL'!$B$5,2,AL33&gt;'NILAI CPL'!$B$6,1),0),"")</f>
        <v/>
      </c>
      <c r="BJ33" s="2" t="str" cm="1">
        <f t="array" ref="BJ33">IF('NILAI CPL'!$B33&lt;&gt;"",IFERROR(_xlfn.IFS(AM33&gt;='NILAI CPL'!$B$3,4,AM33&gt;='NILAI CPL'!$B$4,3,AM33&gt;='NILAI CPL'!$B$5,2,AM33&gt;'NILAI CPL'!$B$6,1),0),"")</f>
        <v/>
      </c>
      <c r="BK33" s="2" t="str" cm="1">
        <f t="array" ref="BK33">IF('NILAI CPL'!$B33&lt;&gt;"",IFERROR(_xlfn.IFS(AN33&gt;='NILAI CPL'!$B$3,4,AN33&gt;='NILAI CPL'!$B$4,3,AN33&gt;='NILAI CPL'!$B$5,2,AN33&gt;'NILAI CPL'!$B$6,1),0),"")</f>
        <v/>
      </c>
    </row>
    <row r="34" spans="1:63" x14ac:dyDescent="0.2">
      <c r="A34" s="2">
        <v>24</v>
      </c>
      <c r="B34" s="2" t="str">
        <f>IF(LEN(SUMMARY!B34)&gt;0, SUMMARY!B34, "")</f>
        <v/>
      </c>
      <c r="C34" s="2" t="str">
        <f>IF(LEN(SUMMARY!C34)&gt;0, SUMMARY!C34, "")</f>
        <v/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" t="str">
        <f t="shared" si="2"/>
        <v/>
      </c>
      <c r="S34" s="2" t="str">
        <f t="shared" si="3"/>
        <v/>
      </c>
      <c r="T34" s="2" t="str">
        <f t="shared" si="4"/>
        <v/>
      </c>
      <c r="U34" s="2" t="str">
        <f t="shared" si="5"/>
        <v/>
      </c>
      <c r="V34" s="2" t="str">
        <f t="shared" si="6"/>
        <v/>
      </c>
      <c r="W34" s="2" t="str">
        <f t="shared" si="7"/>
        <v/>
      </c>
      <c r="X34" s="2" t="str">
        <f t="shared" si="8"/>
        <v/>
      </c>
      <c r="Y34" s="2" t="str">
        <f t="shared" si="9"/>
        <v/>
      </c>
      <c r="Z34" s="2" t="str">
        <f t="shared" si="10"/>
        <v/>
      </c>
      <c r="AA34" s="2" t="str">
        <f t="shared" si="11"/>
        <v/>
      </c>
      <c r="AB34" s="2" t="str">
        <f t="shared" si="12"/>
        <v/>
      </c>
      <c r="AC34" s="2" t="str">
        <f t="shared" si="13"/>
        <v/>
      </c>
      <c r="AD34" s="2" t="str">
        <f t="shared" si="14"/>
        <v/>
      </c>
      <c r="AE34" s="2" t="str">
        <f t="shared" si="15"/>
        <v/>
      </c>
      <c r="AF34" s="2" t="str">
        <f t="shared" si="16"/>
        <v/>
      </c>
      <c r="AG34" s="2" t="str">
        <f t="shared" si="17"/>
        <v/>
      </c>
      <c r="AH34" s="2" t="str">
        <f t="shared" si="18"/>
        <v/>
      </c>
      <c r="AI34" s="2" t="str">
        <f t="shared" si="19"/>
        <v/>
      </c>
      <c r="AJ34" s="2" t="str">
        <f t="shared" si="20"/>
        <v/>
      </c>
      <c r="AK34" s="2" t="str">
        <f t="shared" si="21"/>
        <v/>
      </c>
      <c r="AL34" s="2" t="str">
        <f t="shared" si="22"/>
        <v/>
      </c>
      <c r="AM34" s="2" t="str">
        <f t="shared" si="23"/>
        <v/>
      </c>
      <c r="AN34" s="2" t="str">
        <f t="shared" si="24"/>
        <v/>
      </c>
      <c r="AP34" s="2" t="str" cm="1">
        <f t="array" ref="AP34">IF('NILAI CPL'!$B34&lt;&gt;"",IFERROR(_xlfn.IFS(S34&gt;='NILAI CPL'!$B$3,4,S34&gt;='NILAI CPL'!$B$4,3,S34&gt;='NILAI CPL'!$B$5,2,S34&gt;'NILAI CPL'!$B$6,1),0),"")</f>
        <v/>
      </c>
      <c r="AQ34" s="2" t="str" cm="1">
        <f t="array" ref="AQ34">IF('NILAI CPL'!$B34&lt;&gt;"",IFERROR(_xlfn.IFS(T34&gt;='NILAI CPL'!$B$3,4,T34&gt;='NILAI CPL'!$B$4,3,T34&gt;='NILAI CPL'!$B$5,2,T34&gt;'NILAI CPL'!$B$6,1),0),"")</f>
        <v/>
      </c>
      <c r="AR34" s="2" t="str" cm="1">
        <f t="array" ref="AR34">IF('NILAI CPL'!$B34&lt;&gt;"",IFERROR(_xlfn.IFS(U34&gt;='NILAI CPL'!$B$3,4,U34&gt;='NILAI CPL'!$B$4,3,U34&gt;='NILAI CPL'!$B$5,2,U34&gt;'NILAI CPL'!$B$6,1),0),"")</f>
        <v/>
      </c>
      <c r="AS34" s="2" t="str" cm="1">
        <f t="array" ref="AS34">IF('NILAI CPL'!$B34&lt;&gt;"",IFERROR(_xlfn.IFS(V34&gt;='NILAI CPL'!$B$3,4,V34&gt;='NILAI CPL'!$B$4,3,V34&gt;='NILAI CPL'!$B$5,2,V34&gt;'NILAI CPL'!$B$6,1),0),"")</f>
        <v/>
      </c>
      <c r="AT34" s="2" t="str" cm="1">
        <f t="array" ref="AT34">IF('NILAI CPL'!$B34&lt;&gt;"",IFERROR(_xlfn.IFS(W34&gt;='NILAI CPL'!$B$3,4,W34&gt;='NILAI CPL'!$B$4,3,W34&gt;='NILAI CPL'!$B$5,2,W34&gt;'NILAI CPL'!$B$6,1),0),"")</f>
        <v/>
      </c>
      <c r="AU34" s="2" t="str" cm="1">
        <f t="array" ref="AU34">IF('NILAI CPL'!$B34&lt;&gt;"",IFERROR(_xlfn.IFS(X34&gt;='NILAI CPL'!$B$3,4,X34&gt;='NILAI CPL'!$B$4,3,X34&gt;='NILAI CPL'!$B$5,2,X34&gt;'NILAI CPL'!$B$6,1),0),"")</f>
        <v/>
      </c>
      <c r="AV34" s="2" t="str" cm="1">
        <f t="array" ref="AV34">IF('NILAI CPL'!$B34&lt;&gt;"",IFERROR(_xlfn.IFS(Y34&gt;='NILAI CPL'!$B$3,4,Y34&gt;='NILAI CPL'!$B$4,3,Y34&gt;='NILAI CPL'!$B$5,2,Y34&gt;'NILAI CPL'!$B$6,1),0),"")</f>
        <v/>
      </c>
      <c r="AW34" s="2" t="str" cm="1">
        <f t="array" ref="AW34">IF('NILAI CPL'!$B34&lt;&gt;"",IFERROR(_xlfn.IFS(Z34&gt;='NILAI CPL'!$B$3,4,Z34&gt;='NILAI CPL'!$B$4,3,Z34&gt;='NILAI CPL'!$B$5,2,Z34&gt;'NILAI CPL'!$B$6,1),0),"")</f>
        <v/>
      </c>
      <c r="AX34" s="2" t="str" cm="1">
        <f t="array" ref="AX34">IF('NILAI CPL'!$B34&lt;&gt;"",IFERROR(_xlfn.IFS(AA34&gt;='NILAI CPL'!$B$3,4,AA34&gt;='NILAI CPL'!$B$4,3,AA34&gt;='NILAI CPL'!$B$5,2,AA34&gt;'NILAI CPL'!$B$6,1),0),"")</f>
        <v/>
      </c>
      <c r="AY34" s="2" t="str" cm="1">
        <f t="array" ref="AY34">IF('NILAI CPL'!$B34&lt;&gt;"",IFERROR(_xlfn.IFS(AB34&gt;='NILAI CPL'!$B$3,4,AB34&gt;='NILAI CPL'!$B$4,3,AB34&gt;='NILAI CPL'!$B$5,2,AB34&gt;'NILAI CPL'!$B$6,1),0),"")</f>
        <v/>
      </c>
      <c r="AZ34" s="2" t="str" cm="1">
        <f t="array" ref="AZ34">IF('NILAI CPL'!$B34&lt;&gt;"",IFERROR(_xlfn.IFS(AC34&gt;='NILAI CPL'!$B$3,4,AC34&gt;='NILAI CPL'!$B$4,3,AC34&gt;='NILAI CPL'!$B$5,2,AC34&gt;'NILAI CPL'!$B$6,1),0),"")</f>
        <v/>
      </c>
      <c r="BA34" s="2" t="str" cm="1">
        <f t="array" ref="BA34">IF('NILAI CPL'!$B34&lt;&gt;"",IFERROR(_xlfn.IFS(AD34&gt;='NILAI CPL'!$B$3,4,AD34&gt;='NILAI CPL'!$B$4,3,AD34&gt;='NILAI CPL'!$B$5,2,AD34&gt;'NILAI CPL'!$B$6,1),0),"")</f>
        <v/>
      </c>
      <c r="BB34" s="2" t="str" cm="1">
        <f t="array" ref="BB34">IF('NILAI CPL'!$B34&lt;&gt;"",IFERROR(_xlfn.IFS(AE34&gt;='NILAI CPL'!$B$3,4,AE34&gt;='NILAI CPL'!$B$4,3,AE34&gt;='NILAI CPL'!$B$5,2,AE34&gt;'NILAI CPL'!$B$6,1),0),"")</f>
        <v/>
      </c>
      <c r="BC34" s="2" t="str" cm="1">
        <f t="array" ref="BC34">IF('NILAI CPL'!$B34&lt;&gt;"",IFERROR(_xlfn.IFS(AF34&gt;='NILAI CPL'!$B$3,4,AF34&gt;='NILAI CPL'!$B$4,3,AF34&gt;='NILAI CPL'!$B$5,2,AF34&gt;'NILAI CPL'!$B$6,1),0),"")</f>
        <v/>
      </c>
      <c r="BD34" s="2" t="str" cm="1">
        <f t="array" ref="BD34">IF('NILAI CPL'!$B34&lt;&gt;"",IFERROR(_xlfn.IFS(AG34&gt;='NILAI CPL'!$B$3,4,AG34&gt;='NILAI CPL'!$B$4,3,AG34&gt;='NILAI CPL'!$B$5,2,AG34&gt;'NILAI CPL'!$B$6,1),0),"")</f>
        <v/>
      </c>
      <c r="BE34" s="2" t="str" cm="1">
        <f t="array" ref="BE34">IF('NILAI CPL'!$B34&lt;&gt;"",IFERROR(_xlfn.IFS(AH34&gt;='NILAI CPL'!$B$3,4,AH34&gt;='NILAI CPL'!$B$4,3,AH34&gt;='NILAI CPL'!$B$5,2,AH34&gt;'NILAI CPL'!$B$6,1),0),"")</f>
        <v/>
      </c>
      <c r="BF34" s="2" t="str" cm="1">
        <f t="array" ref="BF34">IF('NILAI CPL'!$B34&lt;&gt;"",IFERROR(_xlfn.IFS(AI34&gt;='NILAI CPL'!$B$3,4,AI34&gt;='NILAI CPL'!$B$4,3,AI34&gt;='NILAI CPL'!$B$5,2,AI34&gt;'NILAI CPL'!$B$6,1),0),"")</f>
        <v/>
      </c>
      <c r="BG34" s="2" t="str" cm="1">
        <f t="array" ref="BG34">IF('NILAI CPL'!$B34&lt;&gt;"",IFERROR(_xlfn.IFS(AJ34&gt;='NILAI CPL'!$B$3,4,AJ34&gt;='NILAI CPL'!$B$4,3,AJ34&gt;='NILAI CPL'!$B$5,2,AJ34&gt;'NILAI CPL'!$B$6,1),0),"")</f>
        <v/>
      </c>
      <c r="BH34" s="2" t="str" cm="1">
        <f t="array" ref="BH34">IF('NILAI CPL'!$B34&lt;&gt;"",IFERROR(_xlfn.IFS(AK34&gt;='NILAI CPL'!$B$3,4,AK34&gt;='NILAI CPL'!$B$4,3,AK34&gt;='NILAI CPL'!$B$5,2,AK34&gt;'NILAI CPL'!$B$6,1),0),"")</f>
        <v/>
      </c>
      <c r="BI34" s="2" t="str" cm="1">
        <f t="array" ref="BI34">IF('NILAI CPL'!$B34&lt;&gt;"",IFERROR(_xlfn.IFS(AL34&gt;='NILAI CPL'!$B$3,4,AL34&gt;='NILAI CPL'!$B$4,3,AL34&gt;='NILAI CPL'!$B$5,2,AL34&gt;'NILAI CPL'!$B$6,1),0),"")</f>
        <v/>
      </c>
      <c r="BJ34" s="2" t="str" cm="1">
        <f t="array" ref="BJ34">IF('NILAI CPL'!$B34&lt;&gt;"",IFERROR(_xlfn.IFS(AM34&gt;='NILAI CPL'!$B$3,4,AM34&gt;='NILAI CPL'!$B$4,3,AM34&gt;='NILAI CPL'!$B$5,2,AM34&gt;'NILAI CPL'!$B$6,1),0),"")</f>
        <v/>
      </c>
      <c r="BK34" s="2" t="str" cm="1">
        <f t="array" ref="BK34">IF('NILAI CPL'!$B34&lt;&gt;"",IFERROR(_xlfn.IFS(AN34&gt;='NILAI CPL'!$B$3,4,AN34&gt;='NILAI CPL'!$B$4,3,AN34&gt;='NILAI CPL'!$B$5,2,AN34&gt;'NILAI CPL'!$B$6,1),0),"")</f>
        <v/>
      </c>
    </row>
    <row r="35" spans="1:63" x14ac:dyDescent="0.2">
      <c r="A35" s="2">
        <v>25</v>
      </c>
      <c r="B35" s="2" t="str">
        <f>IF(LEN(SUMMARY!B35)&gt;0, SUMMARY!B35, "")</f>
        <v/>
      </c>
      <c r="C35" s="2" t="str">
        <f>IF(LEN(SUMMARY!C35)&gt;0, SUMMARY!C35, "")</f>
        <v/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" t="str">
        <f t="shared" si="2"/>
        <v/>
      </c>
      <c r="S35" s="2" t="str">
        <f t="shared" si="3"/>
        <v/>
      </c>
      <c r="T35" s="2" t="str">
        <f t="shared" si="4"/>
        <v/>
      </c>
      <c r="U35" s="2" t="str">
        <f t="shared" si="5"/>
        <v/>
      </c>
      <c r="V35" s="2" t="str">
        <f t="shared" si="6"/>
        <v/>
      </c>
      <c r="W35" s="2" t="str">
        <f t="shared" si="7"/>
        <v/>
      </c>
      <c r="X35" s="2" t="str">
        <f t="shared" si="8"/>
        <v/>
      </c>
      <c r="Y35" s="2" t="str">
        <f t="shared" si="9"/>
        <v/>
      </c>
      <c r="Z35" s="2" t="str">
        <f t="shared" si="10"/>
        <v/>
      </c>
      <c r="AA35" s="2" t="str">
        <f t="shared" si="11"/>
        <v/>
      </c>
      <c r="AB35" s="2" t="str">
        <f t="shared" si="12"/>
        <v/>
      </c>
      <c r="AC35" s="2" t="str">
        <f t="shared" si="13"/>
        <v/>
      </c>
      <c r="AD35" s="2" t="str">
        <f t="shared" si="14"/>
        <v/>
      </c>
      <c r="AE35" s="2" t="str">
        <f t="shared" si="15"/>
        <v/>
      </c>
      <c r="AF35" s="2" t="str">
        <f t="shared" si="16"/>
        <v/>
      </c>
      <c r="AG35" s="2" t="str">
        <f t="shared" si="17"/>
        <v/>
      </c>
      <c r="AH35" s="2" t="str">
        <f t="shared" si="18"/>
        <v/>
      </c>
      <c r="AI35" s="2" t="str">
        <f t="shared" si="19"/>
        <v/>
      </c>
      <c r="AJ35" s="2" t="str">
        <f t="shared" si="20"/>
        <v/>
      </c>
      <c r="AK35" s="2" t="str">
        <f t="shared" si="21"/>
        <v/>
      </c>
      <c r="AL35" s="2" t="str">
        <f t="shared" si="22"/>
        <v/>
      </c>
      <c r="AM35" s="2" t="str">
        <f t="shared" si="23"/>
        <v/>
      </c>
      <c r="AN35" s="2" t="str">
        <f t="shared" si="24"/>
        <v/>
      </c>
      <c r="AP35" s="2" t="str" cm="1">
        <f t="array" ref="AP35">IF('NILAI CPL'!$B35&lt;&gt;"",IFERROR(_xlfn.IFS(S35&gt;='NILAI CPL'!$B$3,4,S35&gt;='NILAI CPL'!$B$4,3,S35&gt;='NILAI CPL'!$B$5,2,S35&gt;'NILAI CPL'!$B$6,1),0),"")</f>
        <v/>
      </c>
      <c r="AQ35" s="2" t="str" cm="1">
        <f t="array" ref="AQ35">IF('NILAI CPL'!$B35&lt;&gt;"",IFERROR(_xlfn.IFS(T35&gt;='NILAI CPL'!$B$3,4,T35&gt;='NILAI CPL'!$B$4,3,T35&gt;='NILAI CPL'!$B$5,2,T35&gt;'NILAI CPL'!$B$6,1),0),"")</f>
        <v/>
      </c>
      <c r="AR35" s="2" t="str" cm="1">
        <f t="array" ref="AR35">IF('NILAI CPL'!$B35&lt;&gt;"",IFERROR(_xlfn.IFS(U35&gt;='NILAI CPL'!$B$3,4,U35&gt;='NILAI CPL'!$B$4,3,U35&gt;='NILAI CPL'!$B$5,2,U35&gt;'NILAI CPL'!$B$6,1),0),"")</f>
        <v/>
      </c>
      <c r="AS35" s="2" t="str" cm="1">
        <f t="array" ref="AS35">IF('NILAI CPL'!$B35&lt;&gt;"",IFERROR(_xlfn.IFS(V35&gt;='NILAI CPL'!$B$3,4,V35&gt;='NILAI CPL'!$B$4,3,V35&gt;='NILAI CPL'!$B$5,2,V35&gt;'NILAI CPL'!$B$6,1),0),"")</f>
        <v/>
      </c>
      <c r="AT35" s="2" t="str" cm="1">
        <f t="array" ref="AT35">IF('NILAI CPL'!$B35&lt;&gt;"",IFERROR(_xlfn.IFS(W35&gt;='NILAI CPL'!$B$3,4,W35&gt;='NILAI CPL'!$B$4,3,W35&gt;='NILAI CPL'!$B$5,2,W35&gt;'NILAI CPL'!$B$6,1),0),"")</f>
        <v/>
      </c>
      <c r="AU35" s="2" t="str" cm="1">
        <f t="array" ref="AU35">IF('NILAI CPL'!$B35&lt;&gt;"",IFERROR(_xlfn.IFS(X35&gt;='NILAI CPL'!$B$3,4,X35&gt;='NILAI CPL'!$B$4,3,X35&gt;='NILAI CPL'!$B$5,2,X35&gt;'NILAI CPL'!$B$6,1),0),"")</f>
        <v/>
      </c>
      <c r="AV35" s="2" t="str" cm="1">
        <f t="array" ref="AV35">IF('NILAI CPL'!$B35&lt;&gt;"",IFERROR(_xlfn.IFS(Y35&gt;='NILAI CPL'!$B$3,4,Y35&gt;='NILAI CPL'!$B$4,3,Y35&gt;='NILAI CPL'!$B$5,2,Y35&gt;'NILAI CPL'!$B$6,1),0),"")</f>
        <v/>
      </c>
      <c r="AW35" s="2" t="str" cm="1">
        <f t="array" ref="AW35">IF('NILAI CPL'!$B35&lt;&gt;"",IFERROR(_xlfn.IFS(Z35&gt;='NILAI CPL'!$B$3,4,Z35&gt;='NILAI CPL'!$B$4,3,Z35&gt;='NILAI CPL'!$B$5,2,Z35&gt;'NILAI CPL'!$B$6,1),0),"")</f>
        <v/>
      </c>
      <c r="AX35" s="2" t="str" cm="1">
        <f t="array" ref="AX35">IF('NILAI CPL'!$B35&lt;&gt;"",IFERROR(_xlfn.IFS(AA35&gt;='NILAI CPL'!$B$3,4,AA35&gt;='NILAI CPL'!$B$4,3,AA35&gt;='NILAI CPL'!$B$5,2,AA35&gt;'NILAI CPL'!$B$6,1),0),"")</f>
        <v/>
      </c>
      <c r="AY35" s="2" t="str" cm="1">
        <f t="array" ref="AY35">IF('NILAI CPL'!$B35&lt;&gt;"",IFERROR(_xlfn.IFS(AB35&gt;='NILAI CPL'!$B$3,4,AB35&gt;='NILAI CPL'!$B$4,3,AB35&gt;='NILAI CPL'!$B$5,2,AB35&gt;'NILAI CPL'!$B$6,1),0),"")</f>
        <v/>
      </c>
      <c r="AZ35" s="2" t="str" cm="1">
        <f t="array" ref="AZ35">IF('NILAI CPL'!$B35&lt;&gt;"",IFERROR(_xlfn.IFS(AC35&gt;='NILAI CPL'!$B$3,4,AC35&gt;='NILAI CPL'!$B$4,3,AC35&gt;='NILAI CPL'!$B$5,2,AC35&gt;'NILAI CPL'!$B$6,1),0),"")</f>
        <v/>
      </c>
      <c r="BA35" s="2" t="str" cm="1">
        <f t="array" ref="BA35">IF('NILAI CPL'!$B35&lt;&gt;"",IFERROR(_xlfn.IFS(AD35&gt;='NILAI CPL'!$B$3,4,AD35&gt;='NILAI CPL'!$B$4,3,AD35&gt;='NILAI CPL'!$B$5,2,AD35&gt;'NILAI CPL'!$B$6,1),0),"")</f>
        <v/>
      </c>
      <c r="BB35" s="2" t="str" cm="1">
        <f t="array" ref="BB35">IF('NILAI CPL'!$B35&lt;&gt;"",IFERROR(_xlfn.IFS(AE35&gt;='NILAI CPL'!$B$3,4,AE35&gt;='NILAI CPL'!$B$4,3,AE35&gt;='NILAI CPL'!$B$5,2,AE35&gt;'NILAI CPL'!$B$6,1),0),"")</f>
        <v/>
      </c>
      <c r="BC35" s="2" t="str" cm="1">
        <f t="array" ref="BC35">IF('NILAI CPL'!$B35&lt;&gt;"",IFERROR(_xlfn.IFS(AF35&gt;='NILAI CPL'!$B$3,4,AF35&gt;='NILAI CPL'!$B$4,3,AF35&gt;='NILAI CPL'!$B$5,2,AF35&gt;'NILAI CPL'!$B$6,1),0),"")</f>
        <v/>
      </c>
      <c r="BD35" s="2" t="str" cm="1">
        <f t="array" ref="BD35">IF('NILAI CPL'!$B35&lt;&gt;"",IFERROR(_xlfn.IFS(AG35&gt;='NILAI CPL'!$B$3,4,AG35&gt;='NILAI CPL'!$B$4,3,AG35&gt;='NILAI CPL'!$B$5,2,AG35&gt;'NILAI CPL'!$B$6,1),0),"")</f>
        <v/>
      </c>
      <c r="BE35" s="2" t="str" cm="1">
        <f t="array" ref="BE35">IF('NILAI CPL'!$B35&lt;&gt;"",IFERROR(_xlfn.IFS(AH35&gt;='NILAI CPL'!$B$3,4,AH35&gt;='NILAI CPL'!$B$4,3,AH35&gt;='NILAI CPL'!$B$5,2,AH35&gt;'NILAI CPL'!$B$6,1),0),"")</f>
        <v/>
      </c>
      <c r="BF35" s="2" t="str" cm="1">
        <f t="array" ref="BF35">IF('NILAI CPL'!$B35&lt;&gt;"",IFERROR(_xlfn.IFS(AI35&gt;='NILAI CPL'!$B$3,4,AI35&gt;='NILAI CPL'!$B$4,3,AI35&gt;='NILAI CPL'!$B$5,2,AI35&gt;'NILAI CPL'!$B$6,1),0),"")</f>
        <v/>
      </c>
      <c r="BG35" s="2" t="str" cm="1">
        <f t="array" ref="BG35">IF('NILAI CPL'!$B35&lt;&gt;"",IFERROR(_xlfn.IFS(AJ35&gt;='NILAI CPL'!$B$3,4,AJ35&gt;='NILAI CPL'!$B$4,3,AJ35&gt;='NILAI CPL'!$B$5,2,AJ35&gt;'NILAI CPL'!$B$6,1),0),"")</f>
        <v/>
      </c>
      <c r="BH35" s="2" t="str" cm="1">
        <f t="array" ref="BH35">IF('NILAI CPL'!$B35&lt;&gt;"",IFERROR(_xlfn.IFS(AK35&gt;='NILAI CPL'!$B$3,4,AK35&gt;='NILAI CPL'!$B$4,3,AK35&gt;='NILAI CPL'!$B$5,2,AK35&gt;'NILAI CPL'!$B$6,1),0),"")</f>
        <v/>
      </c>
      <c r="BI35" s="2" t="str" cm="1">
        <f t="array" ref="BI35">IF('NILAI CPL'!$B35&lt;&gt;"",IFERROR(_xlfn.IFS(AL35&gt;='NILAI CPL'!$B$3,4,AL35&gt;='NILAI CPL'!$B$4,3,AL35&gt;='NILAI CPL'!$B$5,2,AL35&gt;'NILAI CPL'!$B$6,1),0),"")</f>
        <v/>
      </c>
      <c r="BJ35" s="2" t="str" cm="1">
        <f t="array" ref="BJ35">IF('NILAI CPL'!$B35&lt;&gt;"",IFERROR(_xlfn.IFS(AM35&gt;='NILAI CPL'!$B$3,4,AM35&gt;='NILAI CPL'!$B$4,3,AM35&gt;='NILAI CPL'!$B$5,2,AM35&gt;'NILAI CPL'!$B$6,1),0),"")</f>
        <v/>
      </c>
      <c r="BK35" s="2" t="str" cm="1">
        <f t="array" ref="BK35">IF('NILAI CPL'!$B35&lt;&gt;"",IFERROR(_xlfn.IFS(AN35&gt;='NILAI CPL'!$B$3,4,AN35&gt;='NILAI CPL'!$B$4,3,AN35&gt;='NILAI CPL'!$B$5,2,AN35&gt;'NILAI CPL'!$B$6,1),0),"")</f>
        <v/>
      </c>
    </row>
    <row r="36" spans="1:63" x14ac:dyDescent="0.2">
      <c r="A36" s="2">
        <v>26</v>
      </c>
      <c r="B36" s="2" t="str">
        <f>IF(LEN(SUMMARY!B36)&gt;0, SUMMARY!B36, "")</f>
        <v/>
      </c>
      <c r="C36" s="2" t="str">
        <f>IF(LEN(SUMMARY!C36)&gt;0, SUMMARY!C36, "")</f>
        <v/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" t="str">
        <f t="shared" si="2"/>
        <v/>
      </c>
      <c r="S36" s="2" t="str">
        <f t="shared" si="3"/>
        <v/>
      </c>
      <c r="T36" s="2" t="str">
        <f t="shared" si="4"/>
        <v/>
      </c>
      <c r="U36" s="2" t="str">
        <f t="shared" si="5"/>
        <v/>
      </c>
      <c r="V36" s="2" t="str">
        <f t="shared" si="6"/>
        <v/>
      </c>
      <c r="W36" s="2" t="str">
        <f t="shared" si="7"/>
        <v/>
      </c>
      <c r="X36" s="2" t="str">
        <f t="shared" si="8"/>
        <v/>
      </c>
      <c r="Y36" s="2" t="str">
        <f t="shared" si="9"/>
        <v/>
      </c>
      <c r="Z36" s="2" t="str">
        <f t="shared" si="10"/>
        <v/>
      </c>
      <c r="AA36" s="2" t="str">
        <f t="shared" si="11"/>
        <v/>
      </c>
      <c r="AB36" s="2" t="str">
        <f t="shared" si="12"/>
        <v/>
      </c>
      <c r="AC36" s="2" t="str">
        <f t="shared" si="13"/>
        <v/>
      </c>
      <c r="AD36" s="2" t="str">
        <f t="shared" si="14"/>
        <v/>
      </c>
      <c r="AE36" s="2" t="str">
        <f t="shared" si="15"/>
        <v/>
      </c>
      <c r="AF36" s="2" t="str">
        <f t="shared" si="16"/>
        <v/>
      </c>
      <c r="AG36" s="2" t="str">
        <f t="shared" si="17"/>
        <v/>
      </c>
      <c r="AH36" s="2" t="str">
        <f t="shared" si="18"/>
        <v/>
      </c>
      <c r="AI36" s="2" t="str">
        <f t="shared" si="19"/>
        <v/>
      </c>
      <c r="AJ36" s="2" t="str">
        <f t="shared" si="20"/>
        <v/>
      </c>
      <c r="AK36" s="2" t="str">
        <f t="shared" si="21"/>
        <v/>
      </c>
      <c r="AL36" s="2" t="str">
        <f t="shared" si="22"/>
        <v/>
      </c>
      <c r="AM36" s="2" t="str">
        <f t="shared" si="23"/>
        <v/>
      </c>
      <c r="AN36" s="2" t="str">
        <f t="shared" si="24"/>
        <v/>
      </c>
      <c r="AP36" s="2" t="str" cm="1">
        <f t="array" ref="AP36">IF('NILAI CPL'!$B36&lt;&gt;"",IFERROR(_xlfn.IFS(S36&gt;='NILAI CPL'!$B$3,4,S36&gt;='NILAI CPL'!$B$4,3,S36&gt;='NILAI CPL'!$B$5,2,S36&gt;'NILAI CPL'!$B$6,1),0),"")</f>
        <v/>
      </c>
      <c r="AQ36" s="2" t="str" cm="1">
        <f t="array" ref="AQ36">IF('NILAI CPL'!$B36&lt;&gt;"",IFERROR(_xlfn.IFS(T36&gt;='NILAI CPL'!$B$3,4,T36&gt;='NILAI CPL'!$B$4,3,T36&gt;='NILAI CPL'!$B$5,2,T36&gt;'NILAI CPL'!$B$6,1),0),"")</f>
        <v/>
      </c>
      <c r="AR36" s="2" t="str" cm="1">
        <f t="array" ref="AR36">IF('NILAI CPL'!$B36&lt;&gt;"",IFERROR(_xlfn.IFS(U36&gt;='NILAI CPL'!$B$3,4,U36&gt;='NILAI CPL'!$B$4,3,U36&gt;='NILAI CPL'!$B$5,2,U36&gt;'NILAI CPL'!$B$6,1),0),"")</f>
        <v/>
      </c>
      <c r="AS36" s="2" t="str" cm="1">
        <f t="array" ref="AS36">IF('NILAI CPL'!$B36&lt;&gt;"",IFERROR(_xlfn.IFS(V36&gt;='NILAI CPL'!$B$3,4,V36&gt;='NILAI CPL'!$B$4,3,V36&gt;='NILAI CPL'!$B$5,2,V36&gt;'NILAI CPL'!$B$6,1),0),"")</f>
        <v/>
      </c>
      <c r="AT36" s="2" t="str" cm="1">
        <f t="array" ref="AT36">IF('NILAI CPL'!$B36&lt;&gt;"",IFERROR(_xlfn.IFS(W36&gt;='NILAI CPL'!$B$3,4,W36&gt;='NILAI CPL'!$B$4,3,W36&gt;='NILAI CPL'!$B$5,2,W36&gt;'NILAI CPL'!$B$6,1),0),"")</f>
        <v/>
      </c>
      <c r="AU36" s="2" t="str" cm="1">
        <f t="array" ref="AU36">IF('NILAI CPL'!$B36&lt;&gt;"",IFERROR(_xlfn.IFS(X36&gt;='NILAI CPL'!$B$3,4,X36&gt;='NILAI CPL'!$B$4,3,X36&gt;='NILAI CPL'!$B$5,2,X36&gt;'NILAI CPL'!$B$6,1),0),"")</f>
        <v/>
      </c>
      <c r="AV36" s="2" t="str" cm="1">
        <f t="array" ref="AV36">IF('NILAI CPL'!$B36&lt;&gt;"",IFERROR(_xlfn.IFS(Y36&gt;='NILAI CPL'!$B$3,4,Y36&gt;='NILAI CPL'!$B$4,3,Y36&gt;='NILAI CPL'!$B$5,2,Y36&gt;'NILAI CPL'!$B$6,1),0),"")</f>
        <v/>
      </c>
      <c r="AW36" s="2" t="str" cm="1">
        <f t="array" ref="AW36">IF('NILAI CPL'!$B36&lt;&gt;"",IFERROR(_xlfn.IFS(Z36&gt;='NILAI CPL'!$B$3,4,Z36&gt;='NILAI CPL'!$B$4,3,Z36&gt;='NILAI CPL'!$B$5,2,Z36&gt;'NILAI CPL'!$B$6,1),0),"")</f>
        <v/>
      </c>
      <c r="AX36" s="2" t="str" cm="1">
        <f t="array" ref="AX36">IF('NILAI CPL'!$B36&lt;&gt;"",IFERROR(_xlfn.IFS(AA36&gt;='NILAI CPL'!$B$3,4,AA36&gt;='NILAI CPL'!$B$4,3,AA36&gt;='NILAI CPL'!$B$5,2,AA36&gt;'NILAI CPL'!$B$6,1),0),"")</f>
        <v/>
      </c>
      <c r="AY36" s="2" t="str" cm="1">
        <f t="array" ref="AY36">IF('NILAI CPL'!$B36&lt;&gt;"",IFERROR(_xlfn.IFS(AB36&gt;='NILAI CPL'!$B$3,4,AB36&gt;='NILAI CPL'!$B$4,3,AB36&gt;='NILAI CPL'!$B$5,2,AB36&gt;'NILAI CPL'!$B$6,1),0),"")</f>
        <v/>
      </c>
      <c r="AZ36" s="2" t="str" cm="1">
        <f t="array" ref="AZ36">IF('NILAI CPL'!$B36&lt;&gt;"",IFERROR(_xlfn.IFS(AC36&gt;='NILAI CPL'!$B$3,4,AC36&gt;='NILAI CPL'!$B$4,3,AC36&gt;='NILAI CPL'!$B$5,2,AC36&gt;'NILAI CPL'!$B$6,1),0),"")</f>
        <v/>
      </c>
      <c r="BA36" s="2" t="str" cm="1">
        <f t="array" ref="BA36">IF('NILAI CPL'!$B36&lt;&gt;"",IFERROR(_xlfn.IFS(AD36&gt;='NILAI CPL'!$B$3,4,AD36&gt;='NILAI CPL'!$B$4,3,AD36&gt;='NILAI CPL'!$B$5,2,AD36&gt;'NILAI CPL'!$B$6,1),0),"")</f>
        <v/>
      </c>
      <c r="BB36" s="2" t="str" cm="1">
        <f t="array" ref="BB36">IF('NILAI CPL'!$B36&lt;&gt;"",IFERROR(_xlfn.IFS(AE36&gt;='NILAI CPL'!$B$3,4,AE36&gt;='NILAI CPL'!$B$4,3,AE36&gt;='NILAI CPL'!$B$5,2,AE36&gt;'NILAI CPL'!$B$6,1),0),"")</f>
        <v/>
      </c>
      <c r="BC36" s="2" t="str" cm="1">
        <f t="array" ref="BC36">IF('NILAI CPL'!$B36&lt;&gt;"",IFERROR(_xlfn.IFS(AF36&gt;='NILAI CPL'!$B$3,4,AF36&gt;='NILAI CPL'!$B$4,3,AF36&gt;='NILAI CPL'!$B$5,2,AF36&gt;'NILAI CPL'!$B$6,1),0),"")</f>
        <v/>
      </c>
      <c r="BD36" s="2" t="str" cm="1">
        <f t="array" ref="BD36">IF('NILAI CPL'!$B36&lt;&gt;"",IFERROR(_xlfn.IFS(AG36&gt;='NILAI CPL'!$B$3,4,AG36&gt;='NILAI CPL'!$B$4,3,AG36&gt;='NILAI CPL'!$B$5,2,AG36&gt;'NILAI CPL'!$B$6,1),0),"")</f>
        <v/>
      </c>
      <c r="BE36" s="2" t="str" cm="1">
        <f t="array" ref="BE36">IF('NILAI CPL'!$B36&lt;&gt;"",IFERROR(_xlfn.IFS(AH36&gt;='NILAI CPL'!$B$3,4,AH36&gt;='NILAI CPL'!$B$4,3,AH36&gt;='NILAI CPL'!$B$5,2,AH36&gt;'NILAI CPL'!$B$6,1),0),"")</f>
        <v/>
      </c>
      <c r="BF36" s="2" t="str" cm="1">
        <f t="array" ref="BF36">IF('NILAI CPL'!$B36&lt;&gt;"",IFERROR(_xlfn.IFS(AI36&gt;='NILAI CPL'!$B$3,4,AI36&gt;='NILAI CPL'!$B$4,3,AI36&gt;='NILAI CPL'!$B$5,2,AI36&gt;'NILAI CPL'!$B$6,1),0),"")</f>
        <v/>
      </c>
      <c r="BG36" s="2" t="str" cm="1">
        <f t="array" ref="BG36">IF('NILAI CPL'!$B36&lt;&gt;"",IFERROR(_xlfn.IFS(AJ36&gt;='NILAI CPL'!$B$3,4,AJ36&gt;='NILAI CPL'!$B$4,3,AJ36&gt;='NILAI CPL'!$B$5,2,AJ36&gt;'NILAI CPL'!$B$6,1),0),"")</f>
        <v/>
      </c>
      <c r="BH36" s="2" t="str" cm="1">
        <f t="array" ref="BH36">IF('NILAI CPL'!$B36&lt;&gt;"",IFERROR(_xlfn.IFS(AK36&gt;='NILAI CPL'!$B$3,4,AK36&gt;='NILAI CPL'!$B$4,3,AK36&gt;='NILAI CPL'!$B$5,2,AK36&gt;'NILAI CPL'!$B$6,1),0),"")</f>
        <v/>
      </c>
      <c r="BI36" s="2" t="str" cm="1">
        <f t="array" ref="BI36">IF('NILAI CPL'!$B36&lt;&gt;"",IFERROR(_xlfn.IFS(AL36&gt;='NILAI CPL'!$B$3,4,AL36&gt;='NILAI CPL'!$B$4,3,AL36&gt;='NILAI CPL'!$B$5,2,AL36&gt;'NILAI CPL'!$B$6,1),0),"")</f>
        <v/>
      </c>
      <c r="BJ36" s="2" t="str" cm="1">
        <f t="array" ref="BJ36">IF('NILAI CPL'!$B36&lt;&gt;"",IFERROR(_xlfn.IFS(AM36&gt;='NILAI CPL'!$B$3,4,AM36&gt;='NILAI CPL'!$B$4,3,AM36&gt;='NILAI CPL'!$B$5,2,AM36&gt;'NILAI CPL'!$B$6,1),0),"")</f>
        <v/>
      </c>
      <c r="BK36" s="2" t="str" cm="1">
        <f t="array" ref="BK36">IF('NILAI CPL'!$B36&lt;&gt;"",IFERROR(_xlfn.IFS(AN36&gt;='NILAI CPL'!$B$3,4,AN36&gt;='NILAI CPL'!$B$4,3,AN36&gt;='NILAI CPL'!$B$5,2,AN36&gt;'NILAI CPL'!$B$6,1),0),"")</f>
        <v/>
      </c>
    </row>
    <row r="37" spans="1:63" x14ac:dyDescent="0.2">
      <c r="A37" s="2">
        <v>27</v>
      </c>
      <c r="B37" s="2" t="str">
        <f>IF(LEN(SUMMARY!B37)&gt;0, SUMMARY!B37, "")</f>
        <v/>
      </c>
      <c r="C37" s="2" t="str">
        <f>IF(LEN(SUMMARY!C37)&gt;0, SUMMARY!C37, "")</f>
        <v/>
      </c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" t="str">
        <f t="shared" si="2"/>
        <v/>
      </c>
      <c r="S37" s="2" t="str">
        <f t="shared" si="3"/>
        <v/>
      </c>
      <c r="T37" s="2" t="str">
        <f t="shared" si="4"/>
        <v/>
      </c>
      <c r="U37" s="2" t="str">
        <f t="shared" si="5"/>
        <v/>
      </c>
      <c r="V37" s="2" t="str">
        <f t="shared" si="6"/>
        <v/>
      </c>
      <c r="W37" s="2" t="str">
        <f t="shared" si="7"/>
        <v/>
      </c>
      <c r="X37" s="2" t="str">
        <f t="shared" si="8"/>
        <v/>
      </c>
      <c r="Y37" s="2" t="str">
        <f t="shared" si="9"/>
        <v/>
      </c>
      <c r="Z37" s="2" t="str">
        <f t="shared" si="10"/>
        <v/>
      </c>
      <c r="AA37" s="2" t="str">
        <f t="shared" si="11"/>
        <v/>
      </c>
      <c r="AB37" s="2" t="str">
        <f t="shared" si="12"/>
        <v/>
      </c>
      <c r="AC37" s="2" t="str">
        <f t="shared" si="13"/>
        <v/>
      </c>
      <c r="AD37" s="2" t="str">
        <f t="shared" si="14"/>
        <v/>
      </c>
      <c r="AE37" s="2" t="str">
        <f t="shared" si="15"/>
        <v/>
      </c>
      <c r="AF37" s="2" t="str">
        <f t="shared" si="16"/>
        <v/>
      </c>
      <c r="AG37" s="2" t="str">
        <f t="shared" si="17"/>
        <v/>
      </c>
      <c r="AH37" s="2" t="str">
        <f t="shared" si="18"/>
        <v/>
      </c>
      <c r="AI37" s="2" t="str">
        <f t="shared" si="19"/>
        <v/>
      </c>
      <c r="AJ37" s="2" t="str">
        <f t="shared" si="20"/>
        <v/>
      </c>
      <c r="AK37" s="2" t="str">
        <f t="shared" si="21"/>
        <v/>
      </c>
      <c r="AL37" s="2" t="str">
        <f t="shared" si="22"/>
        <v/>
      </c>
      <c r="AM37" s="2" t="str">
        <f t="shared" si="23"/>
        <v/>
      </c>
      <c r="AN37" s="2" t="str">
        <f t="shared" si="24"/>
        <v/>
      </c>
      <c r="AP37" s="2" t="str" cm="1">
        <f t="array" ref="AP37">IF('NILAI CPL'!$B37&lt;&gt;"",IFERROR(_xlfn.IFS(S37&gt;='NILAI CPL'!$B$3,4,S37&gt;='NILAI CPL'!$B$4,3,S37&gt;='NILAI CPL'!$B$5,2,S37&gt;'NILAI CPL'!$B$6,1),0),"")</f>
        <v/>
      </c>
      <c r="AQ37" s="2" t="str" cm="1">
        <f t="array" ref="AQ37">IF('NILAI CPL'!$B37&lt;&gt;"",IFERROR(_xlfn.IFS(T37&gt;='NILAI CPL'!$B$3,4,T37&gt;='NILAI CPL'!$B$4,3,T37&gt;='NILAI CPL'!$B$5,2,T37&gt;'NILAI CPL'!$B$6,1),0),"")</f>
        <v/>
      </c>
      <c r="AR37" s="2" t="str" cm="1">
        <f t="array" ref="AR37">IF('NILAI CPL'!$B37&lt;&gt;"",IFERROR(_xlfn.IFS(U37&gt;='NILAI CPL'!$B$3,4,U37&gt;='NILAI CPL'!$B$4,3,U37&gt;='NILAI CPL'!$B$5,2,U37&gt;'NILAI CPL'!$B$6,1),0),"")</f>
        <v/>
      </c>
      <c r="AS37" s="2" t="str" cm="1">
        <f t="array" ref="AS37">IF('NILAI CPL'!$B37&lt;&gt;"",IFERROR(_xlfn.IFS(V37&gt;='NILAI CPL'!$B$3,4,V37&gt;='NILAI CPL'!$B$4,3,V37&gt;='NILAI CPL'!$B$5,2,V37&gt;'NILAI CPL'!$B$6,1),0),"")</f>
        <v/>
      </c>
      <c r="AT37" s="2" t="str" cm="1">
        <f t="array" ref="AT37">IF('NILAI CPL'!$B37&lt;&gt;"",IFERROR(_xlfn.IFS(W37&gt;='NILAI CPL'!$B$3,4,W37&gt;='NILAI CPL'!$B$4,3,W37&gt;='NILAI CPL'!$B$5,2,W37&gt;'NILAI CPL'!$B$6,1),0),"")</f>
        <v/>
      </c>
      <c r="AU37" s="2" t="str" cm="1">
        <f t="array" ref="AU37">IF('NILAI CPL'!$B37&lt;&gt;"",IFERROR(_xlfn.IFS(X37&gt;='NILAI CPL'!$B$3,4,X37&gt;='NILAI CPL'!$B$4,3,X37&gt;='NILAI CPL'!$B$5,2,X37&gt;'NILAI CPL'!$B$6,1),0),"")</f>
        <v/>
      </c>
      <c r="AV37" s="2" t="str" cm="1">
        <f t="array" ref="AV37">IF('NILAI CPL'!$B37&lt;&gt;"",IFERROR(_xlfn.IFS(Y37&gt;='NILAI CPL'!$B$3,4,Y37&gt;='NILAI CPL'!$B$4,3,Y37&gt;='NILAI CPL'!$B$5,2,Y37&gt;'NILAI CPL'!$B$6,1),0),"")</f>
        <v/>
      </c>
      <c r="AW37" s="2" t="str" cm="1">
        <f t="array" ref="AW37">IF('NILAI CPL'!$B37&lt;&gt;"",IFERROR(_xlfn.IFS(Z37&gt;='NILAI CPL'!$B$3,4,Z37&gt;='NILAI CPL'!$B$4,3,Z37&gt;='NILAI CPL'!$B$5,2,Z37&gt;'NILAI CPL'!$B$6,1),0),"")</f>
        <v/>
      </c>
      <c r="AX37" s="2" t="str" cm="1">
        <f t="array" ref="AX37">IF('NILAI CPL'!$B37&lt;&gt;"",IFERROR(_xlfn.IFS(AA37&gt;='NILAI CPL'!$B$3,4,AA37&gt;='NILAI CPL'!$B$4,3,AA37&gt;='NILAI CPL'!$B$5,2,AA37&gt;'NILAI CPL'!$B$6,1),0),"")</f>
        <v/>
      </c>
      <c r="AY37" s="2" t="str" cm="1">
        <f t="array" ref="AY37">IF('NILAI CPL'!$B37&lt;&gt;"",IFERROR(_xlfn.IFS(AB37&gt;='NILAI CPL'!$B$3,4,AB37&gt;='NILAI CPL'!$B$4,3,AB37&gt;='NILAI CPL'!$B$5,2,AB37&gt;'NILAI CPL'!$B$6,1),0),"")</f>
        <v/>
      </c>
      <c r="AZ37" s="2" t="str" cm="1">
        <f t="array" ref="AZ37">IF('NILAI CPL'!$B37&lt;&gt;"",IFERROR(_xlfn.IFS(AC37&gt;='NILAI CPL'!$B$3,4,AC37&gt;='NILAI CPL'!$B$4,3,AC37&gt;='NILAI CPL'!$B$5,2,AC37&gt;'NILAI CPL'!$B$6,1),0),"")</f>
        <v/>
      </c>
      <c r="BA37" s="2" t="str" cm="1">
        <f t="array" ref="BA37">IF('NILAI CPL'!$B37&lt;&gt;"",IFERROR(_xlfn.IFS(AD37&gt;='NILAI CPL'!$B$3,4,AD37&gt;='NILAI CPL'!$B$4,3,AD37&gt;='NILAI CPL'!$B$5,2,AD37&gt;'NILAI CPL'!$B$6,1),0),"")</f>
        <v/>
      </c>
      <c r="BB37" s="2" t="str" cm="1">
        <f t="array" ref="BB37">IF('NILAI CPL'!$B37&lt;&gt;"",IFERROR(_xlfn.IFS(AE37&gt;='NILAI CPL'!$B$3,4,AE37&gt;='NILAI CPL'!$B$4,3,AE37&gt;='NILAI CPL'!$B$5,2,AE37&gt;'NILAI CPL'!$B$6,1),0),"")</f>
        <v/>
      </c>
      <c r="BC37" s="2" t="str" cm="1">
        <f t="array" ref="BC37">IF('NILAI CPL'!$B37&lt;&gt;"",IFERROR(_xlfn.IFS(AF37&gt;='NILAI CPL'!$B$3,4,AF37&gt;='NILAI CPL'!$B$4,3,AF37&gt;='NILAI CPL'!$B$5,2,AF37&gt;'NILAI CPL'!$B$6,1),0),"")</f>
        <v/>
      </c>
      <c r="BD37" s="2" t="str" cm="1">
        <f t="array" ref="BD37">IF('NILAI CPL'!$B37&lt;&gt;"",IFERROR(_xlfn.IFS(AG37&gt;='NILAI CPL'!$B$3,4,AG37&gt;='NILAI CPL'!$B$4,3,AG37&gt;='NILAI CPL'!$B$5,2,AG37&gt;'NILAI CPL'!$B$6,1),0),"")</f>
        <v/>
      </c>
      <c r="BE37" s="2" t="str" cm="1">
        <f t="array" ref="BE37">IF('NILAI CPL'!$B37&lt;&gt;"",IFERROR(_xlfn.IFS(AH37&gt;='NILAI CPL'!$B$3,4,AH37&gt;='NILAI CPL'!$B$4,3,AH37&gt;='NILAI CPL'!$B$5,2,AH37&gt;'NILAI CPL'!$B$6,1),0),"")</f>
        <v/>
      </c>
      <c r="BF37" s="2" t="str" cm="1">
        <f t="array" ref="BF37">IF('NILAI CPL'!$B37&lt;&gt;"",IFERROR(_xlfn.IFS(AI37&gt;='NILAI CPL'!$B$3,4,AI37&gt;='NILAI CPL'!$B$4,3,AI37&gt;='NILAI CPL'!$B$5,2,AI37&gt;'NILAI CPL'!$B$6,1),0),"")</f>
        <v/>
      </c>
      <c r="BG37" s="2" t="str" cm="1">
        <f t="array" ref="BG37">IF('NILAI CPL'!$B37&lt;&gt;"",IFERROR(_xlfn.IFS(AJ37&gt;='NILAI CPL'!$B$3,4,AJ37&gt;='NILAI CPL'!$B$4,3,AJ37&gt;='NILAI CPL'!$B$5,2,AJ37&gt;'NILAI CPL'!$B$6,1),0),"")</f>
        <v/>
      </c>
      <c r="BH37" s="2" t="str" cm="1">
        <f t="array" ref="BH37">IF('NILAI CPL'!$B37&lt;&gt;"",IFERROR(_xlfn.IFS(AK37&gt;='NILAI CPL'!$B$3,4,AK37&gt;='NILAI CPL'!$B$4,3,AK37&gt;='NILAI CPL'!$B$5,2,AK37&gt;'NILAI CPL'!$B$6,1),0),"")</f>
        <v/>
      </c>
      <c r="BI37" s="2" t="str" cm="1">
        <f t="array" ref="BI37">IF('NILAI CPL'!$B37&lt;&gt;"",IFERROR(_xlfn.IFS(AL37&gt;='NILAI CPL'!$B$3,4,AL37&gt;='NILAI CPL'!$B$4,3,AL37&gt;='NILAI CPL'!$B$5,2,AL37&gt;'NILAI CPL'!$B$6,1),0),"")</f>
        <v/>
      </c>
      <c r="BJ37" s="2" t="str" cm="1">
        <f t="array" ref="BJ37">IF('NILAI CPL'!$B37&lt;&gt;"",IFERROR(_xlfn.IFS(AM37&gt;='NILAI CPL'!$B$3,4,AM37&gt;='NILAI CPL'!$B$4,3,AM37&gt;='NILAI CPL'!$B$5,2,AM37&gt;'NILAI CPL'!$B$6,1),0),"")</f>
        <v/>
      </c>
      <c r="BK37" s="2" t="str" cm="1">
        <f t="array" ref="BK37">IF('NILAI CPL'!$B37&lt;&gt;"",IFERROR(_xlfn.IFS(AN37&gt;='NILAI CPL'!$B$3,4,AN37&gt;='NILAI CPL'!$B$4,3,AN37&gt;='NILAI CPL'!$B$5,2,AN37&gt;'NILAI CPL'!$B$6,1),0),"")</f>
        <v/>
      </c>
    </row>
    <row r="38" spans="1:63" x14ac:dyDescent="0.2">
      <c r="A38" s="2">
        <v>28</v>
      </c>
      <c r="B38" s="2" t="str">
        <f>IF(LEN(SUMMARY!B38)&gt;0, SUMMARY!B38, "")</f>
        <v/>
      </c>
      <c r="C38" s="2" t="str">
        <f>IF(LEN(SUMMARY!C38)&gt;0, SUMMARY!C38, "")</f>
        <v/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" t="str">
        <f t="shared" si="2"/>
        <v/>
      </c>
      <c r="S38" s="2" t="str">
        <f t="shared" si="3"/>
        <v/>
      </c>
      <c r="T38" s="2" t="str">
        <f t="shared" si="4"/>
        <v/>
      </c>
      <c r="U38" s="2" t="str">
        <f t="shared" si="5"/>
        <v/>
      </c>
      <c r="V38" s="2" t="str">
        <f t="shared" si="6"/>
        <v/>
      </c>
      <c r="W38" s="2" t="str">
        <f t="shared" si="7"/>
        <v/>
      </c>
      <c r="X38" s="2" t="str">
        <f t="shared" si="8"/>
        <v/>
      </c>
      <c r="Y38" s="2" t="str">
        <f t="shared" si="9"/>
        <v/>
      </c>
      <c r="Z38" s="2" t="str">
        <f t="shared" si="10"/>
        <v/>
      </c>
      <c r="AA38" s="2" t="str">
        <f t="shared" si="11"/>
        <v/>
      </c>
      <c r="AB38" s="2" t="str">
        <f t="shared" si="12"/>
        <v/>
      </c>
      <c r="AC38" s="2" t="str">
        <f t="shared" si="13"/>
        <v/>
      </c>
      <c r="AD38" s="2" t="str">
        <f t="shared" si="14"/>
        <v/>
      </c>
      <c r="AE38" s="2" t="str">
        <f t="shared" si="15"/>
        <v/>
      </c>
      <c r="AF38" s="2" t="str">
        <f t="shared" si="16"/>
        <v/>
      </c>
      <c r="AG38" s="2" t="str">
        <f t="shared" si="17"/>
        <v/>
      </c>
      <c r="AH38" s="2" t="str">
        <f t="shared" si="18"/>
        <v/>
      </c>
      <c r="AI38" s="2" t="str">
        <f t="shared" si="19"/>
        <v/>
      </c>
      <c r="AJ38" s="2" t="str">
        <f t="shared" si="20"/>
        <v/>
      </c>
      <c r="AK38" s="2" t="str">
        <f t="shared" si="21"/>
        <v/>
      </c>
      <c r="AL38" s="2" t="str">
        <f t="shared" si="22"/>
        <v/>
      </c>
      <c r="AM38" s="2" t="str">
        <f t="shared" si="23"/>
        <v/>
      </c>
      <c r="AN38" s="2" t="str">
        <f t="shared" si="24"/>
        <v/>
      </c>
      <c r="AP38" s="2" t="str" cm="1">
        <f t="array" ref="AP38">IF('NILAI CPL'!$B38&lt;&gt;"",IFERROR(_xlfn.IFS(S38&gt;='NILAI CPL'!$B$3,4,S38&gt;='NILAI CPL'!$B$4,3,S38&gt;='NILAI CPL'!$B$5,2,S38&gt;'NILAI CPL'!$B$6,1),0),"")</f>
        <v/>
      </c>
      <c r="AQ38" s="2" t="str" cm="1">
        <f t="array" ref="AQ38">IF('NILAI CPL'!$B38&lt;&gt;"",IFERROR(_xlfn.IFS(T38&gt;='NILAI CPL'!$B$3,4,T38&gt;='NILAI CPL'!$B$4,3,T38&gt;='NILAI CPL'!$B$5,2,T38&gt;'NILAI CPL'!$B$6,1),0),"")</f>
        <v/>
      </c>
      <c r="AR38" s="2" t="str" cm="1">
        <f t="array" ref="AR38">IF('NILAI CPL'!$B38&lt;&gt;"",IFERROR(_xlfn.IFS(U38&gt;='NILAI CPL'!$B$3,4,U38&gt;='NILAI CPL'!$B$4,3,U38&gt;='NILAI CPL'!$B$5,2,U38&gt;'NILAI CPL'!$B$6,1),0),"")</f>
        <v/>
      </c>
      <c r="AS38" s="2" t="str" cm="1">
        <f t="array" ref="AS38">IF('NILAI CPL'!$B38&lt;&gt;"",IFERROR(_xlfn.IFS(V38&gt;='NILAI CPL'!$B$3,4,V38&gt;='NILAI CPL'!$B$4,3,V38&gt;='NILAI CPL'!$B$5,2,V38&gt;'NILAI CPL'!$B$6,1),0),"")</f>
        <v/>
      </c>
      <c r="AT38" s="2" t="str" cm="1">
        <f t="array" ref="AT38">IF('NILAI CPL'!$B38&lt;&gt;"",IFERROR(_xlfn.IFS(W38&gt;='NILAI CPL'!$B$3,4,W38&gt;='NILAI CPL'!$B$4,3,W38&gt;='NILAI CPL'!$B$5,2,W38&gt;'NILAI CPL'!$B$6,1),0),"")</f>
        <v/>
      </c>
      <c r="AU38" s="2" t="str" cm="1">
        <f t="array" ref="AU38">IF('NILAI CPL'!$B38&lt;&gt;"",IFERROR(_xlfn.IFS(X38&gt;='NILAI CPL'!$B$3,4,X38&gt;='NILAI CPL'!$B$4,3,X38&gt;='NILAI CPL'!$B$5,2,X38&gt;'NILAI CPL'!$B$6,1),0),"")</f>
        <v/>
      </c>
      <c r="AV38" s="2" t="str" cm="1">
        <f t="array" ref="AV38">IF('NILAI CPL'!$B38&lt;&gt;"",IFERROR(_xlfn.IFS(Y38&gt;='NILAI CPL'!$B$3,4,Y38&gt;='NILAI CPL'!$B$4,3,Y38&gt;='NILAI CPL'!$B$5,2,Y38&gt;'NILAI CPL'!$B$6,1),0),"")</f>
        <v/>
      </c>
      <c r="AW38" s="2" t="str" cm="1">
        <f t="array" ref="AW38">IF('NILAI CPL'!$B38&lt;&gt;"",IFERROR(_xlfn.IFS(Z38&gt;='NILAI CPL'!$B$3,4,Z38&gt;='NILAI CPL'!$B$4,3,Z38&gt;='NILAI CPL'!$B$5,2,Z38&gt;'NILAI CPL'!$B$6,1),0),"")</f>
        <v/>
      </c>
      <c r="AX38" s="2" t="str" cm="1">
        <f t="array" ref="AX38">IF('NILAI CPL'!$B38&lt;&gt;"",IFERROR(_xlfn.IFS(AA38&gt;='NILAI CPL'!$B$3,4,AA38&gt;='NILAI CPL'!$B$4,3,AA38&gt;='NILAI CPL'!$B$5,2,AA38&gt;'NILAI CPL'!$B$6,1),0),"")</f>
        <v/>
      </c>
      <c r="AY38" s="2" t="str" cm="1">
        <f t="array" ref="AY38">IF('NILAI CPL'!$B38&lt;&gt;"",IFERROR(_xlfn.IFS(AB38&gt;='NILAI CPL'!$B$3,4,AB38&gt;='NILAI CPL'!$B$4,3,AB38&gt;='NILAI CPL'!$B$5,2,AB38&gt;'NILAI CPL'!$B$6,1),0),"")</f>
        <v/>
      </c>
      <c r="AZ38" s="2" t="str" cm="1">
        <f t="array" ref="AZ38">IF('NILAI CPL'!$B38&lt;&gt;"",IFERROR(_xlfn.IFS(AC38&gt;='NILAI CPL'!$B$3,4,AC38&gt;='NILAI CPL'!$B$4,3,AC38&gt;='NILAI CPL'!$B$5,2,AC38&gt;'NILAI CPL'!$B$6,1),0),"")</f>
        <v/>
      </c>
      <c r="BA38" s="2" t="str" cm="1">
        <f t="array" ref="BA38">IF('NILAI CPL'!$B38&lt;&gt;"",IFERROR(_xlfn.IFS(AD38&gt;='NILAI CPL'!$B$3,4,AD38&gt;='NILAI CPL'!$B$4,3,AD38&gt;='NILAI CPL'!$B$5,2,AD38&gt;'NILAI CPL'!$B$6,1),0),"")</f>
        <v/>
      </c>
      <c r="BB38" s="2" t="str" cm="1">
        <f t="array" ref="BB38">IF('NILAI CPL'!$B38&lt;&gt;"",IFERROR(_xlfn.IFS(AE38&gt;='NILAI CPL'!$B$3,4,AE38&gt;='NILAI CPL'!$B$4,3,AE38&gt;='NILAI CPL'!$B$5,2,AE38&gt;'NILAI CPL'!$B$6,1),0),"")</f>
        <v/>
      </c>
      <c r="BC38" s="2" t="str" cm="1">
        <f t="array" ref="BC38">IF('NILAI CPL'!$B38&lt;&gt;"",IFERROR(_xlfn.IFS(AF38&gt;='NILAI CPL'!$B$3,4,AF38&gt;='NILAI CPL'!$B$4,3,AF38&gt;='NILAI CPL'!$B$5,2,AF38&gt;'NILAI CPL'!$B$6,1),0),"")</f>
        <v/>
      </c>
      <c r="BD38" s="2" t="str" cm="1">
        <f t="array" ref="BD38">IF('NILAI CPL'!$B38&lt;&gt;"",IFERROR(_xlfn.IFS(AG38&gt;='NILAI CPL'!$B$3,4,AG38&gt;='NILAI CPL'!$B$4,3,AG38&gt;='NILAI CPL'!$B$5,2,AG38&gt;'NILAI CPL'!$B$6,1),0),"")</f>
        <v/>
      </c>
      <c r="BE38" s="2" t="str" cm="1">
        <f t="array" ref="BE38">IF('NILAI CPL'!$B38&lt;&gt;"",IFERROR(_xlfn.IFS(AH38&gt;='NILAI CPL'!$B$3,4,AH38&gt;='NILAI CPL'!$B$4,3,AH38&gt;='NILAI CPL'!$B$5,2,AH38&gt;'NILAI CPL'!$B$6,1),0),"")</f>
        <v/>
      </c>
      <c r="BF38" s="2" t="str" cm="1">
        <f t="array" ref="BF38">IF('NILAI CPL'!$B38&lt;&gt;"",IFERROR(_xlfn.IFS(AI38&gt;='NILAI CPL'!$B$3,4,AI38&gt;='NILAI CPL'!$B$4,3,AI38&gt;='NILAI CPL'!$B$5,2,AI38&gt;'NILAI CPL'!$B$6,1),0),"")</f>
        <v/>
      </c>
      <c r="BG38" s="2" t="str" cm="1">
        <f t="array" ref="BG38">IF('NILAI CPL'!$B38&lt;&gt;"",IFERROR(_xlfn.IFS(AJ38&gt;='NILAI CPL'!$B$3,4,AJ38&gt;='NILAI CPL'!$B$4,3,AJ38&gt;='NILAI CPL'!$B$5,2,AJ38&gt;'NILAI CPL'!$B$6,1),0),"")</f>
        <v/>
      </c>
      <c r="BH38" s="2" t="str" cm="1">
        <f t="array" ref="BH38">IF('NILAI CPL'!$B38&lt;&gt;"",IFERROR(_xlfn.IFS(AK38&gt;='NILAI CPL'!$B$3,4,AK38&gt;='NILAI CPL'!$B$4,3,AK38&gt;='NILAI CPL'!$B$5,2,AK38&gt;'NILAI CPL'!$B$6,1),0),"")</f>
        <v/>
      </c>
      <c r="BI38" s="2" t="str" cm="1">
        <f t="array" ref="BI38">IF('NILAI CPL'!$B38&lt;&gt;"",IFERROR(_xlfn.IFS(AL38&gt;='NILAI CPL'!$B$3,4,AL38&gt;='NILAI CPL'!$B$4,3,AL38&gt;='NILAI CPL'!$B$5,2,AL38&gt;'NILAI CPL'!$B$6,1),0),"")</f>
        <v/>
      </c>
      <c r="BJ38" s="2" t="str" cm="1">
        <f t="array" ref="BJ38">IF('NILAI CPL'!$B38&lt;&gt;"",IFERROR(_xlfn.IFS(AM38&gt;='NILAI CPL'!$B$3,4,AM38&gt;='NILAI CPL'!$B$4,3,AM38&gt;='NILAI CPL'!$B$5,2,AM38&gt;'NILAI CPL'!$B$6,1),0),"")</f>
        <v/>
      </c>
      <c r="BK38" s="2" t="str" cm="1">
        <f t="array" ref="BK38">IF('NILAI CPL'!$B38&lt;&gt;"",IFERROR(_xlfn.IFS(AN38&gt;='NILAI CPL'!$B$3,4,AN38&gt;='NILAI CPL'!$B$4,3,AN38&gt;='NILAI CPL'!$B$5,2,AN38&gt;'NILAI CPL'!$B$6,1),0),"")</f>
        <v/>
      </c>
    </row>
    <row r="39" spans="1:63" x14ac:dyDescent="0.2">
      <c r="A39" s="2">
        <v>29</v>
      </c>
      <c r="B39" s="2" t="str">
        <f>IF(LEN(SUMMARY!B39)&gt;0, SUMMARY!B39, "")</f>
        <v/>
      </c>
      <c r="C39" s="2" t="str">
        <f>IF(LEN(SUMMARY!C39)&gt;0, SUMMARY!C39, "")</f>
        <v/>
      </c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" t="str">
        <f t="shared" si="2"/>
        <v/>
      </c>
      <c r="S39" s="2" t="str">
        <f t="shared" si="3"/>
        <v/>
      </c>
      <c r="T39" s="2" t="str">
        <f t="shared" si="4"/>
        <v/>
      </c>
      <c r="U39" s="2" t="str">
        <f t="shared" si="5"/>
        <v/>
      </c>
      <c r="V39" s="2" t="str">
        <f t="shared" si="6"/>
        <v/>
      </c>
      <c r="W39" s="2" t="str">
        <f t="shared" si="7"/>
        <v/>
      </c>
      <c r="X39" s="2" t="str">
        <f t="shared" si="8"/>
        <v/>
      </c>
      <c r="Y39" s="2" t="str">
        <f t="shared" si="9"/>
        <v/>
      </c>
      <c r="Z39" s="2" t="str">
        <f t="shared" si="10"/>
        <v/>
      </c>
      <c r="AA39" s="2" t="str">
        <f t="shared" si="11"/>
        <v/>
      </c>
      <c r="AB39" s="2" t="str">
        <f t="shared" si="12"/>
        <v/>
      </c>
      <c r="AC39" s="2" t="str">
        <f t="shared" si="13"/>
        <v/>
      </c>
      <c r="AD39" s="2" t="str">
        <f t="shared" si="14"/>
        <v/>
      </c>
      <c r="AE39" s="2" t="str">
        <f t="shared" si="15"/>
        <v/>
      </c>
      <c r="AF39" s="2" t="str">
        <f t="shared" si="16"/>
        <v/>
      </c>
      <c r="AG39" s="2" t="str">
        <f t="shared" si="17"/>
        <v/>
      </c>
      <c r="AH39" s="2" t="str">
        <f t="shared" si="18"/>
        <v/>
      </c>
      <c r="AI39" s="2" t="str">
        <f t="shared" si="19"/>
        <v/>
      </c>
      <c r="AJ39" s="2" t="str">
        <f t="shared" si="20"/>
        <v/>
      </c>
      <c r="AK39" s="2" t="str">
        <f t="shared" si="21"/>
        <v/>
      </c>
      <c r="AL39" s="2" t="str">
        <f t="shared" si="22"/>
        <v/>
      </c>
      <c r="AM39" s="2" t="str">
        <f t="shared" si="23"/>
        <v/>
      </c>
      <c r="AN39" s="2" t="str">
        <f t="shared" si="24"/>
        <v/>
      </c>
      <c r="AP39" s="2" t="str" cm="1">
        <f t="array" ref="AP39">IF('NILAI CPL'!$B39&lt;&gt;"",IFERROR(_xlfn.IFS(S39&gt;='NILAI CPL'!$B$3,4,S39&gt;='NILAI CPL'!$B$4,3,S39&gt;='NILAI CPL'!$B$5,2,S39&gt;'NILAI CPL'!$B$6,1),0),"")</f>
        <v/>
      </c>
      <c r="AQ39" s="2" t="str" cm="1">
        <f t="array" ref="AQ39">IF('NILAI CPL'!$B39&lt;&gt;"",IFERROR(_xlfn.IFS(T39&gt;='NILAI CPL'!$B$3,4,T39&gt;='NILAI CPL'!$B$4,3,T39&gt;='NILAI CPL'!$B$5,2,T39&gt;'NILAI CPL'!$B$6,1),0),"")</f>
        <v/>
      </c>
      <c r="AR39" s="2" t="str" cm="1">
        <f t="array" ref="AR39">IF('NILAI CPL'!$B39&lt;&gt;"",IFERROR(_xlfn.IFS(U39&gt;='NILAI CPL'!$B$3,4,U39&gt;='NILAI CPL'!$B$4,3,U39&gt;='NILAI CPL'!$B$5,2,U39&gt;'NILAI CPL'!$B$6,1),0),"")</f>
        <v/>
      </c>
      <c r="AS39" s="2" t="str" cm="1">
        <f t="array" ref="AS39">IF('NILAI CPL'!$B39&lt;&gt;"",IFERROR(_xlfn.IFS(V39&gt;='NILAI CPL'!$B$3,4,V39&gt;='NILAI CPL'!$B$4,3,V39&gt;='NILAI CPL'!$B$5,2,V39&gt;'NILAI CPL'!$B$6,1),0),"")</f>
        <v/>
      </c>
      <c r="AT39" s="2" t="str" cm="1">
        <f t="array" ref="AT39">IF('NILAI CPL'!$B39&lt;&gt;"",IFERROR(_xlfn.IFS(W39&gt;='NILAI CPL'!$B$3,4,W39&gt;='NILAI CPL'!$B$4,3,W39&gt;='NILAI CPL'!$B$5,2,W39&gt;'NILAI CPL'!$B$6,1),0),"")</f>
        <v/>
      </c>
      <c r="AU39" s="2" t="str" cm="1">
        <f t="array" ref="AU39">IF('NILAI CPL'!$B39&lt;&gt;"",IFERROR(_xlfn.IFS(X39&gt;='NILAI CPL'!$B$3,4,X39&gt;='NILAI CPL'!$B$4,3,X39&gt;='NILAI CPL'!$B$5,2,X39&gt;'NILAI CPL'!$B$6,1),0),"")</f>
        <v/>
      </c>
      <c r="AV39" s="2" t="str" cm="1">
        <f t="array" ref="AV39">IF('NILAI CPL'!$B39&lt;&gt;"",IFERROR(_xlfn.IFS(Y39&gt;='NILAI CPL'!$B$3,4,Y39&gt;='NILAI CPL'!$B$4,3,Y39&gt;='NILAI CPL'!$B$5,2,Y39&gt;'NILAI CPL'!$B$6,1),0),"")</f>
        <v/>
      </c>
      <c r="AW39" s="2" t="str" cm="1">
        <f t="array" ref="AW39">IF('NILAI CPL'!$B39&lt;&gt;"",IFERROR(_xlfn.IFS(Z39&gt;='NILAI CPL'!$B$3,4,Z39&gt;='NILAI CPL'!$B$4,3,Z39&gt;='NILAI CPL'!$B$5,2,Z39&gt;'NILAI CPL'!$B$6,1),0),"")</f>
        <v/>
      </c>
      <c r="AX39" s="2" t="str" cm="1">
        <f t="array" ref="AX39">IF('NILAI CPL'!$B39&lt;&gt;"",IFERROR(_xlfn.IFS(AA39&gt;='NILAI CPL'!$B$3,4,AA39&gt;='NILAI CPL'!$B$4,3,AA39&gt;='NILAI CPL'!$B$5,2,AA39&gt;'NILAI CPL'!$B$6,1),0),"")</f>
        <v/>
      </c>
      <c r="AY39" s="2" t="str" cm="1">
        <f t="array" ref="AY39">IF('NILAI CPL'!$B39&lt;&gt;"",IFERROR(_xlfn.IFS(AB39&gt;='NILAI CPL'!$B$3,4,AB39&gt;='NILAI CPL'!$B$4,3,AB39&gt;='NILAI CPL'!$B$5,2,AB39&gt;'NILAI CPL'!$B$6,1),0),"")</f>
        <v/>
      </c>
      <c r="AZ39" s="2" t="str" cm="1">
        <f t="array" ref="AZ39">IF('NILAI CPL'!$B39&lt;&gt;"",IFERROR(_xlfn.IFS(AC39&gt;='NILAI CPL'!$B$3,4,AC39&gt;='NILAI CPL'!$B$4,3,AC39&gt;='NILAI CPL'!$B$5,2,AC39&gt;'NILAI CPL'!$B$6,1),0),"")</f>
        <v/>
      </c>
      <c r="BA39" s="2" t="str" cm="1">
        <f t="array" ref="BA39">IF('NILAI CPL'!$B39&lt;&gt;"",IFERROR(_xlfn.IFS(AD39&gt;='NILAI CPL'!$B$3,4,AD39&gt;='NILAI CPL'!$B$4,3,AD39&gt;='NILAI CPL'!$B$5,2,AD39&gt;'NILAI CPL'!$B$6,1),0),"")</f>
        <v/>
      </c>
      <c r="BB39" s="2" t="str" cm="1">
        <f t="array" ref="BB39">IF('NILAI CPL'!$B39&lt;&gt;"",IFERROR(_xlfn.IFS(AE39&gt;='NILAI CPL'!$B$3,4,AE39&gt;='NILAI CPL'!$B$4,3,AE39&gt;='NILAI CPL'!$B$5,2,AE39&gt;'NILAI CPL'!$B$6,1),0),"")</f>
        <v/>
      </c>
      <c r="BC39" s="2" t="str" cm="1">
        <f t="array" ref="BC39">IF('NILAI CPL'!$B39&lt;&gt;"",IFERROR(_xlfn.IFS(AF39&gt;='NILAI CPL'!$B$3,4,AF39&gt;='NILAI CPL'!$B$4,3,AF39&gt;='NILAI CPL'!$B$5,2,AF39&gt;'NILAI CPL'!$B$6,1),0),"")</f>
        <v/>
      </c>
      <c r="BD39" s="2" t="str" cm="1">
        <f t="array" ref="BD39">IF('NILAI CPL'!$B39&lt;&gt;"",IFERROR(_xlfn.IFS(AG39&gt;='NILAI CPL'!$B$3,4,AG39&gt;='NILAI CPL'!$B$4,3,AG39&gt;='NILAI CPL'!$B$5,2,AG39&gt;'NILAI CPL'!$B$6,1),0),"")</f>
        <v/>
      </c>
      <c r="BE39" s="2" t="str" cm="1">
        <f t="array" ref="BE39">IF('NILAI CPL'!$B39&lt;&gt;"",IFERROR(_xlfn.IFS(AH39&gt;='NILAI CPL'!$B$3,4,AH39&gt;='NILAI CPL'!$B$4,3,AH39&gt;='NILAI CPL'!$B$5,2,AH39&gt;'NILAI CPL'!$B$6,1),0),"")</f>
        <v/>
      </c>
      <c r="BF39" s="2" t="str" cm="1">
        <f t="array" ref="BF39">IF('NILAI CPL'!$B39&lt;&gt;"",IFERROR(_xlfn.IFS(AI39&gt;='NILAI CPL'!$B$3,4,AI39&gt;='NILAI CPL'!$B$4,3,AI39&gt;='NILAI CPL'!$B$5,2,AI39&gt;'NILAI CPL'!$B$6,1),0),"")</f>
        <v/>
      </c>
      <c r="BG39" s="2" t="str" cm="1">
        <f t="array" ref="BG39">IF('NILAI CPL'!$B39&lt;&gt;"",IFERROR(_xlfn.IFS(AJ39&gt;='NILAI CPL'!$B$3,4,AJ39&gt;='NILAI CPL'!$B$4,3,AJ39&gt;='NILAI CPL'!$B$5,2,AJ39&gt;'NILAI CPL'!$B$6,1),0),"")</f>
        <v/>
      </c>
      <c r="BH39" s="2" t="str" cm="1">
        <f t="array" ref="BH39">IF('NILAI CPL'!$B39&lt;&gt;"",IFERROR(_xlfn.IFS(AK39&gt;='NILAI CPL'!$B$3,4,AK39&gt;='NILAI CPL'!$B$4,3,AK39&gt;='NILAI CPL'!$B$5,2,AK39&gt;'NILAI CPL'!$B$6,1),0),"")</f>
        <v/>
      </c>
      <c r="BI39" s="2" t="str" cm="1">
        <f t="array" ref="BI39">IF('NILAI CPL'!$B39&lt;&gt;"",IFERROR(_xlfn.IFS(AL39&gt;='NILAI CPL'!$B$3,4,AL39&gt;='NILAI CPL'!$B$4,3,AL39&gt;='NILAI CPL'!$B$5,2,AL39&gt;'NILAI CPL'!$B$6,1),0),"")</f>
        <v/>
      </c>
      <c r="BJ39" s="2" t="str" cm="1">
        <f t="array" ref="BJ39">IF('NILAI CPL'!$B39&lt;&gt;"",IFERROR(_xlfn.IFS(AM39&gt;='NILAI CPL'!$B$3,4,AM39&gt;='NILAI CPL'!$B$4,3,AM39&gt;='NILAI CPL'!$B$5,2,AM39&gt;'NILAI CPL'!$B$6,1),0),"")</f>
        <v/>
      </c>
      <c r="BK39" s="2" t="str" cm="1">
        <f t="array" ref="BK39">IF('NILAI CPL'!$B39&lt;&gt;"",IFERROR(_xlfn.IFS(AN39&gt;='NILAI CPL'!$B$3,4,AN39&gt;='NILAI CPL'!$B$4,3,AN39&gt;='NILAI CPL'!$B$5,2,AN39&gt;'NILAI CPL'!$B$6,1),0),"")</f>
        <v/>
      </c>
    </row>
    <row r="40" spans="1:63" x14ac:dyDescent="0.2">
      <c r="A40" s="2">
        <v>30</v>
      </c>
      <c r="B40" s="2" t="str">
        <f>IF(LEN(SUMMARY!B40)&gt;0, SUMMARY!B40, "")</f>
        <v/>
      </c>
      <c r="C40" s="2" t="str">
        <f>IF(LEN(SUMMARY!C40)&gt;0, SUMMARY!C40, "")</f>
        <v/>
      </c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" t="str">
        <f t="shared" si="2"/>
        <v/>
      </c>
      <c r="S40" s="2" t="str">
        <f t="shared" si="3"/>
        <v/>
      </c>
      <c r="T40" s="2" t="str">
        <f t="shared" si="4"/>
        <v/>
      </c>
      <c r="U40" s="2" t="str">
        <f t="shared" si="5"/>
        <v/>
      </c>
      <c r="V40" s="2" t="str">
        <f t="shared" si="6"/>
        <v/>
      </c>
      <c r="W40" s="2" t="str">
        <f t="shared" si="7"/>
        <v/>
      </c>
      <c r="X40" s="2" t="str">
        <f t="shared" si="8"/>
        <v/>
      </c>
      <c r="Y40" s="2" t="str">
        <f t="shared" si="9"/>
        <v/>
      </c>
      <c r="Z40" s="2" t="str">
        <f t="shared" si="10"/>
        <v/>
      </c>
      <c r="AA40" s="2" t="str">
        <f t="shared" si="11"/>
        <v/>
      </c>
      <c r="AB40" s="2" t="str">
        <f t="shared" si="12"/>
        <v/>
      </c>
      <c r="AC40" s="2" t="str">
        <f t="shared" si="13"/>
        <v/>
      </c>
      <c r="AD40" s="2" t="str">
        <f t="shared" si="14"/>
        <v/>
      </c>
      <c r="AE40" s="2" t="str">
        <f t="shared" si="15"/>
        <v/>
      </c>
      <c r="AF40" s="2" t="str">
        <f t="shared" si="16"/>
        <v/>
      </c>
      <c r="AG40" s="2" t="str">
        <f t="shared" si="17"/>
        <v/>
      </c>
      <c r="AH40" s="2" t="str">
        <f t="shared" si="18"/>
        <v/>
      </c>
      <c r="AI40" s="2" t="str">
        <f t="shared" si="19"/>
        <v/>
      </c>
      <c r="AJ40" s="2" t="str">
        <f t="shared" si="20"/>
        <v/>
      </c>
      <c r="AK40" s="2" t="str">
        <f t="shared" si="21"/>
        <v/>
      </c>
      <c r="AL40" s="2" t="str">
        <f t="shared" si="22"/>
        <v/>
      </c>
      <c r="AM40" s="2" t="str">
        <f t="shared" si="23"/>
        <v/>
      </c>
      <c r="AN40" s="2" t="str">
        <f t="shared" si="24"/>
        <v/>
      </c>
      <c r="AP40" s="2" t="str" cm="1">
        <f t="array" ref="AP40">IF('NILAI CPL'!$B40&lt;&gt;"",IFERROR(_xlfn.IFS(S40&gt;='NILAI CPL'!$B$3,4,S40&gt;='NILAI CPL'!$B$4,3,S40&gt;='NILAI CPL'!$B$5,2,S40&gt;'NILAI CPL'!$B$6,1),0),"")</f>
        <v/>
      </c>
      <c r="AQ40" s="2" t="str" cm="1">
        <f t="array" ref="AQ40">IF('NILAI CPL'!$B40&lt;&gt;"",IFERROR(_xlfn.IFS(T40&gt;='NILAI CPL'!$B$3,4,T40&gt;='NILAI CPL'!$B$4,3,T40&gt;='NILAI CPL'!$B$5,2,T40&gt;'NILAI CPL'!$B$6,1),0),"")</f>
        <v/>
      </c>
      <c r="AR40" s="2" t="str" cm="1">
        <f t="array" ref="AR40">IF('NILAI CPL'!$B40&lt;&gt;"",IFERROR(_xlfn.IFS(U40&gt;='NILAI CPL'!$B$3,4,U40&gt;='NILAI CPL'!$B$4,3,U40&gt;='NILAI CPL'!$B$5,2,U40&gt;'NILAI CPL'!$B$6,1),0),"")</f>
        <v/>
      </c>
      <c r="AS40" s="2" t="str" cm="1">
        <f t="array" ref="AS40">IF('NILAI CPL'!$B40&lt;&gt;"",IFERROR(_xlfn.IFS(V40&gt;='NILAI CPL'!$B$3,4,V40&gt;='NILAI CPL'!$B$4,3,V40&gt;='NILAI CPL'!$B$5,2,V40&gt;'NILAI CPL'!$B$6,1),0),"")</f>
        <v/>
      </c>
      <c r="AT40" s="2" t="str" cm="1">
        <f t="array" ref="AT40">IF('NILAI CPL'!$B40&lt;&gt;"",IFERROR(_xlfn.IFS(W40&gt;='NILAI CPL'!$B$3,4,W40&gt;='NILAI CPL'!$B$4,3,W40&gt;='NILAI CPL'!$B$5,2,W40&gt;'NILAI CPL'!$B$6,1),0),"")</f>
        <v/>
      </c>
      <c r="AU40" s="2" t="str" cm="1">
        <f t="array" ref="AU40">IF('NILAI CPL'!$B40&lt;&gt;"",IFERROR(_xlfn.IFS(X40&gt;='NILAI CPL'!$B$3,4,X40&gt;='NILAI CPL'!$B$4,3,X40&gt;='NILAI CPL'!$B$5,2,X40&gt;'NILAI CPL'!$B$6,1),0),"")</f>
        <v/>
      </c>
      <c r="AV40" s="2" t="str" cm="1">
        <f t="array" ref="AV40">IF('NILAI CPL'!$B40&lt;&gt;"",IFERROR(_xlfn.IFS(Y40&gt;='NILAI CPL'!$B$3,4,Y40&gt;='NILAI CPL'!$B$4,3,Y40&gt;='NILAI CPL'!$B$5,2,Y40&gt;'NILAI CPL'!$B$6,1),0),"")</f>
        <v/>
      </c>
      <c r="AW40" s="2" t="str" cm="1">
        <f t="array" ref="AW40">IF('NILAI CPL'!$B40&lt;&gt;"",IFERROR(_xlfn.IFS(Z40&gt;='NILAI CPL'!$B$3,4,Z40&gt;='NILAI CPL'!$B$4,3,Z40&gt;='NILAI CPL'!$B$5,2,Z40&gt;'NILAI CPL'!$B$6,1),0),"")</f>
        <v/>
      </c>
      <c r="AX40" s="2" t="str" cm="1">
        <f t="array" ref="AX40">IF('NILAI CPL'!$B40&lt;&gt;"",IFERROR(_xlfn.IFS(AA40&gt;='NILAI CPL'!$B$3,4,AA40&gt;='NILAI CPL'!$B$4,3,AA40&gt;='NILAI CPL'!$B$5,2,AA40&gt;'NILAI CPL'!$B$6,1),0),"")</f>
        <v/>
      </c>
      <c r="AY40" s="2" t="str" cm="1">
        <f t="array" ref="AY40">IF('NILAI CPL'!$B40&lt;&gt;"",IFERROR(_xlfn.IFS(AB40&gt;='NILAI CPL'!$B$3,4,AB40&gt;='NILAI CPL'!$B$4,3,AB40&gt;='NILAI CPL'!$B$5,2,AB40&gt;'NILAI CPL'!$B$6,1),0),"")</f>
        <v/>
      </c>
      <c r="AZ40" s="2" t="str" cm="1">
        <f t="array" ref="AZ40">IF('NILAI CPL'!$B40&lt;&gt;"",IFERROR(_xlfn.IFS(AC40&gt;='NILAI CPL'!$B$3,4,AC40&gt;='NILAI CPL'!$B$4,3,AC40&gt;='NILAI CPL'!$B$5,2,AC40&gt;'NILAI CPL'!$B$6,1),0),"")</f>
        <v/>
      </c>
      <c r="BA40" s="2" t="str" cm="1">
        <f t="array" ref="BA40">IF('NILAI CPL'!$B40&lt;&gt;"",IFERROR(_xlfn.IFS(AD40&gt;='NILAI CPL'!$B$3,4,AD40&gt;='NILAI CPL'!$B$4,3,AD40&gt;='NILAI CPL'!$B$5,2,AD40&gt;'NILAI CPL'!$B$6,1),0),"")</f>
        <v/>
      </c>
      <c r="BB40" s="2" t="str" cm="1">
        <f t="array" ref="BB40">IF('NILAI CPL'!$B40&lt;&gt;"",IFERROR(_xlfn.IFS(AE40&gt;='NILAI CPL'!$B$3,4,AE40&gt;='NILAI CPL'!$B$4,3,AE40&gt;='NILAI CPL'!$B$5,2,AE40&gt;'NILAI CPL'!$B$6,1),0),"")</f>
        <v/>
      </c>
      <c r="BC40" s="2" t="str" cm="1">
        <f t="array" ref="BC40">IF('NILAI CPL'!$B40&lt;&gt;"",IFERROR(_xlfn.IFS(AF40&gt;='NILAI CPL'!$B$3,4,AF40&gt;='NILAI CPL'!$B$4,3,AF40&gt;='NILAI CPL'!$B$5,2,AF40&gt;'NILAI CPL'!$B$6,1),0),"")</f>
        <v/>
      </c>
      <c r="BD40" s="2" t="str" cm="1">
        <f t="array" ref="BD40">IF('NILAI CPL'!$B40&lt;&gt;"",IFERROR(_xlfn.IFS(AG40&gt;='NILAI CPL'!$B$3,4,AG40&gt;='NILAI CPL'!$B$4,3,AG40&gt;='NILAI CPL'!$B$5,2,AG40&gt;'NILAI CPL'!$B$6,1),0),"")</f>
        <v/>
      </c>
      <c r="BE40" s="2" t="str" cm="1">
        <f t="array" ref="BE40">IF('NILAI CPL'!$B40&lt;&gt;"",IFERROR(_xlfn.IFS(AH40&gt;='NILAI CPL'!$B$3,4,AH40&gt;='NILAI CPL'!$B$4,3,AH40&gt;='NILAI CPL'!$B$5,2,AH40&gt;'NILAI CPL'!$B$6,1),0),"")</f>
        <v/>
      </c>
      <c r="BF40" s="2" t="str" cm="1">
        <f t="array" ref="BF40">IF('NILAI CPL'!$B40&lt;&gt;"",IFERROR(_xlfn.IFS(AI40&gt;='NILAI CPL'!$B$3,4,AI40&gt;='NILAI CPL'!$B$4,3,AI40&gt;='NILAI CPL'!$B$5,2,AI40&gt;'NILAI CPL'!$B$6,1),0),"")</f>
        <v/>
      </c>
      <c r="BG40" s="2" t="str" cm="1">
        <f t="array" ref="BG40">IF('NILAI CPL'!$B40&lt;&gt;"",IFERROR(_xlfn.IFS(AJ40&gt;='NILAI CPL'!$B$3,4,AJ40&gt;='NILAI CPL'!$B$4,3,AJ40&gt;='NILAI CPL'!$B$5,2,AJ40&gt;'NILAI CPL'!$B$6,1),0),"")</f>
        <v/>
      </c>
      <c r="BH40" s="2" t="str" cm="1">
        <f t="array" ref="BH40">IF('NILAI CPL'!$B40&lt;&gt;"",IFERROR(_xlfn.IFS(AK40&gt;='NILAI CPL'!$B$3,4,AK40&gt;='NILAI CPL'!$B$4,3,AK40&gt;='NILAI CPL'!$B$5,2,AK40&gt;'NILAI CPL'!$B$6,1),0),"")</f>
        <v/>
      </c>
      <c r="BI40" s="2" t="str" cm="1">
        <f t="array" ref="BI40">IF('NILAI CPL'!$B40&lt;&gt;"",IFERROR(_xlfn.IFS(AL40&gt;='NILAI CPL'!$B$3,4,AL40&gt;='NILAI CPL'!$B$4,3,AL40&gt;='NILAI CPL'!$B$5,2,AL40&gt;'NILAI CPL'!$B$6,1),0),"")</f>
        <v/>
      </c>
      <c r="BJ40" s="2" t="str" cm="1">
        <f t="array" ref="BJ40">IF('NILAI CPL'!$B40&lt;&gt;"",IFERROR(_xlfn.IFS(AM40&gt;='NILAI CPL'!$B$3,4,AM40&gt;='NILAI CPL'!$B$4,3,AM40&gt;='NILAI CPL'!$B$5,2,AM40&gt;'NILAI CPL'!$B$6,1),0),"")</f>
        <v/>
      </c>
      <c r="BK40" s="2" t="str" cm="1">
        <f t="array" ref="BK40">IF('NILAI CPL'!$B40&lt;&gt;"",IFERROR(_xlfn.IFS(AN40&gt;='NILAI CPL'!$B$3,4,AN40&gt;='NILAI CPL'!$B$4,3,AN40&gt;='NILAI CPL'!$B$5,2,AN40&gt;'NILAI CPL'!$B$6,1),0),"")</f>
        <v/>
      </c>
    </row>
    <row r="41" spans="1:63" x14ac:dyDescent="0.2">
      <c r="A41" s="2">
        <v>31</v>
      </c>
      <c r="B41" s="2" t="str">
        <f>IF(LEN(SUMMARY!B41)&gt;0, SUMMARY!B41, "")</f>
        <v/>
      </c>
      <c r="C41" s="2" t="str">
        <f>IF(LEN(SUMMARY!C41)&gt;0, SUMMARY!C41, "")</f>
        <v/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" t="str">
        <f t="shared" si="2"/>
        <v/>
      </c>
      <c r="S41" s="2" t="str">
        <f t="shared" si="3"/>
        <v/>
      </c>
      <c r="T41" s="2" t="str">
        <f t="shared" si="4"/>
        <v/>
      </c>
      <c r="U41" s="2" t="str">
        <f t="shared" si="5"/>
        <v/>
      </c>
      <c r="V41" s="2" t="str">
        <f t="shared" si="6"/>
        <v/>
      </c>
      <c r="W41" s="2" t="str">
        <f t="shared" si="7"/>
        <v/>
      </c>
      <c r="X41" s="2" t="str">
        <f t="shared" si="8"/>
        <v/>
      </c>
      <c r="Y41" s="2" t="str">
        <f t="shared" si="9"/>
        <v/>
      </c>
      <c r="Z41" s="2" t="str">
        <f t="shared" si="10"/>
        <v/>
      </c>
      <c r="AA41" s="2" t="str">
        <f t="shared" si="11"/>
        <v/>
      </c>
      <c r="AB41" s="2" t="str">
        <f t="shared" si="12"/>
        <v/>
      </c>
      <c r="AC41" s="2" t="str">
        <f t="shared" si="13"/>
        <v/>
      </c>
      <c r="AD41" s="2" t="str">
        <f t="shared" si="14"/>
        <v/>
      </c>
      <c r="AE41" s="2" t="str">
        <f t="shared" si="15"/>
        <v/>
      </c>
      <c r="AF41" s="2" t="str">
        <f t="shared" si="16"/>
        <v/>
      </c>
      <c r="AG41" s="2" t="str">
        <f t="shared" si="17"/>
        <v/>
      </c>
      <c r="AH41" s="2" t="str">
        <f t="shared" si="18"/>
        <v/>
      </c>
      <c r="AI41" s="2" t="str">
        <f t="shared" si="19"/>
        <v/>
      </c>
      <c r="AJ41" s="2" t="str">
        <f t="shared" si="20"/>
        <v/>
      </c>
      <c r="AK41" s="2" t="str">
        <f t="shared" si="21"/>
        <v/>
      </c>
      <c r="AL41" s="2" t="str">
        <f t="shared" si="22"/>
        <v/>
      </c>
      <c r="AM41" s="2" t="str">
        <f t="shared" si="23"/>
        <v/>
      </c>
      <c r="AN41" s="2" t="str">
        <f t="shared" si="24"/>
        <v/>
      </c>
      <c r="AP41" s="2" t="str" cm="1">
        <f t="array" ref="AP41">IF('NILAI CPL'!$B41&lt;&gt;"",IFERROR(_xlfn.IFS(S41&gt;='NILAI CPL'!$B$3,4,S41&gt;='NILAI CPL'!$B$4,3,S41&gt;='NILAI CPL'!$B$5,2,S41&gt;'NILAI CPL'!$B$6,1),0),"")</f>
        <v/>
      </c>
      <c r="AQ41" s="2" t="str" cm="1">
        <f t="array" ref="AQ41">IF('NILAI CPL'!$B41&lt;&gt;"",IFERROR(_xlfn.IFS(T41&gt;='NILAI CPL'!$B$3,4,T41&gt;='NILAI CPL'!$B$4,3,T41&gt;='NILAI CPL'!$B$5,2,T41&gt;'NILAI CPL'!$B$6,1),0),"")</f>
        <v/>
      </c>
      <c r="AR41" s="2" t="str" cm="1">
        <f t="array" ref="AR41">IF('NILAI CPL'!$B41&lt;&gt;"",IFERROR(_xlfn.IFS(U41&gt;='NILAI CPL'!$B$3,4,U41&gt;='NILAI CPL'!$B$4,3,U41&gt;='NILAI CPL'!$B$5,2,U41&gt;'NILAI CPL'!$B$6,1),0),"")</f>
        <v/>
      </c>
      <c r="AS41" s="2" t="str" cm="1">
        <f t="array" ref="AS41">IF('NILAI CPL'!$B41&lt;&gt;"",IFERROR(_xlfn.IFS(V41&gt;='NILAI CPL'!$B$3,4,V41&gt;='NILAI CPL'!$B$4,3,V41&gt;='NILAI CPL'!$B$5,2,V41&gt;'NILAI CPL'!$B$6,1),0),"")</f>
        <v/>
      </c>
      <c r="AT41" s="2" t="str" cm="1">
        <f t="array" ref="AT41">IF('NILAI CPL'!$B41&lt;&gt;"",IFERROR(_xlfn.IFS(W41&gt;='NILAI CPL'!$B$3,4,W41&gt;='NILAI CPL'!$B$4,3,W41&gt;='NILAI CPL'!$B$5,2,W41&gt;'NILAI CPL'!$B$6,1),0),"")</f>
        <v/>
      </c>
      <c r="AU41" s="2" t="str" cm="1">
        <f t="array" ref="AU41">IF('NILAI CPL'!$B41&lt;&gt;"",IFERROR(_xlfn.IFS(X41&gt;='NILAI CPL'!$B$3,4,X41&gt;='NILAI CPL'!$B$4,3,X41&gt;='NILAI CPL'!$B$5,2,X41&gt;'NILAI CPL'!$B$6,1),0),"")</f>
        <v/>
      </c>
      <c r="AV41" s="2" t="str" cm="1">
        <f t="array" ref="AV41">IF('NILAI CPL'!$B41&lt;&gt;"",IFERROR(_xlfn.IFS(Y41&gt;='NILAI CPL'!$B$3,4,Y41&gt;='NILAI CPL'!$B$4,3,Y41&gt;='NILAI CPL'!$B$5,2,Y41&gt;'NILAI CPL'!$B$6,1),0),"")</f>
        <v/>
      </c>
      <c r="AW41" s="2" t="str" cm="1">
        <f t="array" ref="AW41">IF('NILAI CPL'!$B41&lt;&gt;"",IFERROR(_xlfn.IFS(Z41&gt;='NILAI CPL'!$B$3,4,Z41&gt;='NILAI CPL'!$B$4,3,Z41&gt;='NILAI CPL'!$B$5,2,Z41&gt;'NILAI CPL'!$B$6,1),0),"")</f>
        <v/>
      </c>
      <c r="AX41" s="2" t="str" cm="1">
        <f t="array" ref="AX41">IF('NILAI CPL'!$B41&lt;&gt;"",IFERROR(_xlfn.IFS(AA41&gt;='NILAI CPL'!$B$3,4,AA41&gt;='NILAI CPL'!$B$4,3,AA41&gt;='NILAI CPL'!$B$5,2,AA41&gt;'NILAI CPL'!$B$6,1),0),"")</f>
        <v/>
      </c>
      <c r="AY41" s="2" t="str" cm="1">
        <f t="array" ref="AY41">IF('NILAI CPL'!$B41&lt;&gt;"",IFERROR(_xlfn.IFS(AB41&gt;='NILAI CPL'!$B$3,4,AB41&gt;='NILAI CPL'!$B$4,3,AB41&gt;='NILAI CPL'!$B$5,2,AB41&gt;'NILAI CPL'!$B$6,1),0),"")</f>
        <v/>
      </c>
      <c r="AZ41" s="2" t="str" cm="1">
        <f t="array" ref="AZ41">IF('NILAI CPL'!$B41&lt;&gt;"",IFERROR(_xlfn.IFS(AC41&gt;='NILAI CPL'!$B$3,4,AC41&gt;='NILAI CPL'!$B$4,3,AC41&gt;='NILAI CPL'!$B$5,2,AC41&gt;'NILAI CPL'!$B$6,1),0),"")</f>
        <v/>
      </c>
      <c r="BA41" s="2" t="str" cm="1">
        <f t="array" ref="BA41">IF('NILAI CPL'!$B41&lt;&gt;"",IFERROR(_xlfn.IFS(AD41&gt;='NILAI CPL'!$B$3,4,AD41&gt;='NILAI CPL'!$B$4,3,AD41&gt;='NILAI CPL'!$B$5,2,AD41&gt;'NILAI CPL'!$B$6,1),0),"")</f>
        <v/>
      </c>
      <c r="BB41" s="2" t="str" cm="1">
        <f t="array" ref="BB41">IF('NILAI CPL'!$B41&lt;&gt;"",IFERROR(_xlfn.IFS(AE41&gt;='NILAI CPL'!$B$3,4,AE41&gt;='NILAI CPL'!$B$4,3,AE41&gt;='NILAI CPL'!$B$5,2,AE41&gt;'NILAI CPL'!$B$6,1),0),"")</f>
        <v/>
      </c>
      <c r="BC41" s="2" t="str" cm="1">
        <f t="array" ref="BC41">IF('NILAI CPL'!$B41&lt;&gt;"",IFERROR(_xlfn.IFS(AF41&gt;='NILAI CPL'!$B$3,4,AF41&gt;='NILAI CPL'!$B$4,3,AF41&gt;='NILAI CPL'!$B$5,2,AF41&gt;'NILAI CPL'!$B$6,1),0),"")</f>
        <v/>
      </c>
      <c r="BD41" s="2" t="str" cm="1">
        <f t="array" ref="BD41">IF('NILAI CPL'!$B41&lt;&gt;"",IFERROR(_xlfn.IFS(AG41&gt;='NILAI CPL'!$B$3,4,AG41&gt;='NILAI CPL'!$B$4,3,AG41&gt;='NILAI CPL'!$B$5,2,AG41&gt;'NILAI CPL'!$B$6,1),0),"")</f>
        <v/>
      </c>
      <c r="BE41" s="2" t="str" cm="1">
        <f t="array" ref="BE41">IF('NILAI CPL'!$B41&lt;&gt;"",IFERROR(_xlfn.IFS(AH41&gt;='NILAI CPL'!$B$3,4,AH41&gt;='NILAI CPL'!$B$4,3,AH41&gt;='NILAI CPL'!$B$5,2,AH41&gt;'NILAI CPL'!$B$6,1),0),"")</f>
        <v/>
      </c>
      <c r="BF41" s="2" t="str" cm="1">
        <f t="array" ref="BF41">IF('NILAI CPL'!$B41&lt;&gt;"",IFERROR(_xlfn.IFS(AI41&gt;='NILAI CPL'!$B$3,4,AI41&gt;='NILAI CPL'!$B$4,3,AI41&gt;='NILAI CPL'!$B$5,2,AI41&gt;'NILAI CPL'!$B$6,1),0),"")</f>
        <v/>
      </c>
      <c r="BG41" s="2" t="str" cm="1">
        <f t="array" ref="BG41">IF('NILAI CPL'!$B41&lt;&gt;"",IFERROR(_xlfn.IFS(AJ41&gt;='NILAI CPL'!$B$3,4,AJ41&gt;='NILAI CPL'!$B$4,3,AJ41&gt;='NILAI CPL'!$B$5,2,AJ41&gt;'NILAI CPL'!$B$6,1),0),"")</f>
        <v/>
      </c>
      <c r="BH41" s="2" t="str" cm="1">
        <f t="array" ref="BH41">IF('NILAI CPL'!$B41&lt;&gt;"",IFERROR(_xlfn.IFS(AK41&gt;='NILAI CPL'!$B$3,4,AK41&gt;='NILAI CPL'!$B$4,3,AK41&gt;='NILAI CPL'!$B$5,2,AK41&gt;'NILAI CPL'!$B$6,1),0),"")</f>
        <v/>
      </c>
      <c r="BI41" s="2" t="str" cm="1">
        <f t="array" ref="BI41">IF('NILAI CPL'!$B41&lt;&gt;"",IFERROR(_xlfn.IFS(AL41&gt;='NILAI CPL'!$B$3,4,AL41&gt;='NILAI CPL'!$B$4,3,AL41&gt;='NILAI CPL'!$B$5,2,AL41&gt;'NILAI CPL'!$B$6,1),0),"")</f>
        <v/>
      </c>
      <c r="BJ41" s="2" t="str" cm="1">
        <f t="array" ref="BJ41">IF('NILAI CPL'!$B41&lt;&gt;"",IFERROR(_xlfn.IFS(AM41&gt;='NILAI CPL'!$B$3,4,AM41&gt;='NILAI CPL'!$B$4,3,AM41&gt;='NILAI CPL'!$B$5,2,AM41&gt;'NILAI CPL'!$B$6,1),0),"")</f>
        <v/>
      </c>
      <c r="BK41" s="2" t="str" cm="1">
        <f t="array" ref="BK41">IF('NILAI CPL'!$B41&lt;&gt;"",IFERROR(_xlfn.IFS(AN41&gt;='NILAI CPL'!$B$3,4,AN41&gt;='NILAI CPL'!$B$4,3,AN41&gt;='NILAI CPL'!$B$5,2,AN41&gt;'NILAI CPL'!$B$6,1),0),"")</f>
        <v/>
      </c>
    </row>
    <row r="42" spans="1:63" x14ac:dyDescent="0.2">
      <c r="A42" s="2">
        <v>32</v>
      </c>
      <c r="B42" s="2" t="str">
        <f>IF(LEN(SUMMARY!B42)&gt;0, SUMMARY!B42, "")</f>
        <v/>
      </c>
      <c r="C42" s="2" t="str">
        <f>IF(LEN(SUMMARY!C42)&gt;0, SUMMARY!C42, "")</f>
        <v/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" t="str">
        <f t="shared" si="2"/>
        <v/>
      </c>
      <c r="S42" s="2" t="str">
        <f t="shared" si="3"/>
        <v/>
      </c>
      <c r="T42" s="2" t="str">
        <f t="shared" si="4"/>
        <v/>
      </c>
      <c r="U42" s="2" t="str">
        <f t="shared" si="5"/>
        <v/>
      </c>
      <c r="V42" s="2" t="str">
        <f t="shared" si="6"/>
        <v/>
      </c>
      <c r="W42" s="2" t="str">
        <f t="shared" si="7"/>
        <v/>
      </c>
      <c r="X42" s="2" t="str">
        <f t="shared" si="8"/>
        <v/>
      </c>
      <c r="Y42" s="2" t="str">
        <f t="shared" si="9"/>
        <v/>
      </c>
      <c r="Z42" s="2" t="str">
        <f t="shared" si="10"/>
        <v/>
      </c>
      <c r="AA42" s="2" t="str">
        <f t="shared" si="11"/>
        <v/>
      </c>
      <c r="AB42" s="2" t="str">
        <f t="shared" si="12"/>
        <v/>
      </c>
      <c r="AC42" s="2" t="str">
        <f t="shared" si="13"/>
        <v/>
      </c>
      <c r="AD42" s="2" t="str">
        <f t="shared" si="14"/>
        <v/>
      </c>
      <c r="AE42" s="2" t="str">
        <f t="shared" si="15"/>
        <v/>
      </c>
      <c r="AF42" s="2" t="str">
        <f t="shared" si="16"/>
        <v/>
      </c>
      <c r="AG42" s="2" t="str">
        <f t="shared" si="17"/>
        <v/>
      </c>
      <c r="AH42" s="2" t="str">
        <f t="shared" si="18"/>
        <v/>
      </c>
      <c r="AI42" s="2" t="str">
        <f t="shared" si="19"/>
        <v/>
      </c>
      <c r="AJ42" s="2" t="str">
        <f t="shared" si="20"/>
        <v/>
      </c>
      <c r="AK42" s="2" t="str">
        <f t="shared" si="21"/>
        <v/>
      </c>
      <c r="AL42" s="2" t="str">
        <f t="shared" si="22"/>
        <v/>
      </c>
      <c r="AM42" s="2" t="str">
        <f t="shared" si="23"/>
        <v/>
      </c>
      <c r="AN42" s="2" t="str">
        <f t="shared" si="24"/>
        <v/>
      </c>
      <c r="AP42" s="2" t="str" cm="1">
        <f t="array" ref="AP42">IF('NILAI CPL'!$B42&lt;&gt;"",IFERROR(_xlfn.IFS(S42&gt;='NILAI CPL'!$B$3,4,S42&gt;='NILAI CPL'!$B$4,3,S42&gt;='NILAI CPL'!$B$5,2,S42&gt;'NILAI CPL'!$B$6,1),0),"")</f>
        <v/>
      </c>
      <c r="AQ42" s="2" t="str" cm="1">
        <f t="array" ref="AQ42">IF('NILAI CPL'!$B42&lt;&gt;"",IFERROR(_xlfn.IFS(T42&gt;='NILAI CPL'!$B$3,4,T42&gt;='NILAI CPL'!$B$4,3,T42&gt;='NILAI CPL'!$B$5,2,T42&gt;'NILAI CPL'!$B$6,1),0),"")</f>
        <v/>
      </c>
      <c r="AR42" s="2" t="str" cm="1">
        <f t="array" ref="AR42">IF('NILAI CPL'!$B42&lt;&gt;"",IFERROR(_xlfn.IFS(U42&gt;='NILAI CPL'!$B$3,4,U42&gt;='NILAI CPL'!$B$4,3,U42&gt;='NILAI CPL'!$B$5,2,U42&gt;'NILAI CPL'!$B$6,1),0),"")</f>
        <v/>
      </c>
      <c r="AS42" s="2" t="str" cm="1">
        <f t="array" ref="AS42">IF('NILAI CPL'!$B42&lt;&gt;"",IFERROR(_xlfn.IFS(V42&gt;='NILAI CPL'!$B$3,4,V42&gt;='NILAI CPL'!$B$4,3,V42&gt;='NILAI CPL'!$B$5,2,V42&gt;'NILAI CPL'!$B$6,1),0),"")</f>
        <v/>
      </c>
      <c r="AT42" s="2" t="str" cm="1">
        <f t="array" ref="AT42">IF('NILAI CPL'!$B42&lt;&gt;"",IFERROR(_xlfn.IFS(W42&gt;='NILAI CPL'!$B$3,4,W42&gt;='NILAI CPL'!$B$4,3,W42&gt;='NILAI CPL'!$B$5,2,W42&gt;'NILAI CPL'!$B$6,1),0),"")</f>
        <v/>
      </c>
      <c r="AU42" s="2" t="str" cm="1">
        <f t="array" ref="AU42">IF('NILAI CPL'!$B42&lt;&gt;"",IFERROR(_xlfn.IFS(X42&gt;='NILAI CPL'!$B$3,4,X42&gt;='NILAI CPL'!$B$4,3,X42&gt;='NILAI CPL'!$B$5,2,X42&gt;'NILAI CPL'!$B$6,1),0),"")</f>
        <v/>
      </c>
      <c r="AV42" s="2" t="str" cm="1">
        <f t="array" ref="AV42">IF('NILAI CPL'!$B42&lt;&gt;"",IFERROR(_xlfn.IFS(Y42&gt;='NILAI CPL'!$B$3,4,Y42&gt;='NILAI CPL'!$B$4,3,Y42&gt;='NILAI CPL'!$B$5,2,Y42&gt;'NILAI CPL'!$B$6,1),0),"")</f>
        <v/>
      </c>
      <c r="AW42" s="2" t="str" cm="1">
        <f t="array" ref="AW42">IF('NILAI CPL'!$B42&lt;&gt;"",IFERROR(_xlfn.IFS(Z42&gt;='NILAI CPL'!$B$3,4,Z42&gt;='NILAI CPL'!$B$4,3,Z42&gt;='NILAI CPL'!$B$5,2,Z42&gt;'NILAI CPL'!$B$6,1),0),"")</f>
        <v/>
      </c>
      <c r="AX42" s="2" t="str" cm="1">
        <f t="array" ref="AX42">IF('NILAI CPL'!$B42&lt;&gt;"",IFERROR(_xlfn.IFS(AA42&gt;='NILAI CPL'!$B$3,4,AA42&gt;='NILAI CPL'!$B$4,3,AA42&gt;='NILAI CPL'!$B$5,2,AA42&gt;'NILAI CPL'!$B$6,1),0),"")</f>
        <v/>
      </c>
      <c r="AY42" s="2" t="str" cm="1">
        <f t="array" ref="AY42">IF('NILAI CPL'!$B42&lt;&gt;"",IFERROR(_xlfn.IFS(AB42&gt;='NILAI CPL'!$B$3,4,AB42&gt;='NILAI CPL'!$B$4,3,AB42&gt;='NILAI CPL'!$B$5,2,AB42&gt;'NILAI CPL'!$B$6,1),0),"")</f>
        <v/>
      </c>
      <c r="AZ42" s="2" t="str" cm="1">
        <f t="array" ref="AZ42">IF('NILAI CPL'!$B42&lt;&gt;"",IFERROR(_xlfn.IFS(AC42&gt;='NILAI CPL'!$B$3,4,AC42&gt;='NILAI CPL'!$B$4,3,AC42&gt;='NILAI CPL'!$B$5,2,AC42&gt;'NILAI CPL'!$B$6,1),0),"")</f>
        <v/>
      </c>
      <c r="BA42" s="2" t="str" cm="1">
        <f t="array" ref="BA42">IF('NILAI CPL'!$B42&lt;&gt;"",IFERROR(_xlfn.IFS(AD42&gt;='NILAI CPL'!$B$3,4,AD42&gt;='NILAI CPL'!$B$4,3,AD42&gt;='NILAI CPL'!$B$5,2,AD42&gt;'NILAI CPL'!$B$6,1),0),"")</f>
        <v/>
      </c>
      <c r="BB42" s="2" t="str" cm="1">
        <f t="array" ref="BB42">IF('NILAI CPL'!$B42&lt;&gt;"",IFERROR(_xlfn.IFS(AE42&gt;='NILAI CPL'!$B$3,4,AE42&gt;='NILAI CPL'!$B$4,3,AE42&gt;='NILAI CPL'!$B$5,2,AE42&gt;'NILAI CPL'!$B$6,1),0),"")</f>
        <v/>
      </c>
      <c r="BC42" s="2" t="str" cm="1">
        <f t="array" ref="BC42">IF('NILAI CPL'!$B42&lt;&gt;"",IFERROR(_xlfn.IFS(AF42&gt;='NILAI CPL'!$B$3,4,AF42&gt;='NILAI CPL'!$B$4,3,AF42&gt;='NILAI CPL'!$B$5,2,AF42&gt;'NILAI CPL'!$B$6,1),0),"")</f>
        <v/>
      </c>
      <c r="BD42" s="2" t="str" cm="1">
        <f t="array" ref="BD42">IF('NILAI CPL'!$B42&lt;&gt;"",IFERROR(_xlfn.IFS(AG42&gt;='NILAI CPL'!$B$3,4,AG42&gt;='NILAI CPL'!$B$4,3,AG42&gt;='NILAI CPL'!$B$5,2,AG42&gt;'NILAI CPL'!$B$6,1),0),"")</f>
        <v/>
      </c>
      <c r="BE42" s="2" t="str" cm="1">
        <f t="array" ref="BE42">IF('NILAI CPL'!$B42&lt;&gt;"",IFERROR(_xlfn.IFS(AH42&gt;='NILAI CPL'!$B$3,4,AH42&gt;='NILAI CPL'!$B$4,3,AH42&gt;='NILAI CPL'!$B$5,2,AH42&gt;'NILAI CPL'!$B$6,1),0),"")</f>
        <v/>
      </c>
      <c r="BF42" s="2" t="str" cm="1">
        <f t="array" ref="BF42">IF('NILAI CPL'!$B42&lt;&gt;"",IFERROR(_xlfn.IFS(AI42&gt;='NILAI CPL'!$B$3,4,AI42&gt;='NILAI CPL'!$B$4,3,AI42&gt;='NILAI CPL'!$B$5,2,AI42&gt;'NILAI CPL'!$B$6,1),0),"")</f>
        <v/>
      </c>
      <c r="BG42" s="2" t="str" cm="1">
        <f t="array" ref="BG42">IF('NILAI CPL'!$B42&lt;&gt;"",IFERROR(_xlfn.IFS(AJ42&gt;='NILAI CPL'!$B$3,4,AJ42&gt;='NILAI CPL'!$B$4,3,AJ42&gt;='NILAI CPL'!$B$5,2,AJ42&gt;'NILAI CPL'!$B$6,1),0),"")</f>
        <v/>
      </c>
      <c r="BH42" s="2" t="str" cm="1">
        <f t="array" ref="BH42">IF('NILAI CPL'!$B42&lt;&gt;"",IFERROR(_xlfn.IFS(AK42&gt;='NILAI CPL'!$B$3,4,AK42&gt;='NILAI CPL'!$B$4,3,AK42&gt;='NILAI CPL'!$B$5,2,AK42&gt;'NILAI CPL'!$B$6,1),0),"")</f>
        <v/>
      </c>
      <c r="BI42" s="2" t="str" cm="1">
        <f t="array" ref="BI42">IF('NILAI CPL'!$B42&lt;&gt;"",IFERROR(_xlfn.IFS(AL42&gt;='NILAI CPL'!$B$3,4,AL42&gt;='NILAI CPL'!$B$4,3,AL42&gt;='NILAI CPL'!$B$5,2,AL42&gt;'NILAI CPL'!$B$6,1),0),"")</f>
        <v/>
      </c>
      <c r="BJ42" s="2" t="str" cm="1">
        <f t="array" ref="BJ42">IF('NILAI CPL'!$B42&lt;&gt;"",IFERROR(_xlfn.IFS(AM42&gt;='NILAI CPL'!$B$3,4,AM42&gt;='NILAI CPL'!$B$4,3,AM42&gt;='NILAI CPL'!$B$5,2,AM42&gt;'NILAI CPL'!$B$6,1),0),"")</f>
        <v/>
      </c>
      <c r="BK42" s="2" t="str" cm="1">
        <f t="array" ref="BK42">IF('NILAI CPL'!$B42&lt;&gt;"",IFERROR(_xlfn.IFS(AN42&gt;='NILAI CPL'!$B$3,4,AN42&gt;='NILAI CPL'!$B$4,3,AN42&gt;='NILAI CPL'!$B$5,2,AN42&gt;'NILAI CPL'!$B$6,1),0),"")</f>
        <v/>
      </c>
    </row>
    <row r="43" spans="1:63" x14ac:dyDescent="0.2">
      <c r="A43" s="2">
        <v>33</v>
      </c>
      <c r="B43" s="2" t="str">
        <f>IF(LEN(SUMMARY!B43)&gt;0, SUMMARY!B43, "")</f>
        <v/>
      </c>
      <c r="C43" s="2" t="str">
        <f>IF(LEN(SUMMARY!C43)&gt;0, SUMMARY!C43, "")</f>
        <v/>
      </c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" t="str">
        <f t="shared" si="2"/>
        <v/>
      </c>
      <c r="S43" s="2" t="str">
        <f t="shared" si="3"/>
        <v/>
      </c>
      <c r="T43" s="2" t="str">
        <f t="shared" si="4"/>
        <v/>
      </c>
      <c r="U43" s="2" t="str">
        <f t="shared" si="5"/>
        <v/>
      </c>
      <c r="V43" s="2" t="str">
        <f t="shared" si="6"/>
        <v/>
      </c>
      <c r="W43" s="2" t="str">
        <f t="shared" si="7"/>
        <v/>
      </c>
      <c r="X43" s="2" t="str">
        <f t="shared" si="8"/>
        <v/>
      </c>
      <c r="Y43" s="2" t="str">
        <f t="shared" si="9"/>
        <v/>
      </c>
      <c r="Z43" s="2" t="str">
        <f t="shared" si="10"/>
        <v/>
      </c>
      <c r="AA43" s="2" t="str">
        <f t="shared" si="11"/>
        <v/>
      </c>
      <c r="AB43" s="2" t="str">
        <f t="shared" si="12"/>
        <v/>
      </c>
      <c r="AC43" s="2" t="str">
        <f t="shared" si="13"/>
        <v/>
      </c>
      <c r="AD43" s="2" t="str">
        <f t="shared" si="14"/>
        <v/>
      </c>
      <c r="AE43" s="2" t="str">
        <f t="shared" si="15"/>
        <v/>
      </c>
      <c r="AF43" s="2" t="str">
        <f t="shared" si="16"/>
        <v/>
      </c>
      <c r="AG43" s="2" t="str">
        <f t="shared" si="17"/>
        <v/>
      </c>
      <c r="AH43" s="2" t="str">
        <f t="shared" si="18"/>
        <v/>
      </c>
      <c r="AI43" s="2" t="str">
        <f t="shared" si="19"/>
        <v/>
      </c>
      <c r="AJ43" s="2" t="str">
        <f t="shared" si="20"/>
        <v/>
      </c>
      <c r="AK43" s="2" t="str">
        <f t="shared" si="21"/>
        <v/>
      </c>
      <c r="AL43" s="2" t="str">
        <f t="shared" si="22"/>
        <v/>
      </c>
      <c r="AM43" s="2" t="str">
        <f t="shared" si="23"/>
        <v/>
      </c>
      <c r="AN43" s="2" t="str">
        <f t="shared" si="24"/>
        <v/>
      </c>
      <c r="AP43" s="2" t="str" cm="1">
        <f t="array" ref="AP43">IF('NILAI CPL'!$B43&lt;&gt;"",IFERROR(_xlfn.IFS(S43&gt;='NILAI CPL'!$B$3,4,S43&gt;='NILAI CPL'!$B$4,3,S43&gt;='NILAI CPL'!$B$5,2,S43&gt;'NILAI CPL'!$B$6,1),0),"")</f>
        <v/>
      </c>
      <c r="AQ43" s="2" t="str" cm="1">
        <f t="array" ref="AQ43">IF('NILAI CPL'!$B43&lt;&gt;"",IFERROR(_xlfn.IFS(T43&gt;='NILAI CPL'!$B$3,4,T43&gt;='NILAI CPL'!$B$4,3,T43&gt;='NILAI CPL'!$B$5,2,T43&gt;'NILAI CPL'!$B$6,1),0),"")</f>
        <v/>
      </c>
      <c r="AR43" s="2" t="str" cm="1">
        <f t="array" ref="AR43">IF('NILAI CPL'!$B43&lt;&gt;"",IFERROR(_xlfn.IFS(U43&gt;='NILAI CPL'!$B$3,4,U43&gt;='NILAI CPL'!$B$4,3,U43&gt;='NILAI CPL'!$B$5,2,U43&gt;'NILAI CPL'!$B$6,1),0),"")</f>
        <v/>
      </c>
      <c r="AS43" s="2" t="str" cm="1">
        <f t="array" ref="AS43">IF('NILAI CPL'!$B43&lt;&gt;"",IFERROR(_xlfn.IFS(V43&gt;='NILAI CPL'!$B$3,4,V43&gt;='NILAI CPL'!$B$4,3,V43&gt;='NILAI CPL'!$B$5,2,V43&gt;'NILAI CPL'!$B$6,1),0),"")</f>
        <v/>
      </c>
      <c r="AT43" s="2" t="str" cm="1">
        <f t="array" ref="AT43">IF('NILAI CPL'!$B43&lt;&gt;"",IFERROR(_xlfn.IFS(W43&gt;='NILAI CPL'!$B$3,4,W43&gt;='NILAI CPL'!$B$4,3,W43&gt;='NILAI CPL'!$B$5,2,W43&gt;'NILAI CPL'!$B$6,1),0),"")</f>
        <v/>
      </c>
      <c r="AU43" s="2" t="str" cm="1">
        <f t="array" ref="AU43">IF('NILAI CPL'!$B43&lt;&gt;"",IFERROR(_xlfn.IFS(X43&gt;='NILAI CPL'!$B$3,4,X43&gt;='NILAI CPL'!$B$4,3,X43&gt;='NILAI CPL'!$B$5,2,X43&gt;'NILAI CPL'!$B$6,1),0),"")</f>
        <v/>
      </c>
      <c r="AV43" s="2" t="str" cm="1">
        <f t="array" ref="AV43">IF('NILAI CPL'!$B43&lt;&gt;"",IFERROR(_xlfn.IFS(Y43&gt;='NILAI CPL'!$B$3,4,Y43&gt;='NILAI CPL'!$B$4,3,Y43&gt;='NILAI CPL'!$B$5,2,Y43&gt;'NILAI CPL'!$B$6,1),0),"")</f>
        <v/>
      </c>
      <c r="AW43" s="2" t="str" cm="1">
        <f t="array" ref="AW43">IF('NILAI CPL'!$B43&lt;&gt;"",IFERROR(_xlfn.IFS(Z43&gt;='NILAI CPL'!$B$3,4,Z43&gt;='NILAI CPL'!$B$4,3,Z43&gt;='NILAI CPL'!$B$5,2,Z43&gt;'NILAI CPL'!$B$6,1),0),"")</f>
        <v/>
      </c>
      <c r="AX43" s="2" t="str" cm="1">
        <f t="array" ref="AX43">IF('NILAI CPL'!$B43&lt;&gt;"",IFERROR(_xlfn.IFS(AA43&gt;='NILAI CPL'!$B$3,4,AA43&gt;='NILAI CPL'!$B$4,3,AA43&gt;='NILAI CPL'!$B$5,2,AA43&gt;'NILAI CPL'!$B$6,1),0),"")</f>
        <v/>
      </c>
      <c r="AY43" s="2" t="str" cm="1">
        <f t="array" ref="AY43">IF('NILAI CPL'!$B43&lt;&gt;"",IFERROR(_xlfn.IFS(AB43&gt;='NILAI CPL'!$B$3,4,AB43&gt;='NILAI CPL'!$B$4,3,AB43&gt;='NILAI CPL'!$B$5,2,AB43&gt;'NILAI CPL'!$B$6,1),0),"")</f>
        <v/>
      </c>
      <c r="AZ43" s="2" t="str" cm="1">
        <f t="array" ref="AZ43">IF('NILAI CPL'!$B43&lt;&gt;"",IFERROR(_xlfn.IFS(AC43&gt;='NILAI CPL'!$B$3,4,AC43&gt;='NILAI CPL'!$B$4,3,AC43&gt;='NILAI CPL'!$B$5,2,AC43&gt;'NILAI CPL'!$B$6,1),0),"")</f>
        <v/>
      </c>
      <c r="BA43" s="2" t="str" cm="1">
        <f t="array" ref="BA43">IF('NILAI CPL'!$B43&lt;&gt;"",IFERROR(_xlfn.IFS(AD43&gt;='NILAI CPL'!$B$3,4,AD43&gt;='NILAI CPL'!$B$4,3,AD43&gt;='NILAI CPL'!$B$5,2,AD43&gt;'NILAI CPL'!$B$6,1),0),"")</f>
        <v/>
      </c>
      <c r="BB43" s="2" t="str" cm="1">
        <f t="array" ref="BB43">IF('NILAI CPL'!$B43&lt;&gt;"",IFERROR(_xlfn.IFS(AE43&gt;='NILAI CPL'!$B$3,4,AE43&gt;='NILAI CPL'!$B$4,3,AE43&gt;='NILAI CPL'!$B$5,2,AE43&gt;'NILAI CPL'!$B$6,1),0),"")</f>
        <v/>
      </c>
      <c r="BC43" s="2" t="str" cm="1">
        <f t="array" ref="BC43">IF('NILAI CPL'!$B43&lt;&gt;"",IFERROR(_xlfn.IFS(AF43&gt;='NILAI CPL'!$B$3,4,AF43&gt;='NILAI CPL'!$B$4,3,AF43&gt;='NILAI CPL'!$B$5,2,AF43&gt;'NILAI CPL'!$B$6,1),0),"")</f>
        <v/>
      </c>
      <c r="BD43" s="2" t="str" cm="1">
        <f t="array" ref="BD43">IF('NILAI CPL'!$B43&lt;&gt;"",IFERROR(_xlfn.IFS(AG43&gt;='NILAI CPL'!$B$3,4,AG43&gt;='NILAI CPL'!$B$4,3,AG43&gt;='NILAI CPL'!$B$5,2,AG43&gt;'NILAI CPL'!$B$6,1),0),"")</f>
        <v/>
      </c>
      <c r="BE43" s="2" t="str" cm="1">
        <f t="array" ref="BE43">IF('NILAI CPL'!$B43&lt;&gt;"",IFERROR(_xlfn.IFS(AH43&gt;='NILAI CPL'!$B$3,4,AH43&gt;='NILAI CPL'!$B$4,3,AH43&gt;='NILAI CPL'!$B$5,2,AH43&gt;'NILAI CPL'!$B$6,1),0),"")</f>
        <v/>
      </c>
      <c r="BF43" s="2" t="str" cm="1">
        <f t="array" ref="BF43">IF('NILAI CPL'!$B43&lt;&gt;"",IFERROR(_xlfn.IFS(AI43&gt;='NILAI CPL'!$B$3,4,AI43&gt;='NILAI CPL'!$B$4,3,AI43&gt;='NILAI CPL'!$B$5,2,AI43&gt;'NILAI CPL'!$B$6,1),0),"")</f>
        <v/>
      </c>
      <c r="BG43" s="2" t="str" cm="1">
        <f t="array" ref="BG43">IF('NILAI CPL'!$B43&lt;&gt;"",IFERROR(_xlfn.IFS(AJ43&gt;='NILAI CPL'!$B$3,4,AJ43&gt;='NILAI CPL'!$B$4,3,AJ43&gt;='NILAI CPL'!$B$5,2,AJ43&gt;'NILAI CPL'!$B$6,1),0),"")</f>
        <v/>
      </c>
      <c r="BH43" s="2" t="str" cm="1">
        <f t="array" ref="BH43">IF('NILAI CPL'!$B43&lt;&gt;"",IFERROR(_xlfn.IFS(AK43&gt;='NILAI CPL'!$B$3,4,AK43&gt;='NILAI CPL'!$B$4,3,AK43&gt;='NILAI CPL'!$B$5,2,AK43&gt;'NILAI CPL'!$B$6,1),0),"")</f>
        <v/>
      </c>
      <c r="BI43" s="2" t="str" cm="1">
        <f t="array" ref="BI43">IF('NILAI CPL'!$B43&lt;&gt;"",IFERROR(_xlfn.IFS(AL43&gt;='NILAI CPL'!$B$3,4,AL43&gt;='NILAI CPL'!$B$4,3,AL43&gt;='NILAI CPL'!$B$5,2,AL43&gt;'NILAI CPL'!$B$6,1),0),"")</f>
        <v/>
      </c>
      <c r="BJ43" s="2" t="str" cm="1">
        <f t="array" ref="BJ43">IF('NILAI CPL'!$B43&lt;&gt;"",IFERROR(_xlfn.IFS(AM43&gt;='NILAI CPL'!$B$3,4,AM43&gt;='NILAI CPL'!$B$4,3,AM43&gt;='NILAI CPL'!$B$5,2,AM43&gt;'NILAI CPL'!$B$6,1),0),"")</f>
        <v/>
      </c>
      <c r="BK43" s="2" t="str" cm="1">
        <f t="array" ref="BK43">IF('NILAI CPL'!$B43&lt;&gt;"",IFERROR(_xlfn.IFS(AN43&gt;='NILAI CPL'!$B$3,4,AN43&gt;='NILAI CPL'!$B$4,3,AN43&gt;='NILAI CPL'!$B$5,2,AN43&gt;'NILAI CPL'!$B$6,1),0),"")</f>
        <v/>
      </c>
    </row>
    <row r="44" spans="1:63" x14ac:dyDescent="0.2">
      <c r="A44" s="2">
        <v>34</v>
      </c>
      <c r="B44" s="2" t="str">
        <f>IF(LEN(SUMMARY!B44)&gt;0, SUMMARY!B44, "")</f>
        <v/>
      </c>
      <c r="C44" s="2" t="str">
        <f>IF(LEN(SUMMARY!C44)&gt;0, SUMMARY!C44, "")</f>
        <v/>
      </c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" t="str">
        <f t="shared" si="2"/>
        <v/>
      </c>
      <c r="S44" s="2" t="str">
        <f t="shared" si="3"/>
        <v/>
      </c>
      <c r="T44" s="2" t="str">
        <f t="shared" si="4"/>
        <v/>
      </c>
      <c r="U44" s="2" t="str">
        <f t="shared" si="5"/>
        <v/>
      </c>
      <c r="V44" s="2" t="str">
        <f t="shared" si="6"/>
        <v/>
      </c>
      <c r="W44" s="2" t="str">
        <f t="shared" si="7"/>
        <v/>
      </c>
      <c r="X44" s="2" t="str">
        <f t="shared" si="8"/>
        <v/>
      </c>
      <c r="Y44" s="2" t="str">
        <f t="shared" si="9"/>
        <v/>
      </c>
      <c r="Z44" s="2" t="str">
        <f t="shared" si="10"/>
        <v/>
      </c>
      <c r="AA44" s="2" t="str">
        <f t="shared" si="11"/>
        <v/>
      </c>
      <c r="AB44" s="2" t="str">
        <f t="shared" si="12"/>
        <v/>
      </c>
      <c r="AC44" s="2" t="str">
        <f t="shared" si="13"/>
        <v/>
      </c>
      <c r="AD44" s="2" t="str">
        <f t="shared" si="14"/>
        <v/>
      </c>
      <c r="AE44" s="2" t="str">
        <f t="shared" si="15"/>
        <v/>
      </c>
      <c r="AF44" s="2" t="str">
        <f t="shared" si="16"/>
        <v/>
      </c>
      <c r="AG44" s="2" t="str">
        <f t="shared" si="17"/>
        <v/>
      </c>
      <c r="AH44" s="2" t="str">
        <f t="shared" si="18"/>
        <v/>
      </c>
      <c r="AI44" s="2" t="str">
        <f t="shared" si="19"/>
        <v/>
      </c>
      <c r="AJ44" s="2" t="str">
        <f t="shared" si="20"/>
        <v/>
      </c>
      <c r="AK44" s="2" t="str">
        <f t="shared" si="21"/>
        <v/>
      </c>
      <c r="AL44" s="2" t="str">
        <f t="shared" si="22"/>
        <v/>
      </c>
      <c r="AM44" s="2" t="str">
        <f t="shared" si="23"/>
        <v/>
      </c>
      <c r="AN44" s="2" t="str">
        <f t="shared" si="24"/>
        <v/>
      </c>
      <c r="AP44" s="2" t="str" cm="1">
        <f t="array" ref="AP44">IF('NILAI CPL'!$B44&lt;&gt;"",IFERROR(_xlfn.IFS(S44&gt;='NILAI CPL'!$B$3,4,S44&gt;='NILAI CPL'!$B$4,3,S44&gt;='NILAI CPL'!$B$5,2,S44&gt;'NILAI CPL'!$B$6,1),0),"")</f>
        <v/>
      </c>
      <c r="AQ44" s="2" t="str" cm="1">
        <f t="array" ref="AQ44">IF('NILAI CPL'!$B44&lt;&gt;"",IFERROR(_xlfn.IFS(T44&gt;='NILAI CPL'!$B$3,4,T44&gt;='NILAI CPL'!$B$4,3,T44&gt;='NILAI CPL'!$B$5,2,T44&gt;'NILAI CPL'!$B$6,1),0),"")</f>
        <v/>
      </c>
      <c r="AR44" s="2" t="str" cm="1">
        <f t="array" ref="AR44">IF('NILAI CPL'!$B44&lt;&gt;"",IFERROR(_xlfn.IFS(U44&gt;='NILAI CPL'!$B$3,4,U44&gt;='NILAI CPL'!$B$4,3,U44&gt;='NILAI CPL'!$B$5,2,U44&gt;'NILAI CPL'!$B$6,1),0),"")</f>
        <v/>
      </c>
      <c r="AS44" s="2" t="str" cm="1">
        <f t="array" ref="AS44">IF('NILAI CPL'!$B44&lt;&gt;"",IFERROR(_xlfn.IFS(V44&gt;='NILAI CPL'!$B$3,4,V44&gt;='NILAI CPL'!$B$4,3,V44&gt;='NILAI CPL'!$B$5,2,V44&gt;'NILAI CPL'!$B$6,1),0),"")</f>
        <v/>
      </c>
      <c r="AT44" s="2" t="str" cm="1">
        <f t="array" ref="AT44">IF('NILAI CPL'!$B44&lt;&gt;"",IFERROR(_xlfn.IFS(W44&gt;='NILAI CPL'!$B$3,4,W44&gt;='NILAI CPL'!$B$4,3,W44&gt;='NILAI CPL'!$B$5,2,W44&gt;'NILAI CPL'!$B$6,1),0),"")</f>
        <v/>
      </c>
      <c r="AU44" s="2" t="str" cm="1">
        <f t="array" ref="AU44">IF('NILAI CPL'!$B44&lt;&gt;"",IFERROR(_xlfn.IFS(X44&gt;='NILAI CPL'!$B$3,4,X44&gt;='NILAI CPL'!$B$4,3,X44&gt;='NILAI CPL'!$B$5,2,X44&gt;'NILAI CPL'!$B$6,1),0),"")</f>
        <v/>
      </c>
      <c r="AV44" s="2" t="str" cm="1">
        <f t="array" ref="AV44">IF('NILAI CPL'!$B44&lt;&gt;"",IFERROR(_xlfn.IFS(Y44&gt;='NILAI CPL'!$B$3,4,Y44&gt;='NILAI CPL'!$B$4,3,Y44&gt;='NILAI CPL'!$B$5,2,Y44&gt;'NILAI CPL'!$B$6,1),0),"")</f>
        <v/>
      </c>
      <c r="AW44" s="2" t="str" cm="1">
        <f t="array" ref="AW44">IF('NILAI CPL'!$B44&lt;&gt;"",IFERROR(_xlfn.IFS(Z44&gt;='NILAI CPL'!$B$3,4,Z44&gt;='NILAI CPL'!$B$4,3,Z44&gt;='NILAI CPL'!$B$5,2,Z44&gt;'NILAI CPL'!$B$6,1),0),"")</f>
        <v/>
      </c>
      <c r="AX44" s="2" t="str" cm="1">
        <f t="array" ref="AX44">IF('NILAI CPL'!$B44&lt;&gt;"",IFERROR(_xlfn.IFS(AA44&gt;='NILAI CPL'!$B$3,4,AA44&gt;='NILAI CPL'!$B$4,3,AA44&gt;='NILAI CPL'!$B$5,2,AA44&gt;'NILAI CPL'!$B$6,1),0),"")</f>
        <v/>
      </c>
      <c r="AY44" s="2" t="str" cm="1">
        <f t="array" ref="AY44">IF('NILAI CPL'!$B44&lt;&gt;"",IFERROR(_xlfn.IFS(AB44&gt;='NILAI CPL'!$B$3,4,AB44&gt;='NILAI CPL'!$B$4,3,AB44&gt;='NILAI CPL'!$B$5,2,AB44&gt;'NILAI CPL'!$B$6,1),0),"")</f>
        <v/>
      </c>
      <c r="AZ44" s="2" t="str" cm="1">
        <f t="array" ref="AZ44">IF('NILAI CPL'!$B44&lt;&gt;"",IFERROR(_xlfn.IFS(AC44&gt;='NILAI CPL'!$B$3,4,AC44&gt;='NILAI CPL'!$B$4,3,AC44&gt;='NILAI CPL'!$B$5,2,AC44&gt;'NILAI CPL'!$B$6,1),0),"")</f>
        <v/>
      </c>
      <c r="BA44" s="2" t="str" cm="1">
        <f t="array" ref="BA44">IF('NILAI CPL'!$B44&lt;&gt;"",IFERROR(_xlfn.IFS(AD44&gt;='NILAI CPL'!$B$3,4,AD44&gt;='NILAI CPL'!$B$4,3,AD44&gt;='NILAI CPL'!$B$5,2,AD44&gt;'NILAI CPL'!$B$6,1),0),"")</f>
        <v/>
      </c>
      <c r="BB44" s="2" t="str" cm="1">
        <f t="array" ref="BB44">IF('NILAI CPL'!$B44&lt;&gt;"",IFERROR(_xlfn.IFS(AE44&gt;='NILAI CPL'!$B$3,4,AE44&gt;='NILAI CPL'!$B$4,3,AE44&gt;='NILAI CPL'!$B$5,2,AE44&gt;'NILAI CPL'!$B$6,1),0),"")</f>
        <v/>
      </c>
      <c r="BC44" s="2" t="str" cm="1">
        <f t="array" ref="BC44">IF('NILAI CPL'!$B44&lt;&gt;"",IFERROR(_xlfn.IFS(AF44&gt;='NILAI CPL'!$B$3,4,AF44&gt;='NILAI CPL'!$B$4,3,AF44&gt;='NILAI CPL'!$B$5,2,AF44&gt;'NILAI CPL'!$B$6,1),0),"")</f>
        <v/>
      </c>
      <c r="BD44" s="2" t="str" cm="1">
        <f t="array" ref="BD44">IF('NILAI CPL'!$B44&lt;&gt;"",IFERROR(_xlfn.IFS(AG44&gt;='NILAI CPL'!$B$3,4,AG44&gt;='NILAI CPL'!$B$4,3,AG44&gt;='NILAI CPL'!$B$5,2,AG44&gt;'NILAI CPL'!$B$6,1),0),"")</f>
        <v/>
      </c>
      <c r="BE44" s="2" t="str" cm="1">
        <f t="array" ref="BE44">IF('NILAI CPL'!$B44&lt;&gt;"",IFERROR(_xlfn.IFS(AH44&gt;='NILAI CPL'!$B$3,4,AH44&gt;='NILAI CPL'!$B$4,3,AH44&gt;='NILAI CPL'!$B$5,2,AH44&gt;'NILAI CPL'!$B$6,1),0),"")</f>
        <v/>
      </c>
      <c r="BF44" s="2" t="str" cm="1">
        <f t="array" ref="BF44">IF('NILAI CPL'!$B44&lt;&gt;"",IFERROR(_xlfn.IFS(AI44&gt;='NILAI CPL'!$B$3,4,AI44&gt;='NILAI CPL'!$B$4,3,AI44&gt;='NILAI CPL'!$B$5,2,AI44&gt;'NILAI CPL'!$B$6,1),0),"")</f>
        <v/>
      </c>
      <c r="BG44" s="2" t="str" cm="1">
        <f t="array" ref="BG44">IF('NILAI CPL'!$B44&lt;&gt;"",IFERROR(_xlfn.IFS(AJ44&gt;='NILAI CPL'!$B$3,4,AJ44&gt;='NILAI CPL'!$B$4,3,AJ44&gt;='NILAI CPL'!$B$5,2,AJ44&gt;'NILAI CPL'!$B$6,1),0),"")</f>
        <v/>
      </c>
      <c r="BH44" s="2" t="str" cm="1">
        <f t="array" ref="BH44">IF('NILAI CPL'!$B44&lt;&gt;"",IFERROR(_xlfn.IFS(AK44&gt;='NILAI CPL'!$B$3,4,AK44&gt;='NILAI CPL'!$B$4,3,AK44&gt;='NILAI CPL'!$B$5,2,AK44&gt;'NILAI CPL'!$B$6,1),0),"")</f>
        <v/>
      </c>
      <c r="BI44" s="2" t="str" cm="1">
        <f t="array" ref="BI44">IF('NILAI CPL'!$B44&lt;&gt;"",IFERROR(_xlfn.IFS(AL44&gt;='NILAI CPL'!$B$3,4,AL44&gt;='NILAI CPL'!$B$4,3,AL44&gt;='NILAI CPL'!$B$5,2,AL44&gt;'NILAI CPL'!$B$6,1),0),"")</f>
        <v/>
      </c>
      <c r="BJ44" s="2" t="str" cm="1">
        <f t="array" ref="BJ44">IF('NILAI CPL'!$B44&lt;&gt;"",IFERROR(_xlfn.IFS(AM44&gt;='NILAI CPL'!$B$3,4,AM44&gt;='NILAI CPL'!$B$4,3,AM44&gt;='NILAI CPL'!$B$5,2,AM44&gt;'NILAI CPL'!$B$6,1),0),"")</f>
        <v/>
      </c>
      <c r="BK44" s="2" t="str" cm="1">
        <f t="array" ref="BK44">IF('NILAI CPL'!$B44&lt;&gt;"",IFERROR(_xlfn.IFS(AN44&gt;='NILAI CPL'!$B$3,4,AN44&gt;='NILAI CPL'!$B$4,3,AN44&gt;='NILAI CPL'!$B$5,2,AN44&gt;'NILAI CPL'!$B$6,1),0),"")</f>
        <v/>
      </c>
    </row>
    <row r="45" spans="1:63" x14ac:dyDescent="0.2">
      <c r="A45" s="2">
        <v>35</v>
      </c>
      <c r="B45" s="2" t="str">
        <f>IF(LEN(SUMMARY!B45)&gt;0, SUMMARY!B45, "")</f>
        <v/>
      </c>
      <c r="C45" s="2" t="str">
        <f>IF(LEN(SUMMARY!C45)&gt;0, SUMMARY!C45, "")</f>
        <v/>
      </c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" t="str">
        <f t="shared" si="2"/>
        <v/>
      </c>
      <c r="S45" s="2" t="str">
        <f t="shared" si="3"/>
        <v/>
      </c>
      <c r="T45" s="2" t="str">
        <f t="shared" si="4"/>
        <v/>
      </c>
      <c r="U45" s="2" t="str">
        <f t="shared" si="5"/>
        <v/>
      </c>
      <c r="V45" s="2" t="str">
        <f t="shared" si="6"/>
        <v/>
      </c>
      <c r="W45" s="2" t="str">
        <f t="shared" si="7"/>
        <v/>
      </c>
      <c r="X45" s="2" t="str">
        <f t="shared" si="8"/>
        <v/>
      </c>
      <c r="Y45" s="2" t="str">
        <f t="shared" si="9"/>
        <v/>
      </c>
      <c r="Z45" s="2" t="str">
        <f t="shared" si="10"/>
        <v/>
      </c>
      <c r="AA45" s="2" t="str">
        <f t="shared" si="11"/>
        <v/>
      </c>
      <c r="AB45" s="2" t="str">
        <f t="shared" si="12"/>
        <v/>
      </c>
      <c r="AC45" s="2" t="str">
        <f t="shared" si="13"/>
        <v/>
      </c>
      <c r="AD45" s="2" t="str">
        <f t="shared" si="14"/>
        <v/>
      </c>
      <c r="AE45" s="2" t="str">
        <f t="shared" si="15"/>
        <v/>
      </c>
      <c r="AF45" s="2" t="str">
        <f t="shared" si="16"/>
        <v/>
      </c>
      <c r="AG45" s="2" t="str">
        <f t="shared" si="17"/>
        <v/>
      </c>
      <c r="AH45" s="2" t="str">
        <f t="shared" si="18"/>
        <v/>
      </c>
      <c r="AI45" s="2" t="str">
        <f t="shared" si="19"/>
        <v/>
      </c>
      <c r="AJ45" s="2" t="str">
        <f t="shared" si="20"/>
        <v/>
      </c>
      <c r="AK45" s="2" t="str">
        <f t="shared" si="21"/>
        <v/>
      </c>
      <c r="AL45" s="2" t="str">
        <f t="shared" si="22"/>
        <v/>
      </c>
      <c r="AM45" s="2" t="str">
        <f t="shared" si="23"/>
        <v/>
      </c>
      <c r="AN45" s="2" t="str">
        <f t="shared" si="24"/>
        <v/>
      </c>
      <c r="AP45" s="2" t="str" cm="1">
        <f t="array" ref="AP45">IF('NILAI CPL'!$B45&lt;&gt;"",IFERROR(_xlfn.IFS(S45&gt;='NILAI CPL'!$B$3,4,S45&gt;='NILAI CPL'!$B$4,3,S45&gt;='NILAI CPL'!$B$5,2,S45&gt;'NILAI CPL'!$B$6,1),0),"")</f>
        <v/>
      </c>
      <c r="AQ45" s="2" t="str" cm="1">
        <f t="array" ref="AQ45">IF('NILAI CPL'!$B45&lt;&gt;"",IFERROR(_xlfn.IFS(T45&gt;='NILAI CPL'!$B$3,4,T45&gt;='NILAI CPL'!$B$4,3,T45&gt;='NILAI CPL'!$B$5,2,T45&gt;'NILAI CPL'!$B$6,1),0),"")</f>
        <v/>
      </c>
      <c r="AR45" s="2" t="str" cm="1">
        <f t="array" ref="AR45">IF('NILAI CPL'!$B45&lt;&gt;"",IFERROR(_xlfn.IFS(U45&gt;='NILAI CPL'!$B$3,4,U45&gt;='NILAI CPL'!$B$4,3,U45&gt;='NILAI CPL'!$B$5,2,U45&gt;'NILAI CPL'!$B$6,1),0),"")</f>
        <v/>
      </c>
      <c r="AS45" s="2" t="str" cm="1">
        <f t="array" ref="AS45">IF('NILAI CPL'!$B45&lt;&gt;"",IFERROR(_xlfn.IFS(V45&gt;='NILAI CPL'!$B$3,4,V45&gt;='NILAI CPL'!$B$4,3,V45&gt;='NILAI CPL'!$B$5,2,V45&gt;'NILAI CPL'!$B$6,1),0),"")</f>
        <v/>
      </c>
      <c r="AT45" s="2" t="str" cm="1">
        <f t="array" ref="AT45">IF('NILAI CPL'!$B45&lt;&gt;"",IFERROR(_xlfn.IFS(W45&gt;='NILAI CPL'!$B$3,4,W45&gt;='NILAI CPL'!$B$4,3,W45&gt;='NILAI CPL'!$B$5,2,W45&gt;'NILAI CPL'!$B$6,1),0),"")</f>
        <v/>
      </c>
      <c r="AU45" s="2" t="str" cm="1">
        <f t="array" ref="AU45">IF('NILAI CPL'!$B45&lt;&gt;"",IFERROR(_xlfn.IFS(X45&gt;='NILAI CPL'!$B$3,4,X45&gt;='NILAI CPL'!$B$4,3,X45&gt;='NILAI CPL'!$B$5,2,X45&gt;'NILAI CPL'!$B$6,1),0),"")</f>
        <v/>
      </c>
      <c r="AV45" s="2" t="str" cm="1">
        <f t="array" ref="AV45">IF('NILAI CPL'!$B45&lt;&gt;"",IFERROR(_xlfn.IFS(Y45&gt;='NILAI CPL'!$B$3,4,Y45&gt;='NILAI CPL'!$B$4,3,Y45&gt;='NILAI CPL'!$B$5,2,Y45&gt;'NILAI CPL'!$B$6,1),0),"")</f>
        <v/>
      </c>
      <c r="AW45" s="2" t="str" cm="1">
        <f t="array" ref="AW45">IF('NILAI CPL'!$B45&lt;&gt;"",IFERROR(_xlfn.IFS(Z45&gt;='NILAI CPL'!$B$3,4,Z45&gt;='NILAI CPL'!$B$4,3,Z45&gt;='NILAI CPL'!$B$5,2,Z45&gt;'NILAI CPL'!$B$6,1),0),"")</f>
        <v/>
      </c>
      <c r="AX45" s="2" t="str" cm="1">
        <f t="array" ref="AX45">IF('NILAI CPL'!$B45&lt;&gt;"",IFERROR(_xlfn.IFS(AA45&gt;='NILAI CPL'!$B$3,4,AA45&gt;='NILAI CPL'!$B$4,3,AA45&gt;='NILAI CPL'!$B$5,2,AA45&gt;'NILAI CPL'!$B$6,1),0),"")</f>
        <v/>
      </c>
      <c r="AY45" s="2" t="str" cm="1">
        <f t="array" ref="AY45">IF('NILAI CPL'!$B45&lt;&gt;"",IFERROR(_xlfn.IFS(AB45&gt;='NILAI CPL'!$B$3,4,AB45&gt;='NILAI CPL'!$B$4,3,AB45&gt;='NILAI CPL'!$B$5,2,AB45&gt;'NILAI CPL'!$B$6,1),0),"")</f>
        <v/>
      </c>
      <c r="AZ45" s="2" t="str" cm="1">
        <f t="array" ref="AZ45">IF('NILAI CPL'!$B45&lt;&gt;"",IFERROR(_xlfn.IFS(AC45&gt;='NILAI CPL'!$B$3,4,AC45&gt;='NILAI CPL'!$B$4,3,AC45&gt;='NILAI CPL'!$B$5,2,AC45&gt;'NILAI CPL'!$B$6,1),0),"")</f>
        <v/>
      </c>
      <c r="BA45" s="2" t="str" cm="1">
        <f t="array" ref="BA45">IF('NILAI CPL'!$B45&lt;&gt;"",IFERROR(_xlfn.IFS(AD45&gt;='NILAI CPL'!$B$3,4,AD45&gt;='NILAI CPL'!$B$4,3,AD45&gt;='NILAI CPL'!$B$5,2,AD45&gt;'NILAI CPL'!$B$6,1),0),"")</f>
        <v/>
      </c>
      <c r="BB45" s="2" t="str" cm="1">
        <f t="array" ref="BB45">IF('NILAI CPL'!$B45&lt;&gt;"",IFERROR(_xlfn.IFS(AE45&gt;='NILAI CPL'!$B$3,4,AE45&gt;='NILAI CPL'!$B$4,3,AE45&gt;='NILAI CPL'!$B$5,2,AE45&gt;'NILAI CPL'!$B$6,1),0),"")</f>
        <v/>
      </c>
      <c r="BC45" s="2" t="str" cm="1">
        <f t="array" ref="BC45">IF('NILAI CPL'!$B45&lt;&gt;"",IFERROR(_xlfn.IFS(AF45&gt;='NILAI CPL'!$B$3,4,AF45&gt;='NILAI CPL'!$B$4,3,AF45&gt;='NILAI CPL'!$B$5,2,AF45&gt;'NILAI CPL'!$B$6,1),0),"")</f>
        <v/>
      </c>
      <c r="BD45" s="2" t="str" cm="1">
        <f t="array" ref="BD45">IF('NILAI CPL'!$B45&lt;&gt;"",IFERROR(_xlfn.IFS(AG45&gt;='NILAI CPL'!$B$3,4,AG45&gt;='NILAI CPL'!$B$4,3,AG45&gt;='NILAI CPL'!$B$5,2,AG45&gt;'NILAI CPL'!$B$6,1),0),"")</f>
        <v/>
      </c>
      <c r="BE45" s="2" t="str" cm="1">
        <f t="array" ref="BE45">IF('NILAI CPL'!$B45&lt;&gt;"",IFERROR(_xlfn.IFS(AH45&gt;='NILAI CPL'!$B$3,4,AH45&gt;='NILAI CPL'!$B$4,3,AH45&gt;='NILAI CPL'!$B$5,2,AH45&gt;'NILAI CPL'!$B$6,1),0),"")</f>
        <v/>
      </c>
      <c r="BF45" s="2" t="str" cm="1">
        <f t="array" ref="BF45">IF('NILAI CPL'!$B45&lt;&gt;"",IFERROR(_xlfn.IFS(AI45&gt;='NILAI CPL'!$B$3,4,AI45&gt;='NILAI CPL'!$B$4,3,AI45&gt;='NILAI CPL'!$B$5,2,AI45&gt;'NILAI CPL'!$B$6,1),0),"")</f>
        <v/>
      </c>
      <c r="BG45" s="2" t="str" cm="1">
        <f t="array" ref="BG45">IF('NILAI CPL'!$B45&lt;&gt;"",IFERROR(_xlfn.IFS(AJ45&gt;='NILAI CPL'!$B$3,4,AJ45&gt;='NILAI CPL'!$B$4,3,AJ45&gt;='NILAI CPL'!$B$5,2,AJ45&gt;'NILAI CPL'!$B$6,1),0),"")</f>
        <v/>
      </c>
      <c r="BH45" s="2" t="str" cm="1">
        <f t="array" ref="BH45">IF('NILAI CPL'!$B45&lt;&gt;"",IFERROR(_xlfn.IFS(AK45&gt;='NILAI CPL'!$B$3,4,AK45&gt;='NILAI CPL'!$B$4,3,AK45&gt;='NILAI CPL'!$B$5,2,AK45&gt;'NILAI CPL'!$B$6,1),0),"")</f>
        <v/>
      </c>
      <c r="BI45" s="2" t="str" cm="1">
        <f t="array" ref="BI45">IF('NILAI CPL'!$B45&lt;&gt;"",IFERROR(_xlfn.IFS(AL45&gt;='NILAI CPL'!$B$3,4,AL45&gt;='NILAI CPL'!$B$4,3,AL45&gt;='NILAI CPL'!$B$5,2,AL45&gt;'NILAI CPL'!$B$6,1),0),"")</f>
        <v/>
      </c>
      <c r="BJ45" s="2" t="str" cm="1">
        <f t="array" ref="BJ45">IF('NILAI CPL'!$B45&lt;&gt;"",IFERROR(_xlfn.IFS(AM45&gt;='NILAI CPL'!$B$3,4,AM45&gt;='NILAI CPL'!$B$4,3,AM45&gt;='NILAI CPL'!$B$5,2,AM45&gt;'NILAI CPL'!$B$6,1),0),"")</f>
        <v/>
      </c>
      <c r="BK45" s="2" t="str" cm="1">
        <f t="array" ref="BK45">IF('NILAI CPL'!$B45&lt;&gt;"",IFERROR(_xlfn.IFS(AN45&gt;='NILAI CPL'!$B$3,4,AN45&gt;='NILAI CPL'!$B$4,3,AN45&gt;='NILAI CPL'!$B$5,2,AN45&gt;'NILAI CPL'!$B$6,1),0),"")</f>
        <v/>
      </c>
    </row>
    <row r="46" spans="1:63" x14ac:dyDescent="0.2">
      <c r="A46" s="2">
        <v>36</v>
      </c>
      <c r="B46" s="2" t="str">
        <f>IF(LEN(SUMMARY!B46)&gt;0, SUMMARY!B46, "")</f>
        <v/>
      </c>
      <c r="C46" s="2" t="str">
        <f>IF(LEN(SUMMARY!C46)&gt;0, SUMMARY!C46, "")</f>
        <v/>
      </c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" t="str">
        <f t="shared" si="2"/>
        <v/>
      </c>
      <c r="S46" s="2" t="str">
        <f t="shared" si="3"/>
        <v/>
      </c>
      <c r="T46" s="2" t="str">
        <f t="shared" si="4"/>
        <v/>
      </c>
      <c r="U46" s="2" t="str">
        <f t="shared" si="5"/>
        <v/>
      </c>
      <c r="V46" s="2" t="str">
        <f t="shared" si="6"/>
        <v/>
      </c>
      <c r="W46" s="2" t="str">
        <f t="shared" si="7"/>
        <v/>
      </c>
      <c r="X46" s="2" t="str">
        <f t="shared" si="8"/>
        <v/>
      </c>
      <c r="Y46" s="2" t="str">
        <f t="shared" si="9"/>
        <v/>
      </c>
      <c r="Z46" s="2" t="str">
        <f t="shared" si="10"/>
        <v/>
      </c>
      <c r="AA46" s="2" t="str">
        <f t="shared" si="11"/>
        <v/>
      </c>
      <c r="AB46" s="2" t="str">
        <f t="shared" si="12"/>
        <v/>
      </c>
      <c r="AC46" s="2" t="str">
        <f t="shared" si="13"/>
        <v/>
      </c>
      <c r="AD46" s="2" t="str">
        <f t="shared" si="14"/>
        <v/>
      </c>
      <c r="AE46" s="2" t="str">
        <f t="shared" si="15"/>
        <v/>
      </c>
      <c r="AF46" s="2" t="str">
        <f t="shared" si="16"/>
        <v/>
      </c>
      <c r="AG46" s="2" t="str">
        <f t="shared" si="17"/>
        <v/>
      </c>
      <c r="AH46" s="2" t="str">
        <f t="shared" si="18"/>
        <v/>
      </c>
      <c r="AI46" s="2" t="str">
        <f t="shared" si="19"/>
        <v/>
      </c>
      <c r="AJ46" s="2" t="str">
        <f t="shared" si="20"/>
        <v/>
      </c>
      <c r="AK46" s="2" t="str">
        <f t="shared" si="21"/>
        <v/>
      </c>
      <c r="AL46" s="2" t="str">
        <f t="shared" si="22"/>
        <v/>
      </c>
      <c r="AM46" s="2" t="str">
        <f t="shared" si="23"/>
        <v/>
      </c>
      <c r="AN46" s="2" t="str">
        <f t="shared" si="24"/>
        <v/>
      </c>
      <c r="AP46" s="2" t="str" cm="1">
        <f t="array" ref="AP46">IF('NILAI CPL'!$B46&lt;&gt;"",IFERROR(_xlfn.IFS(S46&gt;='NILAI CPL'!$B$3,4,S46&gt;='NILAI CPL'!$B$4,3,S46&gt;='NILAI CPL'!$B$5,2,S46&gt;'NILAI CPL'!$B$6,1),0),"")</f>
        <v/>
      </c>
      <c r="AQ46" s="2" t="str" cm="1">
        <f t="array" ref="AQ46">IF('NILAI CPL'!$B46&lt;&gt;"",IFERROR(_xlfn.IFS(T46&gt;='NILAI CPL'!$B$3,4,T46&gt;='NILAI CPL'!$B$4,3,T46&gt;='NILAI CPL'!$B$5,2,T46&gt;'NILAI CPL'!$B$6,1),0),"")</f>
        <v/>
      </c>
      <c r="AR46" s="2" t="str" cm="1">
        <f t="array" ref="AR46">IF('NILAI CPL'!$B46&lt;&gt;"",IFERROR(_xlfn.IFS(U46&gt;='NILAI CPL'!$B$3,4,U46&gt;='NILAI CPL'!$B$4,3,U46&gt;='NILAI CPL'!$B$5,2,U46&gt;'NILAI CPL'!$B$6,1),0),"")</f>
        <v/>
      </c>
      <c r="AS46" s="2" t="str" cm="1">
        <f t="array" ref="AS46">IF('NILAI CPL'!$B46&lt;&gt;"",IFERROR(_xlfn.IFS(V46&gt;='NILAI CPL'!$B$3,4,V46&gt;='NILAI CPL'!$B$4,3,V46&gt;='NILAI CPL'!$B$5,2,V46&gt;'NILAI CPL'!$B$6,1),0),"")</f>
        <v/>
      </c>
      <c r="AT46" s="2" t="str" cm="1">
        <f t="array" ref="AT46">IF('NILAI CPL'!$B46&lt;&gt;"",IFERROR(_xlfn.IFS(W46&gt;='NILAI CPL'!$B$3,4,W46&gt;='NILAI CPL'!$B$4,3,W46&gt;='NILAI CPL'!$B$5,2,W46&gt;'NILAI CPL'!$B$6,1),0),"")</f>
        <v/>
      </c>
      <c r="AU46" s="2" t="str" cm="1">
        <f t="array" ref="AU46">IF('NILAI CPL'!$B46&lt;&gt;"",IFERROR(_xlfn.IFS(X46&gt;='NILAI CPL'!$B$3,4,X46&gt;='NILAI CPL'!$B$4,3,X46&gt;='NILAI CPL'!$B$5,2,X46&gt;'NILAI CPL'!$B$6,1),0),"")</f>
        <v/>
      </c>
      <c r="AV46" s="2" t="str" cm="1">
        <f t="array" ref="AV46">IF('NILAI CPL'!$B46&lt;&gt;"",IFERROR(_xlfn.IFS(Y46&gt;='NILAI CPL'!$B$3,4,Y46&gt;='NILAI CPL'!$B$4,3,Y46&gt;='NILAI CPL'!$B$5,2,Y46&gt;'NILAI CPL'!$B$6,1),0),"")</f>
        <v/>
      </c>
      <c r="AW46" s="2" t="str" cm="1">
        <f t="array" ref="AW46">IF('NILAI CPL'!$B46&lt;&gt;"",IFERROR(_xlfn.IFS(Z46&gt;='NILAI CPL'!$B$3,4,Z46&gt;='NILAI CPL'!$B$4,3,Z46&gt;='NILAI CPL'!$B$5,2,Z46&gt;'NILAI CPL'!$B$6,1),0),"")</f>
        <v/>
      </c>
      <c r="AX46" s="2" t="str" cm="1">
        <f t="array" ref="AX46">IF('NILAI CPL'!$B46&lt;&gt;"",IFERROR(_xlfn.IFS(AA46&gt;='NILAI CPL'!$B$3,4,AA46&gt;='NILAI CPL'!$B$4,3,AA46&gt;='NILAI CPL'!$B$5,2,AA46&gt;'NILAI CPL'!$B$6,1),0),"")</f>
        <v/>
      </c>
      <c r="AY46" s="2" t="str" cm="1">
        <f t="array" ref="AY46">IF('NILAI CPL'!$B46&lt;&gt;"",IFERROR(_xlfn.IFS(AB46&gt;='NILAI CPL'!$B$3,4,AB46&gt;='NILAI CPL'!$B$4,3,AB46&gt;='NILAI CPL'!$B$5,2,AB46&gt;'NILAI CPL'!$B$6,1),0),"")</f>
        <v/>
      </c>
      <c r="AZ46" s="2" t="str" cm="1">
        <f t="array" ref="AZ46">IF('NILAI CPL'!$B46&lt;&gt;"",IFERROR(_xlfn.IFS(AC46&gt;='NILAI CPL'!$B$3,4,AC46&gt;='NILAI CPL'!$B$4,3,AC46&gt;='NILAI CPL'!$B$5,2,AC46&gt;'NILAI CPL'!$B$6,1),0),"")</f>
        <v/>
      </c>
      <c r="BA46" s="2" t="str" cm="1">
        <f t="array" ref="BA46">IF('NILAI CPL'!$B46&lt;&gt;"",IFERROR(_xlfn.IFS(AD46&gt;='NILAI CPL'!$B$3,4,AD46&gt;='NILAI CPL'!$B$4,3,AD46&gt;='NILAI CPL'!$B$5,2,AD46&gt;'NILAI CPL'!$B$6,1),0),"")</f>
        <v/>
      </c>
      <c r="BB46" s="2" t="str" cm="1">
        <f t="array" ref="BB46">IF('NILAI CPL'!$B46&lt;&gt;"",IFERROR(_xlfn.IFS(AE46&gt;='NILAI CPL'!$B$3,4,AE46&gt;='NILAI CPL'!$B$4,3,AE46&gt;='NILAI CPL'!$B$5,2,AE46&gt;'NILAI CPL'!$B$6,1),0),"")</f>
        <v/>
      </c>
      <c r="BC46" s="2" t="str" cm="1">
        <f t="array" ref="BC46">IF('NILAI CPL'!$B46&lt;&gt;"",IFERROR(_xlfn.IFS(AF46&gt;='NILAI CPL'!$B$3,4,AF46&gt;='NILAI CPL'!$B$4,3,AF46&gt;='NILAI CPL'!$B$5,2,AF46&gt;'NILAI CPL'!$B$6,1),0),"")</f>
        <v/>
      </c>
      <c r="BD46" s="2" t="str" cm="1">
        <f t="array" ref="BD46">IF('NILAI CPL'!$B46&lt;&gt;"",IFERROR(_xlfn.IFS(AG46&gt;='NILAI CPL'!$B$3,4,AG46&gt;='NILAI CPL'!$B$4,3,AG46&gt;='NILAI CPL'!$B$5,2,AG46&gt;'NILAI CPL'!$B$6,1),0),"")</f>
        <v/>
      </c>
      <c r="BE46" s="2" t="str" cm="1">
        <f t="array" ref="BE46">IF('NILAI CPL'!$B46&lt;&gt;"",IFERROR(_xlfn.IFS(AH46&gt;='NILAI CPL'!$B$3,4,AH46&gt;='NILAI CPL'!$B$4,3,AH46&gt;='NILAI CPL'!$B$5,2,AH46&gt;'NILAI CPL'!$B$6,1),0),"")</f>
        <v/>
      </c>
      <c r="BF46" s="2" t="str" cm="1">
        <f t="array" ref="BF46">IF('NILAI CPL'!$B46&lt;&gt;"",IFERROR(_xlfn.IFS(AI46&gt;='NILAI CPL'!$B$3,4,AI46&gt;='NILAI CPL'!$B$4,3,AI46&gt;='NILAI CPL'!$B$5,2,AI46&gt;'NILAI CPL'!$B$6,1),0),"")</f>
        <v/>
      </c>
      <c r="BG46" s="2" t="str" cm="1">
        <f t="array" ref="BG46">IF('NILAI CPL'!$B46&lt;&gt;"",IFERROR(_xlfn.IFS(AJ46&gt;='NILAI CPL'!$B$3,4,AJ46&gt;='NILAI CPL'!$B$4,3,AJ46&gt;='NILAI CPL'!$B$5,2,AJ46&gt;'NILAI CPL'!$B$6,1),0),"")</f>
        <v/>
      </c>
      <c r="BH46" s="2" t="str" cm="1">
        <f t="array" ref="BH46">IF('NILAI CPL'!$B46&lt;&gt;"",IFERROR(_xlfn.IFS(AK46&gt;='NILAI CPL'!$B$3,4,AK46&gt;='NILAI CPL'!$B$4,3,AK46&gt;='NILAI CPL'!$B$5,2,AK46&gt;'NILAI CPL'!$B$6,1),0),"")</f>
        <v/>
      </c>
      <c r="BI46" s="2" t="str" cm="1">
        <f t="array" ref="BI46">IF('NILAI CPL'!$B46&lt;&gt;"",IFERROR(_xlfn.IFS(AL46&gt;='NILAI CPL'!$B$3,4,AL46&gt;='NILAI CPL'!$B$4,3,AL46&gt;='NILAI CPL'!$B$5,2,AL46&gt;'NILAI CPL'!$B$6,1),0),"")</f>
        <v/>
      </c>
      <c r="BJ46" s="2" t="str" cm="1">
        <f t="array" ref="BJ46">IF('NILAI CPL'!$B46&lt;&gt;"",IFERROR(_xlfn.IFS(AM46&gt;='NILAI CPL'!$B$3,4,AM46&gt;='NILAI CPL'!$B$4,3,AM46&gt;='NILAI CPL'!$B$5,2,AM46&gt;'NILAI CPL'!$B$6,1),0),"")</f>
        <v/>
      </c>
      <c r="BK46" s="2" t="str" cm="1">
        <f t="array" ref="BK46">IF('NILAI CPL'!$B46&lt;&gt;"",IFERROR(_xlfn.IFS(AN46&gt;='NILAI CPL'!$B$3,4,AN46&gt;='NILAI CPL'!$B$4,3,AN46&gt;='NILAI CPL'!$B$5,2,AN46&gt;'NILAI CPL'!$B$6,1),0),"")</f>
        <v/>
      </c>
    </row>
    <row r="47" spans="1:63" x14ac:dyDescent="0.2">
      <c r="A47" s="2">
        <v>37</v>
      </c>
      <c r="B47" s="2" t="str">
        <f>IF(LEN(SUMMARY!B47)&gt;0, SUMMARY!B47, "")</f>
        <v/>
      </c>
      <c r="C47" s="2" t="str">
        <f>IF(LEN(SUMMARY!C47)&gt;0, SUMMARY!C47, "")</f>
        <v/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" t="str">
        <f t="shared" si="2"/>
        <v/>
      </c>
      <c r="S47" s="2" t="str">
        <f t="shared" si="3"/>
        <v/>
      </c>
      <c r="T47" s="2" t="str">
        <f t="shared" si="4"/>
        <v/>
      </c>
      <c r="U47" s="2" t="str">
        <f t="shared" si="5"/>
        <v/>
      </c>
      <c r="V47" s="2" t="str">
        <f t="shared" si="6"/>
        <v/>
      </c>
      <c r="W47" s="2" t="str">
        <f t="shared" si="7"/>
        <v/>
      </c>
      <c r="X47" s="2" t="str">
        <f t="shared" si="8"/>
        <v/>
      </c>
      <c r="Y47" s="2" t="str">
        <f t="shared" si="9"/>
        <v/>
      </c>
      <c r="Z47" s="2" t="str">
        <f t="shared" si="10"/>
        <v/>
      </c>
      <c r="AA47" s="2" t="str">
        <f t="shared" si="11"/>
        <v/>
      </c>
      <c r="AB47" s="2" t="str">
        <f t="shared" si="12"/>
        <v/>
      </c>
      <c r="AC47" s="2" t="str">
        <f t="shared" si="13"/>
        <v/>
      </c>
      <c r="AD47" s="2" t="str">
        <f t="shared" si="14"/>
        <v/>
      </c>
      <c r="AE47" s="2" t="str">
        <f t="shared" si="15"/>
        <v/>
      </c>
      <c r="AF47" s="2" t="str">
        <f t="shared" si="16"/>
        <v/>
      </c>
      <c r="AG47" s="2" t="str">
        <f t="shared" si="17"/>
        <v/>
      </c>
      <c r="AH47" s="2" t="str">
        <f t="shared" si="18"/>
        <v/>
      </c>
      <c r="AI47" s="2" t="str">
        <f t="shared" si="19"/>
        <v/>
      </c>
      <c r="AJ47" s="2" t="str">
        <f t="shared" si="20"/>
        <v/>
      </c>
      <c r="AK47" s="2" t="str">
        <f t="shared" si="21"/>
        <v/>
      </c>
      <c r="AL47" s="2" t="str">
        <f t="shared" si="22"/>
        <v/>
      </c>
      <c r="AM47" s="2" t="str">
        <f t="shared" si="23"/>
        <v/>
      </c>
      <c r="AN47" s="2" t="str">
        <f t="shared" si="24"/>
        <v/>
      </c>
      <c r="AP47" s="2" t="str" cm="1">
        <f t="array" ref="AP47">IF('NILAI CPL'!$B47&lt;&gt;"",IFERROR(_xlfn.IFS(S47&gt;='NILAI CPL'!$B$3,4,S47&gt;='NILAI CPL'!$B$4,3,S47&gt;='NILAI CPL'!$B$5,2,S47&gt;'NILAI CPL'!$B$6,1),0),"")</f>
        <v/>
      </c>
      <c r="AQ47" s="2" t="str" cm="1">
        <f t="array" ref="AQ47">IF('NILAI CPL'!$B47&lt;&gt;"",IFERROR(_xlfn.IFS(T47&gt;='NILAI CPL'!$B$3,4,T47&gt;='NILAI CPL'!$B$4,3,T47&gt;='NILAI CPL'!$B$5,2,T47&gt;'NILAI CPL'!$B$6,1),0),"")</f>
        <v/>
      </c>
      <c r="AR47" s="2" t="str" cm="1">
        <f t="array" ref="AR47">IF('NILAI CPL'!$B47&lt;&gt;"",IFERROR(_xlfn.IFS(U47&gt;='NILAI CPL'!$B$3,4,U47&gt;='NILAI CPL'!$B$4,3,U47&gt;='NILAI CPL'!$B$5,2,U47&gt;'NILAI CPL'!$B$6,1),0),"")</f>
        <v/>
      </c>
      <c r="AS47" s="2" t="str" cm="1">
        <f t="array" ref="AS47">IF('NILAI CPL'!$B47&lt;&gt;"",IFERROR(_xlfn.IFS(V47&gt;='NILAI CPL'!$B$3,4,V47&gt;='NILAI CPL'!$B$4,3,V47&gt;='NILAI CPL'!$B$5,2,V47&gt;'NILAI CPL'!$B$6,1),0),"")</f>
        <v/>
      </c>
      <c r="AT47" s="2" t="str" cm="1">
        <f t="array" ref="AT47">IF('NILAI CPL'!$B47&lt;&gt;"",IFERROR(_xlfn.IFS(W47&gt;='NILAI CPL'!$B$3,4,W47&gt;='NILAI CPL'!$B$4,3,W47&gt;='NILAI CPL'!$B$5,2,W47&gt;'NILAI CPL'!$B$6,1),0),"")</f>
        <v/>
      </c>
      <c r="AU47" s="2" t="str" cm="1">
        <f t="array" ref="AU47">IF('NILAI CPL'!$B47&lt;&gt;"",IFERROR(_xlfn.IFS(X47&gt;='NILAI CPL'!$B$3,4,X47&gt;='NILAI CPL'!$B$4,3,X47&gt;='NILAI CPL'!$B$5,2,X47&gt;'NILAI CPL'!$B$6,1),0),"")</f>
        <v/>
      </c>
      <c r="AV47" s="2" t="str" cm="1">
        <f t="array" ref="AV47">IF('NILAI CPL'!$B47&lt;&gt;"",IFERROR(_xlfn.IFS(Y47&gt;='NILAI CPL'!$B$3,4,Y47&gt;='NILAI CPL'!$B$4,3,Y47&gt;='NILAI CPL'!$B$5,2,Y47&gt;'NILAI CPL'!$B$6,1),0),"")</f>
        <v/>
      </c>
      <c r="AW47" s="2" t="str" cm="1">
        <f t="array" ref="AW47">IF('NILAI CPL'!$B47&lt;&gt;"",IFERROR(_xlfn.IFS(Z47&gt;='NILAI CPL'!$B$3,4,Z47&gt;='NILAI CPL'!$B$4,3,Z47&gt;='NILAI CPL'!$B$5,2,Z47&gt;'NILAI CPL'!$B$6,1),0),"")</f>
        <v/>
      </c>
      <c r="AX47" s="2" t="str" cm="1">
        <f t="array" ref="AX47">IF('NILAI CPL'!$B47&lt;&gt;"",IFERROR(_xlfn.IFS(AA47&gt;='NILAI CPL'!$B$3,4,AA47&gt;='NILAI CPL'!$B$4,3,AA47&gt;='NILAI CPL'!$B$5,2,AA47&gt;'NILAI CPL'!$B$6,1),0),"")</f>
        <v/>
      </c>
      <c r="AY47" s="2" t="str" cm="1">
        <f t="array" ref="AY47">IF('NILAI CPL'!$B47&lt;&gt;"",IFERROR(_xlfn.IFS(AB47&gt;='NILAI CPL'!$B$3,4,AB47&gt;='NILAI CPL'!$B$4,3,AB47&gt;='NILAI CPL'!$B$5,2,AB47&gt;'NILAI CPL'!$B$6,1),0),"")</f>
        <v/>
      </c>
      <c r="AZ47" s="2" t="str" cm="1">
        <f t="array" ref="AZ47">IF('NILAI CPL'!$B47&lt;&gt;"",IFERROR(_xlfn.IFS(AC47&gt;='NILAI CPL'!$B$3,4,AC47&gt;='NILAI CPL'!$B$4,3,AC47&gt;='NILAI CPL'!$B$5,2,AC47&gt;'NILAI CPL'!$B$6,1),0),"")</f>
        <v/>
      </c>
      <c r="BA47" s="2" t="str" cm="1">
        <f t="array" ref="BA47">IF('NILAI CPL'!$B47&lt;&gt;"",IFERROR(_xlfn.IFS(AD47&gt;='NILAI CPL'!$B$3,4,AD47&gt;='NILAI CPL'!$B$4,3,AD47&gt;='NILAI CPL'!$B$5,2,AD47&gt;'NILAI CPL'!$B$6,1),0),"")</f>
        <v/>
      </c>
      <c r="BB47" s="2" t="str" cm="1">
        <f t="array" ref="BB47">IF('NILAI CPL'!$B47&lt;&gt;"",IFERROR(_xlfn.IFS(AE47&gt;='NILAI CPL'!$B$3,4,AE47&gt;='NILAI CPL'!$B$4,3,AE47&gt;='NILAI CPL'!$B$5,2,AE47&gt;'NILAI CPL'!$B$6,1),0),"")</f>
        <v/>
      </c>
      <c r="BC47" s="2" t="str" cm="1">
        <f t="array" ref="BC47">IF('NILAI CPL'!$B47&lt;&gt;"",IFERROR(_xlfn.IFS(AF47&gt;='NILAI CPL'!$B$3,4,AF47&gt;='NILAI CPL'!$B$4,3,AF47&gt;='NILAI CPL'!$B$5,2,AF47&gt;'NILAI CPL'!$B$6,1),0),"")</f>
        <v/>
      </c>
      <c r="BD47" s="2" t="str" cm="1">
        <f t="array" ref="BD47">IF('NILAI CPL'!$B47&lt;&gt;"",IFERROR(_xlfn.IFS(AG47&gt;='NILAI CPL'!$B$3,4,AG47&gt;='NILAI CPL'!$B$4,3,AG47&gt;='NILAI CPL'!$B$5,2,AG47&gt;'NILAI CPL'!$B$6,1),0),"")</f>
        <v/>
      </c>
      <c r="BE47" s="2" t="str" cm="1">
        <f t="array" ref="BE47">IF('NILAI CPL'!$B47&lt;&gt;"",IFERROR(_xlfn.IFS(AH47&gt;='NILAI CPL'!$B$3,4,AH47&gt;='NILAI CPL'!$B$4,3,AH47&gt;='NILAI CPL'!$B$5,2,AH47&gt;'NILAI CPL'!$B$6,1),0),"")</f>
        <v/>
      </c>
      <c r="BF47" s="2" t="str" cm="1">
        <f t="array" ref="BF47">IF('NILAI CPL'!$B47&lt;&gt;"",IFERROR(_xlfn.IFS(AI47&gt;='NILAI CPL'!$B$3,4,AI47&gt;='NILAI CPL'!$B$4,3,AI47&gt;='NILAI CPL'!$B$5,2,AI47&gt;'NILAI CPL'!$B$6,1),0),"")</f>
        <v/>
      </c>
      <c r="BG47" s="2" t="str" cm="1">
        <f t="array" ref="BG47">IF('NILAI CPL'!$B47&lt;&gt;"",IFERROR(_xlfn.IFS(AJ47&gt;='NILAI CPL'!$B$3,4,AJ47&gt;='NILAI CPL'!$B$4,3,AJ47&gt;='NILAI CPL'!$B$5,2,AJ47&gt;'NILAI CPL'!$B$6,1),0),"")</f>
        <v/>
      </c>
      <c r="BH47" s="2" t="str" cm="1">
        <f t="array" ref="BH47">IF('NILAI CPL'!$B47&lt;&gt;"",IFERROR(_xlfn.IFS(AK47&gt;='NILAI CPL'!$B$3,4,AK47&gt;='NILAI CPL'!$B$4,3,AK47&gt;='NILAI CPL'!$B$5,2,AK47&gt;'NILAI CPL'!$B$6,1),0),"")</f>
        <v/>
      </c>
      <c r="BI47" s="2" t="str" cm="1">
        <f t="array" ref="BI47">IF('NILAI CPL'!$B47&lt;&gt;"",IFERROR(_xlfn.IFS(AL47&gt;='NILAI CPL'!$B$3,4,AL47&gt;='NILAI CPL'!$B$4,3,AL47&gt;='NILAI CPL'!$B$5,2,AL47&gt;'NILAI CPL'!$B$6,1),0),"")</f>
        <v/>
      </c>
      <c r="BJ47" s="2" t="str" cm="1">
        <f t="array" ref="BJ47">IF('NILAI CPL'!$B47&lt;&gt;"",IFERROR(_xlfn.IFS(AM47&gt;='NILAI CPL'!$B$3,4,AM47&gt;='NILAI CPL'!$B$4,3,AM47&gt;='NILAI CPL'!$B$5,2,AM47&gt;'NILAI CPL'!$B$6,1),0),"")</f>
        <v/>
      </c>
      <c r="BK47" s="2" t="str" cm="1">
        <f t="array" ref="BK47">IF('NILAI CPL'!$B47&lt;&gt;"",IFERROR(_xlfn.IFS(AN47&gt;='NILAI CPL'!$B$3,4,AN47&gt;='NILAI CPL'!$B$4,3,AN47&gt;='NILAI CPL'!$B$5,2,AN47&gt;'NILAI CPL'!$B$6,1),0),"")</f>
        <v/>
      </c>
    </row>
    <row r="48" spans="1:63" x14ac:dyDescent="0.2">
      <c r="A48" s="2">
        <v>38</v>
      </c>
      <c r="B48" s="2" t="str">
        <f>IF(LEN(SUMMARY!B48)&gt;0, SUMMARY!B48, "")</f>
        <v/>
      </c>
      <c r="C48" s="2" t="str">
        <f>IF(LEN(SUMMARY!C48)&gt;0, SUMMARY!C48, "")</f>
        <v/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" t="str">
        <f t="shared" si="2"/>
        <v/>
      </c>
      <c r="S48" s="2" t="str">
        <f t="shared" si="3"/>
        <v/>
      </c>
      <c r="T48" s="2" t="str">
        <f t="shared" si="4"/>
        <v/>
      </c>
      <c r="U48" s="2" t="str">
        <f t="shared" si="5"/>
        <v/>
      </c>
      <c r="V48" s="2" t="str">
        <f t="shared" si="6"/>
        <v/>
      </c>
      <c r="W48" s="2" t="str">
        <f t="shared" si="7"/>
        <v/>
      </c>
      <c r="X48" s="2" t="str">
        <f t="shared" si="8"/>
        <v/>
      </c>
      <c r="Y48" s="2" t="str">
        <f t="shared" si="9"/>
        <v/>
      </c>
      <c r="Z48" s="2" t="str">
        <f t="shared" si="10"/>
        <v/>
      </c>
      <c r="AA48" s="2" t="str">
        <f t="shared" si="11"/>
        <v/>
      </c>
      <c r="AB48" s="2" t="str">
        <f t="shared" si="12"/>
        <v/>
      </c>
      <c r="AC48" s="2" t="str">
        <f t="shared" si="13"/>
        <v/>
      </c>
      <c r="AD48" s="2" t="str">
        <f t="shared" si="14"/>
        <v/>
      </c>
      <c r="AE48" s="2" t="str">
        <f t="shared" si="15"/>
        <v/>
      </c>
      <c r="AF48" s="2" t="str">
        <f t="shared" si="16"/>
        <v/>
      </c>
      <c r="AG48" s="2" t="str">
        <f t="shared" si="17"/>
        <v/>
      </c>
      <c r="AH48" s="2" t="str">
        <f t="shared" si="18"/>
        <v/>
      </c>
      <c r="AI48" s="2" t="str">
        <f t="shared" si="19"/>
        <v/>
      </c>
      <c r="AJ48" s="2" t="str">
        <f t="shared" si="20"/>
        <v/>
      </c>
      <c r="AK48" s="2" t="str">
        <f t="shared" si="21"/>
        <v/>
      </c>
      <c r="AL48" s="2" t="str">
        <f t="shared" si="22"/>
        <v/>
      </c>
      <c r="AM48" s="2" t="str">
        <f t="shared" si="23"/>
        <v/>
      </c>
      <c r="AN48" s="2" t="str">
        <f t="shared" si="24"/>
        <v/>
      </c>
      <c r="AP48" s="2" t="str" cm="1">
        <f t="array" ref="AP48">IF('NILAI CPL'!$B48&lt;&gt;"",IFERROR(_xlfn.IFS(S48&gt;='NILAI CPL'!$B$3,4,S48&gt;='NILAI CPL'!$B$4,3,S48&gt;='NILAI CPL'!$B$5,2,S48&gt;'NILAI CPL'!$B$6,1),0),"")</f>
        <v/>
      </c>
      <c r="AQ48" s="2" t="str" cm="1">
        <f t="array" ref="AQ48">IF('NILAI CPL'!$B48&lt;&gt;"",IFERROR(_xlfn.IFS(T48&gt;='NILAI CPL'!$B$3,4,T48&gt;='NILAI CPL'!$B$4,3,T48&gt;='NILAI CPL'!$B$5,2,T48&gt;'NILAI CPL'!$B$6,1),0),"")</f>
        <v/>
      </c>
      <c r="AR48" s="2" t="str" cm="1">
        <f t="array" ref="AR48">IF('NILAI CPL'!$B48&lt;&gt;"",IFERROR(_xlfn.IFS(U48&gt;='NILAI CPL'!$B$3,4,U48&gt;='NILAI CPL'!$B$4,3,U48&gt;='NILAI CPL'!$B$5,2,U48&gt;'NILAI CPL'!$B$6,1),0),"")</f>
        <v/>
      </c>
      <c r="AS48" s="2" t="str" cm="1">
        <f t="array" ref="AS48">IF('NILAI CPL'!$B48&lt;&gt;"",IFERROR(_xlfn.IFS(V48&gt;='NILAI CPL'!$B$3,4,V48&gt;='NILAI CPL'!$B$4,3,V48&gt;='NILAI CPL'!$B$5,2,V48&gt;'NILAI CPL'!$B$6,1),0),"")</f>
        <v/>
      </c>
      <c r="AT48" s="2" t="str" cm="1">
        <f t="array" ref="AT48">IF('NILAI CPL'!$B48&lt;&gt;"",IFERROR(_xlfn.IFS(W48&gt;='NILAI CPL'!$B$3,4,W48&gt;='NILAI CPL'!$B$4,3,W48&gt;='NILAI CPL'!$B$5,2,W48&gt;'NILAI CPL'!$B$6,1),0),"")</f>
        <v/>
      </c>
      <c r="AU48" s="2" t="str" cm="1">
        <f t="array" ref="AU48">IF('NILAI CPL'!$B48&lt;&gt;"",IFERROR(_xlfn.IFS(X48&gt;='NILAI CPL'!$B$3,4,X48&gt;='NILAI CPL'!$B$4,3,X48&gt;='NILAI CPL'!$B$5,2,X48&gt;'NILAI CPL'!$B$6,1),0),"")</f>
        <v/>
      </c>
      <c r="AV48" s="2" t="str" cm="1">
        <f t="array" ref="AV48">IF('NILAI CPL'!$B48&lt;&gt;"",IFERROR(_xlfn.IFS(Y48&gt;='NILAI CPL'!$B$3,4,Y48&gt;='NILAI CPL'!$B$4,3,Y48&gt;='NILAI CPL'!$B$5,2,Y48&gt;'NILAI CPL'!$B$6,1),0),"")</f>
        <v/>
      </c>
      <c r="AW48" s="2" t="str" cm="1">
        <f t="array" ref="AW48">IF('NILAI CPL'!$B48&lt;&gt;"",IFERROR(_xlfn.IFS(Z48&gt;='NILAI CPL'!$B$3,4,Z48&gt;='NILAI CPL'!$B$4,3,Z48&gt;='NILAI CPL'!$B$5,2,Z48&gt;'NILAI CPL'!$B$6,1),0),"")</f>
        <v/>
      </c>
      <c r="AX48" s="2" t="str" cm="1">
        <f t="array" ref="AX48">IF('NILAI CPL'!$B48&lt;&gt;"",IFERROR(_xlfn.IFS(AA48&gt;='NILAI CPL'!$B$3,4,AA48&gt;='NILAI CPL'!$B$4,3,AA48&gt;='NILAI CPL'!$B$5,2,AA48&gt;'NILAI CPL'!$B$6,1),0),"")</f>
        <v/>
      </c>
      <c r="AY48" s="2" t="str" cm="1">
        <f t="array" ref="AY48">IF('NILAI CPL'!$B48&lt;&gt;"",IFERROR(_xlfn.IFS(AB48&gt;='NILAI CPL'!$B$3,4,AB48&gt;='NILAI CPL'!$B$4,3,AB48&gt;='NILAI CPL'!$B$5,2,AB48&gt;'NILAI CPL'!$B$6,1),0),"")</f>
        <v/>
      </c>
      <c r="AZ48" s="2" t="str" cm="1">
        <f t="array" ref="AZ48">IF('NILAI CPL'!$B48&lt;&gt;"",IFERROR(_xlfn.IFS(AC48&gt;='NILAI CPL'!$B$3,4,AC48&gt;='NILAI CPL'!$B$4,3,AC48&gt;='NILAI CPL'!$B$5,2,AC48&gt;'NILAI CPL'!$B$6,1),0),"")</f>
        <v/>
      </c>
      <c r="BA48" s="2" t="str" cm="1">
        <f t="array" ref="BA48">IF('NILAI CPL'!$B48&lt;&gt;"",IFERROR(_xlfn.IFS(AD48&gt;='NILAI CPL'!$B$3,4,AD48&gt;='NILAI CPL'!$B$4,3,AD48&gt;='NILAI CPL'!$B$5,2,AD48&gt;'NILAI CPL'!$B$6,1),0),"")</f>
        <v/>
      </c>
      <c r="BB48" s="2" t="str" cm="1">
        <f t="array" ref="BB48">IF('NILAI CPL'!$B48&lt;&gt;"",IFERROR(_xlfn.IFS(AE48&gt;='NILAI CPL'!$B$3,4,AE48&gt;='NILAI CPL'!$B$4,3,AE48&gt;='NILAI CPL'!$B$5,2,AE48&gt;'NILAI CPL'!$B$6,1),0),"")</f>
        <v/>
      </c>
      <c r="BC48" s="2" t="str" cm="1">
        <f t="array" ref="BC48">IF('NILAI CPL'!$B48&lt;&gt;"",IFERROR(_xlfn.IFS(AF48&gt;='NILAI CPL'!$B$3,4,AF48&gt;='NILAI CPL'!$B$4,3,AF48&gt;='NILAI CPL'!$B$5,2,AF48&gt;'NILAI CPL'!$B$6,1),0),"")</f>
        <v/>
      </c>
      <c r="BD48" s="2" t="str" cm="1">
        <f t="array" ref="BD48">IF('NILAI CPL'!$B48&lt;&gt;"",IFERROR(_xlfn.IFS(AG48&gt;='NILAI CPL'!$B$3,4,AG48&gt;='NILAI CPL'!$B$4,3,AG48&gt;='NILAI CPL'!$B$5,2,AG48&gt;'NILAI CPL'!$B$6,1),0),"")</f>
        <v/>
      </c>
      <c r="BE48" s="2" t="str" cm="1">
        <f t="array" ref="BE48">IF('NILAI CPL'!$B48&lt;&gt;"",IFERROR(_xlfn.IFS(AH48&gt;='NILAI CPL'!$B$3,4,AH48&gt;='NILAI CPL'!$B$4,3,AH48&gt;='NILAI CPL'!$B$5,2,AH48&gt;'NILAI CPL'!$B$6,1),0),"")</f>
        <v/>
      </c>
      <c r="BF48" s="2" t="str" cm="1">
        <f t="array" ref="BF48">IF('NILAI CPL'!$B48&lt;&gt;"",IFERROR(_xlfn.IFS(AI48&gt;='NILAI CPL'!$B$3,4,AI48&gt;='NILAI CPL'!$B$4,3,AI48&gt;='NILAI CPL'!$B$5,2,AI48&gt;'NILAI CPL'!$B$6,1),0),"")</f>
        <v/>
      </c>
      <c r="BG48" s="2" t="str" cm="1">
        <f t="array" ref="BG48">IF('NILAI CPL'!$B48&lt;&gt;"",IFERROR(_xlfn.IFS(AJ48&gt;='NILAI CPL'!$B$3,4,AJ48&gt;='NILAI CPL'!$B$4,3,AJ48&gt;='NILAI CPL'!$B$5,2,AJ48&gt;'NILAI CPL'!$B$6,1),0),"")</f>
        <v/>
      </c>
      <c r="BH48" s="2" t="str" cm="1">
        <f t="array" ref="BH48">IF('NILAI CPL'!$B48&lt;&gt;"",IFERROR(_xlfn.IFS(AK48&gt;='NILAI CPL'!$B$3,4,AK48&gt;='NILAI CPL'!$B$4,3,AK48&gt;='NILAI CPL'!$B$5,2,AK48&gt;'NILAI CPL'!$B$6,1),0),"")</f>
        <v/>
      </c>
      <c r="BI48" s="2" t="str" cm="1">
        <f t="array" ref="BI48">IF('NILAI CPL'!$B48&lt;&gt;"",IFERROR(_xlfn.IFS(AL48&gt;='NILAI CPL'!$B$3,4,AL48&gt;='NILAI CPL'!$B$4,3,AL48&gt;='NILAI CPL'!$B$5,2,AL48&gt;'NILAI CPL'!$B$6,1),0),"")</f>
        <v/>
      </c>
      <c r="BJ48" s="2" t="str" cm="1">
        <f t="array" ref="BJ48">IF('NILAI CPL'!$B48&lt;&gt;"",IFERROR(_xlfn.IFS(AM48&gt;='NILAI CPL'!$B$3,4,AM48&gt;='NILAI CPL'!$B$4,3,AM48&gt;='NILAI CPL'!$B$5,2,AM48&gt;'NILAI CPL'!$B$6,1),0),"")</f>
        <v/>
      </c>
      <c r="BK48" s="2" t="str" cm="1">
        <f t="array" ref="BK48">IF('NILAI CPL'!$B48&lt;&gt;"",IFERROR(_xlfn.IFS(AN48&gt;='NILAI CPL'!$B$3,4,AN48&gt;='NILAI CPL'!$B$4,3,AN48&gt;='NILAI CPL'!$B$5,2,AN48&gt;'NILAI CPL'!$B$6,1),0),"")</f>
        <v/>
      </c>
    </row>
    <row r="49" spans="1:63" x14ac:dyDescent="0.2">
      <c r="A49" s="2">
        <v>39</v>
      </c>
      <c r="B49" s="2" t="str">
        <f>IF(LEN(SUMMARY!B49)&gt;0, SUMMARY!B49, "")</f>
        <v/>
      </c>
      <c r="C49" s="2" t="str">
        <f>IF(LEN(SUMMARY!C49)&gt;0, SUMMARY!C49, "")</f>
        <v/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" t="str">
        <f t="shared" si="2"/>
        <v/>
      </c>
      <c r="S49" s="2" t="str">
        <f t="shared" si="3"/>
        <v/>
      </c>
      <c r="T49" s="2" t="str">
        <f t="shared" si="4"/>
        <v/>
      </c>
      <c r="U49" s="2" t="str">
        <f t="shared" si="5"/>
        <v/>
      </c>
      <c r="V49" s="2" t="str">
        <f t="shared" si="6"/>
        <v/>
      </c>
      <c r="W49" s="2" t="str">
        <f t="shared" si="7"/>
        <v/>
      </c>
      <c r="X49" s="2" t="str">
        <f t="shared" si="8"/>
        <v/>
      </c>
      <c r="Y49" s="2" t="str">
        <f t="shared" si="9"/>
        <v/>
      </c>
      <c r="Z49" s="2" t="str">
        <f t="shared" si="10"/>
        <v/>
      </c>
      <c r="AA49" s="2" t="str">
        <f t="shared" si="11"/>
        <v/>
      </c>
      <c r="AB49" s="2" t="str">
        <f t="shared" si="12"/>
        <v/>
      </c>
      <c r="AC49" s="2" t="str">
        <f t="shared" si="13"/>
        <v/>
      </c>
      <c r="AD49" s="2" t="str">
        <f t="shared" si="14"/>
        <v/>
      </c>
      <c r="AE49" s="2" t="str">
        <f t="shared" si="15"/>
        <v/>
      </c>
      <c r="AF49" s="2" t="str">
        <f t="shared" si="16"/>
        <v/>
      </c>
      <c r="AG49" s="2" t="str">
        <f t="shared" si="17"/>
        <v/>
      </c>
      <c r="AH49" s="2" t="str">
        <f t="shared" si="18"/>
        <v/>
      </c>
      <c r="AI49" s="2" t="str">
        <f t="shared" si="19"/>
        <v/>
      </c>
      <c r="AJ49" s="2" t="str">
        <f t="shared" si="20"/>
        <v/>
      </c>
      <c r="AK49" s="2" t="str">
        <f t="shared" si="21"/>
        <v/>
      </c>
      <c r="AL49" s="2" t="str">
        <f t="shared" si="22"/>
        <v/>
      </c>
      <c r="AM49" s="2" t="str">
        <f t="shared" si="23"/>
        <v/>
      </c>
      <c r="AN49" s="2" t="str">
        <f t="shared" si="24"/>
        <v/>
      </c>
      <c r="AP49" s="2" t="str" cm="1">
        <f t="array" ref="AP49">IF('NILAI CPL'!$B49&lt;&gt;"",IFERROR(_xlfn.IFS(S49&gt;='NILAI CPL'!$B$3,4,S49&gt;='NILAI CPL'!$B$4,3,S49&gt;='NILAI CPL'!$B$5,2,S49&gt;'NILAI CPL'!$B$6,1),0),"")</f>
        <v/>
      </c>
      <c r="AQ49" s="2" t="str" cm="1">
        <f t="array" ref="AQ49">IF('NILAI CPL'!$B49&lt;&gt;"",IFERROR(_xlfn.IFS(T49&gt;='NILAI CPL'!$B$3,4,T49&gt;='NILAI CPL'!$B$4,3,T49&gt;='NILAI CPL'!$B$5,2,T49&gt;'NILAI CPL'!$B$6,1),0),"")</f>
        <v/>
      </c>
      <c r="AR49" s="2" t="str" cm="1">
        <f t="array" ref="AR49">IF('NILAI CPL'!$B49&lt;&gt;"",IFERROR(_xlfn.IFS(U49&gt;='NILAI CPL'!$B$3,4,U49&gt;='NILAI CPL'!$B$4,3,U49&gt;='NILAI CPL'!$B$5,2,U49&gt;'NILAI CPL'!$B$6,1),0),"")</f>
        <v/>
      </c>
      <c r="AS49" s="2" t="str" cm="1">
        <f t="array" ref="AS49">IF('NILAI CPL'!$B49&lt;&gt;"",IFERROR(_xlfn.IFS(V49&gt;='NILAI CPL'!$B$3,4,V49&gt;='NILAI CPL'!$B$4,3,V49&gt;='NILAI CPL'!$B$5,2,V49&gt;'NILAI CPL'!$B$6,1),0),"")</f>
        <v/>
      </c>
      <c r="AT49" s="2" t="str" cm="1">
        <f t="array" ref="AT49">IF('NILAI CPL'!$B49&lt;&gt;"",IFERROR(_xlfn.IFS(W49&gt;='NILAI CPL'!$B$3,4,W49&gt;='NILAI CPL'!$B$4,3,W49&gt;='NILAI CPL'!$B$5,2,W49&gt;'NILAI CPL'!$B$6,1),0),"")</f>
        <v/>
      </c>
      <c r="AU49" s="2" t="str" cm="1">
        <f t="array" ref="AU49">IF('NILAI CPL'!$B49&lt;&gt;"",IFERROR(_xlfn.IFS(X49&gt;='NILAI CPL'!$B$3,4,X49&gt;='NILAI CPL'!$B$4,3,X49&gt;='NILAI CPL'!$B$5,2,X49&gt;'NILAI CPL'!$B$6,1),0),"")</f>
        <v/>
      </c>
      <c r="AV49" s="2" t="str" cm="1">
        <f t="array" ref="AV49">IF('NILAI CPL'!$B49&lt;&gt;"",IFERROR(_xlfn.IFS(Y49&gt;='NILAI CPL'!$B$3,4,Y49&gt;='NILAI CPL'!$B$4,3,Y49&gt;='NILAI CPL'!$B$5,2,Y49&gt;'NILAI CPL'!$B$6,1),0),"")</f>
        <v/>
      </c>
      <c r="AW49" s="2" t="str" cm="1">
        <f t="array" ref="AW49">IF('NILAI CPL'!$B49&lt;&gt;"",IFERROR(_xlfn.IFS(Z49&gt;='NILAI CPL'!$B$3,4,Z49&gt;='NILAI CPL'!$B$4,3,Z49&gt;='NILAI CPL'!$B$5,2,Z49&gt;'NILAI CPL'!$B$6,1),0),"")</f>
        <v/>
      </c>
      <c r="AX49" s="2" t="str" cm="1">
        <f t="array" ref="AX49">IF('NILAI CPL'!$B49&lt;&gt;"",IFERROR(_xlfn.IFS(AA49&gt;='NILAI CPL'!$B$3,4,AA49&gt;='NILAI CPL'!$B$4,3,AA49&gt;='NILAI CPL'!$B$5,2,AA49&gt;'NILAI CPL'!$B$6,1),0),"")</f>
        <v/>
      </c>
      <c r="AY49" s="2" t="str" cm="1">
        <f t="array" ref="AY49">IF('NILAI CPL'!$B49&lt;&gt;"",IFERROR(_xlfn.IFS(AB49&gt;='NILAI CPL'!$B$3,4,AB49&gt;='NILAI CPL'!$B$4,3,AB49&gt;='NILAI CPL'!$B$5,2,AB49&gt;'NILAI CPL'!$B$6,1),0),"")</f>
        <v/>
      </c>
      <c r="AZ49" s="2" t="str" cm="1">
        <f t="array" ref="AZ49">IF('NILAI CPL'!$B49&lt;&gt;"",IFERROR(_xlfn.IFS(AC49&gt;='NILAI CPL'!$B$3,4,AC49&gt;='NILAI CPL'!$B$4,3,AC49&gt;='NILAI CPL'!$B$5,2,AC49&gt;'NILAI CPL'!$B$6,1),0),"")</f>
        <v/>
      </c>
      <c r="BA49" s="2" t="str" cm="1">
        <f t="array" ref="BA49">IF('NILAI CPL'!$B49&lt;&gt;"",IFERROR(_xlfn.IFS(AD49&gt;='NILAI CPL'!$B$3,4,AD49&gt;='NILAI CPL'!$B$4,3,AD49&gt;='NILAI CPL'!$B$5,2,AD49&gt;'NILAI CPL'!$B$6,1),0),"")</f>
        <v/>
      </c>
      <c r="BB49" s="2" t="str" cm="1">
        <f t="array" ref="BB49">IF('NILAI CPL'!$B49&lt;&gt;"",IFERROR(_xlfn.IFS(AE49&gt;='NILAI CPL'!$B$3,4,AE49&gt;='NILAI CPL'!$B$4,3,AE49&gt;='NILAI CPL'!$B$5,2,AE49&gt;'NILAI CPL'!$B$6,1),0),"")</f>
        <v/>
      </c>
      <c r="BC49" s="2" t="str" cm="1">
        <f t="array" ref="BC49">IF('NILAI CPL'!$B49&lt;&gt;"",IFERROR(_xlfn.IFS(AF49&gt;='NILAI CPL'!$B$3,4,AF49&gt;='NILAI CPL'!$B$4,3,AF49&gt;='NILAI CPL'!$B$5,2,AF49&gt;'NILAI CPL'!$B$6,1),0),"")</f>
        <v/>
      </c>
      <c r="BD49" s="2" t="str" cm="1">
        <f t="array" ref="BD49">IF('NILAI CPL'!$B49&lt;&gt;"",IFERROR(_xlfn.IFS(AG49&gt;='NILAI CPL'!$B$3,4,AG49&gt;='NILAI CPL'!$B$4,3,AG49&gt;='NILAI CPL'!$B$5,2,AG49&gt;'NILAI CPL'!$B$6,1),0),"")</f>
        <v/>
      </c>
      <c r="BE49" s="2" t="str" cm="1">
        <f t="array" ref="BE49">IF('NILAI CPL'!$B49&lt;&gt;"",IFERROR(_xlfn.IFS(AH49&gt;='NILAI CPL'!$B$3,4,AH49&gt;='NILAI CPL'!$B$4,3,AH49&gt;='NILAI CPL'!$B$5,2,AH49&gt;'NILAI CPL'!$B$6,1),0),"")</f>
        <v/>
      </c>
      <c r="BF49" s="2" t="str" cm="1">
        <f t="array" ref="BF49">IF('NILAI CPL'!$B49&lt;&gt;"",IFERROR(_xlfn.IFS(AI49&gt;='NILAI CPL'!$B$3,4,AI49&gt;='NILAI CPL'!$B$4,3,AI49&gt;='NILAI CPL'!$B$5,2,AI49&gt;'NILAI CPL'!$B$6,1),0),"")</f>
        <v/>
      </c>
      <c r="BG49" s="2" t="str" cm="1">
        <f t="array" ref="BG49">IF('NILAI CPL'!$B49&lt;&gt;"",IFERROR(_xlfn.IFS(AJ49&gt;='NILAI CPL'!$B$3,4,AJ49&gt;='NILAI CPL'!$B$4,3,AJ49&gt;='NILAI CPL'!$B$5,2,AJ49&gt;'NILAI CPL'!$B$6,1),0),"")</f>
        <v/>
      </c>
      <c r="BH49" s="2" t="str" cm="1">
        <f t="array" ref="BH49">IF('NILAI CPL'!$B49&lt;&gt;"",IFERROR(_xlfn.IFS(AK49&gt;='NILAI CPL'!$B$3,4,AK49&gt;='NILAI CPL'!$B$4,3,AK49&gt;='NILAI CPL'!$B$5,2,AK49&gt;'NILAI CPL'!$B$6,1),0),"")</f>
        <v/>
      </c>
      <c r="BI49" s="2" t="str" cm="1">
        <f t="array" ref="BI49">IF('NILAI CPL'!$B49&lt;&gt;"",IFERROR(_xlfn.IFS(AL49&gt;='NILAI CPL'!$B$3,4,AL49&gt;='NILAI CPL'!$B$4,3,AL49&gt;='NILAI CPL'!$B$5,2,AL49&gt;'NILAI CPL'!$B$6,1),0),"")</f>
        <v/>
      </c>
      <c r="BJ49" s="2" t="str" cm="1">
        <f t="array" ref="BJ49">IF('NILAI CPL'!$B49&lt;&gt;"",IFERROR(_xlfn.IFS(AM49&gt;='NILAI CPL'!$B$3,4,AM49&gt;='NILAI CPL'!$B$4,3,AM49&gt;='NILAI CPL'!$B$5,2,AM49&gt;'NILAI CPL'!$B$6,1),0),"")</f>
        <v/>
      </c>
      <c r="BK49" s="2" t="str" cm="1">
        <f t="array" ref="BK49">IF('NILAI CPL'!$B49&lt;&gt;"",IFERROR(_xlfn.IFS(AN49&gt;='NILAI CPL'!$B$3,4,AN49&gt;='NILAI CPL'!$B$4,3,AN49&gt;='NILAI CPL'!$B$5,2,AN49&gt;'NILAI CPL'!$B$6,1),0),"")</f>
        <v/>
      </c>
    </row>
    <row r="50" spans="1:63" x14ac:dyDescent="0.2">
      <c r="A50" s="2">
        <v>40</v>
      </c>
      <c r="B50" s="2" t="str">
        <f>IF(LEN(SUMMARY!B50)&gt;0, SUMMARY!B50, "")</f>
        <v/>
      </c>
      <c r="C50" s="2" t="str">
        <f>IF(LEN(SUMMARY!C50)&gt;0, SUMMARY!C50, "")</f>
        <v/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" t="str">
        <f t="shared" si="2"/>
        <v/>
      </c>
      <c r="S50" s="2" t="str">
        <f t="shared" si="3"/>
        <v/>
      </c>
      <c r="T50" s="2" t="str">
        <f t="shared" si="4"/>
        <v/>
      </c>
      <c r="U50" s="2" t="str">
        <f t="shared" si="5"/>
        <v/>
      </c>
      <c r="V50" s="2" t="str">
        <f t="shared" si="6"/>
        <v/>
      </c>
      <c r="W50" s="2" t="str">
        <f t="shared" si="7"/>
        <v/>
      </c>
      <c r="X50" s="2" t="str">
        <f t="shared" si="8"/>
        <v/>
      </c>
      <c r="Y50" s="2" t="str">
        <f t="shared" si="9"/>
        <v/>
      </c>
      <c r="Z50" s="2" t="str">
        <f t="shared" si="10"/>
        <v/>
      </c>
      <c r="AA50" s="2" t="str">
        <f t="shared" si="11"/>
        <v/>
      </c>
      <c r="AB50" s="2" t="str">
        <f t="shared" si="12"/>
        <v/>
      </c>
      <c r="AC50" s="2" t="str">
        <f t="shared" si="13"/>
        <v/>
      </c>
      <c r="AD50" s="2" t="str">
        <f t="shared" si="14"/>
        <v/>
      </c>
      <c r="AE50" s="2" t="str">
        <f t="shared" si="15"/>
        <v/>
      </c>
      <c r="AF50" s="2" t="str">
        <f t="shared" si="16"/>
        <v/>
      </c>
      <c r="AG50" s="2" t="str">
        <f t="shared" si="17"/>
        <v/>
      </c>
      <c r="AH50" s="2" t="str">
        <f t="shared" si="18"/>
        <v/>
      </c>
      <c r="AI50" s="2" t="str">
        <f t="shared" si="19"/>
        <v/>
      </c>
      <c r="AJ50" s="2" t="str">
        <f t="shared" si="20"/>
        <v/>
      </c>
      <c r="AK50" s="2" t="str">
        <f t="shared" si="21"/>
        <v/>
      </c>
      <c r="AL50" s="2" t="str">
        <f t="shared" si="22"/>
        <v/>
      </c>
      <c r="AM50" s="2" t="str">
        <f t="shared" si="23"/>
        <v/>
      </c>
      <c r="AN50" s="2" t="str">
        <f t="shared" si="24"/>
        <v/>
      </c>
      <c r="AP50" s="2" t="str" cm="1">
        <f t="array" ref="AP50">IF('NILAI CPL'!$B50&lt;&gt;"",IFERROR(_xlfn.IFS(S50&gt;='NILAI CPL'!$B$3,4,S50&gt;='NILAI CPL'!$B$4,3,S50&gt;='NILAI CPL'!$B$5,2,S50&gt;'NILAI CPL'!$B$6,1),0),"")</f>
        <v/>
      </c>
      <c r="AQ50" s="2" t="str" cm="1">
        <f t="array" ref="AQ50">IF('NILAI CPL'!$B50&lt;&gt;"",IFERROR(_xlfn.IFS(T50&gt;='NILAI CPL'!$B$3,4,T50&gt;='NILAI CPL'!$B$4,3,T50&gt;='NILAI CPL'!$B$5,2,T50&gt;'NILAI CPL'!$B$6,1),0),"")</f>
        <v/>
      </c>
      <c r="AR50" s="2" t="str" cm="1">
        <f t="array" ref="AR50">IF('NILAI CPL'!$B50&lt;&gt;"",IFERROR(_xlfn.IFS(U50&gt;='NILAI CPL'!$B$3,4,U50&gt;='NILAI CPL'!$B$4,3,U50&gt;='NILAI CPL'!$B$5,2,U50&gt;'NILAI CPL'!$B$6,1),0),"")</f>
        <v/>
      </c>
      <c r="AS50" s="2" t="str" cm="1">
        <f t="array" ref="AS50">IF('NILAI CPL'!$B50&lt;&gt;"",IFERROR(_xlfn.IFS(V50&gt;='NILAI CPL'!$B$3,4,V50&gt;='NILAI CPL'!$B$4,3,V50&gt;='NILAI CPL'!$B$5,2,V50&gt;'NILAI CPL'!$B$6,1),0),"")</f>
        <v/>
      </c>
      <c r="AT50" s="2" t="str" cm="1">
        <f t="array" ref="AT50">IF('NILAI CPL'!$B50&lt;&gt;"",IFERROR(_xlfn.IFS(W50&gt;='NILAI CPL'!$B$3,4,W50&gt;='NILAI CPL'!$B$4,3,W50&gt;='NILAI CPL'!$B$5,2,W50&gt;'NILAI CPL'!$B$6,1),0),"")</f>
        <v/>
      </c>
      <c r="AU50" s="2" t="str" cm="1">
        <f t="array" ref="AU50">IF('NILAI CPL'!$B50&lt;&gt;"",IFERROR(_xlfn.IFS(X50&gt;='NILAI CPL'!$B$3,4,X50&gt;='NILAI CPL'!$B$4,3,X50&gt;='NILAI CPL'!$B$5,2,X50&gt;'NILAI CPL'!$B$6,1),0),"")</f>
        <v/>
      </c>
      <c r="AV50" s="2" t="str" cm="1">
        <f t="array" ref="AV50">IF('NILAI CPL'!$B50&lt;&gt;"",IFERROR(_xlfn.IFS(Y50&gt;='NILAI CPL'!$B$3,4,Y50&gt;='NILAI CPL'!$B$4,3,Y50&gt;='NILAI CPL'!$B$5,2,Y50&gt;'NILAI CPL'!$B$6,1),0),"")</f>
        <v/>
      </c>
      <c r="AW50" s="2" t="str" cm="1">
        <f t="array" ref="AW50">IF('NILAI CPL'!$B50&lt;&gt;"",IFERROR(_xlfn.IFS(Z50&gt;='NILAI CPL'!$B$3,4,Z50&gt;='NILAI CPL'!$B$4,3,Z50&gt;='NILAI CPL'!$B$5,2,Z50&gt;'NILAI CPL'!$B$6,1),0),"")</f>
        <v/>
      </c>
      <c r="AX50" s="2" t="str" cm="1">
        <f t="array" ref="AX50">IF('NILAI CPL'!$B50&lt;&gt;"",IFERROR(_xlfn.IFS(AA50&gt;='NILAI CPL'!$B$3,4,AA50&gt;='NILAI CPL'!$B$4,3,AA50&gt;='NILAI CPL'!$B$5,2,AA50&gt;'NILAI CPL'!$B$6,1),0),"")</f>
        <v/>
      </c>
      <c r="AY50" s="2" t="str" cm="1">
        <f t="array" ref="AY50">IF('NILAI CPL'!$B50&lt;&gt;"",IFERROR(_xlfn.IFS(AB50&gt;='NILAI CPL'!$B$3,4,AB50&gt;='NILAI CPL'!$B$4,3,AB50&gt;='NILAI CPL'!$B$5,2,AB50&gt;'NILAI CPL'!$B$6,1),0),"")</f>
        <v/>
      </c>
      <c r="AZ50" s="2" t="str" cm="1">
        <f t="array" ref="AZ50">IF('NILAI CPL'!$B50&lt;&gt;"",IFERROR(_xlfn.IFS(AC50&gt;='NILAI CPL'!$B$3,4,AC50&gt;='NILAI CPL'!$B$4,3,AC50&gt;='NILAI CPL'!$B$5,2,AC50&gt;'NILAI CPL'!$B$6,1),0),"")</f>
        <v/>
      </c>
      <c r="BA50" s="2" t="str" cm="1">
        <f t="array" ref="BA50">IF('NILAI CPL'!$B50&lt;&gt;"",IFERROR(_xlfn.IFS(AD50&gt;='NILAI CPL'!$B$3,4,AD50&gt;='NILAI CPL'!$B$4,3,AD50&gt;='NILAI CPL'!$B$5,2,AD50&gt;'NILAI CPL'!$B$6,1),0),"")</f>
        <v/>
      </c>
      <c r="BB50" s="2" t="str" cm="1">
        <f t="array" ref="BB50">IF('NILAI CPL'!$B50&lt;&gt;"",IFERROR(_xlfn.IFS(AE50&gt;='NILAI CPL'!$B$3,4,AE50&gt;='NILAI CPL'!$B$4,3,AE50&gt;='NILAI CPL'!$B$5,2,AE50&gt;'NILAI CPL'!$B$6,1),0),"")</f>
        <v/>
      </c>
      <c r="BC50" s="2" t="str" cm="1">
        <f t="array" ref="BC50">IF('NILAI CPL'!$B50&lt;&gt;"",IFERROR(_xlfn.IFS(AF50&gt;='NILAI CPL'!$B$3,4,AF50&gt;='NILAI CPL'!$B$4,3,AF50&gt;='NILAI CPL'!$B$5,2,AF50&gt;'NILAI CPL'!$B$6,1),0),"")</f>
        <v/>
      </c>
      <c r="BD50" s="2" t="str" cm="1">
        <f t="array" ref="BD50">IF('NILAI CPL'!$B50&lt;&gt;"",IFERROR(_xlfn.IFS(AG50&gt;='NILAI CPL'!$B$3,4,AG50&gt;='NILAI CPL'!$B$4,3,AG50&gt;='NILAI CPL'!$B$5,2,AG50&gt;'NILAI CPL'!$B$6,1),0),"")</f>
        <v/>
      </c>
      <c r="BE50" s="2" t="str" cm="1">
        <f t="array" ref="BE50">IF('NILAI CPL'!$B50&lt;&gt;"",IFERROR(_xlfn.IFS(AH50&gt;='NILAI CPL'!$B$3,4,AH50&gt;='NILAI CPL'!$B$4,3,AH50&gt;='NILAI CPL'!$B$5,2,AH50&gt;'NILAI CPL'!$B$6,1),0),"")</f>
        <v/>
      </c>
      <c r="BF50" s="2" t="str" cm="1">
        <f t="array" ref="BF50">IF('NILAI CPL'!$B50&lt;&gt;"",IFERROR(_xlfn.IFS(AI50&gt;='NILAI CPL'!$B$3,4,AI50&gt;='NILAI CPL'!$B$4,3,AI50&gt;='NILAI CPL'!$B$5,2,AI50&gt;'NILAI CPL'!$B$6,1),0),"")</f>
        <v/>
      </c>
      <c r="BG50" s="2" t="str" cm="1">
        <f t="array" ref="BG50">IF('NILAI CPL'!$B50&lt;&gt;"",IFERROR(_xlfn.IFS(AJ50&gt;='NILAI CPL'!$B$3,4,AJ50&gt;='NILAI CPL'!$B$4,3,AJ50&gt;='NILAI CPL'!$B$5,2,AJ50&gt;'NILAI CPL'!$B$6,1),0),"")</f>
        <v/>
      </c>
      <c r="BH50" s="2" t="str" cm="1">
        <f t="array" ref="BH50">IF('NILAI CPL'!$B50&lt;&gt;"",IFERROR(_xlfn.IFS(AK50&gt;='NILAI CPL'!$B$3,4,AK50&gt;='NILAI CPL'!$B$4,3,AK50&gt;='NILAI CPL'!$B$5,2,AK50&gt;'NILAI CPL'!$B$6,1),0),"")</f>
        <v/>
      </c>
      <c r="BI50" s="2" t="str" cm="1">
        <f t="array" ref="BI50">IF('NILAI CPL'!$B50&lt;&gt;"",IFERROR(_xlfn.IFS(AL50&gt;='NILAI CPL'!$B$3,4,AL50&gt;='NILAI CPL'!$B$4,3,AL50&gt;='NILAI CPL'!$B$5,2,AL50&gt;'NILAI CPL'!$B$6,1),0),"")</f>
        <v/>
      </c>
      <c r="BJ50" s="2" t="str" cm="1">
        <f t="array" ref="BJ50">IF('NILAI CPL'!$B50&lt;&gt;"",IFERROR(_xlfn.IFS(AM50&gt;='NILAI CPL'!$B$3,4,AM50&gt;='NILAI CPL'!$B$4,3,AM50&gt;='NILAI CPL'!$B$5,2,AM50&gt;'NILAI CPL'!$B$6,1),0),"")</f>
        <v/>
      </c>
      <c r="BK50" s="2" t="str" cm="1">
        <f t="array" ref="BK50">IF('NILAI CPL'!$B50&lt;&gt;"",IFERROR(_xlfn.IFS(AN50&gt;='NILAI CPL'!$B$3,4,AN50&gt;='NILAI CPL'!$B$4,3,AN50&gt;='NILAI CPL'!$B$5,2,AN50&gt;'NILAI CPL'!$B$6,1),0),"")</f>
        <v/>
      </c>
    </row>
    <row r="51" spans="1:63" x14ac:dyDescent="0.2">
      <c r="A51" s="2">
        <v>41</v>
      </c>
      <c r="B51" s="2" t="str">
        <f>IF(LEN(SUMMARY!B51)&gt;0, SUMMARY!B51, "")</f>
        <v/>
      </c>
      <c r="C51" s="2" t="str">
        <f>IF(LEN(SUMMARY!C51)&gt;0, SUMMARY!C51, "")</f>
        <v/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" t="str">
        <f t="shared" si="2"/>
        <v/>
      </c>
      <c r="S51" s="2" t="str">
        <f t="shared" si="3"/>
        <v/>
      </c>
      <c r="T51" s="2" t="str">
        <f t="shared" si="4"/>
        <v/>
      </c>
      <c r="U51" s="2" t="str">
        <f t="shared" si="5"/>
        <v/>
      </c>
      <c r="V51" s="2" t="str">
        <f t="shared" si="6"/>
        <v/>
      </c>
      <c r="W51" s="2" t="str">
        <f t="shared" si="7"/>
        <v/>
      </c>
      <c r="X51" s="2" t="str">
        <f t="shared" si="8"/>
        <v/>
      </c>
      <c r="Y51" s="2" t="str">
        <f t="shared" si="9"/>
        <v/>
      </c>
      <c r="Z51" s="2" t="str">
        <f t="shared" si="10"/>
        <v/>
      </c>
      <c r="AA51" s="2" t="str">
        <f t="shared" si="11"/>
        <v/>
      </c>
      <c r="AB51" s="2" t="str">
        <f t="shared" si="12"/>
        <v/>
      </c>
      <c r="AC51" s="2" t="str">
        <f t="shared" si="13"/>
        <v/>
      </c>
      <c r="AD51" s="2" t="str">
        <f t="shared" si="14"/>
        <v/>
      </c>
      <c r="AE51" s="2" t="str">
        <f t="shared" si="15"/>
        <v/>
      </c>
      <c r="AF51" s="2" t="str">
        <f t="shared" si="16"/>
        <v/>
      </c>
      <c r="AG51" s="2" t="str">
        <f t="shared" si="17"/>
        <v/>
      </c>
      <c r="AH51" s="2" t="str">
        <f t="shared" si="18"/>
        <v/>
      </c>
      <c r="AI51" s="2" t="str">
        <f t="shared" si="19"/>
        <v/>
      </c>
      <c r="AJ51" s="2" t="str">
        <f t="shared" si="20"/>
        <v/>
      </c>
      <c r="AK51" s="2" t="str">
        <f t="shared" si="21"/>
        <v/>
      </c>
      <c r="AL51" s="2" t="str">
        <f t="shared" si="22"/>
        <v/>
      </c>
      <c r="AM51" s="2" t="str">
        <f t="shared" si="23"/>
        <v/>
      </c>
      <c r="AN51" s="2" t="str">
        <f t="shared" si="24"/>
        <v/>
      </c>
      <c r="AP51" s="2" t="str" cm="1">
        <f t="array" ref="AP51">IF('NILAI CPL'!$B51&lt;&gt;"",IFERROR(_xlfn.IFS(S51&gt;='NILAI CPL'!$B$3,4,S51&gt;='NILAI CPL'!$B$4,3,S51&gt;='NILAI CPL'!$B$5,2,S51&gt;'NILAI CPL'!$B$6,1),0),"")</f>
        <v/>
      </c>
      <c r="AQ51" s="2" t="str" cm="1">
        <f t="array" ref="AQ51">IF('NILAI CPL'!$B51&lt;&gt;"",IFERROR(_xlfn.IFS(T51&gt;='NILAI CPL'!$B$3,4,T51&gt;='NILAI CPL'!$B$4,3,T51&gt;='NILAI CPL'!$B$5,2,T51&gt;'NILAI CPL'!$B$6,1),0),"")</f>
        <v/>
      </c>
      <c r="AR51" s="2" t="str" cm="1">
        <f t="array" ref="AR51">IF('NILAI CPL'!$B51&lt;&gt;"",IFERROR(_xlfn.IFS(U51&gt;='NILAI CPL'!$B$3,4,U51&gt;='NILAI CPL'!$B$4,3,U51&gt;='NILAI CPL'!$B$5,2,U51&gt;'NILAI CPL'!$B$6,1),0),"")</f>
        <v/>
      </c>
      <c r="AS51" s="2" t="str" cm="1">
        <f t="array" ref="AS51">IF('NILAI CPL'!$B51&lt;&gt;"",IFERROR(_xlfn.IFS(V51&gt;='NILAI CPL'!$B$3,4,V51&gt;='NILAI CPL'!$B$4,3,V51&gt;='NILAI CPL'!$B$5,2,V51&gt;'NILAI CPL'!$B$6,1),0),"")</f>
        <v/>
      </c>
      <c r="AT51" s="2" t="str" cm="1">
        <f t="array" ref="AT51">IF('NILAI CPL'!$B51&lt;&gt;"",IFERROR(_xlfn.IFS(W51&gt;='NILAI CPL'!$B$3,4,W51&gt;='NILAI CPL'!$B$4,3,W51&gt;='NILAI CPL'!$B$5,2,W51&gt;'NILAI CPL'!$B$6,1),0),"")</f>
        <v/>
      </c>
      <c r="AU51" s="2" t="str" cm="1">
        <f t="array" ref="AU51">IF('NILAI CPL'!$B51&lt;&gt;"",IFERROR(_xlfn.IFS(X51&gt;='NILAI CPL'!$B$3,4,X51&gt;='NILAI CPL'!$B$4,3,X51&gt;='NILAI CPL'!$B$5,2,X51&gt;'NILAI CPL'!$B$6,1),0),"")</f>
        <v/>
      </c>
      <c r="AV51" s="2" t="str" cm="1">
        <f t="array" ref="AV51">IF('NILAI CPL'!$B51&lt;&gt;"",IFERROR(_xlfn.IFS(Y51&gt;='NILAI CPL'!$B$3,4,Y51&gt;='NILAI CPL'!$B$4,3,Y51&gt;='NILAI CPL'!$B$5,2,Y51&gt;'NILAI CPL'!$B$6,1),0),"")</f>
        <v/>
      </c>
      <c r="AW51" s="2" t="str" cm="1">
        <f t="array" ref="AW51">IF('NILAI CPL'!$B51&lt;&gt;"",IFERROR(_xlfn.IFS(Z51&gt;='NILAI CPL'!$B$3,4,Z51&gt;='NILAI CPL'!$B$4,3,Z51&gt;='NILAI CPL'!$B$5,2,Z51&gt;'NILAI CPL'!$B$6,1),0),"")</f>
        <v/>
      </c>
      <c r="AX51" s="2" t="str" cm="1">
        <f t="array" ref="AX51">IF('NILAI CPL'!$B51&lt;&gt;"",IFERROR(_xlfn.IFS(AA51&gt;='NILAI CPL'!$B$3,4,AA51&gt;='NILAI CPL'!$B$4,3,AA51&gt;='NILAI CPL'!$B$5,2,AA51&gt;'NILAI CPL'!$B$6,1),0),"")</f>
        <v/>
      </c>
      <c r="AY51" s="2" t="str" cm="1">
        <f t="array" ref="AY51">IF('NILAI CPL'!$B51&lt;&gt;"",IFERROR(_xlfn.IFS(AB51&gt;='NILAI CPL'!$B$3,4,AB51&gt;='NILAI CPL'!$B$4,3,AB51&gt;='NILAI CPL'!$B$5,2,AB51&gt;'NILAI CPL'!$B$6,1),0),"")</f>
        <v/>
      </c>
      <c r="AZ51" s="2" t="str" cm="1">
        <f t="array" ref="AZ51">IF('NILAI CPL'!$B51&lt;&gt;"",IFERROR(_xlfn.IFS(AC51&gt;='NILAI CPL'!$B$3,4,AC51&gt;='NILAI CPL'!$B$4,3,AC51&gt;='NILAI CPL'!$B$5,2,AC51&gt;'NILAI CPL'!$B$6,1),0),"")</f>
        <v/>
      </c>
      <c r="BA51" s="2" t="str" cm="1">
        <f t="array" ref="BA51">IF('NILAI CPL'!$B51&lt;&gt;"",IFERROR(_xlfn.IFS(AD51&gt;='NILAI CPL'!$B$3,4,AD51&gt;='NILAI CPL'!$B$4,3,AD51&gt;='NILAI CPL'!$B$5,2,AD51&gt;'NILAI CPL'!$B$6,1),0),"")</f>
        <v/>
      </c>
      <c r="BB51" s="2" t="str" cm="1">
        <f t="array" ref="BB51">IF('NILAI CPL'!$B51&lt;&gt;"",IFERROR(_xlfn.IFS(AE51&gt;='NILAI CPL'!$B$3,4,AE51&gt;='NILAI CPL'!$B$4,3,AE51&gt;='NILAI CPL'!$B$5,2,AE51&gt;'NILAI CPL'!$B$6,1),0),"")</f>
        <v/>
      </c>
      <c r="BC51" s="2" t="str" cm="1">
        <f t="array" ref="BC51">IF('NILAI CPL'!$B51&lt;&gt;"",IFERROR(_xlfn.IFS(AF51&gt;='NILAI CPL'!$B$3,4,AF51&gt;='NILAI CPL'!$B$4,3,AF51&gt;='NILAI CPL'!$B$5,2,AF51&gt;'NILAI CPL'!$B$6,1),0),"")</f>
        <v/>
      </c>
      <c r="BD51" s="2" t="str" cm="1">
        <f t="array" ref="BD51">IF('NILAI CPL'!$B51&lt;&gt;"",IFERROR(_xlfn.IFS(AG51&gt;='NILAI CPL'!$B$3,4,AG51&gt;='NILAI CPL'!$B$4,3,AG51&gt;='NILAI CPL'!$B$5,2,AG51&gt;'NILAI CPL'!$B$6,1),0),"")</f>
        <v/>
      </c>
      <c r="BE51" s="2" t="str" cm="1">
        <f t="array" ref="BE51">IF('NILAI CPL'!$B51&lt;&gt;"",IFERROR(_xlfn.IFS(AH51&gt;='NILAI CPL'!$B$3,4,AH51&gt;='NILAI CPL'!$B$4,3,AH51&gt;='NILAI CPL'!$B$5,2,AH51&gt;'NILAI CPL'!$B$6,1),0),"")</f>
        <v/>
      </c>
      <c r="BF51" s="2" t="str" cm="1">
        <f t="array" ref="BF51">IF('NILAI CPL'!$B51&lt;&gt;"",IFERROR(_xlfn.IFS(AI51&gt;='NILAI CPL'!$B$3,4,AI51&gt;='NILAI CPL'!$B$4,3,AI51&gt;='NILAI CPL'!$B$5,2,AI51&gt;'NILAI CPL'!$B$6,1),0),"")</f>
        <v/>
      </c>
      <c r="BG51" s="2" t="str" cm="1">
        <f t="array" ref="BG51">IF('NILAI CPL'!$B51&lt;&gt;"",IFERROR(_xlfn.IFS(AJ51&gt;='NILAI CPL'!$B$3,4,AJ51&gt;='NILAI CPL'!$B$4,3,AJ51&gt;='NILAI CPL'!$B$5,2,AJ51&gt;'NILAI CPL'!$B$6,1),0),"")</f>
        <v/>
      </c>
      <c r="BH51" s="2" t="str" cm="1">
        <f t="array" ref="BH51">IF('NILAI CPL'!$B51&lt;&gt;"",IFERROR(_xlfn.IFS(AK51&gt;='NILAI CPL'!$B$3,4,AK51&gt;='NILAI CPL'!$B$4,3,AK51&gt;='NILAI CPL'!$B$5,2,AK51&gt;'NILAI CPL'!$B$6,1),0),"")</f>
        <v/>
      </c>
      <c r="BI51" s="2" t="str" cm="1">
        <f t="array" ref="BI51">IF('NILAI CPL'!$B51&lt;&gt;"",IFERROR(_xlfn.IFS(AL51&gt;='NILAI CPL'!$B$3,4,AL51&gt;='NILAI CPL'!$B$4,3,AL51&gt;='NILAI CPL'!$B$5,2,AL51&gt;'NILAI CPL'!$B$6,1),0),"")</f>
        <v/>
      </c>
      <c r="BJ51" s="2" t="str" cm="1">
        <f t="array" ref="BJ51">IF('NILAI CPL'!$B51&lt;&gt;"",IFERROR(_xlfn.IFS(AM51&gt;='NILAI CPL'!$B$3,4,AM51&gt;='NILAI CPL'!$B$4,3,AM51&gt;='NILAI CPL'!$B$5,2,AM51&gt;'NILAI CPL'!$B$6,1),0),"")</f>
        <v/>
      </c>
      <c r="BK51" s="2" t="str" cm="1">
        <f t="array" ref="BK51">IF('NILAI CPL'!$B51&lt;&gt;"",IFERROR(_xlfn.IFS(AN51&gt;='NILAI CPL'!$B$3,4,AN51&gt;='NILAI CPL'!$B$4,3,AN51&gt;='NILAI CPL'!$B$5,2,AN51&gt;'NILAI CPL'!$B$6,1),0),"")</f>
        <v/>
      </c>
    </row>
    <row r="52" spans="1:63" x14ac:dyDescent="0.2">
      <c r="A52" s="2">
        <v>42</v>
      </c>
      <c r="B52" s="2" t="str">
        <f>IF(LEN(SUMMARY!B52)&gt;0, SUMMARY!B52, "")</f>
        <v/>
      </c>
      <c r="C52" s="2" t="str">
        <f>IF(LEN(SUMMARY!C52)&gt;0, SUMMARY!C52, "")</f>
        <v/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" t="str">
        <f t="shared" si="2"/>
        <v/>
      </c>
      <c r="S52" s="2" t="str">
        <f t="shared" si="3"/>
        <v/>
      </c>
      <c r="T52" s="2" t="str">
        <f t="shared" si="4"/>
        <v/>
      </c>
      <c r="U52" s="2" t="str">
        <f t="shared" si="5"/>
        <v/>
      </c>
      <c r="V52" s="2" t="str">
        <f t="shared" si="6"/>
        <v/>
      </c>
      <c r="W52" s="2" t="str">
        <f t="shared" si="7"/>
        <v/>
      </c>
      <c r="X52" s="2" t="str">
        <f t="shared" si="8"/>
        <v/>
      </c>
      <c r="Y52" s="2" t="str">
        <f t="shared" si="9"/>
        <v/>
      </c>
      <c r="Z52" s="2" t="str">
        <f t="shared" si="10"/>
        <v/>
      </c>
      <c r="AA52" s="2" t="str">
        <f t="shared" si="11"/>
        <v/>
      </c>
      <c r="AB52" s="2" t="str">
        <f t="shared" si="12"/>
        <v/>
      </c>
      <c r="AC52" s="2" t="str">
        <f t="shared" si="13"/>
        <v/>
      </c>
      <c r="AD52" s="2" t="str">
        <f t="shared" si="14"/>
        <v/>
      </c>
      <c r="AE52" s="2" t="str">
        <f t="shared" si="15"/>
        <v/>
      </c>
      <c r="AF52" s="2" t="str">
        <f t="shared" si="16"/>
        <v/>
      </c>
      <c r="AG52" s="2" t="str">
        <f t="shared" si="17"/>
        <v/>
      </c>
      <c r="AH52" s="2" t="str">
        <f t="shared" si="18"/>
        <v/>
      </c>
      <c r="AI52" s="2" t="str">
        <f t="shared" si="19"/>
        <v/>
      </c>
      <c r="AJ52" s="2" t="str">
        <f t="shared" si="20"/>
        <v/>
      </c>
      <c r="AK52" s="2" t="str">
        <f t="shared" si="21"/>
        <v/>
      </c>
      <c r="AL52" s="2" t="str">
        <f t="shared" si="22"/>
        <v/>
      </c>
      <c r="AM52" s="2" t="str">
        <f t="shared" si="23"/>
        <v/>
      </c>
      <c r="AN52" s="2" t="str">
        <f t="shared" si="24"/>
        <v/>
      </c>
      <c r="AP52" s="2" t="str" cm="1">
        <f t="array" ref="AP52">IF('NILAI CPL'!$B52&lt;&gt;"",IFERROR(_xlfn.IFS(S52&gt;='NILAI CPL'!$B$3,4,S52&gt;='NILAI CPL'!$B$4,3,S52&gt;='NILAI CPL'!$B$5,2,S52&gt;'NILAI CPL'!$B$6,1),0),"")</f>
        <v/>
      </c>
      <c r="AQ52" s="2" t="str" cm="1">
        <f t="array" ref="AQ52">IF('NILAI CPL'!$B52&lt;&gt;"",IFERROR(_xlfn.IFS(T52&gt;='NILAI CPL'!$B$3,4,T52&gt;='NILAI CPL'!$B$4,3,T52&gt;='NILAI CPL'!$B$5,2,T52&gt;'NILAI CPL'!$B$6,1),0),"")</f>
        <v/>
      </c>
      <c r="AR52" s="2" t="str" cm="1">
        <f t="array" ref="AR52">IF('NILAI CPL'!$B52&lt;&gt;"",IFERROR(_xlfn.IFS(U52&gt;='NILAI CPL'!$B$3,4,U52&gt;='NILAI CPL'!$B$4,3,U52&gt;='NILAI CPL'!$B$5,2,U52&gt;'NILAI CPL'!$B$6,1),0),"")</f>
        <v/>
      </c>
      <c r="AS52" s="2" t="str" cm="1">
        <f t="array" ref="AS52">IF('NILAI CPL'!$B52&lt;&gt;"",IFERROR(_xlfn.IFS(V52&gt;='NILAI CPL'!$B$3,4,V52&gt;='NILAI CPL'!$B$4,3,V52&gt;='NILAI CPL'!$B$5,2,V52&gt;'NILAI CPL'!$B$6,1),0),"")</f>
        <v/>
      </c>
      <c r="AT52" s="2" t="str" cm="1">
        <f t="array" ref="AT52">IF('NILAI CPL'!$B52&lt;&gt;"",IFERROR(_xlfn.IFS(W52&gt;='NILAI CPL'!$B$3,4,W52&gt;='NILAI CPL'!$B$4,3,W52&gt;='NILAI CPL'!$B$5,2,W52&gt;'NILAI CPL'!$B$6,1),0),"")</f>
        <v/>
      </c>
      <c r="AU52" s="2" t="str" cm="1">
        <f t="array" ref="AU52">IF('NILAI CPL'!$B52&lt;&gt;"",IFERROR(_xlfn.IFS(X52&gt;='NILAI CPL'!$B$3,4,X52&gt;='NILAI CPL'!$B$4,3,X52&gt;='NILAI CPL'!$B$5,2,X52&gt;'NILAI CPL'!$B$6,1),0),"")</f>
        <v/>
      </c>
      <c r="AV52" s="2" t="str" cm="1">
        <f t="array" ref="AV52">IF('NILAI CPL'!$B52&lt;&gt;"",IFERROR(_xlfn.IFS(Y52&gt;='NILAI CPL'!$B$3,4,Y52&gt;='NILAI CPL'!$B$4,3,Y52&gt;='NILAI CPL'!$B$5,2,Y52&gt;'NILAI CPL'!$B$6,1),0),"")</f>
        <v/>
      </c>
      <c r="AW52" s="2" t="str" cm="1">
        <f t="array" ref="AW52">IF('NILAI CPL'!$B52&lt;&gt;"",IFERROR(_xlfn.IFS(Z52&gt;='NILAI CPL'!$B$3,4,Z52&gt;='NILAI CPL'!$B$4,3,Z52&gt;='NILAI CPL'!$B$5,2,Z52&gt;'NILAI CPL'!$B$6,1),0),"")</f>
        <v/>
      </c>
      <c r="AX52" s="2" t="str" cm="1">
        <f t="array" ref="AX52">IF('NILAI CPL'!$B52&lt;&gt;"",IFERROR(_xlfn.IFS(AA52&gt;='NILAI CPL'!$B$3,4,AA52&gt;='NILAI CPL'!$B$4,3,AA52&gt;='NILAI CPL'!$B$5,2,AA52&gt;'NILAI CPL'!$B$6,1),0),"")</f>
        <v/>
      </c>
      <c r="AY52" s="2" t="str" cm="1">
        <f t="array" ref="AY52">IF('NILAI CPL'!$B52&lt;&gt;"",IFERROR(_xlfn.IFS(AB52&gt;='NILAI CPL'!$B$3,4,AB52&gt;='NILAI CPL'!$B$4,3,AB52&gt;='NILAI CPL'!$B$5,2,AB52&gt;'NILAI CPL'!$B$6,1),0),"")</f>
        <v/>
      </c>
      <c r="AZ52" s="2" t="str" cm="1">
        <f t="array" ref="AZ52">IF('NILAI CPL'!$B52&lt;&gt;"",IFERROR(_xlfn.IFS(AC52&gt;='NILAI CPL'!$B$3,4,AC52&gt;='NILAI CPL'!$B$4,3,AC52&gt;='NILAI CPL'!$B$5,2,AC52&gt;'NILAI CPL'!$B$6,1),0),"")</f>
        <v/>
      </c>
      <c r="BA52" s="2" t="str" cm="1">
        <f t="array" ref="BA52">IF('NILAI CPL'!$B52&lt;&gt;"",IFERROR(_xlfn.IFS(AD52&gt;='NILAI CPL'!$B$3,4,AD52&gt;='NILAI CPL'!$B$4,3,AD52&gt;='NILAI CPL'!$B$5,2,AD52&gt;'NILAI CPL'!$B$6,1),0),"")</f>
        <v/>
      </c>
      <c r="BB52" s="2" t="str" cm="1">
        <f t="array" ref="BB52">IF('NILAI CPL'!$B52&lt;&gt;"",IFERROR(_xlfn.IFS(AE52&gt;='NILAI CPL'!$B$3,4,AE52&gt;='NILAI CPL'!$B$4,3,AE52&gt;='NILAI CPL'!$B$5,2,AE52&gt;'NILAI CPL'!$B$6,1),0),"")</f>
        <v/>
      </c>
      <c r="BC52" s="2" t="str" cm="1">
        <f t="array" ref="BC52">IF('NILAI CPL'!$B52&lt;&gt;"",IFERROR(_xlfn.IFS(AF52&gt;='NILAI CPL'!$B$3,4,AF52&gt;='NILAI CPL'!$B$4,3,AF52&gt;='NILAI CPL'!$B$5,2,AF52&gt;'NILAI CPL'!$B$6,1),0),"")</f>
        <v/>
      </c>
      <c r="BD52" s="2" t="str" cm="1">
        <f t="array" ref="BD52">IF('NILAI CPL'!$B52&lt;&gt;"",IFERROR(_xlfn.IFS(AG52&gt;='NILAI CPL'!$B$3,4,AG52&gt;='NILAI CPL'!$B$4,3,AG52&gt;='NILAI CPL'!$B$5,2,AG52&gt;'NILAI CPL'!$B$6,1),0),"")</f>
        <v/>
      </c>
      <c r="BE52" s="2" t="str" cm="1">
        <f t="array" ref="BE52">IF('NILAI CPL'!$B52&lt;&gt;"",IFERROR(_xlfn.IFS(AH52&gt;='NILAI CPL'!$B$3,4,AH52&gt;='NILAI CPL'!$B$4,3,AH52&gt;='NILAI CPL'!$B$5,2,AH52&gt;'NILAI CPL'!$B$6,1),0),"")</f>
        <v/>
      </c>
      <c r="BF52" s="2" t="str" cm="1">
        <f t="array" ref="BF52">IF('NILAI CPL'!$B52&lt;&gt;"",IFERROR(_xlfn.IFS(AI52&gt;='NILAI CPL'!$B$3,4,AI52&gt;='NILAI CPL'!$B$4,3,AI52&gt;='NILAI CPL'!$B$5,2,AI52&gt;'NILAI CPL'!$B$6,1),0),"")</f>
        <v/>
      </c>
      <c r="BG52" s="2" t="str" cm="1">
        <f t="array" ref="BG52">IF('NILAI CPL'!$B52&lt;&gt;"",IFERROR(_xlfn.IFS(AJ52&gt;='NILAI CPL'!$B$3,4,AJ52&gt;='NILAI CPL'!$B$4,3,AJ52&gt;='NILAI CPL'!$B$5,2,AJ52&gt;'NILAI CPL'!$B$6,1),0),"")</f>
        <v/>
      </c>
      <c r="BH52" s="2" t="str" cm="1">
        <f t="array" ref="BH52">IF('NILAI CPL'!$B52&lt;&gt;"",IFERROR(_xlfn.IFS(AK52&gt;='NILAI CPL'!$B$3,4,AK52&gt;='NILAI CPL'!$B$4,3,AK52&gt;='NILAI CPL'!$B$5,2,AK52&gt;'NILAI CPL'!$B$6,1),0),"")</f>
        <v/>
      </c>
      <c r="BI52" s="2" t="str" cm="1">
        <f t="array" ref="BI52">IF('NILAI CPL'!$B52&lt;&gt;"",IFERROR(_xlfn.IFS(AL52&gt;='NILAI CPL'!$B$3,4,AL52&gt;='NILAI CPL'!$B$4,3,AL52&gt;='NILAI CPL'!$B$5,2,AL52&gt;'NILAI CPL'!$B$6,1),0),"")</f>
        <v/>
      </c>
      <c r="BJ52" s="2" t="str" cm="1">
        <f t="array" ref="BJ52">IF('NILAI CPL'!$B52&lt;&gt;"",IFERROR(_xlfn.IFS(AM52&gt;='NILAI CPL'!$B$3,4,AM52&gt;='NILAI CPL'!$B$4,3,AM52&gt;='NILAI CPL'!$B$5,2,AM52&gt;'NILAI CPL'!$B$6,1),0),"")</f>
        <v/>
      </c>
      <c r="BK52" s="2" t="str" cm="1">
        <f t="array" ref="BK52">IF('NILAI CPL'!$B52&lt;&gt;"",IFERROR(_xlfn.IFS(AN52&gt;='NILAI CPL'!$B$3,4,AN52&gt;='NILAI CPL'!$B$4,3,AN52&gt;='NILAI CPL'!$B$5,2,AN52&gt;'NILAI CPL'!$B$6,1),0),"")</f>
        <v/>
      </c>
    </row>
    <row r="53" spans="1:63" x14ac:dyDescent="0.2">
      <c r="A53" s="2">
        <v>43</v>
      </c>
      <c r="B53" s="2" t="str">
        <f>IF(LEN(SUMMARY!B53)&gt;0, SUMMARY!B53, "")</f>
        <v/>
      </c>
      <c r="C53" s="2" t="str">
        <f>IF(LEN(SUMMARY!C53)&gt;0, SUMMARY!C53, "")</f>
        <v/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" t="str">
        <f t="shared" si="2"/>
        <v/>
      </c>
      <c r="S53" s="2" t="str">
        <f t="shared" si="3"/>
        <v/>
      </c>
      <c r="T53" s="2" t="str">
        <f t="shared" si="4"/>
        <v/>
      </c>
      <c r="U53" s="2" t="str">
        <f t="shared" si="5"/>
        <v/>
      </c>
      <c r="V53" s="2" t="str">
        <f t="shared" si="6"/>
        <v/>
      </c>
      <c r="W53" s="2" t="str">
        <f t="shared" si="7"/>
        <v/>
      </c>
      <c r="X53" s="2" t="str">
        <f t="shared" si="8"/>
        <v/>
      </c>
      <c r="Y53" s="2" t="str">
        <f t="shared" si="9"/>
        <v/>
      </c>
      <c r="Z53" s="2" t="str">
        <f t="shared" si="10"/>
        <v/>
      </c>
      <c r="AA53" s="2" t="str">
        <f t="shared" si="11"/>
        <v/>
      </c>
      <c r="AB53" s="2" t="str">
        <f t="shared" si="12"/>
        <v/>
      </c>
      <c r="AC53" s="2" t="str">
        <f t="shared" si="13"/>
        <v/>
      </c>
      <c r="AD53" s="2" t="str">
        <f t="shared" si="14"/>
        <v/>
      </c>
      <c r="AE53" s="2" t="str">
        <f t="shared" si="15"/>
        <v/>
      </c>
      <c r="AF53" s="2" t="str">
        <f t="shared" si="16"/>
        <v/>
      </c>
      <c r="AG53" s="2" t="str">
        <f t="shared" si="17"/>
        <v/>
      </c>
      <c r="AH53" s="2" t="str">
        <f t="shared" si="18"/>
        <v/>
      </c>
      <c r="AI53" s="2" t="str">
        <f t="shared" si="19"/>
        <v/>
      </c>
      <c r="AJ53" s="2" t="str">
        <f t="shared" si="20"/>
        <v/>
      </c>
      <c r="AK53" s="2" t="str">
        <f t="shared" si="21"/>
        <v/>
      </c>
      <c r="AL53" s="2" t="str">
        <f t="shared" si="22"/>
        <v/>
      </c>
      <c r="AM53" s="2" t="str">
        <f t="shared" si="23"/>
        <v/>
      </c>
      <c r="AN53" s="2" t="str">
        <f t="shared" si="24"/>
        <v/>
      </c>
      <c r="AP53" s="2" t="str" cm="1">
        <f t="array" ref="AP53">IF('NILAI CPL'!$B53&lt;&gt;"",IFERROR(_xlfn.IFS(S53&gt;='NILAI CPL'!$B$3,4,S53&gt;='NILAI CPL'!$B$4,3,S53&gt;='NILAI CPL'!$B$5,2,S53&gt;'NILAI CPL'!$B$6,1),0),"")</f>
        <v/>
      </c>
      <c r="AQ53" s="2" t="str" cm="1">
        <f t="array" ref="AQ53">IF('NILAI CPL'!$B53&lt;&gt;"",IFERROR(_xlfn.IFS(T53&gt;='NILAI CPL'!$B$3,4,T53&gt;='NILAI CPL'!$B$4,3,T53&gt;='NILAI CPL'!$B$5,2,T53&gt;'NILAI CPL'!$B$6,1),0),"")</f>
        <v/>
      </c>
      <c r="AR53" s="2" t="str" cm="1">
        <f t="array" ref="AR53">IF('NILAI CPL'!$B53&lt;&gt;"",IFERROR(_xlfn.IFS(U53&gt;='NILAI CPL'!$B$3,4,U53&gt;='NILAI CPL'!$B$4,3,U53&gt;='NILAI CPL'!$B$5,2,U53&gt;'NILAI CPL'!$B$6,1),0),"")</f>
        <v/>
      </c>
      <c r="AS53" s="2" t="str" cm="1">
        <f t="array" ref="AS53">IF('NILAI CPL'!$B53&lt;&gt;"",IFERROR(_xlfn.IFS(V53&gt;='NILAI CPL'!$B$3,4,V53&gt;='NILAI CPL'!$B$4,3,V53&gt;='NILAI CPL'!$B$5,2,V53&gt;'NILAI CPL'!$B$6,1),0),"")</f>
        <v/>
      </c>
      <c r="AT53" s="2" t="str" cm="1">
        <f t="array" ref="AT53">IF('NILAI CPL'!$B53&lt;&gt;"",IFERROR(_xlfn.IFS(W53&gt;='NILAI CPL'!$B$3,4,W53&gt;='NILAI CPL'!$B$4,3,W53&gt;='NILAI CPL'!$B$5,2,W53&gt;'NILAI CPL'!$B$6,1),0),"")</f>
        <v/>
      </c>
      <c r="AU53" s="2" t="str" cm="1">
        <f t="array" ref="AU53">IF('NILAI CPL'!$B53&lt;&gt;"",IFERROR(_xlfn.IFS(X53&gt;='NILAI CPL'!$B$3,4,X53&gt;='NILAI CPL'!$B$4,3,X53&gt;='NILAI CPL'!$B$5,2,X53&gt;'NILAI CPL'!$B$6,1),0),"")</f>
        <v/>
      </c>
      <c r="AV53" s="2" t="str" cm="1">
        <f t="array" ref="AV53">IF('NILAI CPL'!$B53&lt;&gt;"",IFERROR(_xlfn.IFS(Y53&gt;='NILAI CPL'!$B$3,4,Y53&gt;='NILAI CPL'!$B$4,3,Y53&gt;='NILAI CPL'!$B$5,2,Y53&gt;'NILAI CPL'!$B$6,1),0),"")</f>
        <v/>
      </c>
      <c r="AW53" s="2" t="str" cm="1">
        <f t="array" ref="AW53">IF('NILAI CPL'!$B53&lt;&gt;"",IFERROR(_xlfn.IFS(Z53&gt;='NILAI CPL'!$B$3,4,Z53&gt;='NILAI CPL'!$B$4,3,Z53&gt;='NILAI CPL'!$B$5,2,Z53&gt;'NILAI CPL'!$B$6,1),0),"")</f>
        <v/>
      </c>
      <c r="AX53" s="2" t="str" cm="1">
        <f t="array" ref="AX53">IF('NILAI CPL'!$B53&lt;&gt;"",IFERROR(_xlfn.IFS(AA53&gt;='NILAI CPL'!$B$3,4,AA53&gt;='NILAI CPL'!$B$4,3,AA53&gt;='NILAI CPL'!$B$5,2,AA53&gt;'NILAI CPL'!$B$6,1),0),"")</f>
        <v/>
      </c>
      <c r="AY53" s="2" t="str" cm="1">
        <f t="array" ref="AY53">IF('NILAI CPL'!$B53&lt;&gt;"",IFERROR(_xlfn.IFS(AB53&gt;='NILAI CPL'!$B$3,4,AB53&gt;='NILAI CPL'!$B$4,3,AB53&gt;='NILAI CPL'!$B$5,2,AB53&gt;'NILAI CPL'!$B$6,1),0),"")</f>
        <v/>
      </c>
      <c r="AZ53" s="2" t="str" cm="1">
        <f t="array" ref="AZ53">IF('NILAI CPL'!$B53&lt;&gt;"",IFERROR(_xlfn.IFS(AC53&gt;='NILAI CPL'!$B$3,4,AC53&gt;='NILAI CPL'!$B$4,3,AC53&gt;='NILAI CPL'!$B$5,2,AC53&gt;'NILAI CPL'!$B$6,1),0),"")</f>
        <v/>
      </c>
      <c r="BA53" s="2" t="str" cm="1">
        <f t="array" ref="BA53">IF('NILAI CPL'!$B53&lt;&gt;"",IFERROR(_xlfn.IFS(AD53&gt;='NILAI CPL'!$B$3,4,AD53&gt;='NILAI CPL'!$B$4,3,AD53&gt;='NILAI CPL'!$B$5,2,AD53&gt;'NILAI CPL'!$B$6,1),0),"")</f>
        <v/>
      </c>
      <c r="BB53" s="2" t="str" cm="1">
        <f t="array" ref="BB53">IF('NILAI CPL'!$B53&lt;&gt;"",IFERROR(_xlfn.IFS(AE53&gt;='NILAI CPL'!$B$3,4,AE53&gt;='NILAI CPL'!$B$4,3,AE53&gt;='NILAI CPL'!$B$5,2,AE53&gt;'NILAI CPL'!$B$6,1),0),"")</f>
        <v/>
      </c>
      <c r="BC53" s="2" t="str" cm="1">
        <f t="array" ref="BC53">IF('NILAI CPL'!$B53&lt;&gt;"",IFERROR(_xlfn.IFS(AF53&gt;='NILAI CPL'!$B$3,4,AF53&gt;='NILAI CPL'!$B$4,3,AF53&gt;='NILAI CPL'!$B$5,2,AF53&gt;'NILAI CPL'!$B$6,1),0),"")</f>
        <v/>
      </c>
      <c r="BD53" s="2" t="str" cm="1">
        <f t="array" ref="BD53">IF('NILAI CPL'!$B53&lt;&gt;"",IFERROR(_xlfn.IFS(AG53&gt;='NILAI CPL'!$B$3,4,AG53&gt;='NILAI CPL'!$B$4,3,AG53&gt;='NILAI CPL'!$B$5,2,AG53&gt;'NILAI CPL'!$B$6,1),0),"")</f>
        <v/>
      </c>
      <c r="BE53" s="2" t="str" cm="1">
        <f t="array" ref="BE53">IF('NILAI CPL'!$B53&lt;&gt;"",IFERROR(_xlfn.IFS(AH53&gt;='NILAI CPL'!$B$3,4,AH53&gt;='NILAI CPL'!$B$4,3,AH53&gt;='NILAI CPL'!$B$5,2,AH53&gt;'NILAI CPL'!$B$6,1),0),"")</f>
        <v/>
      </c>
      <c r="BF53" s="2" t="str" cm="1">
        <f t="array" ref="BF53">IF('NILAI CPL'!$B53&lt;&gt;"",IFERROR(_xlfn.IFS(AI53&gt;='NILAI CPL'!$B$3,4,AI53&gt;='NILAI CPL'!$B$4,3,AI53&gt;='NILAI CPL'!$B$5,2,AI53&gt;'NILAI CPL'!$B$6,1),0),"")</f>
        <v/>
      </c>
      <c r="BG53" s="2" t="str" cm="1">
        <f t="array" ref="BG53">IF('NILAI CPL'!$B53&lt;&gt;"",IFERROR(_xlfn.IFS(AJ53&gt;='NILAI CPL'!$B$3,4,AJ53&gt;='NILAI CPL'!$B$4,3,AJ53&gt;='NILAI CPL'!$B$5,2,AJ53&gt;'NILAI CPL'!$B$6,1),0),"")</f>
        <v/>
      </c>
      <c r="BH53" s="2" t="str" cm="1">
        <f t="array" ref="BH53">IF('NILAI CPL'!$B53&lt;&gt;"",IFERROR(_xlfn.IFS(AK53&gt;='NILAI CPL'!$B$3,4,AK53&gt;='NILAI CPL'!$B$4,3,AK53&gt;='NILAI CPL'!$B$5,2,AK53&gt;'NILAI CPL'!$B$6,1),0),"")</f>
        <v/>
      </c>
      <c r="BI53" s="2" t="str" cm="1">
        <f t="array" ref="BI53">IF('NILAI CPL'!$B53&lt;&gt;"",IFERROR(_xlfn.IFS(AL53&gt;='NILAI CPL'!$B$3,4,AL53&gt;='NILAI CPL'!$B$4,3,AL53&gt;='NILAI CPL'!$B$5,2,AL53&gt;'NILAI CPL'!$B$6,1),0),"")</f>
        <v/>
      </c>
      <c r="BJ53" s="2" t="str" cm="1">
        <f t="array" ref="BJ53">IF('NILAI CPL'!$B53&lt;&gt;"",IFERROR(_xlfn.IFS(AM53&gt;='NILAI CPL'!$B$3,4,AM53&gt;='NILAI CPL'!$B$4,3,AM53&gt;='NILAI CPL'!$B$5,2,AM53&gt;'NILAI CPL'!$B$6,1),0),"")</f>
        <v/>
      </c>
      <c r="BK53" s="2" t="str" cm="1">
        <f t="array" ref="BK53">IF('NILAI CPL'!$B53&lt;&gt;"",IFERROR(_xlfn.IFS(AN53&gt;='NILAI CPL'!$B$3,4,AN53&gt;='NILAI CPL'!$B$4,3,AN53&gt;='NILAI CPL'!$B$5,2,AN53&gt;'NILAI CPL'!$B$6,1),0),"")</f>
        <v/>
      </c>
    </row>
    <row r="54" spans="1:63" x14ac:dyDescent="0.2">
      <c r="A54" s="2">
        <v>44</v>
      </c>
      <c r="B54" s="2" t="str">
        <f>IF(LEN(SUMMARY!B54)&gt;0, SUMMARY!B54, "")</f>
        <v/>
      </c>
      <c r="C54" s="2" t="str">
        <f>IF(LEN(SUMMARY!C54)&gt;0, SUMMARY!C54, "")</f>
        <v/>
      </c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" t="str">
        <f t="shared" si="2"/>
        <v/>
      </c>
      <c r="S54" s="2" t="str">
        <f t="shared" si="3"/>
        <v/>
      </c>
      <c r="T54" s="2" t="str">
        <f t="shared" si="4"/>
        <v/>
      </c>
      <c r="U54" s="2" t="str">
        <f t="shared" si="5"/>
        <v/>
      </c>
      <c r="V54" s="2" t="str">
        <f t="shared" si="6"/>
        <v/>
      </c>
      <c r="W54" s="2" t="str">
        <f t="shared" si="7"/>
        <v/>
      </c>
      <c r="X54" s="2" t="str">
        <f t="shared" si="8"/>
        <v/>
      </c>
      <c r="Y54" s="2" t="str">
        <f t="shared" si="9"/>
        <v/>
      </c>
      <c r="Z54" s="2" t="str">
        <f t="shared" si="10"/>
        <v/>
      </c>
      <c r="AA54" s="2" t="str">
        <f t="shared" si="11"/>
        <v/>
      </c>
      <c r="AB54" s="2" t="str">
        <f t="shared" si="12"/>
        <v/>
      </c>
      <c r="AC54" s="2" t="str">
        <f t="shared" si="13"/>
        <v/>
      </c>
      <c r="AD54" s="2" t="str">
        <f t="shared" si="14"/>
        <v/>
      </c>
      <c r="AE54" s="2" t="str">
        <f t="shared" si="15"/>
        <v/>
      </c>
      <c r="AF54" s="2" t="str">
        <f t="shared" si="16"/>
        <v/>
      </c>
      <c r="AG54" s="2" t="str">
        <f t="shared" si="17"/>
        <v/>
      </c>
      <c r="AH54" s="2" t="str">
        <f t="shared" si="18"/>
        <v/>
      </c>
      <c r="AI54" s="2" t="str">
        <f t="shared" si="19"/>
        <v/>
      </c>
      <c r="AJ54" s="2" t="str">
        <f t="shared" si="20"/>
        <v/>
      </c>
      <c r="AK54" s="2" t="str">
        <f t="shared" si="21"/>
        <v/>
      </c>
      <c r="AL54" s="2" t="str">
        <f t="shared" si="22"/>
        <v/>
      </c>
      <c r="AM54" s="2" t="str">
        <f t="shared" si="23"/>
        <v/>
      </c>
      <c r="AN54" s="2" t="str">
        <f t="shared" si="24"/>
        <v/>
      </c>
      <c r="AP54" s="2" t="str" cm="1">
        <f t="array" ref="AP54">IF('NILAI CPL'!$B54&lt;&gt;"",IFERROR(_xlfn.IFS(S54&gt;='NILAI CPL'!$B$3,4,S54&gt;='NILAI CPL'!$B$4,3,S54&gt;='NILAI CPL'!$B$5,2,S54&gt;'NILAI CPL'!$B$6,1),0),"")</f>
        <v/>
      </c>
      <c r="AQ54" s="2" t="str" cm="1">
        <f t="array" ref="AQ54">IF('NILAI CPL'!$B54&lt;&gt;"",IFERROR(_xlfn.IFS(T54&gt;='NILAI CPL'!$B$3,4,T54&gt;='NILAI CPL'!$B$4,3,T54&gt;='NILAI CPL'!$B$5,2,T54&gt;'NILAI CPL'!$B$6,1),0),"")</f>
        <v/>
      </c>
      <c r="AR54" s="2" t="str" cm="1">
        <f t="array" ref="AR54">IF('NILAI CPL'!$B54&lt;&gt;"",IFERROR(_xlfn.IFS(U54&gt;='NILAI CPL'!$B$3,4,U54&gt;='NILAI CPL'!$B$4,3,U54&gt;='NILAI CPL'!$B$5,2,U54&gt;'NILAI CPL'!$B$6,1),0),"")</f>
        <v/>
      </c>
      <c r="AS54" s="2" t="str" cm="1">
        <f t="array" ref="AS54">IF('NILAI CPL'!$B54&lt;&gt;"",IFERROR(_xlfn.IFS(V54&gt;='NILAI CPL'!$B$3,4,V54&gt;='NILAI CPL'!$B$4,3,V54&gt;='NILAI CPL'!$B$5,2,V54&gt;'NILAI CPL'!$B$6,1),0),"")</f>
        <v/>
      </c>
      <c r="AT54" s="2" t="str" cm="1">
        <f t="array" ref="AT54">IF('NILAI CPL'!$B54&lt;&gt;"",IFERROR(_xlfn.IFS(W54&gt;='NILAI CPL'!$B$3,4,W54&gt;='NILAI CPL'!$B$4,3,W54&gt;='NILAI CPL'!$B$5,2,W54&gt;'NILAI CPL'!$B$6,1),0),"")</f>
        <v/>
      </c>
      <c r="AU54" s="2" t="str" cm="1">
        <f t="array" ref="AU54">IF('NILAI CPL'!$B54&lt;&gt;"",IFERROR(_xlfn.IFS(X54&gt;='NILAI CPL'!$B$3,4,X54&gt;='NILAI CPL'!$B$4,3,X54&gt;='NILAI CPL'!$B$5,2,X54&gt;'NILAI CPL'!$B$6,1),0),"")</f>
        <v/>
      </c>
      <c r="AV54" s="2" t="str" cm="1">
        <f t="array" ref="AV54">IF('NILAI CPL'!$B54&lt;&gt;"",IFERROR(_xlfn.IFS(Y54&gt;='NILAI CPL'!$B$3,4,Y54&gt;='NILAI CPL'!$B$4,3,Y54&gt;='NILAI CPL'!$B$5,2,Y54&gt;'NILAI CPL'!$B$6,1),0),"")</f>
        <v/>
      </c>
      <c r="AW54" s="2" t="str" cm="1">
        <f t="array" ref="AW54">IF('NILAI CPL'!$B54&lt;&gt;"",IFERROR(_xlfn.IFS(Z54&gt;='NILAI CPL'!$B$3,4,Z54&gt;='NILAI CPL'!$B$4,3,Z54&gt;='NILAI CPL'!$B$5,2,Z54&gt;'NILAI CPL'!$B$6,1),0),"")</f>
        <v/>
      </c>
      <c r="AX54" s="2" t="str" cm="1">
        <f t="array" ref="AX54">IF('NILAI CPL'!$B54&lt;&gt;"",IFERROR(_xlfn.IFS(AA54&gt;='NILAI CPL'!$B$3,4,AA54&gt;='NILAI CPL'!$B$4,3,AA54&gt;='NILAI CPL'!$B$5,2,AA54&gt;'NILAI CPL'!$B$6,1),0),"")</f>
        <v/>
      </c>
      <c r="AY54" s="2" t="str" cm="1">
        <f t="array" ref="AY54">IF('NILAI CPL'!$B54&lt;&gt;"",IFERROR(_xlfn.IFS(AB54&gt;='NILAI CPL'!$B$3,4,AB54&gt;='NILAI CPL'!$B$4,3,AB54&gt;='NILAI CPL'!$B$5,2,AB54&gt;'NILAI CPL'!$B$6,1),0),"")</f>
        <v/>
      </c>
      <c r="AZ54" s="2" t="str" cm="1">
        <f t="array" ref="AZ54">IF('NILAI CPL'!$B54&lt;&gt;"",IFERROR(_xlfn.IFS(AC54&gt;='NILAI CPL'!$B$3,4,AC54&gt;='NILAI CPL'!$B$4,3,AC54&gt;='NILAI CPL'!$B$5,2,AC54&gt;'NILAI CPL'!$B$6,1),0),"")</f>
        <v/>
      </c>
      <c r="BA54" s="2" t="str" cm="1">
        <f t="array" ref="BA54">IF('NILAI CPL'!$B54&lt;&gt;"",IFERROR(_xlfn.IFS(AD54&gt;='NILAI CPL'!$B$3,4,AD54&gt;='NILAI CPL'!$B$4,3,AD54&gt;='NILAI CPL'!$B$5,2,AD54&gt;'NILAI CPL'!$B$6,1),0),"")</f>
        <v/>
      </c>
      <c r="BB54" s="2" t="str" cm="1">
        <f t="array" ref="BB54">IF('NILAI CPL'!$B54&lt;&gt;"",IFERROR(_xlfn.IFS(AE54&gt;='NILAI CPL'!$B$3,4,AE54&gt;='NILAI CPL'!$B$4,3,AE54&gt;='NILAI CPL'!$B$5,2,AE54&gt;'NILAI CPL'!$B$6,1),0),"")</f>
        <v/>
      </c>
      <c r="BC54" s="2" t="str" cm="1">
        <f t="array" ref="BC54">IF('NILAI CPL'!$B54&lt;&gt;"",IFERROR(_xlfn.IFS(AF54&gt;='NILAI CPL'!$B$3,4,AF54&gt;='NILAI CPL'!$B$4,3,AF54&gt;='NILAI CPL'!$B$5,2,AF54&gt;'NILAI CPL'!$B$6,1),0),"")</f>
        <v/>
      </c>
      <c r="BD54" s="2" t="str" cm="1">
        <f t="array" ref="BD54">IF('NILAI CPL'!$B54&lt;&gt;"",IFERROR(_xlfn.IFS(AG54&gt;='NILAI CPL'!$B$3,4,AG54&gt;='NILAI CPL'!$B$4,3,AG54&gt;='NILAI CPL'!$B$5,2,AG54&gt;'NILAI CPL'!$B$6,1),0),"")</f>
        <v/>
      </c>
      <c r="BE54" s="2" t="str" cm="1">
        <f t="array" ref="BE54">IF('NILAI CPL'!$B54&lt;&gt;"",IFERROR(_xlfn.IFS(AH54&gt;='NILAI CPL'!$B$3,4,AH54&gt;='NILAI CPL'!$B$4,3,AH54&gt;='NILAI CPL'!$B$5,2,AH54&gt;'NILAI CPL'!$B$6,1),0),"")</f>
        <v/>
      </c>
      <c r="BF54" s="2" t="str" cm="1">
        <f t="array" ref="BF54">IF('NILAI CPL'!$B54&lt;&gt;"",IFERROR(_xlfn.IFS(AI54&gt;='NILAI CPL'!$B$3,4,AI54&gt;='NILAI CPL'!$B$4,3,AI54&gt;='NILAI CPL'!$B$5,2,AI54&gt;'NILAI CPL'!$B$6,1),0),"")</f>
        <v/>
      </c>
      <c r="BG54" s="2" t="str" cm="1">
        <f t="array" ref="BG54">IF('NILAI CPL'!$B54&lt;&gt;"",IFERROR(_xlfn.IFS(AJ54&gt;='NILAI CPL'!$B$3,4,AJ54&gt;='NILAI CPL'!$B$4,3,AJ54&gt;='NILAI CPL'!$B$5,2,AJ54&gt;'NILAI CPL'!$B$6,1),0),"")</f>
        <v/>
      </c>
      <c r="BH54" s="2" t="str" cm="1">
        <f t="array" ref="BH54">IF('NILAI CPL'!$B54&lt;&gt;"",IFERROR(_xlfn.IFS(AK54&gt;='NILAI CPL'!$B$3,4,AK54&gt;='NILAI CPL'!$B$4,3,AK54&gt;='NILAI CPL'!$B$5,2,AK54&gt;'NILAI CPL'!$B$6,1),0),"")</f>
        <v/>
      </c>
      <c r="BI54" s="2" t="str" cm="1">
        <f t="array" ref="BI54">IF('NILAI CPL'!$B54&lt;&gt;"",IFERROR(_xlfn.IFS(AL54&gt;='NILAI CPL'!$B$3,4,AL54&gt;='NILAI CPL'!$B$4,3,AL54&gt;='NILAI CPL'!$B$5,2,AL54&gt;'NILAI CPL'!$B$6,1),0),"")</f>
        <v/>
      </c>
      <c r="BJ54" s="2" t="str" cm="1">
        <f t="array" ref="BJ54">IF('NILAI CPL'!$B54&lt;&gt;"",IFERROR(_xlfn.IFS(AM54&gt;='NILAI CPL'!$B$3,4,AM54&gt;='NILAI CPL'!$B$4,3,AM54&gt;='NILAI CPL'!$B$5,2,AM54&gt;'NILAI CPL'!$B$6,1),0),"")</f>
        <v/>
      </c>
      <c r="BK54" s="2" t="str" cm="1">
        <f t="array" ref="BK54">IF('NILAI CPL'!$B54&lt;&gt;"",IFERROR(_xlfn.IFS(AN54&gt;='NILAI CPL'!$B$3,4,AN54&gt;='NILAI CPL'!$B$4,3,AN54&gt;='NILAI CPL'!$B$5,2,AN54&gt;'NILAI CPL'!$B$6,1),0),"")</f>
        <v/>
      </c>
    </row>
    <row r="55" spans="1:63" x14ac:dyDescent="0.2">
      <c r="A55" s="2">
        <v>45</v>
      </c>
      <c r="B55" s="2" t="str">
        <f>IF(LEN(SUMMARY!B55)&gt;0, SUMMARY!B55, "")</f>
        <v/>
      </c>
      <c r="C55" s="2" t="str">
        <f>IF(LEN(SUMMARY!C55)&gt;0, SUMMARY!C55, "")</f>
        <v/>
      </c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" t="str">
        <f t="shared" si="2"/>
        <v/>
      </c>
      <c r="S55" s="2" t="str">
        <f t="shared" si="3"/>
        <v/>
      </c>
      <c r="T55" s="2" t="str">
        <f t="shared" si="4"/>
        <v/>
      </c>
      <c r="U55" s="2" t="str">
        <f t="shared" si="5"/>
        <v/>
      </c>
      <c r="V55" s="2" t="str">
        <f t="shared" si="6"/>
        <v/>
      </c>
      <c r="W55" s="2" t="str">
        <f t="shared" si="7"/>
        <v/>
      </c>
      <c r="X55" s="2" t="str">
        <f t="shared" si="8"/>
        <v/>
      </c>
      <c r="Y55" s="2" t="str">
        <f t="shared" si="9"/>
        <v/>
      </c>
      <c r="Z55" s="2" t="str">
        <f t="shared" si="10"/>
        <v/>
      </c>
      <c r="AA55" s="2" t="str">
        <f t="shared" si="11"/>
        <v/>
      </c>
      <c r="AB55" s="2" t="str">
        <f t="shared" si="12"/>
        <v/>
      </c>
      <c r="AC55" s="2" t="str">
        <f t="shared" si="13"/>
        <v/>
      </c>
      <c r="AD55" s="2" t="str">
        <f t="shared" si="14"/>
        <v/>
      </c>
      <c r="AE55" s="2" t="str">
        <f t="shared" si="15"/>
        <v/>
      </c>
      <c r="AF55" s="2" t="str">
        <f t="shared" si="16"/>
        <v/>
      </c>
      <c r="AG55" s="2" t="str">
        <f t="shared" si="17"/>
        <v/>
      </c>
      <c r="AH55" s="2" t="str">
        <f t="shared" si="18"/>
        <v/>
      </c>
      <c r="AI55" s="2" t="str">
        <f t="shared" si="19"/>
        <v/>
      </c>
      <c r="AJ55" s="2" t="str">
        <f t="shared" si="20"/>
        <v/>
      </c>
      <c r="AK55" s="2" t="str">
        <f t="shared" si="21"/>
        <v/>
      </c>
      <c r="AL55" s="2" t="str">
        <f t="shared" si="22"/>
        <v/>
      </c>
      <c r="AM55" s="2" t="str">
        <f t="shared" si="23"/>
        <v/>
      </c>
      <c r="AN55" s="2" t="str">
        <f t="shared" si="24"/>
        <v/>
      </c>
      <c r="AP55" s="2" t="str" cm="1">
        <f t="array" ref="AP55">IF('NILAI CPL'!$B55&lt;&gt;"",IFERROR(_xlfn.IFS(S55&gt;='NILAI CPL'!$B$3,4,S55&gt;='NILAI CPL'!$B$4,3,S55&gt;='NILAI CPL'!$B$5,2,S55&gt;'NILAI CPL'!$B$6,1),0),"")</f>
        <v/>
      </c>
      <c r="AQ55" s="2" t="str" cm="1">
        <f t="array" ref="AQ55">IF('NILAI CPL'!$B55&lt;&gt;"",IFERROR(_xlfn.IFS(T55&gt;='NILAI CPL'!$B$3,4,T55&gt;='NILAI CPL'!$B$4,3,T55&gt;='NILAI CPL'!$B$5,2,T55&gt;'NILAI CPL'!$B$6,1),0),"")</f>
        <v/>
      </c>
      <c r="AR55" s="2" t="str" cm="1">
        <f t="array" ref="AR55">IF('NILAI CPL'!$B55&lt;&gt;"",IFERROR(_xlfn.IFS(U55&gt;='NILAI CPL'!$B$3,4,U55&gt;='NILAI CPL'!$B$4,3,U55&gt;='NILAI CPL'!$B$5,2,U55&gt;'NILAI CPL'!$B$6,1),0),"")</f>
        <v/>
      </c>
      <c r="AS55" s="2" t="str" cm="1">
        <f t="array" ref="AS55">IF('NILAI CPL'!$B55&lt;&gt;"",IFERROR(_xlfn.IFS(V55&gt;='NILAI CPL'!$B$3,4,V55&gt;='NILAI CPL'!$B$4,3,V55&gt;='NILAI CPL'!$B$5,2,V55&gt;'NILAI CPL'!$B$6,1),0),"")</f>
        <v/>
      </c>
      <c r="AT55" s="2" t="str" cm="1">
        <f t="array" ref="AT55">IF('NILAI CPL'!$B55&lt;&gt;"",IFERROR(_xlfn.IFS(W55&gt;='NILAI CPL'!$B$3,4,W55&gt;='NILAI CPL'!$B$4,3,W55&gt;='NILAI CPL'!$B$5,2,W55&gt;'NILAI CPL'!$B$6,1),0),"")</f>
        <v/>
      </c>
      <c r="AU55" s="2" t="str" cm="1">
        <f t="array" ref="AU55">IF('NILAI CPL'!$B55&lt;&gt;"",IFERROR(_xlfn.IFS(X55&gt;='NILAI CPL'!$B$3,4,X55&gt;='NILAI CPL'!$B$4,3,X55&gt;='NILAI CPL'!$B$5,2,X55&gt;'NILAI CPL'!$B$6,1),0),"")</f>
        <v/>
      </c>
      <c r="AV55" s="2" t="str" cm="1">
        <f t="array" ref="AV55">IF('NILAI CPL'!$B55&lt;&gt;"",IFERROR(_xlfn.IFS(Y55&gt;='NILAI CPL'!$B$3,4,Y55&gt;='NILAI CPL'!$B$4,3,Y55&gt;='NILAI CPL'!$B$5,2,Y55&gt;'NILAI CPL'!$B$6,1),0),"")</f>
        <v/>
      </c>
      <c r="AW55" s="2" t="str" cm="1">
        <f t="array" ref="AW55">IF('NILAI CPL'!$B55&lt;&gt;"",IFERROR(_xlfn.IFS(Z55&gt;='NILAI CPL'!$B$3,4,Z55&gt;='NILAI CPL'!$B$4,3,Z55&gt;='NILAI CPL'!$B$5,2,Z55&gt;'NILAI CPL'!$B$6,1),0),"")</f>
        <v/>
      </c>
      <c r="AX55" s="2" t="str" cm="1">
        <f t="array" ref="AX55">IF('NILAI CPL'!$B55&lt;&gt;"",IFERROR(_xlfn.IFS(AA55&gt;='NILAI CPL'!$B$3,4,AA55&gt;='NILAI CPL'!$B$4,3,AA55&gt;='NILAI CPL'!$B$5,2,AA55&gt;'NILAI CPL'!$B$6,1),0),"")</f>
        <v/>
      </c>
      <c r="AY55" s="2" t="str" cm="1">
        <f t="array" ref="AY55">IF('NILAI CPL'!$B55&lt;&gt;"",IFERROR(_xlfn.IFS(AB55&gt;='NILAI CPL'!$B$3,4,AB55&gt;='NILAI CPL'!$B$4,3,AB55&gt;='NILAI CPL'!$B$5,2,AB55&gt;'NILAI CPL'!$B$6,1),0),"")</f>
        <v/>
      </c>
      <c r="AZ55" s="2" t="str" cm="1">
        <f t="array" ref="AZ55">IF('NILAI CPL'!$B55&lt;&gt;"",IFERROR(_xlfn.IFS(AC55&gt;='NILAI CPL'!$B$3,4,AC55&gt;='NILAI CPL'!$B$4,3,AC55&gt;='NILAI CPL'!$B$5,2,AC55&gt;'NILAI CPL'!$B$6,1),0),"")</f>
        <v/>
      </c>
      <c r="BA55" s="2" t="str" cm="1">
        <f t="array" ref="BA55">IF('NILAI CPL'!$B55&lt;&gt;"",IFERROR(_xlfn.IFS(AD55&gt;='NILAI CPL'!$B$3,4,AD55&gt;='NILAI CPL'!$B$4,3,AD55&gt;='NILAI CPL'!$B$5,2,AD55&gt;'NILAI CPL'!$B$6,1),0),"")</f>
        <v/>
      </c>
      <c r="BB55" s="2" t="str" cm="1">
        <f t="array" ref="BB55">IF('NILAI CPL'!$B55&lt;&gt;"",IFERROR(_xlfn.IFS(AE55&gt;='NILAI CPL'!$B$3,4,AE55&gt;='NILAI CPL'!$B$4,3,AE55&gt;='NILAI CPL'!$B$5,2,AE55&gt;'NILAI CPL'!$B$6,1),0),"")</f>
        <v/>
      </c>
      <c r="BC55" s="2" t="str" cm="1">
        <f t="array" ref="BC55">IF('NILAI CPL'!$B55&lt;&gt;"",IFERROR(_xlfn.IFS(AF55&gt;='NILAI CPL'!$B$3,4,AF55&gt;='NILAI CPL'!$B$4,3,AF55&gt;='NILAI CPL'!$B$5,2,AF55&gt;'NILAI CPL'!$B$6,1),0),"")</f>
        <v/>
      </c>
      <c r="BD55" s="2" t="str" cm="1">
        <f t="array" ref="BD55">IF('NILAI CPL'!$B55&lt;&gt;"",IFERROR(_xlfn.IFS(AG55&gt;='NILAI CPL'!$B$3,4,AG55&gt;='NILAI CPL'!$B$4,3,AG55&gt;='NILAI CPL'!$B$5,2,AG55&gt;'NILAI CPL'!$B$6,1),0),"")</f>
        <v/>
      </c>
      <c r="BE55" s="2" t="str" cm="1">
        <f t="array" ref="BE55">IF('NILAI CPL'!$B55&lt;&gt;"",IFERROR(_xlfn.IFS(AH55&gt;='NILAI CPL'!$B$3,4,AH55&gt;='NILAI CPL'!$B$4,3,AH55&gt;='NILAI CPL'!$B$5,2,AH55&gt;'NILAI CPL'!$B$6,1),0),"")</f>
        <v/>
      </c>
      <c r="BF55" s="2" t="str" cm="1">
        <f t="array" ref="BF55">IF('NILAI CPL'!$B55&lt;&gt;"",IFERROR(_xlfn.IFS(AI55&gt;='NILAI CPL'!$B$3,4,AI55&gt;='NILAI CPL'!$B$4,3,AI55&gt;='NILAI CPL'!$B$5,2,AI55&gt;'NILAI CPL'!$B$6,1),0),"")</f>
        <v/>
      </c>
      <c r="BG55" s="2" t="str" cm="1">
        <f t="array" ref="BG55">IF('NILAI CPL'!$B55&lt;&gt;"",IFERROR(_xlfn.IFS(AJ55&gt;='NILAI CPL'!$B$3,4,AJ55&gt;='NILAI CPL'!$B$4,3,AJ55&gt;='NILAI CPL'!$B$5,2,AJ55&gt;'NILAI CPL'!$B$6,1),0),"")</f>
        <v/>
      </c>
      <c r="BH55" s="2" t="str" cm="1">
        <f t="array" ref="BH55">IF('NILAI CPL'!$B55&lt;&gt;"",IFERROR(_xlfn.IFS(AK55&gt;='NILAI CPL'!$B$3,4,AK55&gt;='NILAI CPL'!$B$4,3,AK55&gt;='NILAI CPL'!$B$5,2,AK55&gt;'NILAI CPL'!$B$6,1),0),"")</f>
        <v/>
      </c>
      <c r="BI55" s="2" t="str" cm="1">
        <f t="array" ref="BI55">IF('NILAI CPL'!$B55&lt;&gt;"",IFERROR(_xlfn.IFS(AL55&gt;='NILAI CPL'!$B$3,4,AL55&gt;='NILAI CPL'!$B$4,3,AL55&gt;='NILAI CPL'!$B$5,2,AL55&gt;'NILAI CPL'!$B$6,1),0),"")</f>
        <v/>
      </c>
      <c r="BJ55" s="2" t="str" cm="1">
        <f t="array" ref="BJ55">IF('NILAI CPL'!$B55&lt;&gt;"",IFERROR(_xlfn.IFS(AM55&gt;='NILAI CPL'!$B$3,4,AM55&gt;='NILAI CPL'!$B$4,3,AM55&gt;='NILAI CPL'!$B$5,2,AM55&gt;'NILAI CPL'!$B$6,1),0),"")</f>
        <v/>
      </c>
      <c r="BK55" s="2" t="str" cm="1">
        <f t="array" ref="BK55">IF('NILAI CPL'!$B55&lt;&gt;"",IFERROR(_xlfn.IFS(AN55&gt;='NILAI CPL'!$B$3,4,AN55&gt;='NILAI CPL'!$B$4,3,AN55&gt;='NILAI CPL'!$B$5,2,AN55&gt;'NILAI CPL'!$B$6,1),0),"")</f>
        <v/>
      </c>
    </row>
    <row r="56" spans="1:63" x14ac:dyDescent="0.2">
      <c r="A56" s="2">
        <v>46</v>
      </c>
      <c r="B56" s="2" t="str">
        <f>IF(LEN(SUMMARY!B56)&gt;0, SUMMARY!B56, "")</f>
        <v/>
      </c>
      <c r="C56" s="2" t="str">
        <f>IF(LEN(SUMMARY!C56)&gt;0, SUMMARY!C56, "")</f>
        <v/>
      </c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" t="str">
        <f t="shared" si="2"/>
        <v/>
      </c>
      <c r="S56" s="2" t="str">
        <f t="shared" si="3"/>
        <v/>
      </c>
      <c r="T56" s="2" t="str">
        <f t="shared" si="4"/>
        <v/>
      </c>
      <c r="U56" s="2" t="str">
        <f t="shared" si="5"/>
        <v/>
      </c>
      <c r="V56" s="2" t="str">
        <f t="shared" si="6"/>
        <v/>
      </c>
      <c r="W56" s="2" t="str">
        <f t="shared" si="7"/>
        <v/>
      </c>
      <c r="X56" s="2" t="str">
        <f t="shared" si="8"/>
        <v/>
      </c>
      <c r="Y56" s="2" t="str">
        <f t="shared" si="9"/>
        <v/>
      </c>
      <c r="Z56" s="2" t="str">
        <f t="shared" si="10"/>
        <v/>
      </c>
      <c r="AA56" s="2" t="str">
        <f t="shared" si="11"/>
        <v/>
      </c>
      <c r="AB56" s="2" t="str">
        <f t="shared" si="12"/>
        <v/>
      </c>
      <c r="AC56" s="2" t="str">
        <f t="shared" si="13"/>
        <v/>
      </c>
      <c r="AD56" s="2" t="str">
        <f t="shared" si="14"/>
        <v/>
      </c>
      <c r="AE56" s="2" t="str">
        <f t="shared" si="15"/>
        <v/>
      </c>
      <c r="AF56" s="2" t="str">
        <f t="shared" si="16"/>
        <v/>
      </c>
      <c r="AG56" s="2" t="str">
        <f t="shared" si="17"/>
        <v/>
      </c>
      <c r="AH56" s="2" t="str">
        <f t="shared" si="18"/>
        <v/>
      </c>
      <c r="AI56" s="2" t="str">
        <f t="shared" si="19"/>
        <v/>
      </c>
      <c r="AJ56" s="2" t="str">
        <f t="shared" si="20"/>
        <v/>
      </c>
      <c r="AK56" s="2" t="str">
        <f t="shared" si="21"/>
        <v/>
      </c>
      <c r="AL56" s="2" t="str">
        <f t="shared" si="22"/>
        <v/>
      </c>
      <c r="AM56" s="2" t="str">
        <f t="shared" si="23"/>
        <v/>
      </c>
      <c r="AN56" s="2" t="str">
        <f t="shared" si="24"/>
        <v/>
      </c>
      <c r="AP56" s="2" t="str" cm="1">
        <f t="array" ref="AP56">IF('NILAI CPL'!$B56&lt;&gt;"",IFERROR(_xlfn.IFS(S56&gt;='NILAI CPL'!$B$3,4,S56&gt;='NILAI CPL'!$B$4,3,S56&gt;='NILAI CPL'!$B$5,2,S56&gt;'NILAI CPL'!$B$6,1),0),"")</f>
        <v/>
      </c>
      <c r="AQ56" s="2" t="str" cm="1">
        <f t="array" ref="AQ56">IF('NILAI CPL'!$B56&lt;&gt;"",IFERROR(_xlfn.IFS(T56&gt;='NILAI CPL'!$B$3,4,T56&gt;='NILAI CPL'!$B$4,3,T56&gt;='NILAI CPL'!$B$5,2,T56&gt;'NILAI CPL'!$B$6,1),0),"")</f>
        <v/>
      </c>
      <c r="AR56" s="2" t="str" cm="1">
        <f t="array" ref="AR56">IF('NILAI CPL'!$B56&lt;&gt;"",IFERROR(_xlfn.IFS(U56&gt;='NILAI CPL'!$B$3,4,U56&gt;='NILAI CPL'!$B$4,3,U56&gt;='NILAI CPL'!$B$5,2,U56&gt;'NILAI CPL'!$B$6,1),0),"")</f>
        <v/>
      </c>
      <c r="AS56" s="2" t="str" cm="1">
        <f t="array" ref="AS56">IF('NILAI CPL'!$B56&lt;&gt;"",IFERROR(_xlfn.IFS(V56&gt;='NILAI CPL'!$B$3,4,V56&gt;='NILAI CPL'!$B$4,3,V56&gt;='NILAI CPL'!$B$5,2,V56&gt;'NILAI CPL'!$B$6,1),0),"")</f>
        <v/>
      </c>
      <c r="AT56" s="2" t="str" cm="1">
        <f t="array" ref="AT56">IF('NILAI CPL'!$B56&lt;&gt;"",IFERROR(_xlfn.IFS(W56&gt;='NILAI CPL'!$B$3,4,W56&gt;='NILAI CPL'!$B$4,3,W56&gt;='NILAI CPL'!$B$5,2,W56&gt;'NILAI CPL'!$B$6,1),0),"")</f>
        <v/>
      </c>
      <c r="AU56" s="2" t="str" cm="1">
        <f t="array" ref="AU56">IF('NILAI CPL'!$B56&lt;&gt;"",IFERROR(_xlfn.IFS(X56&gt;='NILAI CPL'!$B$3,4,X56&gt;='NILAI CPL'!$B$4,3,X56&gt;='NILAI CPL'!$B$5,2,X56&gt;'NILAI CPL'!$B$6,1),0),"")</f>
        <v/>
      </c>
      <c r="AV56" s="2" t="str" cm="1">
        <f t="array" ref="AV56">IF('NILAI CPL'!$B56&lt;&gt;"",IFERROR(_xlfn.IFS(Y56&gt;='NILAI CPL'!$B$3,4,Y56&gt;='NILAI CPL'!$B$4,3,Y56&gt;='NILAI CPL'!$B$5,2,Y56&gt;'NILAI CPL'!$B$6,1),0),"")</f>
        <v/>
      </c>
      <c r="AW56" s="2" t="str" cm="1">
        <f t="array" ref="AW56">IF('NILAI CPL'!$B56&lt;&gt;"",IFERROR(_xlfn.IFS(Z56&gt;='NILAI CPL'!$B$3,4,Z56&gt;='NILAI CPL'!$B$4,3,Z56&gt;='NILAI CPL'!$B$5,2,Z56&gt;'NILAI CPL'!$B$6,1),0),"")</f>
        <v/>
      </c>
      <c r="AX56" s="2" t="str" cm="1">
        <f t="array" ref="AX56">IF('NILAI CPL'!$B56&lt;&gt;"",IFERROR(_xlfn.IFS(AA56&gt;='NILAI CPL'!$B$3,4,AA56&gt;='NILAI CPL'!$B$4,3,AA56&gt;='NILAI CPL'!$B$5,2,AA56&gt;'NILAI CPL'!$B$6,1),0),"")</f>
        <v/>
      </c>
      <c r="AY56" s="2" t="str" cm="1">
        <f t="array" ref="AY56">IF('NILAI CPL'!$B56&lt;&gt;"",IFERROR(_xlfn.IFS(AB56&gt;='NILAI CPL'!$B$3,4,AB56&gt;='NILAI CPL'!$B$4,3,AB56&gt;='NILAI CPL'!$B$5,2,AB56&gt;'NILAI CPL'!$B$6,1),0),"")</f>
        <v/>
      </c>
      <c r="AZ56" s="2" t="str" cm="1">
        <f t="array" ref="AZ56">IF('NILAI CPL'!$B56&lt;&gt;"",IFERROR(_xlfn.IFS(AC56&gt;='NILAI CPL'!$B$3,4,AC56&gt;='NILAI CPL'!$B$4,3,AC56&gt;='NILAI CPL'!$B$5,2,AC56&gt;'NILAI CPL'!$B$6,1),0),"")</f>
        <v/>
      </c>
      <c r="BA56" s="2" t="str" cm="1">
        <f t="array" ref="BA56">IF('NILAI CPL'!$B56&lt;&gt;"",IFERROR(_xlfn.IFS(AD56&gt;='NILAI CPL'!$B$3,4,AD56&gt;='NILAI CPL'!$B$4,3,AD56&gt;='NILAI CPL'!$B$5,2,AD56&gt;'NILAI CPL'!$B$6,1),0),"")</f>
        <v/>
      </c>
      <c r="BB56" s="2" t="str" cm="1">
        <f t="array" ref="BB56">IF('NILAI CPL'!$B56&lt;&gt;"",IFERROR(_xlfn.IFS(AE56&gt;='NILAI CPL'!$B$3,4,AE56&gt;='NILAI CPL'!$B$4,3,AE56&gt;='NILAI CPL'!$B$5,2,AE56&gt;'NILAI CPL'!$B$6,1),0),"")</f>
        <v/>
      </c>
      <c r="BC56" s="2" t="str" cm="1">
        <f t="array" ref="BC56">IF('NILAI CPL'!$B56&lt;&gt;"",IFERROR(_xlfn.IFS(AF56&gt;='NILAI CPL'!$B$3,4,AF56&gt;='NILAI CPL'!$B$4,3,AF56&gt;='NILAI CPL'!$B$5,2,AF56&gt;'NILAI CPL'!$B$6,1),0),"")</f>
        <v/>
      </c>
      <c r="BD56" s="2" t="str" cm="1">
        <f t="array" ref="BD56">IF('NILAI CPL'!$B56&lt;&gt;"",IFERROR(_xlfn.IFS(AG56&gt;='NILAI CPL'!$B$3,4,AG56&gt;='NILAI CPL'!$B$4,3,AG56&gt;='NILAI CPL'!$B$5,2,AG56&gt;'NILAI CPL'!$B$6,1),0),"")</f>
        <v/>
      </c>
      <c r="BE56" s="2" t="str" cm="1">
        <f t="array" ref="BE56">IF('NILAI CPL'!$B56&lt;&gt;"",IFERROR(_xlfn.IFS(AH56&gt;='NILAI CPL'!$B$3,4,AH56&gt;='NILAI CPL'!$B$4,3,AH56&gt;='NILAI CPL'!$B$5,2,AH56&gt;'NILAI CPL'!$B$6,1),0),"")</f>
        <v/>
      </c>
      <c r="BF56" s="2" t="str" cm="1">
        <f t="array" ref="BF56">IF('NILAI CPL'!$B56&lt;&gt;"",IFERROR(_xlfn.IFS(AI56&gt;='NILAI CPL'!$B$3,4,AI56&gt;='NILAI CPL'!$B$4,3,AI56&gt;='NILAI CPL'!$B$5,2,AI56&gt;'NILAI CPL'!$B$6,1),0),"")</f>
        <v/>
      </c>
      <c r="BG56" s="2" t="str" cm="1">
        <f t="array" ref="BG56">IF('NILAI CPL'!$B56&lt;&gt;"",IFERROR(_xlfn.IFS(AJ56&gt;='NILAI CPL'!$B$3,4,AJ56&gt;='NILAI CPL'!$B$4,3,AJ56&gt;='NILAI CPL'!$B$5,2,AJ56&gt;'NILAI CPL'!$B$6,1),0),"")</f>
        <v/>
      </c>
      <c r="BH56" s="2" t="str" cm="1">
        <f t="array" ref="BH56">IF('NILAI CPL'!$B56&lt;&gt;"",IFERROR(_xlfn.IFS(AK56&gt;='NILAI CPL'!$B$3,4,AK56&gt;='NILAI CPL'!$B$4,3,AK56&gt;='NILAI CPL'!$B$5,2,AK56&gt;'NILAI CPL'!$B$6,1),0),"")</f>
        <v/>
      </c>
      <c r="BI56" s="2" t="str" cm="1">
        <f t="array" ref="BI56">IF('NILAI CPL'!$B56&lt;&gt;"",IFERROR(_xlfn.IFS(AL56&gt;='NILAI CPL'!$B$3,4,AL56&gt;='NILAI CPL'!$B$4,3,AL56&gt;='NILAI CPL'!$B$5,2,AL56&gt;'NILAI CPL'!$B$6,1),0),"")</f>
        <v/>
      </c>
      <c r="BJ56" s="2" t="str" cm="1">
        <f t="array" ref="BJ56">IF('NILAI CPL'!$B56&lt;&gt;"",IFERROR(_xlfn.IFS(AM56&gt;='NILAI CPL'!$B$3,4,AM56&gt;='NILAI CPL'!$B$4,3,AM56&gt;='NILAI CPL'!$B$5,2,AM56&gt;'NILAI CPL'!$B$6,1),0),"")</f>
        <v/>
      </c>
      <c r="BK56" s="2" t="str" cm="1">
        <f t="array" ref="BK56">IF('NILAI CPL'!$B56&lt;&gt;"",IFERROR(_xlfn.IFS(AN56&gt;='NILAI CPL'!$B$3,4,AN56&gt;='NILAI CPL'!$B$4,3,AN56&gt;='NILAI CPL'!$B$5,2,AN56&gt;'NILAI CPL'!$B$6,1),0),"")</f>
        <v/>
      </c>
    </row>
    <row r="57" spans="1:63" x14ac:dyDescent="0.2">
      <c r="A57" s="2">
        <v>47</v>
      </c>
      <c r="B57" s="2" t="str">
        <f>IF(LEN(SUMMARY!B57)&gt;0, SUMMARY!B57, "")</f>
        <v/>
      </c>
      <c r="C57" s="2" t="str">
        <f>IF(LEN(SUMMARY!C57)&gt;0, SUMMARY!C57, "")</f>
        <v/>
      </c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" t="str">
        <f t="shared" si="2"/>
        <v/>
      </c>
      <c r="S57" s="2" t="str">
        <f t="shared" si="3"/>
        <v/>
      </c>
      <c r="T57" s="2" t="str">
        <f t="shared" si="4"/>
        <v/>
      </c>
      <c r="U57" s="2" t="str">
        <f t="shared" si="5"/>
        <v/>
      </c>
      <c r="V57" s="2" t="str">
        <f t="shared" si="6"/>
        <v/>
      </c>
      <c r="W57" s="2" t="str">
        <f t="shared" si="7"/>
        <v/>
      </c>
      <c r="X57" s="2" t="str">
        <f t="shared" si="8"/>
        <v/>
      </c>
      <c r="Y57" s="2" t="str">
        <f t="shared" si="9"/>
        <v/>
      </c>
      <c r="Z57" s="2" t="str">
        <f t="shared" si="10"/>
        <v/>
      </c>
      <c r="AA57" s="2" t="str">
        <f t="shared" si="11"/>
        <v/>
      </c>
      <c r="AB57" s="2" t="str">
        <f t="shared" si="12"/>
        <v/>
      </c>
      <c r="AC57" s="2" t="str">
        <f t="shared" si="13"/>
        <v/>
      </c>
      <c r="AD57" s="2" t="str">
        <f t="shared" si="14"/>
        <v/>
      </c>
      <c r="AE57" s="2" t="str">
        <f t="shared" si="15"/>
        <v/>
      </c>
      <c r="AF57" s="2" t="str">
        <f t="shared" si="16"/>
        <v/>
      </c>
      <c r="AG57" s="2" t="str">
        <f t="shared" si="17"/>
        <v/>
      </c>
      <c r="AH57" s="2" t="str">
        <f t="shared" si="18"/>
        <v/>
      </c>
      <c r="AI57" s="2" t="str">
        <f t="shared" si="19"/>
        <v/>
      </c>
      <c r="AJ57" s="2" t="str">
        <f t="shared" si="20"/>
        <v/>
      </c>
      <c r="AK57" s="2" t="str">
        <f t="shared" si="21"/>
        <v/>
      </c>
      <c r="AL57" s="2" t="str">
        <f t="shared" si="22"/>
        <v/>
      </c>
      <c r="AM57" s="2" t="str">
        <f t="shared" si="23"/>
        <v/>
      </c>
      <c r="AN57" s="2" t="str">
        <f t="shared" si="24"/>
        <v/>
      </c>
      <c r="AP57" s="2" t="str" cm="1">
        <f t="array" ref="AP57">IF('NILAI CPL'!$B57&lt;&gt;"",IFERROR(_xlfn.IFS(S57&gt;='NILAI CPL'!$B$3,4,S57&gt;='NILAI CPL'!$B$4,3,S57&gt;='NILAI CPL'!$B$5,2,S57&gt;'NILAI CPL'!$B$6,1),0),"")</f>
        <v/>
      </c>
      <c r="AQ57" s="2" t="str" cm="1">
        <f t="array" ref="AQ57">IF('NILAI CPL'!$B57&lt;&gt;"",IFERROR(_xlfn.IFS(T57&gt;='NILAI CPL'!$B$3,4,T57&gt;='NILAI CPL'!$B$4,3,T57&gt;='NILAI CPL'!$B$5,2,T57&gt;'NILAI CPL'!$B$6,1),0),"")</f>
        <v/>
      </c>
      <c r="AR57" s="2" t="str" cm="1">
        <f t="array" ref="AR57">IF('NILAI CPL'!$B57&lt;&gt;"",IFERROR(_xlfn.IFS(U57&gt;='NILAI CPL'!$B$3,4,U57&gt;='NILAI CPL'!$B$4,3,U57&gt;='NILAI CPL'!$B$5,2,U57&gt;'NILAI CPL'!$B$6,1),0),"")</f>
        <v/>
      </c>
      <c r="AS57" s="2" t="str" cm="1">
        <f t="array" ref="AS57">IF('NILAI CPL'!$B57&lt;&gt;"",IFERROR(_xlfn.IFS(V57&gt;='NILAI CPL'!$B$3,4,V57&gt;='NILAI CPL'!$B$4,3,V57&gt;='NILAI CPL'!$B$5,2,V57&gt;'NILAI CPL'!$B$6,1),0),"")</f>
        <v/>
      </c>
      <c r="AT57" s="2" t="str" cm="1">
        <f t="array" ref="AT57">IF('NILAI CPL'!$B57&lt;&gt;"",IFERROR(_xlfn.IFS(W57&gt;='NILAI CPL'!$B$3,4,W57&gt;='NILAI CPL'!$B$4,3,W57&gt;='NILAI CPL'!$B$5,2,W57&gt;'NILAI CPL'!$B$6,1),0),"")</f>
        <v/>
      </c>
      <c r="AU57" s="2" t="str" cm="1">
        <f t="array" ref="AU57">IF('NILAI CPL'!$B57&lt;&gt;"",IFERROR(_xlfn.IFS(X57&gt;='NILAI CPL'!$B$3,4,X57&gt;='NILAI CPL'!$B$4,3,X57&gt;='NILAI CPL'!$B$5,2,X57&gt;'NILAI CPL'!$B$6,1),0),"")</f>
        <v/>
      </c>
      <c r="AV57" s="2" t="str" cm="1">
        <f t="array" ref="AV57">IF('NILAI CPL'!$B57&lt;&gt;"",IFERROR(_xlfn.IFS(Y57&gt;='NILAI CPL'!$B$3,4,Y57&gt;='NILAI CPL'!$B$4,3,Y57&gt;='NILAI CPL'!$B$5,2,Y57&gt;'NILAI CPL'!$B$6,1),0),"")</f>
        <v/>
      </c>
      <c r="AW57" s="2" t="str" cm="1">
        <f t="array" ref="AW57">IF('NILAI CPL'!$B57&lt;&gt;"",IFERROR(_xlfn.IFS(Z57&gt;='NILAI CPL'!$B$3,4,Z57&gt;='NILAI CPL'!$B$4,3,Z57&gt;='NILAI CPL'!$B$5,2,Z57&gt;'NILAI CPL'!$B$6,1),0),"")</f>
        <v/>
      </c>
      <c r="AX57" s="2" t="str" cm="1">
        <f t="array" ref="AX57">IF('NILAI CPL'!$B57&lt;&gt;"",IFERROR(_xlfn.IFS(AA57&gt;='NILAI CPL'!$B$3,4,AA57&gt;='NILAI CPL'!$B$4,3,AA57&gt;='NILAI CPL'!$B$5,2,AA57&gt;'NILAI CPL'!$B$6,1),0),"")</f>
        <v/>
      </c>
      <c r="AY57" s="2" t="str" cm="1">
        <f t="array" ref="AY57">IF('NILAI CPL'!$B57&lt;&gt;"",IFERROR(_xlfn.IFS(AB57&gt;='NILAI CPL'!$B$3,4,AB57&gt;='NILAI CPL'!$B$4,3,AB57&gt;='NILAI CPL'!$B$5,2,AB57&gt;'NILAI CPL'!$B$6,1),0),"")</f>
        <v/>
      </c>
      <c r="AZ57" s="2" t="str" cm="1">
        <f t="array" ref="AZ57">IF('NILAI CPL'!$B57&lt;&gt;"",IFERROR(_xlfn.IFS(AC57&gt;='NILAI CPL'!$B$3,4,AC57&gt;='NILAI CPL'!$B$4,3,AC57&gt;='NILAI CPL'!$B$5,2,AC57&gt;'NILAI CPL'!$B$6,1),0),"")</f>
        <v/>
      </c>
      <c r="BA57" s="2" t="str" cm="1">
        <f t="array" ref="BA57">IF('NILAI CPL'!$B57&lt;&gt;"",IFERROR(_xlfn.IFS(AD57&gt;='NILAI CPL'!$B$3,4,AD57&gt;='NILAI CPL'!$B$4,3,AD57&gt;='NILAI CPL'!$B$5,2,AD57&gt;'NILAI CPL'!$B$6,1),0),"")</f>
        <v/>
      </c>
      <c r="BB57" s="2" t="str" cm="1">
        <f t="array" ref="BB57">IF('NILAI CPL'!$B57&lt;&gt;"",IFERROR(_xlfn.IFS(AE57&gt;='NILAI CPL'!$B$3,4,AE57&gt;='NILAI CPL'!$B$4,3,AE57&gt;='NILAI CPL'!$B$5,2,AE57&gt;'NILAI CPL'!$B$6,1),0),"")</f>
        <v/>
      </c>
      <c r="BC57" s="2" t="str" cm="1">
        <f t="array" ref="BC57">IF('NILAI CPL'!$B57&lt;&gt;"",IFERROR(_xlfn.IFS(AF57&gt;='NILAI CPL'!$B$3,4,AF57&gt;='NILAI CPL'!$B$4,3,AF57&gt;='NILAI CPL'!$B$5,2,AF57&gt;'NILAI CPL'!$B$6,1),0),"")</f>
        <v/>
      </c>
      <c r="BD57" s="2" t="str" cm="1">
        <f t="array" ref="BD57">IF('NILAI CPL'!$B57&lt;&gt;"",IFERROR(_xlfn.IFS(AG57&gt;='NILAI CPL'!$B$3,4,AG57&gt;='NILAI CPL'!$B$4,3,AG57&gt;='NILAI CPL'!$B$5,2,AG57&gt;'NILAI CPL'!$B$6,1),0),"")</f>
        <v/>
      </c>
      <c r="BE57" s="2" t="str" cm="1">
        <f t="array" ref="BE57">IF('NILAI CPL'!$B57&lt;&gt;"",IFERROR(_xlfn.IFS(AH57&gt;='NILAI CPL'!$B$3,4,AH57&gt;='NILAI CPL'!$B$4,3,AH57&gt;='NILAI CPL'!$B$5,2,AH57&gt;'NILAI CPL'!$B$6,1),0),"")</f>
        <v/>
      </c>
      <c r="BF57" s="2" t="str" cm="1">
        <f t="array" ref="BF57">IF('NILAI CPL'!$B57&lt;&gt;"",IFERROR(_xlfn.IFS(AI57&gt;='NILAI CPL'!$B$3,4,AI57&gt;='NILAI CPL'!$B$4,3,AI57&gt;='NILAI CPL'!$B$5,2,AI57&gt;'NILAI CPL'!$B$6,1),0),"")</f>
        <v/>
      </c>
      <c r="BG57" s="2" t="str" cm="1">
        <f t="array" ref="BG57">IF('NILAI CPL'!$B57&lt;&gt;"",IFERROR(_xlfn.IFS(AJ57&gt;='NILAI CPL'!$B$3,4,AJ57&gt;='NILAI CPL'!$B$4,3,AJ57&gt;='NILAI CPL'!$B$5,2,AJ57&gt;'NILAI CPL'!$B$6,1),0),"")</f>
        <v/>
      </c>
      <c r="BH57" s="2" t="str" cm="1">
        <f t="array" ref="BH57">IF('NILAI CPL'!$B57&lt;&gt;"",IFERROR(_xlfn.IFS(AK57&gt;='NILAI CPL'!$B$3,4,AK57&gt;='NILAI CPL'!$B$4,3,AK57&gt;='NILAI CPL'!$B$5,2,AK57&gt;'NILAI CPL'!$B$6,1),0),"")</f>
        <v/>
      </c>
      <c r="BI57" s="2" t="str" cm="1">
        <f t="array" ref="BI57">IF('NILAI CPL'!$B57&lt;&gt;"",IFERROR(_xlfn.IFS(AL57&gt;='NILAI CPL'!$B$3,4,AL57&gt;='NILAI CPL'!$B$4,3,AL57&gt;='NILAI CPL'!$B$5,2,AL57&gt;'NILAI CPL'!$B$6,1),0),"")</f>
        <v/>
      </c>
      <c r="BJ57" s="2" t="str" cm="1">
        <f t="array" ref="BJ57">IF('NILAI CPL'!$B57&lt;&gt;"",IFERROR(_xlfn.IFS(AM57&gt;='NILAI CPL'!$B$3,4,AM57&gt;='NILAI CPL'!$B$4,3,AM57&gt;='NILAI CPL'!$B$5,2,AM57&gt;'NILAI CPL'!$B$6,1),0),"")</f>
        <v/>
      </c>
      <c r="BK57" s="2" t="str" cm="1">
        <f t="array" ref="BK57">IF('NILAI CPL'!$B57&lt;&gt;"",IFERROR(_xlfn.IFS(AN57&gt;='NILAI CPL'!$B$3,4,AN57&gt;='NILAI CPL'!$B$4,3,AN57&gt;='NILAI CPL'!$B$5,2,AN57&gt;'NILAI CPL'!$B$6,1),0),"")</f>
        <v/>
      </c>
    </row>
    <row r="58" spans="1:63" x14ac:dyDescent="0.2">
      <c r="A58" s="2">
        <v>48</v>
      </c>
      <c r="B58" s="2" t="str">
        <f>IF(LEN(SUMMARY!B58)&gt;0, SUMMARY!B58, "")</f>
        <v/>
      </c>
      <c r="C58" s="2" t="str">
        <f>IF(LEN(SUMMARY!C58)&gt;0, SUMMARY!C58, "")</f>
        <v/>
      </c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" t="str">
        <f t="shared" si="2"/>
        <v/>
      </c>
      <c r="S58" s="2" t="str">
        <f t="shared" si="3"/>
        <v/>
      </c>
      <c r="T58" s="2" t="str">
        <f t="shared" si="4"/>
        <v/>
      </c>
      <c r="U58" s="2" t="str">
        <f t="shared" si="5"/>
        <v/>
      </c>
      <c r="V58" s="2" t="str">
        <f t="shared" si="6"/>
        <v/>
      </c>
      <c r="W58" s="2" t="str">
        <f t="shared" si="7"/>
        <v/>
      </c>
      <c r="X58" s="2" t="str">
        <f t="shared" si="8"/>
        <v/>
      </c>
      <c r="Y58" s="2" t="str">
        <f t="shared" si="9"/>
        <v/>
      </c>
      <c r="Z58" s="2" t="str">
        <f t="shared" si="10"/>
        <v/>
      </c>
      <c r="AA58" s="2" t="str">
        <f t="shared" si="11"/>
        <v/>
      </c>
      <c r="AB58" s="2" t="str">
        <f t="shared" si="12"/>
        <v/>
      </c>
      <c r="AC58" s="2" t="str">
        <f t="shared" si="13"/>
        <v/>
      </c>
      <c r="AD58" s="2" t="str">
        <f t="shared" si="14"/>
        <v/>
      </c>
      <c r="AE58" s="2" t="str">
        <f t="shared" si="15"/>
        <v/>
      </c>
      <c r="AF58" s="2" t="str">
        <f t="shared" si="16"/>
        <v/>
      </c>
      <c r="AG58" s="2" t="str">
        <f t="shared" si="17"/>
        <v/>
      </c>
      <c r="AH58" s="2" t="str">
        <f t="shared" si="18"/>
        <v/>
      </c>
      <c r="AI58" s="2" t="str">
        <f t="shared" si="19"/>
        <v/>
      </c>
      <c r="AJ58" s="2" t="str">
        <f t="shared" si="20"/>
        <v/>
      </c>
      <c r="AK58" s="2" t="str">
        <f t="shared" si="21"/>
        <v/>
      </c>
      <c r="AL58" s="2" t="str">
        <f t="shared" si="22"/>
        <v/>
      </c>
      <c r="AM58" s="2" t="str">
        <f t="shared" si="23"/>
        <v/>
      </c>
      <c r="AN58" s="2" t="str">
        <f t="shared" si="24"/>
        <v/>
      </c>
      <c r="AP58" s="2" t="str" cm="1">
        <f t="array" ref="AP58">IF('NILAI CPL'!$B58&lt;&gt;"",IFERROR(_xlfn.IFS(S58&gt;='NILAI CPL'!$B$3,4,S58&gt;='NILAI CPL'!$B$4,3,S58&gt;='NILAI CPL'!$B$5,2,S58&gt;'NILAI CPL'!$B$6,1),0),"")</f>
        <v/>
      </c>
      <c r="AQ58" s="2" t="str" cm="1">
        <f t="array" ref="AQ58">IF('NILAI CPL'!$B58&lt;&gt;"",IFERROR(_xlfn.IFS(T58&gt;='NILAI CPL'!$B$3,4,T58&gt;='NILAI CPL'!$B$4,3,T58&gt;='NILAI CPL'!$B$5,2,T58&gt;'NILAI CPL'!$B$6,1),0),"")</f>
        <v/>
      </c>
      <c r="AR58" s="2" t="str" cm="1">
        <f t="array" ref="AR58">IF('NILAI CPL'!$B58&lt;&gt;"",IFERROR(_xlfn.IFS(U58&gt;='NILAI CPL'!$B$3,4,U58&gt;='NILAI CPL'!$B$4,3,U58&gt;='NILAI CPL'!$B$5,2,U58&gt;'NILAI CPL'!$B$6,1),0),"")</f>
        <v/>
      </c>
      <c r="AS58" s="2" t="str" cm="1">
        <f t="array" ref="AS58">IF('NILAI CPL'!$B58&lt;&gt;"",IFERROR(_xlfn.IFS(V58&gt;='NILAI CPL'!$B$3,4,V58&gt;='NILAI CPL'!$B$4,3,V58&gt;='NILAI CPL'!$B$5,2,V58&gt;'NILAI CPL'!$B$6,1),0),"")</f>
        <v/>
      </c>
      <c r="AT58" s="2" t="str" cm="1">
        <f t="array" ref="AT58">IF('NILAI CPL'!$B58&lt;&gt;"",IFERROR(_xlfn.IFS(W58&gt;='NILAI CPL'!$B$3,4,W58&gt;='NILAI CPL'!$B$4,3,W58&gt;='NILAI CPL'!$B$5,2,W58&gt;'NILAI CPL'!$B$6,1),0),"")</f>
        <v/>
      </c>
      <c r="AU58" s="2" t="str" cm="1">
        <f t="array" ref="AU58">IF('NILAI CPL'!$B58&lt;&gt;"",IFERROR(_xlfn.IFS(X58&gt;='NILAI CPL'!$B$3,4,X58&gt;='NILAI CPL'!$B$4,3,X58&gt;='NILAI CPL'!$B$5,2,X58&gt;'NILAI CPL'!$B$6,1),0),"")</f>
        <v/>
      </c>
      <c r="AV58" s="2" t="str" cm="1">
        <f t="array" ref="AV58">IF('NILAI CPL'!$B58&lt;&gt;"",IFERROR(_xlfn.IFS(Y58&gt;='NILAI CPL'!$B$3,4,Y58&gt;='NILAI CPL'!$B$4,3,Y58&gt;='NILAI CPL'!$B$5,2,Y58&gt;'NILAI CPL'!$B$6,1),0),"")</f>
        <v/>
      </c>
      <c r="AW58" s="2" t="str" cm="1">
        <f t="array" ref="AW58">IF('NILAI CPL'!$B58&lt;&gt;"",IFERROR(_xlfn.IFS(Z58&gt;='NILAI CPL'!$B$3,4,Z58&gt;='NILAI CPL'!$B$4,3,Z58&gt;='NILAI CPL'!$B$5,2,Z58&gt;'NILAI CPL'!$B$6,1),0),"")</f>
        <v/>
      </c>
      <c r="AX58" s="2" t="str" cm="1">
        <f t="array" ref="AX58">IF('NILAI CPL'!$B58&lt;&gt;"",IFERROR(_xlfn.IFS(AA58&gt;='NILAI CPL'!$B$3,4,AA58&gt;='NILAI CPL'!$B$4,3,AA58&gt;='NILAI CPL'!$B$5,2,AA58&gt;'NILAI CPL'!$B$6,1),0),"")</f>
        <v/>
      </c>
      <c r="AY58" s="2" t="str" cm="1">
        <f t="array" ref="AY58">IF('NILAI CPL'!$B58&lt;&gt;"",IFERROR(_xlfn.IFS(AB58&gt;='NILAI CPL'!$B$3,4,AB58&gt;='NILAI CPL'!$B$4,3,AB58&gt;='NILAI CPL'!$B$5,2,AB58&gt;'NILAI CPL'!$B$6,1),0),"")</f>
        <v/>
      </c>
      <c r="AZ58" s="2" t="str" cm="1">
        <f t="array" ref="AZ58">IF('NILAI CPL'!$B58&lt;&gt;"",IFERROR(_xlfn.IFS(AC58&gt;='NILAI CPL'!$B$3,4,AC58&gt;='NILAI CPL'!$B$4,3,AC58&gt;='NILAI CPL'!$B$5,2,AC58&gt;'NILAI CPL'!$B$6,1),0),"")</f>
        <v/>
      </c>
      <c r="BA58" s="2" t="str" cm="1">
        <f t="array" ref="BA58">IF('NILAI CPL'!$B58&lt;&gt;"",IFERROR(_xlfn.IFS(AD58&gt;='NILAI CPL'!$B$3,4,AD58&gt;='NILAI CPL'!$B$4,3,AD58&gt;='NILAI CPL'!$B$5,2,AD58&gt;'NILAI CPL'!$B$6,1),0),"")</f>
        <v/>
      </c>
      <c r="BB58" s="2" t="str" cm="1">
        <f t="array" ref="BB58">IF('NILAI CPL'!$B58&lt;&gt;"",IFERROR(_xlfn.IFS(AE58&gt;='NILAI CPL'!$B$3,4,AE58&gt;='NILAI CPL'!$B$4,3,AE58&gt;='NILAI CPL'!$B$5,2,AE58&gt;'NILAI CPL'!$B$6,1),0),"")</f>
        <v/>
      </c>
      <c r="BC58" s="2" t="str" cm="1">
        <f t="array" ref="BC58">IF('NILAI CPL'!$B58&lt;&gt;"",IFERROR(_xlfn.IFS(AF58&gt;='NILAI CPL'!$B$3,4,AF58&gt;='NILAI CPL'!$B$4,3,AF58&gt;='NILAI CPL'!$B$5,2,AF58&gt;'NILAI CPL'!$B$6,1),0),"")</f>
        <v/>
      </c>
      <c r="BD58" s="2" t="str" cm="1">
        <f t="array" ref="BD58">IF('NILAI CPL'!$B58&lt;&gt;"",IFERROR(_xlfn.IFS(AG58&gt;='NILAI CPL'!$B$3,4,AG58&gt;='NILAI CPL'!$B$4,3,AG58&gt;='NILAI CPL'!$B$5,2,AG58&gt;'NILAI CPL'!$B$6,1),0),"")</f>
        <v/>
      </c>
      <c r="BE58" s="2" t="str" cm="1">
        <f t="array" ref="BE58">IF('NILAI CPL'!$B58&lt;&gt;"",IFERROR(_xlfn.IFS(AH58&gt;='NILAI CPL'!$B$3,4,AH58&gt;='NILAI CPL'!$B$4,3,AH58&gt;='NILAI CPL'!$B$5,2,AH58&gt;'NILAI CPL'!$B$6,1),0),"")</f>
        <v/>
      </c>
      <c r="BF58" s="2" t="str" cm="1">
        <f t="array" ref="BF58">IF('NILAI CPL'!$B58&lt;&gt;"",IFERROR(_xlfn.IFS(AI58&gt;='NILAI CPL'!$B$3,4,AI58&gt;='NILAI CPL'!$B$4,3,AI58&gt;='NILAI CPL'!$B$5,2,AI58&gt;'NILAI CPL'!$B$6,1),0),"")</f>
        <v/>
      </c>
      <c r="BG58" s="2" t="str" cm="1">
        <f t="array" ref="BG58">IF('NILAI CPL'!$B58&lt;&gt;"",IFERROR(_xlfn.IFS(AJ58&gt;='NILAI CPL'!$B$3,4,AJ58&gt;='NILAI CPL'!$B$4,3,AJ58&gt;='NILAI CPL'!$B$5,2,AJ58&gt;'NILAI CPL'!$B$6,1),0),"")</f>
        <v/>
      </c>
      <c r="BH58" s="2" t="str" cm="1">
        <f t="array" ref="BH58">IF('NILAI CPL'!$B58&lt;&gt;"",IFERROR(_xlfn.IFS(AK58&gt;='NILAI CPL'!$B$3,4,AK58&gt;='NILAI CPL'!$B$4,3,AK58&gt;='NILAI CPL'!$B$5,2,AK58&gt;'NILAI CPL'!$B$6,1),0),"")</f>
        <v/>
      </c>
      <c r="BI58" s="2" t="str" cm="1">
        <f t="array" ref="BI58">IF('NILAI CPL'!$B58&lt;&gt;"",IFERROR(_xlfn.IFS(AL58&gt;='NILAI CPL'!$B$3,4,AL58&gt;='NILAI CPL'!$B$4,3,AL58&gt;='NILAI CPL'!$B$5,2,AL58&gt;'NILAI CPL'!$B$6,1),0),"")</f>
        <v/>
      </c>
      <c r="BJ58" s="2" t="str" cm="1">
        <f t="array" ref="BJ58">IF('NILAI CPL'!$B58&lt;&gt;"",IFERROR(_xlfn.IFS(AM58&gt;='NILAI CPL'!$B$3,4,AM58&gt;='NILAI CPL'!$B$4,3,AM58&gt;='NILAI CPL'!$B$5,2,AM58&gt;'NILAI CPL'!$B$6,1),0),"")</f>
        <v/>
      </c>
      <c r="BK58" s="2" t="str" cm="1">
        <f t="array" ref="BK58">IF('NILAI CPL'!$B58&lt;&gt;"",IFERROR(_xlfn.IFS(AN58&gt;='NILAI CPL'!$B$3,4,AN58&gt;='NILAI CPL'!$B$4,3,AN58&gt;='NILAI CPL'!$B$5,2,AN58&gt;'NILAI CPL'!$B$6,1),0),"")</f>
        <v/>
      </c>
    </row>
    <row r="59" spans="1:63" x14ac:dyDescent="0.2">
      <c r="A59" s="2">
        <v>49</v>
      </c>
      <c r="B59" s="2" t="str">
        <f>IF(LEN(SUMMARY!B59)&gt;0, SUMMARY!B59, "")</f>
        <v/>
      </c>
      <c r="C59" s="2" t="str">
        <f>IF(LEN(SUMMARY!C59)&gt;0, SUMMARY!C59, "")</f>
        <v/>
      </c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" t="str">
        <f t="shared" si="2"/>
        <v/>
      </c>
      <c r="S59" s="2" t="str">
        <f t="shared" si="3"/>
        <v/>
      </c>
      <c r="T59" s="2" t="str">
        <f t="shared" si="4"/>
        <v/>
      </c>
      <c r="U59" s="2" t="str">
        <f t="shared" si="5"/>
        <v/>
      </c>
      <c r="V59" s="2" t="str">
        <f t="shared" si="6"/>
        <v/>
      </c>
      <c r="W59" s="2" t="str">
        <f t="shared" si="7"/>
        <v/>
      </c>
      <c r="X59" s="2" t="str">
        <f t="shared" si="8"/>
        <v/>
      </c>
      <c r="Y59" s="2" t="str">
        <f t="shared" si="9"/>
        <v/>
      </c>
      <c r="Z59" s="2" t="str">
        <f t="shared" si="10"/>
        <v/>
      </c>
      <c r="AA59" s="2" t="str">
        <f t="shared" si="11"/>
        <v/>
      </c>
      <c r="AB59" s="2" t="str">
        <f t="shared" si="12"/>
        <v/>
      </c>
      <c r="AC59" s="2" t="str">
        <f t="shared" si="13"/>
        <v/>
      </c>
      <c r="AD59" s="2" t="str">
        <f t="shared" si="14"/>
        <v/>
      </c>
      <c r="AE59" s="2" t="str">
        <f t="shared" si="15"/>
        <v/>
      </c>
      <c r="AF59" s="2" t="str">
        <f t="shared" si="16"/>
        <v/>
      </c>
      <c r="AG59" s="2" t="str">
        <f t="shared" si="17"/>
        <v/>
      </c>
      <c r="AH59" s="2" t="str">
        <f t="shared" si="18"/>
        <v/>
      </c>
      <c r="AI59" s="2" t="str">
        <f t="shared" si="19"/>
        <v/>
      </c>
      <c r="AJ59" s="2" t="str">
        <f t="shared" si="20"/>
        <v/>
      </c>
      <c r="AK59" s="2" t="str">
        <f t="shared" si="21"/>
        <v/>
      </c>
      <c r="AL59" s="2" t="str">
        <f t="shared" si="22"/>
        <v/>
      </c>
      <c r="AM59" s="2" t="str">
        <f t="shared" si="23"/>
        <v/>
      </c>
      <c r="AN59" s="2" t="str">
        <f t="shared" si="24"/>
        <v/>
      </c>
      <c r="AP59" s="2" t="str" cm="1">
        <f t="array" ref="AP59">IF('NILAI CPL'!$B59&lt;&gt;"",IFERROR(_xlfn.IFS(S59&gt;='NILAI CPL'!$B$3,4,S59&gt;='NILAI CPL'!$B$4,3,S59&gt;='NILAI CPL'!$B$5,2,S59&gt;'NILAI CPL'!$B$6,1),0),"")</f>
        <v/>
      </c>
      <c r="AQ59" s="2" t="str" cm="1">
        <f t="array" ref="AQ59">IF('NILAI CPL'!$B59&lt;&gt;"",IFERROR(_xlfn.IFS(T59&gt;='NILAI CPL'!$B$3,4,T59&gt;='NILAI CPL'!$B$4,3,T59&gt;='NILAI CPL'!$B$5,2,T59&gt;'NILAI CPL'!$B$6,1),0),"")</f>
        <v/>
      </c>
      <c r="AR59" s="2" t="str" cm="1">
        <f t="array" ref="AR59">IF('NILAI CPL'!$B59&lt;&gt;"",IFERROR(_xlfn.IFS(U59&gt;='NILAI CPL'!$B$3,4,U59&gt;='NILAI CPL'!$B$4,3,U59&gt;='NILAI CPL'!$B$5,2,U59&gt;'NILAI CPL'!$B$6,1),0),"")</f>
        <v/>
      </c>
      <c r="AS59" s="2" t="str" cm="1">
        <f t="array" ref="AS59">IF('NILAI CPL'!$B59&lt;&gt;"",IFERROR(_xlfn.IFS(V59&gt;='NILAI CPL'!$B$3,4,V59&gt;='NILAI CPL'!$B$4,3,V59&gt;='NILAI CPL'!$B$5,2,V59&gt;'NILAI CPL'!$B$6,1),0),"")</f>
        <v/>
      </c>
      <c r="AT59" s="2" t="str" cm="1">
        <f t="array" ref="AT59">IF('NILAI CPL'!$B59&lt;&gt;"",IFERROR(_xlfn.IFS(W59&gt;='NILAI CPL'!$B$3,4,W59&gt;='NILAI CPL'!$B$4,3,W59&gt;='NILAI CPL'!$B$5,2,W59&gt;'NILAI CPL'!$B$6,1),0),"")</f>
        <v/>
      </c>
      <c r="AU59" s="2" t="str" cm="1">
        <f t="array" ref="AU59">IF('NILAI CPL'!$B59&lt;&gt;"",IFERROR(_xlfn.IFS(X59&gt;='NILAI CPL'!$B$3,4,X59&gt;='NILAI CPL'!$B$4,3,X59&gt;='NILAI CPL'!$B$5,2,X59&gt;'NILAI CPL'!$B$6,1),0),"")</f>
        <v/>
      </c>
      <c r="AV59" s="2" t="str" cm="1">
        <f t="array" ref="AV59">IF('NILAI CPL'!$B59&lt;&gt;"",IFERROR(_xlfn.IFS(Y59&gt;='NILAI CPL'!$B$3,4,Y59&gt;='NILAI CPL'!$B$4,3,Y59&gt;='NILAI CPL'!$B$5,2,Y59&gt;'NILAI CPL'!$B$6,1),0),"")</f>
        <v/>
      </c>
      <c r="AW59" s="2" t="str" cm="1">
        <f t="array" ref="AW59">IF('NILAI CPL'!$B59&lt;&gt;"",IFERROR(_xlfn.IFS(Z59&gt;='NILAI CPL'!$B$3,4,Z59&gt;='NILAI CPL'!$B$4,3,Z59&gt;='NILAI CPL'!$B$5,2,Z59&gt;'NILAI CPL'!$B$6,1),0),"")</f>
        <v/>
      </c>
      <c r="AX59" s="2" t="str" cm="1">
        <f t="array" ref="AX59">IF('NILAI CPL'!$B59&lt;&gt;"",IFERROR(_xlfn.IFS(AA59&gt;='NILAI CPL'!$B$3,4,AA59&gt;='NILAI CPL'!$B$4,3,AA59&gt;='NILAI CPL'!$B$5,2,AA59&gt;'NILAI CPL'!$B$6,1),0),"")</f>
        <v/>
      </c>
      <c r="AY59" s="2" t="str" cm="1">
        <f t="array" ref="AY59">IF('NILAI CPL'!$B59&lt;&gt;"",IFERROR(_xlfn.IFS(AB59&gt;='NILAI CPL'!$B$3,4,AB59&gt;='NILAI CPL'!$B$4,3,AB59&gt;='NILAI CPL'!$B$5,2,AB59&gt;'NILAI CPL'!$B$6,1),0),"")</f>
        <v/>
      </c>
      <c r="AZ59" s="2" t="str" cm="1">
        <f t="array" ref="AZ59">IF('NILAI CPL'!$B59&lt;&gt;"",IFERROR(_xlfn.IFS(AC59&gt;='NILAI CPL'!$B$3,4,AC59&gt;='NILAI CPL'!$B$4,3,AC59&gt;='NILAI CPL'!$B$5,2,AC59&gt;'NILAI CPL'!$B$6,1),0),"")</f>
        <v/>
      </c>
      <c r="BA59" s="2" t="str" cm="1">
        <f t="array" ref="BA59">IF('NILAI CPL'!$B59&lt;&gt;"",IFERROR(_xlfn.IFS(AD59&gt;='NILAI CPL'!$B$3,4,AD59&gt;='NILAI CPL'!$B$4,3,AD59&gt;='NILAI CPL'!$B$5,2,AD59&gt;'NILAI CPL'!$B$6,1),0),"")</f>
        <v/>
      </c>
      <c r="BB59" s="2" t="str" cm="1">
        <f t="array" ref="BB59">IF('NILAI CPL'!$B59&lt;&gt;"",IFERROR(_xlfn.IFS(AE59&gt;='NILAI CPL'!$B$3,4,AE59&gt;='NILAI CPL'!$B$4,3,AE59&gt;='NILAI CPL'!$B$5,2,AE59&gt;'NILAI CPL'!$B$6,1),0),"")</f>
        <v/>
      </c>
      <c r="BC59" s="2" t="str" cm="1">
        <f t="array" ref="BC59">IF('NILAI CPL'!$B59&lt;&gt;"",IFERROR(_xlfn.IFS(AF59&gt;='NILAI CPL'!$B$3,4,AF59&gt;='NILAI CPL'!$B$4,3,AF59&gt;='NILAI CPL'!$B$5,2,AF59&gt;'NILAI CPL'!$B$6,1),0),"")</f>
        <v/>
      </c>
      <c r="BD59" s="2" t="str" cm="1">
        <f t="array" ref="BD59">IF('NILAI CPL'!$B59&lt;&gt;"",IFERROR(_xlfn.IFS(AG59&gt;='NILAI CPL'!$B$3,4,AG59&gt;='NILAI CPL'!$B$4,3,AG59&gt;='NILAI CPL'!$B$5,2,AG59&gt;'NILAI CPL'!$B$6,1),0),"")</f>
        <v/>
      </c>
      <c r="BE59" s="2" t="str" cm="1">
        <f t="array" ref="BE59">IF('NILAI CPL'!$B59&lt;&gt;"",IFERROR(_xlfn.IFS(AH59&gt;='NILAI CPL'!$B$3,4,AH59&gt;='NILAI CPL'!$B$4,3,AH59&gt;='NILAI CPL'!$B$5,2,AH59&gt;'NILAI CPL'!$B$6,1),0),"")</f>
        <v/>
      </c>
      <c r="BF59" s="2" t="str" cm="1">
        <f t="array" ref="BF59">IF('NILAI CPL'!$B59&lt;&gt;"",IFERROR(_xlfn.IFS(AI59&gt;='NILAI CPL'!$B$3,4,AI59&gt;='NILAI CPL'!$B$4,3,AI59&gt;='NILAI CPL'!$B$5,2,AI59&gt;'NILAI CPL'!$B$6,1),0),"")</f>
        <v/>
      </c>
      <c r="BG59" s="2" t="str" cm="1">
        <f t="array" ref="BG59">IF('NILAI CPL'!$B59&lt;&gt;"",IFERROR(_xlfn.IFS(AJ59&gt;='NILAI CPL'!$B$3,4,AJ59&gt;='NILAI CPL'!$B$4,3,AJ59&gt;='NILAI CPL'!$B$5,2,AJ59&gt;'NILAI CPL'!$B$6,1),0),"")</f>
        <v/>
      </c>
      <c r="BH59" s="2" t="str" cm="1">
        <f t="array" ref="BH59">IF('NILAI CPL'!$B59&lt;&gt;"",IFERROR(_xlfn.IFS(AK59&gt;='NILAI CPL'!$B$3,4,AK59&gt;='NILAI CPL'!$B$4,3,AK59&gt;='NILAI CPL'!$B$5,2,AK59&gt;'NILAI CPL'!$B$6,1),0),"")</f>
        <v/>
      </c>
      <c r="BI59" s="2" t="str" cm="1">
        <f t="array" ref="BI59">IF('NILAI CPL'!$B59&lt;&gt;"",IFERROR(_xlfn.IFS(AL59&gt;='NILAI CPL'!$B$3,4,AL59&gt;='NILAI CPL'!$B$4,3,AL59&gt;='NILAI CPL'!$B$5,2,AL59&gt;'NILAI CPL'!$B$6,1),0),"")</f>
        <v/>
      </c>
      <c r="BJ59" s="2" t="str" cm="1">
        <f t="array" ref="BJ59">IF('NILAI CPL'!$B59&lt;&gt;"",IFERROR(_xlfn.IFS(AM59&gt;='NILAI CPL'!$B$3,4,AM59&gt;='NILAI CPL'!$B$4,3,AM59&gt;='NILAI CPL'!$B$5,2,AM59&gt;'NILAI CPL'!$B$6,1),0),"")</f>
        <v/>
      </c>
      <c r="BK59" s="2" t="str" cm="1">
        <f t="array" ref="BK59">IF('NILAI CPL'!$B59&lt;&gt;"",IFERROR(_xlfn.IFS(AN59&gt;='NILAI CPL'!$B$3,4,AN59&gt;='NILAI CPL'!$B$4,3,AN59&gt;='NILAI CPL'!$B$5,2,AN59&gt;'NILAI CPL'!$B$6,1),0),"")</f>
        <v/>
      </c>
    </row>
    <row r="60" spans="1:63" x14ac:dyDescent="0.2">
      <c r="A60" s="2">
        <v>50</v>
      </c>
      <c r="B60" s="2" t="str">
        <f>IF(LEN(SUMMARY!B60)&gt;0, SUMMARY!B60, "")</f>
        <v/>
      </c>
      <c r="C60" s="2" t="str">
        <f>IF(LEN(SUMMARY!C60)&gt;0, SUMMARY!C60, "")</f>
        <v/>
      </c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" t="str">
        <f t="shared" si="2"/>
        <v/>
      </c>
      <c r="S60" s="2" t="str">
        <f t="shared" si="3"/>
        <v/>
      </c>
      <c r="T60" s="2" t="str">
        <f t="shared" si="4"/>
        <v/>
      </c>
      <c r="U60" s="2" t="str">
        <f t="shared" si="5"/>
        <v/>
      </c>
      <c r="V60" s="2" t="str">
        <f t="shared" si="6"/>
        <v/>
      </c>
      <c r="W60" s="2" t="str">
        <f t="shared" si="7"/>
        <v/>
      </c>
      <c r="X60" s="2" t="str">
        <f t="shared" si="8"/>
        <v/>
      </c>
      <c r="Y60" s="2" t="str">
        <f t="shared" si="9"/>
        <v/>
      </c>
      <c r="Z60" s="2" t="str">
        <f t="shared" si="10"/>
        <v/>
      </c>
      <c r="AA60" s="2" t="str">
        <f t="shared" si="11"/>
        <v/>
      </c>
      <c r="AB60" s="2" t="str">
        <f t="shared" si="12"/>
        <v/>
      </c>
      <c r="AC60" s="2" t="str">
        <f t="shared" si="13"/>
        <v/>
      </c>
      <c r="AD60" s="2" t="str">
        <f t="shared" si="14"/>
        <v/>
      </c>
      <c r="AE60" s="2" t="str">
        <f t="shared" si="15"/>
        <v/>
      </c>
      <c r="AF60" s="2" t="str">
        <f t="shared" si="16"/>
        <v/>
      </c>
      <c r="AG60" s="2" t="str">
        <f t="shared" si="17"/>
        <v/>
      </c>
      <c r="AH60" s="2" t="str">
        <f t="shared" si="18"/>
        <v/>
      </c>
      <c r="AI60" s="2" t="str">
        <f t="shared" si="19"/>
        <v/>
      </c>
      <c r="AJ60" s="2" t="str">
        <f t="shared" si="20"/>
        <v/>
      </c>
      <c r="AK60" s="2" t="str">
        <f t="shared" si="21"/>
        <v/>
      </c>
      <c r="AL60" s="2" t="str">
        <f t="shared" si="22"/>
        <v/>
      </c>
      <c r="AM60" s="2" t="str">
        <f t="shared" si="23"/>
        <v/>
      </c>
      <c r="AN60" s="2" t="str">
        <f t="shared" si="24"/>
        <v/>
      </c>
      <c r="AP60" s="2" t="str" cm="1">
        <f t="array" ref="AP60">IF('NILAI CPL'!$B60&lt;&gt;"",IFERROR(_xlfn.IFS(S60&gt;='NILAI CPL'!$B$3,4,S60&gt;='NILAI CPL'!$B$4,3,S60&gt;='NILAI CPL'!$B$5,2,S60&gt;'NILAI CPL'!$B$6,1),0),"")</f>
        <v/>
      </c>
      <c r="AQ60" s="2" t="str" cm="1">
        <f t="array" ref="AQ60">IF('NILAI CPL'!$B60&lt;&gt;"",IFERROR(_xlfn.IFS(T60&gt;='NILAI CPL'!$B$3,4,T60&gt;='NILAI CPL'!$B$4,3,T60&gt;='NILAI CPL'!$B$5,2,T60&gt;'NILAI CPL'!$B$6,1),0),"")</f>
        <v/>
      </c>
      <c r="AR60" s="2" t="str" cm="1">
        <f t="array" ref="AR60">IF('NILAI CPL'!$B60&lt;&gt;"",IFERROR(_xlfn.IFS(U60&gt;='NILAI CPL'!$B$3,4,U60&gt;='NILAI CPL'!$B$4,3,U60&gt;='NILAI CPL'!$B$5,2,U60&gt;'NILAI CPL'!$B$6,1),0),"")</f>
        <v/>
      </c>
      <c r="AS60" s="2" t="str" cm="1">
        <f t="array" ref="AS60">IF('NILAI CPL'!$B60&lt;&gt;"",IFERROR(_xlfn.IFS(V60&gt;='NILAI CPL'!$B$3,4,V60&gt;='NILAI CPL'!$B$4,3,V60&gt;='NILAI CPL'!$B$5,2,V60&gt;'NILAI CPL'!$B$6,1),0),"")</f>
        <v/>
      </c>
      <c r="AT60" s="2" t="str" cm="1">
        <f t="array" ref="AT60">IF('NILAI CPL'!$B60&lt;&gt;"",IFERROR(_xlfn.IFS(W60&gt;='NILAI CPL'!$B$3,4,W60&gt;='NILAI CPL'!$B$4,3,W60&gt;='NILAI CPL'!$B$5,2,W60&gt;'NILAI CPL'!$B$6,1),0),"")</f>
        <v/>
      </c>
      <c r="AU60" s="2" t="str" cm="1">
        <f t="array" ref="AU60">IF('NILAI CPL'!$B60&lt;&gt;"",IFERROR(_xlfn.IFS(X60&gt;='NILAI CPL'!$B$3,4,X60&gt;='NILAI CPL'!$B$4,3,X60&gt;='NILAI CPL'!$B$5,2,X60&gt;'NILAI CPL'!$B$6,1),0),"")</f>
        <v/>
      </c>
      <c r="AV60" s="2" t="str" cm="1">
        <f t="array" ref="AV60">IF('NILAI CPL'!$B60&lt;&gt;"",IFERROR(_xlfn.IFS(Y60&gt;='NILAI CPL'!$B$3,4,Y60&gt;='NILAI CPL'!$B$4,3,Y60&gt;='NILAI CPL'!$B$5,2,Y60&gt;'NILAI CPL'!$B$6,1),0),"")</f>
        <v/>
      </c>
      <c r="AW60" s="2" t="str" cm="1">
        <f t="array" ref="AW60">IF('NILAI CPL'!$B60&lt;&gt;"",IFERROR(_xlfn.IFS(Z60&gt;='NILAI CPL'!$B$3,4,Z60&gt;='NILAI CPL'!$B$4,3,Z60&gt;='NILAI CPL'!$B$5,2,Z60&gt;'NILAI CPL'!$B$6,1),0),"")</f>
        <v/>
      </c>
      <c r="AX60" s="2" t="str" cm="1">
        <f t="array" ref="AX60">IF('NILAI CPL'!$B60&lt;&gt;"",IFERROR(_xlfn.IFS(AA60&gt;='NILAI CPL'!$B$3,4,AA60&gt;='NILAI CPL'!$B$4,3,AA60&gt;='NILAI CPL'!$B$5,2,AA60&gt;'NILAI CPL'!$B$6,1),0),"")</f>
        <v/>
      </c>
      <c r="AY60" s="2" t="str" cm="1">
        <f t="array" ref="AY60">IF('NILAI CPL'!$B60&lt;&gt;"",IFERROR(_xlfn.IFS(AB60&gt;='NILAI CPL'!$B$3,4,AB60&gt;='NILAI CPL'!$B$4,3,AB60&gt;='NILAI CPL'!$B$5,2,AB60&gt;'NILAI CPL'!$B$6,1),0),"")</f>
        <v/>
      </c>
      <c r="AZ60" s="2" t="str" cm="1">
        <f t="array" ref="AZ60">IF('NILAI CPL'!$B60&lt;&gt;"",IFERROR(_xlfn.IFS(AC60&gt;='NILAI CPL'!$B$3,4,AC60&gt;='NILAI CPL'!$B$4,3,AC60&gt;='NILAI CPL'!$B$5,2,AC60&gt;'NILAI CPL'!$B$6,1),0),"")</f>
        <v/>
      </c>
      <c r="BA60" s="2" t="str" cm="1">
        <f t="array" ref="BA60">IF('NILAI CPL'!$B60&lt;&gt;"",IFERROR(_xlfn.IFS(AD60&gt;='NILAI CPL'!$B$3,4,AD60&gt;='NILAI CPL'!$B$4,3,AD60&gt;='NILAI CPL'!$B$5,2,AD60&gt;'NILAI CPL'!$B$6,1),0),"")</f>
        <v/>
      </c>
      <c r="BB60" s="2" t="str" cm="1">
        <f t="array" ref="BB60">IF('NILAI CPL'!$B60&lt;&gt;"",IFERROR(_xlfn.IFS(AE60&gt;='NILAI CPL'!$B$3,4,AE60&gt;='NILAI CPL'!$B$4,3,AE60&gt;='NILAI CPL'!$B$5,2,AE60&gt;'NILAI CPL'!$B$6,1),0),"")</f>
        <v/>
      </c>
      <c r="BC60" s="2" t="str" cm="1">
        <f t="array" ref="BC60">IF('NILAI CPL'!$B60&lt;&gt;"",IFERROR(_xlfn.IFS(AF60&gt;='NILAI CPL'!$B$3,4,AF60&gt;='NILAI CPL'!$B$4,3,AF60&gt;='NILAI CPL'!$B$5,2,AF60&gt;'NILAI CPL'!$B$6,1),0),"")</f>
        <v/>
      </c>
      <c r="BD60" s="2" t="str" cm="1">
        <f t="array" ref="BD60">IF('NILAI CPL'!$B60&lt;&gt;"",IFERROR(_xlfn.IFS(AG60&gt;='NILAI CPL'!$B$3,4,AG60&gt;='NILAI CPL'!$B$4,3,AG60&gt;='NILAI CPL'!$B$5,2,AG60&gt;'NILAI CPL'!$B$6,1),0),"")</f>
        <v/>
      </c>
      <c r="BE60" s="2" t="str" cm="1">
        <f t="array" ref="BE60">IF('NILAI CPL'!$B60&lt;&gt;"",IFERROR(_xlfn.IFS(AH60&gt;='NILAI CPL'!$B$3,4,AH60&gt;='NILAI CPL'!$B$4,3,AH60&gt;='NILAI CPL'!$B$5,2,AH60&gt;'NILAI CPL'!$B$6,1),0),"")</f>
        <v/>
      </c>
      <c r="BF60" s="2" t="str" cm="1">
        <f t="array" ref="BF60">IF('NILAI CPL'!$B60&lt;&gt;"",IFERROR(_xlfn.IFS(AI60&gt;='NILAI CPL'!$B$3,4,AI60&gt;='NILAI CPL'!$B$4,3,AI60&gt;='NILAI CPL'!$B$5,2,AI60&gt;'NILAI CPL'!$B$6,1),0),"")</f>
        <v/>
      </c>
      <c r="BG60" s="2" t="str" cm="1">
        <f t="array" ref="BG60">IF('NILAI CPL'!$B60&lt;&gt;"",IFERROR(_xlfn.IFS(AJ60&gt;='NILAI CPL'!$B$3,4,AJ60&gt;='NILAI CPL'!$B$4,3,AJ60&gt;='NILAI CPL'!$B$5,2,AJ60&gt;'NILAI CPL'!$B$6,1),0),"")</f>
        <v/>
      </c>
      <c r="BH60" s="2" t="str" cm="1">
        <f t="array" ref="BH60">IF('NILAI CPL'!$B60&lt;&gt;"",IFERROR(_xlfn.IFS(AK60&gt;='NILAI CPL'!$B$3,4,AK60&gt;='NILAI CPL'!$B$4,3,AK60&gt;='NILAI CPL'!$B$5,2,AK60&gt;'NILAI CPL'!$B$6,1),0),"")</f>
        <v/>
      </c>
      <c r="BI60" s="2" t="str" cm="1">
        <f t="array" ref="BI60">IF('NILAI CPL'!$B60&lt;&gt;"",IFERROR(_xlfn.IFS(AL60&gt;='NILAI CPL'!$B$3,4,AL60&gt;='NILAI CPL'!$B$4,3,AL60&gt;='NILAI CPL'!$B$5,2,AL60&gt;'NILAI CPL'!$B$6,1),0),"")</f>
        <v/>
      </c>
      <c r="BJ60" s="2" t="str" cm="1">
        <f t="array" ref="BJ60">IF('NILAI CPL'!$B60&lt;&gt;"",IFERROR(_xlfn.IFS(AM60&gt;='NILAI CPL'!$B$3,4,AM60&gt;='NILAI CPL'!$B$4,3,AM60&gt;='NILAI CPL'!$B$5,2,AM60&gt;'NILAI CPL'!$B$6,1),0),"")</f>
        <v/>
      </c>
      <c r="BK60" s="2" t="str" cm="1">
        <f t="array" ref="BK60">IF('NILAI CPL'!$B60&lt;&gt;"",IFERROR(_xlfn.IFS(AN60&gt;='NILAI CPL'!$B$3,4,AN60&gt;='NILAI CPL'!$B$4,3,AN60&gt;='NILAI CPL'!$B$5,2,AN60&gt;'NILAI CPL'!$B$6,1),0),"")</f>
        <v/>
      </c>
    </row>
    <row r="61" spans="1:63" x14ac:dyDescent="0.2">
      <c r="A61" s="2">
        <v>51</v>
      </c>
      <c r="B61" s="2" t="str">
        <f>IF(LEN(SUMMARY!B61)&gt;0, SUMMARY!B61, "")</f>
        <v/>
      </c>
      <c r="C61" s="2" t="str">
        <f>IF(LEN(SUMMARY!C61)&gt;0, SUMMARY!C61, "")</f>
        <v/>
      </c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" t="str">
        <f t="shared" si="2"/>
        <v/>
      </c>
      <c r="S61" s="2" t="str">
        <f t="shared" si="3"/>
        <v/>
      </c>
      <c r="T61" s="2" t="str">
        <f t="shared" si="4"/>
        <v/>
      </c>
      <c r="U61" s="2" t="str">
        <f t="shared" si="5"/>
        <v/>
      </c>
      <c r="V61" s="2" t="str">
        <f t="shared" si="6"/>
        <v/>
      </c>
      <c r="W61" s="2" t="str">
        <f t="shared" si="7"/>
        <v/>
      </c>
      <c r="X61" s="2" t="str">
        <f t="shared" si="8"/>
        <v/>
      </c>
      <c r="Y61" s="2" t="str">
        <f t="shared" si="9"/>
        <v/>
      </c>
      <c r="Z61" s="2" t="str">
        <f t="shared" si="10"/>
        <v/>
      </c>
      <c r="AA61" s="2" t="str">
        <f t="shared" si="11"/>
        <v/>
      </c>
      <c r="AB61" s="2" t="str">
        <f t="shared" si="12"/>
        <v/>
      </c>
      <c r="AC61" s="2" t="str">
        <f t="shared" si="13"/>
        <v/>
      </c>
      <c r="AD61" s="2" t="str">
        <f t="shared" si="14"/>
        <v/>
      </c>
      <c r="AE61" s="2" t="str">
        <f t="shared" si="15"/>
        <v/>
      </c>
      <c r="AF61" s="2" t="str">
        <f t="shared" si="16"/>
        <v/>
      </c>
      <c r="AG61" s="2" t="str">
        <f t="shared" si="17"/>
        <v/>
      </c>
      <c r="AH61" s="2" t="str">
        <f t="shared" si="18"/>
        <v/>
      </c>
      <c r="AI61" s="2" t="str">
        <f t="shared" si="19"/>
        <v/>
      </c>
      <c r="AJ61" s="2" t="str">
        <f t="shared" si="20"/>
        <v/>
      </c>
      <c r="AK61" s="2" t="str">
        <f t="shared" si="21"/>
        <v/>
      </c>
      <c r="AL61" s="2" t="str">
        <f t="shared" si="22"/>
        <v/>
      </c>
      <c r="AM61" s="2" t="str">
        <f t="shared" si="23"/>
        <v/>
      </c>
      <c r="AN61" s="2" t="str">
        <f t="shared" si="24"/>
        <v/>
      </c>
      <c r="AP61" s="2" t="str" cm="1">
        <f t="array" ref="AP61">IF('NILAI CPL'!$B61&lt;&gt;"",IFERROR(_xlfn.IFS(S61&gt;='NILAI CPL'!$B$3,4,S61&gt;='NILAI CPL'!$B$4,3,S61&gt;='NILAI CPL'!$B$5,2,S61&gt;'NILAI CPL'!$B$6,1),0),"")</f>
        <v/>
      </c>
      <c r="AQ61" s="2" t="str" cm="1">
        <f t="array" ref="AQ61">IF('NILAI CPL'!$B61&lt;&gt;"",IFERROR(_xlfn.IFS(T61&gt;='NILAI CPL'!$B$3,4,T61&gt;='NILAI CPL'!$B$4,3,T61&gt;='NILAI CPL'!$B$5,2,T61&gt;'NILAI CPL'!$B$6,1),0),"")</f>
        <v/>
      </c>
      <c r="AR61" s="2" t="str" cm="1">
        <f t="array" ref="AR61">IF('NILAI CPL'!$B61&lt;&gt;"",IFERROR(_xlfn.IFS(U61&gt;='NILAI CPL'!$B$3,4,U61&gt;='NILAI CPL'!$B$4,3,U61&gt;='NILAI CPL'!$B$5,2,U61&gt;'NILAI CPL'!$B$6,1),0),"")</f>
        <v/>
      </c>
      <c r="AS61" s="2" t="str" cm="1">
        <f t="array" ref="AS61">IF('NILAI CPL'!$B61&lt;&gt;"",IFERROR(_xlfn.IFS(V61&gt;='NILAI CPL'!$B$3,4,V61&gt;='NILAI CPL'!$B$4,3,V61&gt;='NILAI CPL'!$B$5,2,V61&gt;'NILAI CPL'!$B$6,1),0),"")</f>
        <v/>
      </c>
      <c r="AT61" s="2" t="str" cm="1">
        <f t="array" ref="AT61">IF('NILAI CPL'!$B61&lt;&gt;"",IFERROR(_xlfn.IFS(W61&gt;='NILAI CPL'!$B$3,4,W61&gt;='NILAI CPL'!$B$4,3,W61&gt;='NILAI CPL'!$B$5,2,W61&gt;'NILAI CPL'!$B$6,1),0),"")</f>
        <v/>
      </c>
      <c r="AU61" s="2" t="str" cm="1">
        <f t="array" ref="AU61">IF('NILAI CPL'!$B61&lt;&gt;"",IFERROR(_xlfn.IFS(X61&gt;='NILAI CPL'!$B$3,4,X61&gt;='NILAI CPL'!$B$4,3,X61&gt;='NILAI CPL'!$B$5,2,X61&gt;'NILAI CPL'!$B$6,1),0),"")</f>
        <v/>
      </c>
      <c r="AV61" s="2" t="str" cm="1">
        <f t="array" ref="AV61">IF('NILAI CPL'!$B61&lt;&gt;"",IFERROR(_xlfn.IFS(Y61&gt;='NILAI CPL'!$B$3,4,Y61&gt;='NILAI CPL'!$B$4,3,Y61&gt;='NILAI CPL'!$B$5,2,Y61&gt;'NILAI CPL'!$B$6,1),0),"")</f>
        <v/>
      </c>
      <c r="AW61" s="2" t="str" cm="1">
        <f t="array" ref="AW61">IF('NILAI CPL'!$B61&lt;&gt;"",IFERROR(_xlfn.IFS(Z61&gt;='NILAI CPL'!$B$3,4,Z61&gt;='NILAI CPL'!$B$4,3,Z61&gt;='NILAI CPL'!$B$5,2,Z61&gt;'NILAI CPL'!$B$6,1),0),"")</f>
        <v/>
      </c>
      <c r="AX61" s="2" t="str" cm="1">
        <f t="array" ref="AX61">IF('NILAI CPL'!$B61&lt;&gt;"",IFERROR(_xlfn.IFS(AA61&gt;='NILAI CPL'!$B$3,4,AA61&gt;='NILAI CPL'!$B$4,3,AA61&gt;='NILAI CPL'!$B$5,2,AA61&gt;'NILAI CPL'!$B$6,1),0),"")</f>
        <v/>
      </c>
      <c r="AY61" s="2" t="str" cm="1">
        <f t="array" ref="AY61">IF('NILAI CPL'!$B61&lt;&gt;"",IFERROR(_xlfn.IFS(AB61&gt;='NILAI CPL'!$B$3,4,AB61&gt;='NILAI CPL'!$B$4,3,AB61&gt;='NILAI CPL'!$B$5,2,AB61&gt;'NILAI CPL'!$B$6,1),0),"")</f>
        <v/>
      </c>
      <c r="AZ61" s="2" t="str" cm="1">
        <f t="array" ref="AZ61">IF('NILAI CPL'!$B61&lt;&gt;"",IFERROR(_xlfn.IFS(AC61&gt;='NILAI CPL'!$B$3,4,AC61&gt;='NILAI CPL'!$B$4,3,AC61&gt;='NILAI CPL'!$B$5,2,AC61&gt;'NILAI CPL'!$B$6,1),0),"")</f>
        <v/>
      </c>
      <c r="BA61" s="2" t="str" cm="1">
        <f t="array" ref="BA61">IF('NILAI CPL'!$B61&lt;&gt;"",IFERROR(_xlfn.IFS(AD61&gt;='NILAI CPL'!$B$3,4,AD61&gt;='NILAI CPL'!$B$4,3,AD61&gt;='NILAI CPL'!$B$5,2,AD61&gt;'NILAI CPL'!$B$6,1),0),"")</f>
        <v/>
      </c>
      <c r="BB61" s="2" t="str" cm="1">
        <f t="array" ref="BB61">IF('NILAI CPL'!$B61&lt;&gt;"",IFERROR(_xlfn.IFS(AE61&gt;='NILAI CPL'!$B$3,4,AE61&gt;='NILAI CPL'!$B$4,3,AE61&gt;='NILAI CPL'!$B$5,2,AE61&gt;'NILAI CPL'!$B$6,1),0),"")</f>
        <v/>
      </c>
      <c r="BC61" s="2" t="str" cm="1">
        <f t="array" ref="BC61">IF('NILAI CPL'!$B61&lt;&gt;"",IFERROR(_xlfn.IFS(AF61&gt;='NILAI CPL'!$B$3,4,AF61&gt;='NILAI CPL'!$B$4,3,AF61&gt;='NILAI CPL'!$B$5,2,AF61&gt;'NILAI CPL'!$B$6,1),0),"")</f>
        <v/>
      </c>
      <c r="BD61" s="2" t="str" cm="1">
        <f t="array" ref="BD61">IF('NILAI CPL'!$B61&lt;&gt;"",IFERROR(_xlfn.IFS(AG61&gt;='NILAI CPL'!$B$3,4,AG61&gt;='NILAI CPL'!$B$4,3,AG61&gt;='NILAI CPL'!$B$5,2,AG61&gt;'NILAI CPL'!$B$6,1),0),"")</f>
        <v/>
      </c>
      <c r="BE61" s="2" t="str" cm="1">
        <f t="array" ref="BE61">IF('NILAI CPL'!$B61&lt;&gt;"",IFERROR(_xlfn.IFS(AH61&gt;='NILAI CPL'!$B$3,4,AH61&gt;='NILAI CPL'!$B$4,3,AH61&gt;='NILAI CPL'!$B$5,2,AH61&gt;'NILAI CPL'!$B$6,1),0),"")</f>
        <v/>
      </c>
      <c r="BF61" s="2" t="str" cm="1">
        <f t="array" ref="BF61">IF('NILAI CPL'!$B61&lt;&gt;"",IFERROR(_xlfn.IFS(AI61&gt;='NILAI CPL'!$B$3,4,AI61&gt;='NILAI CPL'!$B$4,3,AI61&gt;='NILAI CPL'!$B$5,2,AI61&gt;'NILAI CPL'!$B$6,1),0),"")</f>
        <v/>
      </c>
      <c r="BG61" s="2" t="str" cm="1">
        <f t="array" ref="BG61">IF('NILAI CPL'!$B61&lt;&gt;"",IFERROR(_xlfn.IFS(AJ61&gt;='NILAI CPL'!$B$3,4,AJ61&gt;='NILAI CPL'!$B$4,3,AJ61&gt;='NILAI CPL'!$B$5,2,AJ61&gt;'NILAI CPL'!$B$6,1),0),"")</f>
        <v/>
      </c>
      <c r="BH61" s="2" t="str" cm="1">
        <f t="array" ref="BH61">IF('NILAI CPL'!$B61&lt;&gt;"",IFERROR(_xlfn.IFS(AK61&gt;='NILAI CPL'!$B$3,4,AK61&gt;='NILAI CPL'!$B$4,3,AK61&gt;='NILAI CPL'!$B$5,2,AK61&gt;'NILAI CPL'!$B$6,1),0),"")</f>
        <v/>
      </c>
      <c r="BI61" s="2" t="str" cm="1">
        <f t="array" ref="BI61">IF('NILAI CPL'!$B61&lt;&gt;"",IFERROR(_xlfn.IFS(AL61&gt;='NILAI CPL'!$B$3,4,AL61&gt;='NILAI CPL'!$B$4,3,AL61&gt;='NILAI CPL'!$B$5,2,AL61&gt;'NILAI CPL'!$B$6,1),0),"")</f>
        <v/>
      </c>
      <c r="BJ61" s="2" t="str" cm="1">
        <f t="array" ref="BJ61">IF('NILAI CPL'!$B61&lt;&gt;"",IFERROR(_xlfn.IFS(AM61&gt;='NILAI CPL'!$B$3,4,AM61&gt;='NILAI CPL'!$B$4,3,AM61&gt;='NILAI CPL'!$B$5,2,AM61&gt;'NILAI CPL'!$B$6,1),0),"")</f>
        <v/>
      </c>
      <c r="BK61" s="2" t="str" cm="1">
        <f t="array" ref="BK61">IF('NILAI CPL'!$B61&lt;&gt;"",IFERROR(_xlfn.IFS(AN61&gt;='NILAI CPL'!$B$3,4,AN61&gt;='NILAI CPL'!$B$4,3,AN61&gt;='NILAI CPL'!$B$5,2,AN61&gt;'NILAI CPL'!$B$6,1),0),"")</f>
        <v/>
      </c>
    </row>
    <row r="62" spans="1:63" x14ac:dyDescent="0.2">
      <c r="A62" s="2">
        <v>52</v>
      </c>
      <c r="B62" s="2" t="str">
        <f>IF(LEN(SUMMARY!B62)&gt;0, SUMMARY!B62, "")</f>
        <v/>
      </c>
      <c r="C62" s="2" t="str">
        <f>IF(LEN(SUMMARY!C62)&gt;0, SUMMARY!C62, "")</f>
        <v/>
      </c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" t="str">
        <f t="shared" si="2"/>
        <v/>
      </c>
      <c r="S62" s="2" t="str">
        <f t="shared" si="3"/>
        <v/>
      </c>
      <c r="T62" s="2" t="str">
        <f t="shared" si="4"/>
        <v/>
      </c>
      <c r="U62" s="2" t="str">
        <f t="shared" si="5"/>
        <v/>
      </c>
      <c r="V62" s="2" t="str">
        <f t="shared" si="6"/>
        <v/>
      </c>
      <c r="W62" s="2" t="str">
        <f t="shared" si="7"/>
        <v/>
      </c>
      <c r="X62" s="2" t="str">
        <f t="shared" si="8"/>
        <v/>
      </c>
      <c r="Y62" s="2" t="str">
        <f t="shared" si="9"/>
        <v/>
      </c>
      <c r="Z62" s="2" t="str">
        <f t="shared" si="10"/>
        <v/>
      </c>
      <c r="AA62" s="2" t="str">
        <f t="shared" si="11"/>
        <v/>
      </c>
      <c r="AB62" s="2" t="str">
        <f t="shared" si="12"/>
        <v/>
      </c>
      <c r="AC62" s="2" t="str">
        <f t="shared" si="13"/>
        <v/>
      </c>
      <c r="AD62" s="2" t="str">
        <f t="shared" si="14"/>
        <v/>
      </c>
      <c r="AE62" s="2" t="str">
        <f t="shared" si="15"/>
        <v/>
      </c>
      <c r="AF62" s="2" t="str">
        <f t="shared" si="16"/>
        <v/>
      </c>
      <c r="AG62" s="2" t="str">
        <f t="shared" si="17"/>
        <v/>
      </c>
      <c r="AH62" s="2" t="str">
        <f t="shared" si="18"/>
        <v/>
      </c>
      <c r="AI62" s="2" t="str">
        <f t="shared" si="19"/>
        <v/>
      </c>
      <c r="AJ62" s="2" t="str">
        <f t="shared" si="20"/>
        <v/>
      </c>
      <c r="AK62" s="2" t="str">
        <f t="shared" si="21"/>
        <v/>
      </c>
      <c r="AL62" s="2" t="str">
        <f t="shared" si="22"/>
        <v/>
      </c>
      <c r="AM62" s="2" t="str">
        <f t="shared" si="23"/>
        <v/>
      </c>
      <c r="AN62" s="2" t="str">
        <f t="shared" si="24"/>
        <v/>
      </c>
      <c r="AP62" s="2" t="str" cm="1">
        <f t="array" ref="AP62">IF('NILAI CPL'!$B62&lt;&gt;"",IFERROR(_xlfn.IFS(S62&gt;='NILAI CPL'!$B$3,4,S62&gt;='NILAI CPL'!$B$4,3,S62&gt;='NILAI CPL'!$B$5,2,S62&gt;'NILAI CPL'!$B$6,1),0),"")</f>
        <v/>
      </c>
      <c r="AQ62" s="2" t="str" cm="1">
        <f t="array" ref="AQ62">IF('NILAI CPL'!$B62&lt;&gt;"",IFERROR(_xlfn.IFS(T62&gt;='NILAI CPL'!$B$3,4,T62&gt;='NILAI CPL'!$B$4,3,T62&gt;='NILAI CPL'!$B$5,2,T62&gt;'NILAI CPL'!$B$6,1),0),"")</f>
        <v/>
      </c>
      <c r="AR62" s="2" t="str" cm="1">
        <f t="array" ref="AR62">IF('NILAI CPL'!$B62&lt;&gt;"",IFERROR(_xlfn.IFS(U62&gt;='NILAI CPL'!$B$3,4,U62&gt;='NILAI CPL'!$B$4,3,U62&gt;='NILAI CPL'!$B$5,2,U62&gt;'NILAI CPL'!$B$6,1),0),"")</f>
        <v/>
      </c>
      <c r="AS62" s="2" t="str" cm="1">
        <f t="array" ref="AS62">IF('NILAI CPL'!$B62&lt;&gt;"",IFERROR(_xlfn.IFS(V62&gt;='NILAI CPL'!$B$3,4,V62&gt;='NILAI CPL'!$B$4,3,V62&gt;='NILAI CPL'!$B$5,2,V62&gt;'NILAI CPL'!$B$6,1),0),"")</f>
        <v/>
      </c>
      <c r="AT62" s="2" t="str" cm="1">
        <f t="array" ref="AT62">IF('NILAI CPL'!$B62&lt;&gt;"",IFERROR(_xlfn.IFS(W62&gt;='NILAI CPL'!$B$3,4,W62&gt;='NILAI CPL'!$B$4,3,W62&gt;='NILAI CPL'!$B$5,2,W62&gt;'NILAI CPL'!$B$6,1),0),"")</f>
        <v/>
      </c>
      <c r="AU62" s="2" t="str" cm="1">
        <f t="array" ref="AU62">IF('NILAI CPL'!$B62&lt;&gt;"",IFERROR(_xlfn.IFS(X62&gt;='NILAI CPL'!$B$3,4,X62&gt;='NILAI CPL'!$B$4,3,X62&gt;='NILAI CPL'!$B$5,2,X62&gt;'NILAI CPL'!$B$6,1),0),"")</f>
        <v/>
      </c>
      <c r="AV62" s="2" t="str" cm="1">
        <f t="array" ref="AV62">IF('NILAI CPL'!$B62&lt;&gt;"",IFERROR(_xlfn.IFS(Y62&gt;='NILAI CPL'!$B$3,4,Y62&gt;='NILAI CPL'!$B$4,3,Y62&gt;='NILAI CPL'!$B$5,2,Y62&gt;'NILAI CPL'!$B$6,1),0),"")</f>
        <v/>
      </c>
      <c r="AW62" s="2" t="str" cm="1">
        <f t="array" ref="AW62">IF('NILAI CPL'!$B62&lt;&gt;"",IFERROR(_xlfn.IFS(Z62&gt;='NILAI CPL'!$B$3,4,Z62&gt;='NILAI CPL'!$B$4,3,Z62&gt;='NILAI CPL'!$B$5,2,Z62&gt;'NILAI CPL'!$B$6,1),0),"")</f>
        <v/>
      </c>
      <c r="AX62" s="2" t="str" cm="1">
        <f t="array" ref="AX62">IF('NILAI CPL'!$B62&lt;&gt;"",IFERROR(_xlfn.IFS(AA62&gt;='NILAI CPL'!$B$3,4,AA62&gt;='NILAI CPL'!$B$4,3,AA62&gt;='NILAI CPL'!$B$5,2,AA62&gt;'NILAI CPL'!$B$6,1),0),"")</f>
        <v/>
      </c>
      <c r="AY62" s="2" t="str" cm="1">
        <f t="array" ref="AY62">IF('NILAI CPL'!$B62&lt;&gt;"",IFERROR(_xlfn.IFS(AB62&gt;='NILAI CPL'!$B$3,4,AB62&gt;='NILAI CPL'!$B$4,3,AB62&gt;='NILAI CPL'!$B$5,2,AB62&gt;'NILAI CPL'!$B$6,1),0),"")</f>
        <v/>
      </c>
      <c r="AZ62" s="2" t="str" cm="1">
        <f t="array" ref="AZ62">IF('NILAI CPL'!$B62&lt;&gt;"",IFERROR(_xlfn.IFS(AC62&gt;='NILAI CPL'!$B$3,4,AC62&gt;='NILAI CPL'!$B$4,3,AC62&gt;='NILAI CPL'!$B$5,2,AC62&gt;'NILAI CPL'!$B$6,1),0),"")</f>
        <v/>
      </c>
      <c r="BA62" s="2" t="str" cm="1">
        <f t="array" ref="BA62">IF('NILAI CPL'!$B62&lt;&gt;"",IFERROR(_xlfn.IFS(AD62&gt;='NILAI CPL'!$B$3,4,AD62&gt;='NILAI CPL'!$B$4,3,AD62&gt;='NILAI CPL'!$B$5,2,AD62&gt;'NILAI CPL'!$B$6,1),0),"")</f>
        <v/>
      </c>
      <c r="BB62" s="2" t="str" cm="1">
        <f t="array" ref="BB62">IF('NILAI CPL'!$B62&lt;&gt;"",IFERROR(_xlfn.IFS(AE62&gt;='NILAI CPL'!$B$3,4,AE62&gt;='NILAI CPL'!$B$4,3,AE62&gt;='NILAI CPL'!$B$5,2,AE62&gt;'NILAI CPL'!$B$6,1),0),"")</f>
        <v/>
      </c>
      <c r="BC62" s="2" t="str" cm="1">
        <f t="array" ref="BC62">IF('NILAI CPL'!$B62&lt;&gt;"",IFERROR(_xlfn.IFS(AF62&gt;='NILAI CPL'!$B$3,4,AF62&gt;='NILAI CPL'!$B$4,3,AF62&gt;='NILAI CPL'!$B$5,2,AF62&gt;'NILAI CPL'!$B$6,1),0),"")</f>
        <v/>
      </c>
      <c r="BD62" s="2" t="str" cm="1">
        <f t="array" ref="BD62">IF('NILAI CPL'!$B62&lt;&gt;"",IFERROR(_xlfn.IFS(AG62&gt;='NILAI CPL'!$B$3,4,AG62&gt;='NILAI CPL'!$B$4,3,AG62&gt;='NILAI CPL'!$B$5,2,AG62&gt;'NILAI CPL'!$B$6,1),0),"")</f>
        <v/>
      </c>
      <c r="BE62" s="2" t="str" cm="1">
        <f t="array" ref="BE62">IF('NILAI CPL'!$B62&lt;&gt;"",IFERROR(_xlfn.IFS(AH62&gt;='NILAI CPL'!$B$3,4,AH62&gt;='NILAI CPL'!$B$4,3,AH62&gt;='NILAI CPL'!$B$5,2,AH62&gt;'NILAI CPL'!$B$6,1),0),"")</f>
        <v/>
      </c>
      <c r="BF62" s="2" t="str" cm="1">
        <f t="array" ref="BF62">IF('NILAI CPL'!$B62&lt;&gt;"",IFERROR(_xlfn.IFS(AI62&gt;='NILAI CPL'!$B$3,4,AI62&gt;='NILAI CPL'!$B$4,3,AI62&gt;='NILAI CPL'!$B$5,2,AI62&gt;'NILAI CPL'!$B$6,1),0),"")</f>
        <v/>
      </c>
      <c r="BG62" s="2" t="str" cm="1">
        <f t="array" ref="BG62">IF('NILAI CPL'!$B62&lt;&gt;"",IFERROR(_xlfn.IFS(AJ62&gt;='NILAI CPL'!$B$3,4,AJ62&gt;='NILAI CPL'!$B$4,3,AJ62&gt;='NILAI CPL'!$B$5,2,AJ62&gt;'NILAI CPL'!$B$6,1),0),"")</f>
        <v/>
      </c>
      <c r="BH62" s="2" t="str" cm="1">
        <f t="array" ref="BH62">IF('NILAI CPL'!$B62&lt;&gt;"",IFERROR(_xlfn.IFS(AK62&gt;='NILAI CPL'!$B$3,4,AK62&gt;='NILAI CPL'!$B$4,3,AK62&gt;='NILAI CPL'!$B$5,2,AK62&gt;'NILAI CPL'!$B$6,1),0),"")</f>
        <v/>
      </c>
      <c r="BI62" s="2" t="str" cm="1">
        <f t="array" ref="BI62">IF('NILAI CPL'!$B62&lt;&gt;"",IFERROR(_xlfn.IFS(AL62&gt;='NILAI CPL'!$B$3,4,AL62&gt;='NILAI CPL'!$B$4,3,AL62&gt;='NILAI CPL'!$B$5,2,AL62&gt;'NILAI CPL'!$B$6,1),0),"")</f>
        <v/>
      </c>
      <c r="BJ62" s="2" t="str" cm="1">
        <f t="array" ref="BJ62">IF('NILAI CPL'!$B62&lt;&gt;"",IFERROR(_xlfn.IFS(AM62&gt;='NILAI CPL'!$B$3,4,AM62&gt;='NILAI CPL'!$B$4,3,AM62&gt;='NILAI CPL'!$B$5,2,AM62&gt;'NILAI CPL'!$B$6,1),0),"")</f>
        <v/>
      </c>
      <c r="BK62" s="2" t="str" cm="1">
        <f t="array" ref="BK62">IF('NILAI CPL'!$B62&lt;&gt;"",IFERROR(_xlfn.IFS(AN62&gt;='NILAI CPL'!$B$3,4,AN62&gt;='NILAI CPL'!$B$4,3,AN62&gt;='NILAI CPL'!$B$5,2,AN62&gt;'NILAI CPL'!$B$6,1),0),"")</f>
        <v/>
      </c>
    </row>
    <row r="63" spans="1:63" x14ac:dyDescent="0.2">
      <c r="A63" s="2">
        <v>53</v>
      </c>
      <c r="B63" s="2" t="str">
        <f>IF(LEN(SUMMARY!B63)&gt;0, SUMMARY!B63, "")</f>
        <v/>
      </c>
      <c r="C63" s="2" t="str">
        <f>IF(LEN(SUMMARY!C63)&gt;0, SUMMARY!C63, "")</f>
        <v/>
      </c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" t="str">
        <f t="shared" si="2"/>
        <v/>
      </c>
      <c r="S63" s="2" t="str">
        <f t="shared" si="3"/>
        <v/>
      </c>
      <c r="T63" s="2" t="str">
        <f t="shared" si="4"/>
        <v/>
      </c>
      <c r="U63" s="2" t="str">
        <f t="shared" si="5"/>
        <v/>
      </c>
      <c r="V63" s="2" t="str">
        <f t="shared" si="6"/>
        <v/>
      </c>
      <c r="W63" s="2" t="str">
        <f t="shared" si="7"/>
        <v/>
      </c>
      <c r="X63" s="2" t="str">
        <f t="shared" si="8"/>
        <v/>
      </c>
      <c r="Y63" s="2" t="str">
        <f t="shared" si="9"/>
        <v/>
      </c>
      <c r="Z63" s="2" t="str">
        <f t="shared" si="10"/>
        <v/>
      </c>
      <c r="AA63" s="2" t="str">
        <f t="shared" si="11"/>
        <v/>
      </c>
      <c r="AB63" s="2" t="str">
        <f t="shared" si="12"/>
        <v/>
      </c>
      <c r="AC63" s="2" t="str">
        <f t="shared" si="13"/>
        <v/>
      </c>
      <c r="AD63" s="2" t="str">
        <f t="shared" si="14"/>
        <v/>
      </c>
      <c r="AE63" s="2" t="str">
        <f t="shared" si="15"/>
        <v/>
      </c>
      <c r="AF63" s="2" t="str">
        <f t="shared" si="16"/>
        <v/>
      </c>
      <c r="AG63" s="2" t="str">
        <f t="shared" si="17"/>
        <v/>
      </c>
      <c r="AH63" s="2" t="str">
        <f t="shared" si="18"/>
        <v/>
      </c>
      <c r="AI63" s="2" t="str">
        <f t="shared" si="19"/>
        <v/>
      </c>
      <c r="AJ63" s="2" t="str">
        <f t="shared" si="20"/>
        <v/>
      </c>
      <c r="AK63" s="2" t="str">
        <f t="shared" si="21"/>
        <v/>
      </c>
      <c r="AL63" s="2" t="str">
        <f t="shared" si="22"/>
        <v/>
      </c>
      <c r="AM63" s="2" t="str">
        <f t="shared" si="23"/>
        <v/>
      </c>
      <c r="AN63" s="2" t="str">
        <f t="shared" si="24"/>
        <v/>
      </c>
      <c r="AP63" s="2" t="str" cm="1">
        <f t="array" ref="AP63">IF('NILAI CPL'!$B63&lt;&gt;"",IFERROR(_xlfn.IFS(S63&gt;='NILAI CPL'!$B$3,4,S63&gt;='NILAI CPL'!$B$4,3,S63&gt;='NILAI CPL'!$B$5,2,S63&gt;'NILAI CPL'!$B$6,1),0),"")</f>
        <v/>
      </c>
      <c r="AQ63" s="2" t="str" cm="1">
        <f t="array" ref="AQ63">IF('NILAI CPL'!$B63&lt;&gt;"",IFERROR(_xlfn.IFS(T63&gt;='NILAI CPL'!$B$3,4,T63&gt;='NILAI CPL'!$B$4,3,T63&gt;='NILAI CPL'!$B$5,2,T63&gt;'NILAI CPL'!$B$6,1),0),"")</f>
        <v/>
      </c>
      <c r="AR63" s="2" t="str" cm="1">
        <f t="array" ref="AR63">IF('NILAI CPL'!$B63&lt;&gt;"",IFERROR(_xlfn.IFS(U63&gt;='NILAI CPL'!$B$3,4,U63&gt;='NILAI CPL'!$B$4,3,U63&gt;='NILAI CPL'!$B$5,2,U63&gt;'NILAI CPL'!$B$6,1),0),"")</f>
        <v/>
      </c>
      <c r="AS63" s="2" t="str" cm="1">
        <f t="array" ref="AS63">IF('NILAI CPL'!$B63&lt;&gt;"",IFERROR(_xlfn.IFS(V63&gt;='NILAI CPL'!$B$3,4,V63&gt;='NILAI CPL'!$B$4,3,V63&gt;='NILAI CPL'!$B$5,2,V63&gt;'NILAI CPL'!$B$6,1),0),"")</f>
        <v/>
      </c>
      <c r="AT63" s="2" t="str" cm="1">
        <f t="array" ref="AT63">IF('NILAI CPL'!$B63&lt;&gt;"",IFERROR(_xlfn.IFS(W63&gt;='NILAI CPL'!$B$3,4,W63&gt;='NILAI CPL'!$B$4,3,W63&gt;='NILAI CPL'!$B$5,2,W63&gt;'NILAI CPL'!$B$6,1),0),"")</f>
        <v/>
      </c>
      <c r="AU63" s="2" t="str" cm="1">
        <f t="array" ref="AU63">IF('NILAI CPL'!$B63&lt;&gt;"",IFERROR(_xlfn.IFS(X63&gt;='NILAI CPL'!$B$3,4,X63&gt;='NILAI CPL'!$B$4,3,X63&gt;='NILAI CPL'!$B$5,2,X63&gt;'NILAI CPL'!$B$6,1),0),"")</f>
        <v/>
      </c>
      <c r="AV63" s="2" t="str" cm="1">
        <f t="array" ref="AV63">IF('NILAI CPL'!$B63&lt;&gt;"",IFERROR(_xlfn.IFS(Y63&gt;='NILAI CPL'!$B$3,4,Y63&gt;='NILAI CPL'!$B$4,3,Y63&gt;='NILAI CPL'!$B$5,2,Y63&gt;'NILAI CPL'!$B$6,1),0),"")</f>
        <v/>
      </c>
      <c r="AW63" s="2" t="str" cm="1">
        <f t="array" ref="AW63">IF('NILAI CPL'!$B63&lt;&gt;"",IFERROR(_xlfn.IFS(Z63&gt;='NILAI CPL'!$B$3,4,Z63&gt;='NILAI CPL'!$B$4,3,Z63&gt;='NILAI CPL'!$B$5,2,Z63&gt;'NILAI CPL'!$B$6,1),0),"")</f>
        <v/>
      </c>
      <c r="AX63" s="2" t="str" cm="1">
        <f t="array" ref="AX63">IF('NILAI CPL'!$B63&lt;&gt;"",IFERROR(_xlfn.IFS(AA63&gt;='NILAI CPL'!$B$3,4,AA63&gt;='NILAI CPL'!$B$4,3,AA63&gt;='NILAI CPL'!$B$5,2,AA63&gt;'NILAI CPL'!$B$6,1),0),"")</f>
        <v/>
      </c>
      <c r="AY63" s="2" t="str" cm="1">
        <f t="array" ref="AY63">IF('NILAI CPL'!$B63&lt;&gt;"",IFERROR(_xlfn.IFS(AB63&gt;='NILAI CPL'!$B$3,4,AB63&gt;='NILAI CPL'!$B$4,3,AB63&gt;='NILAI CPL'!$B$5,2,AB63&gt;'NILAI CPL'!$B$6,1),0),"")</f>
        <v/>
      </c>
      <c r="AZ63" s="2" t="str" cm="1">
        <f t="array" ref="AZ63">IF('NILAI CPL'!$B63&lt;&gt;"",IFERROR(_xlfn.IFS(AC63&gt;='NILAI CPL'!$B$3,4,AC63&gt;='NILAI CPL'!$B$4,3,AC63&gt;='NILAI CPL'!$B$5,2,AC63&gt;'NILAI CPL'!$B$6,1),0),"")</f>
        <v/>
      </c>
      <c r="BA63" s="2" t="str" cm="1">
        <f t="array" ref="BA63">IF('NILAI CPL'!$B63&lt;&gt;"",IFERROR(_xlfn.IFS(AD63&gt;='NILAI CPL'!$B$3,4,AD63&gt;='NILAI CPL'!$B$4,3,AD63&gt;='NILAI CPL'!$B$5,2,AD63&gt;'NILAI CPL'!$B$6,1),0),"")</f>
        <v/>
      </c>
      <c r="BB63" s="2" t="str" cm="1">
        <f t="array" ref="BB63">IF('NILAI CPL'!$B63&lt;&gt;"",IFERROR(_xlfn.IFS(AE63&gt;='NILAI CPL'!$B$3,4,AE63&gt;='NILAI CPL'!$B$4,3,AE63&gt;='NILAI CPL'!$B$5,2,AE63&gt;'NILAI CPL'!$B$6,1),0),"")</f>
        <v/>
      </c>
      <c r="BC63" s="2" t="str" cm="1">
        <f t="array" ref="BC63">IF('NILAI CPL'!$B63&lt;&gt;"",IFERROR(_xlfn.IFS(AF63&gt;='NILAI CPL'!$B$3,4,AF63&gt;='NILAI CPL'!$B$4,3,AF63&gt;='NILAI CPL'!$B$5,2,AF63&gt;'NILAI CPL'!$B$6,1),0),"")</f>
        <v/>
      </c>
      <c r="BD63" s="2" t="str" cm="1">
        <f t="array" ref="BD63">IF('NILAI CPL'!$B63&lt;&gt;"",IFERROR(_xlfn.IFS(AG63&gt;='NILAI CPL'!$B$3,4,AG63&gt;='NILAI CPL'!$B$4,3,AG63&gt;='NILAI CPL'!$B$5,2,AG63&gt;'NILAI CPL'!$B$6,1),0),"")</f>
        <v/>
      </c>
      <c r="BE63" s="2" t="str" cm="1">
        <f t="array" ref="BE63">IF('NILAI CPL'!$B63&lt;&gt;"",IFERROR(_xlfn.IFS(AH63&gt;='NILAI CPL'!$B$3,4,AH63&gt;='NILAI CPL'!$B$4,3,AH63&gt;='NILAI CPL'!$B$5,2,AH63&gt;'NILAI CPL'!$B$6,1),0),"")</f>
        <v/>
      </c>
      <c r="BF63" s="2" t="str" cm="1">
        <f t="array" ref="BF63">IF('NILAI CPL'!$B63&lt;&gt;"",IFERROR(_xlfn.IFS(AI63&gt;='NILAI CPL'!$B$3,4,AI63&gt;='NILAI CPL'!$B$4,3,AI63&gt;='NILAI CPL'!$B$5,2,AI63&gt;'NILAI CPL'!$B$6,1),0),"")</f>
        <v/>
      </c>
      <c r="BG63" s="2" t="str" cm="1">
        <f t="array" ref="BG63">IF('NILAI CPL'!$B63&lt;&gt;"",IFERROR(_xlfn.IFS(AJ63&gt;='NILAI CPL'!$B$3,4,AJ63&gt;='NILAI CPL'!$B$4,3,AJ63&gt;='NILAI CPL'!$B$5,2,AJ63&gt;'NILAI CPL'!$B$6,1),0),"")</f>
        <v/>
      </c>
      <c r="BH63" s="2" t="str" cm="1">
        <f t="array" ref="BH63">IF('NILAI CPL'!$B63&lt;&gt;"",IFERROR(_xlfn.IFS(AK63&gt;='NILAI CPL'!$B$3,4,AK63&gt;='NILAI CPL'!$B$4,3,AK63&gt;='NILAI CPL'!$B$5,2,AK63&gt;'NILAI CPL'!$B$6,1),0),"")</f>
        <v/>
      </c>
      <c r="BI63" s="2" t="str" cm="1">
        <f t="array" ref="BI63">IF('NILAI CPL'!$B63&lt;&gt;"",IFERROR(_xlfn.IFS(AL63&gt;='NILAI CPL'!$B$3,4,AL63&gt;='NILAI CPL'!$B$4,3,AL63&gt;='NILAI CPL'!$B$5,2,AL63&gt;'NILAI CPL'!$B$6,1),0),"")</f>
        <v/>
      </c>
      <c r="BJ63" s="2" t="str" cm="1">
        <f t="array" ref="BJ63">IF('NILAI CPL'!$B63&lt;&gt;"",IFERROR(_xlfn.IFS(AM63&gt;='NILAI CPL'!$B$3,4,AM63&gt;='NILAI CPL'!$B$4,3,AM63&gt;='NILAI CPL'!$B$5,2,AM63&gt;'NILAI CPL'!$B$6,1),0),"")</f>
        <v/>
      </c>
      <c r="BK63" s="2" t="str" cm="1">
        <f t="array" ref="BK63">IF('NILAI CPL'!$B63&lt;&gt;"",IFERROR(_xlfn.IFS(AN63&gt;='NILAI CPL'!$B$3,4,AN63&gt;='NILAI CPL'!$B$4,3,AN63&gt;='NILAI CPL'!$B$5,2,AN63&gt;'NILAI CPL'!$B$6,1),0),"")</f>
        <v/>
      </c>
    </row>
    <row r="64" spans="1:63" x14ac:dyDescent="0.2">
      <c r="A64" s="2">
        <v>54</v>
      </c>
      <c r="B64" s="2" t="str">
        <f>IF(LEN(SUMMARY!B64)&gt;0, SUMMARY!B64, "")</f>
        <v/>
      </c>
      <c r="C64" s="2" t="str">
        <f>IF(LEN(SUMMARY!C64)&gt;0, SUMMARY!C64, "")</f>
        <v/>
      </c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" t="str">
        <f t="shared" si="2"/>
        <v/>
      </c>
      <c r="S64" s="2" t="str">
        <f t="shared" si="3"/>
        <v/>
      </c>
      <c r="T64" s="2" t="str">
        <f t="shared" si="4"/>
        <v/>
      </c>
      <c r="U64" s="2" t="str">
        <f t="shared" si="5"/>
        <v/>
      </c>
      <c r="V64" s="2" t="str">
        <f t="shared" si="6"/>
        <v/>
      </c>
      <c r="W64" s="2" t="str">
        <f t="shared" si="7"/>
        <v/>
      </c>
      <c r="X64" s="2" t="str">
        <f t="shared" si="8"/>
        <v/>
      </c>
      <c r="Y64" s="2" t="str">
        <f t="shared" si="9"/>
        <v/>
      </c>
      <c r="Z64" s="2" t="str">
        <f t="shared" si="10"/>
        <v/>
      </c>
      <c r="AA64" s="2" t="str">
        <f t="shared" si="11"/>
        <v/>
      </c>
      <c r="AB64" s="2" t="str">
        <f t="shared" si="12"/>
        <v/>
      </c>
      <c r="AC64" s="2" t="str">
        <f t="shared" si="13"/>
        <v/>
      </c>
      <c r="AD64" s="2" t="str">
        <f t="shared" si="14"/>
        <v/>
      </c>
      <c r="AE64" s="2" t="str">
        <f t="shared" si="15"/>
        <v/>
      </c>
      <c r="AF64" s="2" t="str">
        <f t="shared" si="16"/>
        <v/>
      </c>
      <c r="AG64" s="2" t="str">
        <f t="shared" si="17"/>
        <v/>
      </c>
      <c r="AH64" s="2" t="str">
        <f t="shared" si="18"/>
        <v/>
      </c>
      <c r="AI64" s="2" t="str">
        <f t="shared" si="19"/>
        <v/>
      </c>
      <c r="AJ64" s="2" t="str">
        <f t="shared" si="20"/>
        <v/>
      </c>
      <c r="AK64" s="2" t="str">
        <f t="shared" si="21"/>
        <v/>
      </c>
      <c r="AL64" s="2" t="str">
        <f t="shared" si="22"/>
        <v/>
      </c>
      <c r="AM64" s="2" t="str">
        <f t="shared" si="23"/>
        <v/>
      </c>
      <c r="AN64" s="2" t="str">
        <f t="shared" si="24"/>
        <v/>
      </c>
      <c r="AP64" s="2" t="str" cm="1">
        <f t="array" ref="AP64">IF('NILAI CPL'!$B64&lt;&gt;"",IFERROR(_xlfn.IFS(S64&gt;='NILAI CPL'!$B$3,4,S64&gt;='NILAI CPL'!$B$4,3,S64&gt;='NILAI CPL'!$B$5,2,S64&gt;'NILAI CPL'!$B$6,1),0),"")</f>
        <v/>
      </c>
      <c r="AQ64" s="2" t="str" cm="1">
        <f t="array" ref="AQ64">IF('NILAI CPL'!$B64&lt;&gt;"",IFERROR(_xlfn.IFS(T64&gt;='NILAI CPL'!$B$3,4,T64&gt;='NILAI CPL'!$B$4,3,T64&gt;='NILAI CPL'!$B$5,2,T64&gt;'NILAI CPL'!$B$6,1),0),"")</f>
        <v/>
      </c>
      <c r="AR64" s="2" t="str" cm="1">
        <f t="array" ref="AR64">IF('NILAI CPL'!$B64&lt;&gt;"",IFERROR(_xlfn.IFS(U64&gt;='NILAI CPL'!$B$3,4,U64&gt;='NILAI CPL'!$B$4,3,U64&gt;='NILAI CPL'!$B$5,2,U64&gt;'NILAI CPL'!$B$6,1),0),"")</f>
        <v/>
      </c>
      <c r="AS64" s="2" t="str" cm="1">
        <f t="array" ref="AS64">IF('NILAI CPL'!$B64&lt;&gt;"",IFERROR(_xlfn.IFS(V64&gt;='NILAI CPL'!$B$3,4,V64&gt;='NILAI CPL'!$B$4,3,V64&gt;='NILAI CPL'!$B$5,2,V64&gt;'NILAI CPL'!$B$6,1),0),"")</f>
        <v/>
      </c>
      <c r="AT64" s="2" t="str" cm="1">
        <f t="array" ref="AT64">IF('NILAI CPL'!$B64&lt;&gt;"",IFERROR(_xlfn.IFS(W64&gt;='NILAI CPL'!$B$3,4,W64&gt;='NILAI CPL'!$B$4,3,W64&gt;='NILAI CPL'!$B$5,2,W64&gt;'NILAI CPL'!$B$6,1),0),"")</f>
        <v/>
      </c>
      <c r="AU64" s="2" t="str" cm="1">
        <f t="array" ref="AU64">IF('NILAI CPL'!$B64&lt;&gt;"",IFERROR(_xlfn.IFS(X64&gt;='NILAI CPL'!$B$3,4,X64&gt;='NILAI CPL'!$B$4,3,X64&gt;='NILAI CPL'!$B$5,2,X64&gt;'NILAI CPL'!$B$6,1),0),"")</f>
        <v/>
      </c>
      <c r="AV64" s="2" t="str" cm="1">
        <f t="array" ref="AV64">IF('NILAI CPL'!$B64&lt;&gt;"",IFERROR(_xlfn.IFS(Y64&gt;='NILAI CPL'!$B$3,4,Y64&gt;='NILAI CPL'!$B$4,3,Y64&gt;='NILAI CPL'!$B$5,2,Y64&gt;'NILAI CPL'!$B$6,1),0),"")</f>
        <v/>
      </c>
      <c r="AW64" s="2" t="str" cm="1">
        <f t="array" ref="AW64">IF('NILAI CPL'!$B64&lt;&gt;"",IFERROR(_xlfn.IFS(Z64&gt;='NILAI CPL'!$B$3,4,Z64&gt;='NILAI CPL'!$B$4,3,Z64&gt;='NILAI CPL'!$B$5,2,Z64&gt;'NILAI CPL'!$B$6,1),0),"")</f>
        <v/>
      </c>
      <c r="AX64" s="2" t="str" cm="1">
        <f t="array" ref="AX64">IF('NILAI CPL'!$B64&lt;&gt;"",IFERROR(_xlfn.IFS(AA64&gt;='NILAI CPL'!$B$3,4,AA64&gt;='NILAI CPL'!$B$4,3,AA64&gt;='NILAI CPL'!$B$5,2,AA64&gt;'NILAI CPL'!$B$6,1),0),"")</f>
        <v/>
      </c>
      <c r="AY64" s="2" t="str" cm="1">
        <f t="array" ref="AY64">IF('NILAI CPL'!$B64&lt;&gt;"",IFERROR(_xlfn.IFS(AB64&gt;='NILAI CPL'!$B$3,4,AB64&gt;='NILAI CPL'!$B$4,3,AB64&gt;='NILAI CPL'!$B$5,2,AB64&gt;'NILAI CPL'!$B$6,1),0),"")</f>
        <v/>
      </c>
      <c r="AZ64" s="2" t="str" cm="1">
        <f t="array" ref="AZ64">IF('NILAI CPL'!$B64&lt;&gt;"",IFERROR(_xlfn.IFS(AC64&gt;='NILAI CPL'!$B$3,4,AC64&gt;='NILAI CPL'!$B$4,3,AC64&gt;='NILAI CPL'!$B$5,2,AC64&gt;'NILAI CPL'!$B$6,1),0),"")</f>
        <v/>
      </c>
      <c r="BA64" s="2" t="str" cm="1">
        <f t="array" ref="BA64">IF('NILAI CPL'!$B64&lt;&gt;"",IFERROR(_xlfn.IFS(AD64&gt;='NILAI CPL'!$B$3,4,AD64&gt;='NILAI CPL'!$B$4,3,AD64&gt;='NILAI CPL'!$B$5,2,AD64&gt;'NILAI CPL'!$B$6,1),0),"")</f>
        <v/>
      </c>
      <c r="BB64" s="2" t="str" cm="1">
        <f t="array" ref="BB64">IF('NILAI CPL'!$B64&lt;&gt;"",IFERROR(_xlfn.IFS(AE64&gt;='NILAI CPL'!$B$3,4,AE64&gt;='NILAI CPL'!$B$4,3,AE64&gt;='NILAI CPL'!$B$5,2,AE64&gt;'NILAI CPL'!$B$6,1),0),"")</f>
        <v/>
      </c>
      <c r="BC64" s="2" t="str" cm="1">
        <f t="array" ref="BC64">IF('NILAI CPL'!$B64&lt;&gt;"",IFERROR(_xlfn.IFS(AF64&gt;='NILAI CPL'!$B$3,4,AF64&gt;='NILAI CPL'!$B$4,3,AF64&gt;='NILAI CPL'!$B$5,2,AF64&gt;'NILAI CPL'!$B$6,1),0),"")</f>
        <v/>
      </c>
      <c r="BD64" s="2" t="str" cm="1">
        <f t="array" ref="BD64">IF('NILAI CPL'!$B64&lt;&gt;"",IFERROR(_xlfn.IFS(AG64&gt;='NILAI CPL'!$B$3,4,AG64&gt;='NILAI CPL'!$B$4,3,AG64&gt;='NILAI CPL'!$B$5,2,AG64&gt;'NILAI CPL'!$B$6,1),0),"")</f>
        <v/>
      </c>
      <c r="BE64" s="2" t="str" cm="1">
        <f t="array" ref="BE64">IF('NILAI CPL'!$B64&lt;&gt;"",IFERROR(_xlfn.IFS(AH64&gt;='NILAI CPL'!$B$3,4,AH64&gt;='NILAI CPL'!$B$4,3,AH64&gt;='NILAI CPL'!$B$5,2,AH64&gt;'NILAI CPL'!$B$6,1),0),"")</f>
        <v/>
      </c>
      <c r="BF64" s="2" t="str" cm="1">
        <f t="array" ref="BF64">IF('NILAI CPL'!$B64&lt;&gt;"",IFERROR(_xlfn.IFS(AI64&gt;='NILAI CPL'!$B$3,4,AI64&gt;='NILAI CPL'!$B$4,3,AI64&gt;='NILAI CPL'!$B$5,2,AI64&gt;'NILAI CPL'!$B$6,1),0),"")</f>
        <v/>
      </c>
      <c r="BG64" s="2" t="str" cm="1">
        <f t="array" ref="BG64">IF('NILAI CPL'!$B64&lt;&gt;"",IFERROR(_xlfn.IFS(AJ64&gt;='NILAI CPL'!$B$3,4,AJ64&gt;='NILAI CPL'!$B$4,3,AJ64&gt;='NILAI CPL'!$B$5,2,AJ64&gt;'NILAI CPL'!$B$6,1),0),"")</f>
        <v/>
      </c>
      <c r="BH64" s="2" t="str" cm="1">
        <f t="array" ref="BH64">IF('NILAI CPL'!$B64&lt;&gt;"",IFERROR(_xlfn.IFS(AK64&gt;='NILAI CPL'!$B$3,4,AK64&gt;='NILAI CPL'!$B$4,3,AK64&gt;='NILAI CPL'!$B$5,2,AK64&gt;'NILAI CPL'!$B$6,1),0),"")</f>
        <v/>
      </c>
      <c r="BI64" s="2" t="str" cm="1">
        <f t="array" ref="BI64">IF('NILAI CPL'!$B64&lt;&gt;"",IFERROR(_xlfn.IFS(AL64&gt;='NILAI CPL'!$B$3,4,AL64&gt;='NILAI CPL'!$B$4,3,AL64&gt;='NILAI CPL'!$B$5,2,AL64&gt;'NILAI CPL'!$B$6,1),0),"")</f>
        <v/>
      </c>
      <c r="BJ64" s="2" t="str" cm="1">
        <f t="array" ref="BJ64">IF('NILAI CPL'!$B64&lt;&gt;"",IFERROR(_xlfn.IFS(AM64&gt;='NILAI CPL'!$B$3,4,AM64&gt;='NILAI CPL'!$B$4,3,AM64&gt;='NILAI CPL'!$B$5,2,AM64&gt;'NILAI CPL'!$B$6,1),0),"")</f>
        <v/>
      </c>
      <c r="BK64" s="2" t="str" cm="1">
        <f t="array" ref="BK64">IF('NILAI CPL'!$B64&lt;&gt;"",IFERROR(_xlfn.IFS(AN64&gt;='NILAI CPL'!$B$3,4,AN64&gt;='NILAI CPL'!$B$4,3,AN64&gt;='NILAI CPL'!$B$5,2,AN64&gt;'NILAI CPL'!$B$6,1),0),"")</f>
        <v/>
      </c>
    </row>
    <row r="65" spans="1:63" x14ac:dyDescent="0.2">
      <c r="A65" s="2">
        <v>55</v>
      </c>
      <c r="B65" s="2" t="str">
        <f>IF(LEN(SUMMARY!B65)&gt;0, SUMMARY!B65, "")</f>
        <v/>
      </c>
      <c r="C65" s="2" t="str">
        <f>IF(LEN(SUMMARY!C65)&gt;0, SUMMARY!C65, "")</f>
        <v/>
      </c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" t="str">
        <f t="shared" si="2"/>
        <v/>
      </c>
      <c r="S65" s="2" t="str">
        <f t="shared" si="3"/>
        <v/>
      </c>
      <c r="T65" s="2" t="str">
        <f t="shared" si="4"/>
        <v/>
      </c>
      <c r="U65" s="2" t="str">
        <f t="shared" si="5"/>
        <v/>
      </c>
      <c r="V65" s="2" t="str">
        <f t="shared" si="6"/>
        <v/>
      </c>
      <c r="W65" s="2" t="str">
        <f t="shared" si="7"/>
        <v/>
      </c>
      <c r="X65" s="2" t="str">
        <f t="shared" si="8"/>
        <v/>
      </c>
      <c r="Y65" s="2" t="str">
        <f t="shared" si="9"/>
        <v/>
      </c>
      <c r="Z65" s="2" t="str">
        <f t="shared" si="10"/>
        <v/>
      </c>
      <c r="AA65" s="2" t="str">
        <f t="shared" si="11"/>
        <v/>
      </c>
      <c r="AB65" s="2" t="str">
        <f t="shared" si="12"/>
        <v/>
      </c>
      <c r="AC65" s="2" t="str">
        <f t="shared" si="13"/>
        <v/>
      </c>
      <c r="AD65" s="2" t="str">
        <f t="shared" si="14"/>
        <v/>
      </c>
      <c r="AE65" s="2" t="str">
        <f t="shared" si="15"/>
        <v/>
      </c>
      <c r="AF65" s="2" t="str">
        <f t="shared" si="16"/>
        <v/>
      </c>
      <c r="AG65" s="2" t="str">
        <f t="shared" si="17"/>
        <v/>
      </c>
      <c r="AH65" s="2" t="str">
        <f t="shared" si="18"/>
        <v/>
      </c>
      <c r="AI65" s="2" t="str">
        <f t="shared" si="19"/>
        <v/>
      </c>
      <c r="AJ65" s="2" t="str">
        <f t="shared" si="20"/>
        <v/>
      </c>
      <c r="AK65" s="2" t="str">
        <f t="shared" si="21"/>
        <v/>
      </c>
      <c r="AL65" s="2" t="str">
        <f t="shared" si="22"/>
        <v/>
      </c>
      <c r="AM65" s="2" t="str">
        <f t="shared" si="23"/>
        <v/>
      </c>
      <c r="AN65" s="2" t="str">
        <f t="shared" si="24"/>
        <v/>
      </c>
      <c r="AP65" s="2" t="str" cm="1">
        <f t="array" ref="AP65">IF('NILAI CPL'!$B65&lt;&gt;"",IFERROR(_xlfn.IFS(S65&gt;='NILAI CPL'!$B$3,4,S65&gt;='NILAI CPL'!$B$4,3,S65&gt;='NILAI CPL'!$B$5,2,S65&gt;'NILAI CPL'!$B$6,1),0),"")</f>
        <v/>
      </c>
      <c r="AQ65" s="2" t="str" cm="1">
        <f t="array" ref="AQ65">IF('NILAI CPL'!$B65&lt;&gt;"",IFERROR(_xlfn.IFS(T65&gt;='NILAI CPL'!$B$3,4,T65&gt;='NILAI CPL'!$B$4,3,T65&gt;='NILAI CPL'!$B$5,2,T65&gt;'NILAI CPL'!$B$6,1),0),"")</f>
        <v/>
      </c>
      <c r="AR65" s="2" t="str" cm="1">
        <f t="array" ref="AR65">IF('NILAI CPL'!$B65&lt;&gt;"",IFERROR(_xlfn.IFS(U65&gt;='NILAI CPL'!$B$3,4,U65&gt;='NILAI CPL'!$B$4,3,U65&gt;='NILAI CPL'!$B$5,2,U65&gt;'NILAI CPL'!$B$6,1),0),"")</f>
        <v/>
      </c>
      <c r="AS65" s="2" t="str" cm="1">
        <f t="array" ref="AS65">IF('NILAI CPL'!$B65&lt;&gt;"",IFERROR(_xlfn.IFS(V65&gt;='NILAI CPL'!$B$3,4,V65&gt;='NILAI CPL'!$B$4,3,V65&gt;='NILAI CPL'!$B$5,2,V65&gt;'NILAI CPL'!$B$6,1),0),"")</f>
        <v/>
      </c>
      <c r="AT65" s="2" t="str" cm="1">
        <f t="array" ref="AT65">IF('NILAI CPL'!$B65&lt;&gt;"",IFERROR(_xlfn.IFS(W65&gt;='NILAI CPL'!$B$3,4,W65&gt;='NILAI CPL'!$B$4,3,W65&gt;='NILAI CPL'!$B$5,2,W65&gt;'NILAI CPL'!$B$6,1),0),"")</f>
        <v/>
      </c>
      <c r="AU65" s="2" t="str" cm="1">
        <f t="array" ref="AU65">IF('NILAI CPL'!$B65&lt;&gt;"",IFERROR(_xlfn.IFS(X65&gt;='NILAI CPL'!$B$3,4,X65&gt;='NILAI CPL'!$B$4,3,X65&gt;='NILAI CPL'!$B$5,2,X65&gt;'NILAI CPL'!$B$6,1),0),"")</f>
        <v/>
      </c>
      <c r="AV65" s="2" t="str" cm="1">
        <f t="array" ref="AV65">IF('NILAI CPL'!$B65&lt;&gt;"",IFERROR(_xlfn.IFS(Y65&gt;='NILAI CPL'!$B$3,4,Y65&gt;='NILAI CPL'!$B$4,3,Y65&gt;='NILAI CPL'!$B$5,2,Y65&gt;'NILAI CPL'!$B$6,1),0),"")</f>
        <v/>
      </c>
      <c r="AW65" s="2" t="str" cm="1">
        <f t="array" ref="AW65">IF('NILAI CPL'!$B65&lt;&gt;"",IFERROR(_xlfn.IFS(Z65&gt;='NILAI CPL'!$B$3,4,Z65&gt;='NILAI CPL'!$B$4,3,Z65&gt;='NILAI CPL'!$B$5,2,Z65&gt;'NILAI CPL'!$B$6,1),0),"")</f>
        <v/>
      </c>
      <c r="AX65" s="2" t="str" cm="1">
        <f t="array" ref="AX65">IF('NILAI CPL'!$B65&lt;&gt;"",IFERROR(_xlfn.IFS(AA65&gt;='NILAI CPL'!$B$3,4,AA65&gt;='NILAI CPL'!$B$4,3,AA65&gt;='NILAI CPL'!$B$5,2,AA65&gt;'NILAI CPL'!$B$6,1),0),"")</f>
        <v/>
      </c>
      <c r="AY65" s="2" t="str" cm="1">
        <f t="array" ref="AY65">IF('NILAI CPL'!$B65&lt;&gt;"",IFERROR(_xlfn.IFS(AB65&gt;='NILAI CPL'!$B$3,4,AB65&gt;='NILAI CPL'!$B$4,3,AB65&gt;='NILAI CPL'!$B$5,2,AB65&gt;'NILAI CPL'!$B$6,1),0),"")</f>
        <v/>
      </c>
      <c r="AZ65" s="2" t="str" cm="1">
        <f t="array" ref="AZ65">IF('NILAI CPL'!$B65&lt;&gt;"",IFERROR(_xlfn.IFS(AC65&gt;='NILAI CPL'!$B$3,4,AC65&gt;='NILAI CPL'!$B$4,3,AC65&gt;='NILAI CPL'!$B$5,2,AC65&gt;'NILAI CPL'!$B$6,1),0),"")</f>
        <v/>
      </c>
      <c r="BA65" s="2" t="str" cm="1">
        <f t="array" ref="BA65">IF('NILAI CPL'!$B65&lt;&gt;"",IFERROR(_xlfn.IFS(AD65&gt;='NILAI CPL'!$B$3,4,AD65&gt;='NILAI CPL'!$B$4,3,AD65&gt;='NILAI CPL'!$B$5,2,AD65&gt;'NILAI CPL'!$B$6,1),0),"")</f>
        <v/>
      </c>
      <c r="BB65" s="2" t="str" cm="1">
        <f t="array" ref="BB65">IF('NILAI CPL'!$B65&lt;&gt;"",IFERROR(_xlfn.IFS(AE65&gt;='NILAI CPL'!$B$3,4,AE65&gt;='NILAI CPL'!$B$4,3,AE65&gt;='NILAI CPL'!$B$5,2,AE65&gt;'NILAI CPL'!$B$6,1),0),"")</f>
        <v/>
      </c>
      <c r="BC65" s="2" t="str" cm="1">
        <f t="array" ref="BC65">IF('NILAI CPL'!$B65&lt;&gt;"",IFERROR(_xlfn.IFS(AF65&gt;='NILAI CPL'!$B$3,4,AF65&gt;='NILAI CPL'!$B$4,3,AF65&gt;='NILAI CPL'!$B$5,2,AF65&gt;'NILAI CPL'!$B$6,1),0),"")</f>
        <v/>
      </c>
      <c r="BD65" s="2" t="str" cm="1">
        <f t="array" ref="BD65">IF('NILAI CPL'!$B65&lt;&gt;"",IFERROR(_xlfn.IFS(AG65&gt;='NILAI CPL'!$B$3,4,AG65&gt;='NILAI CPL'!$B$4,3,AG65&gt;='NILAI CPL'!$B$5,2,AG65&gt;'NILAI CPL'!$B$6,1),0),"")</f>
        <v/>
      </c>
      <c r="BE65" s="2" t="str" cm="1">
        <f t="array" ref="BE65">IF('NILAI CPL'!$B65&lt;&gt;"",IFERROR(_xlfn.IFS(AH65&gt;='NILAI CPL'!$B$3,4,AH65&gt;='NILAI CPL'!$B$4,3,AH65&gt;='NILAI CPL'!$B$5,2,AH65&gt;'NILAI CPL'!$B$6,1),0),"")</f>
        <v/>
      </c>
      <c r="BF65" s="2" t="str" cm="1">
        <f t="array" ref="BF65">IF('NILAI CPL'!$B65&lt;&gt;"",IFERROR(_xlfn.IFS(AI65&gt;='NILAI CPL'!$B$3,4,AI65&gt;='NILAI CPL'!$B$4,3,AI65&gt;='NILAI CPL'!$B$5,2,AI65&gt;'NILAI CPL'!$B$6,1),0),"")</f>
        <v/>
      </c>
      <c r="BG65" s="2" t="str" cm="1">
        <f t="array" ref="BG65">IF('NILAI CPL'!$B65&lt;&gt;"",IFERROR(_xlfn.IFS(AJ65&gt;='NILAI CPL'!$B$3,4,AJ65&gt;='NILAI CPL'!$B$4,3,AJ65&gt;='NILAI CPL'!$B$5,2,AJ65&gt;'NILAI CPL'!$B$6,1),0),"")</f>
        <v/>
      </c>
      <c r="BH65" s="2" t="str" cm="1">
        <f t="array" ref="BH65">IF('NILAI CPL'!$B65&lt;&gt;"",IFERROR(_xlfn.IFS(AK65&gt;='NILAI CPL'!$B$3,4,AK65&gt;='NILAI CPL'!$B$4,3,AK65&gt;='NILAI CPL'!$B$5,2,AK65&gt;'NILAI CPL'!$B$6,1),0),"")</f>
        <v/>
      </c>
      <c r="BI65" s="2" t="str" cm="1">
        <f t="array" ref="BI65">IF('NILAI CPL'!$B65&lt;&gt;"",IFERROR(_xlfn.IFS(AL65&gt;='NILAI CPL'!$B$3,4,AL65&gt;='NILAI CPL'!$B$4,3,AL65&gt;='NILAI CPL'!$B$5,2,AL65&gt;'NILAI CPL'!$B$6,1),0),"")</f>
        <v/>
      </c>
      <c r="BJ65" s="2" t="str" cm="1">
        <f t="array" ref="BJ65">IF('NILAI CPL'!$B65&lt;&gt;"",IFERROR(_xlfn.IFS(AM65&gt;='NILAI CPL'!$B$3,4,AM65&gt;='NILAI CPL'!$B$4,3,AM65&gt;='NILAI CPL'!$B$5,2,AM65&gt;'NILAI CPL'!$B$6,1),0),"")</f>
        <v/>
      </c>
      <c r="BK65" s="2" t="str" cm="1">
        <f t="array" ref="BK65">IF('NILAI CPL'!$B65&lt;&gt;"",IFERROR(_xlfn.IFS(AN65&gt;='NILAI CPL'!$B$3,4,AN65&gt;='NILAI CPL'!$B$4,3,AN65&gt;='NILAI CPL'!$B$5,2,AN65&gt;'NILAI CPL'!$B$6,1),0),"")</f>
        <v/>
      </c>
    </row>
    <row r="66" spans="1:63" x14ac:dyDescent="0.2">
      <c r="A66" s="2">
        <v>56</v>
      </c>
      <c r="B66" s="2" t="str">
        <f>IF(LEN(SUMMARY!B66)&gt;0, SUMMARY!B66, "")</f>
        <v/>
      </c>
      <c r="C66" s="2" t="str">
        <f>IF(LEN(SUMMARY!C66)&gt;0, SUMMARY!C66, "")</f>
        <v/>
      </c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" t="str">
        <f t="shared" si="2"/>
        <v/>
      </c>
      <c r="S66" s="2" t="str">
        <f t="shared" si="3"/>
        <v/>
      </c>
      <c r="T66" s="2" t="str">
        <f t="shared" si="4"/>
        <v/>
      </c>
      <c r="U66" s="2" t="str">
        <f t="shared" si="5"/>
        <v/>
      </c>
      <c r="V66" s="2" t="str">
        <f t="shared" si="6"/>
        <v/>
      </c>
      <c r="W66" s="2" t="str">
        <f t="shared" si="7"/>
        <v/>
      </c>
      <c r="X66" s="2" t="str">
        <f t="shared" si="8"/>
        <v/>
      </c>
      <c r="Y66" s="2" t="str">
        <f t="shared" si="9"/>
        <v/>
      </c>
      <c r="Z66" s="2" t="str">
        <f t="shared" si="10"/>
        <v/>
      </c>
      <c r="AA66" s="2" t="str">
        <f t="shared" si="11"/>
        <v/>
      </c>
      <c r="AB66" s="2" t="str">
        <f t="shared" si="12"/>
        <v/>
      </c>
      <c r="AC66" s="2" t="str">
        <f t="shared" si="13"/>
        <v/>
      </c>
      <c r="AD66" s="2" t="str">
        <f t="shared" si="14"/>
        <v/>
      </c>
      <c r="AE66" s="2" t="str">
        <f t="shared" si="15"/>
        <v/>
      </c>
      <c r="AF66" s="2" t="str">
        <f t="shared" si="16"/>
        <v/>
      </c>
      <c r="AG66" s="2" t="str">
        <f t="shared" si="17"/>
        <v/>
      </c>
      <c r="AH66" s="2" t="str">
        <f t="shared" si="18"/>
        <v/>
      </c>
      <c r="AI66" s="2" t="str">
        <f t="shared" si="19"/>
        <v/>
      </c>
      <c r="AJ66" s="2" t="str">
        <f t="shared" si="20"/>
        <v/>
      </c>
      <c r="AK66" s="2" t="str">
        <f t="shared" si="21"/>
        <v/>
      </c>
      <c r="AL66" s="2" t="str">
        <f t="shared" si="22"/>
        <v/>
      </c>
      <c r="AM66" s="2" t="str">
        <f t="shared" si="23"/>
        <v/>
      </c>
      <c r="AN66" s="2" t="str">
        <f t="shared" si="24"/>
        <v/>
      </c>
      <c r="AP66" s="2" t="str" cm="1">
        <f t="array" ref="AP66">IF('NILAI CPL'!$B66&lt;&gt;"",IFERROR(_xlfn.IFS(S66&gt;='NILAI CPL'!$B$3,4,S66&gt;='NILAI CPL'!$B$4,3,S66&gt;='NILAI CPL'!$B$5,2,S66&gt;'NILAI CPL'!$B$6,1),0),"")</f>
        <v/>
      </c>
      <c r="AQ66" s="2" t="str" cm="1">
        <f t="array" ref="AQ66">IF('NILAI CPL'!$B66&lt;&gt;"",IFERROR(_xlfn.IFS(T66&gt;='NILAI CPL'!$B$3,4,T66&gt;='NILAI CPL'!$B$4,3,T66&gt;='NILAI CPL'!$B$5,2,T66&gt;'NILAI CPL'!$B$6,1),0),"")</f>
        <v/>
      </c>
      <c r="AR66" s="2" t="str" cm="1">
        <f t="array" ref="AR66">IF('NILAI CPL'!$B66&lt;&gt;"",IFERROR(_xlfn.IFS(U66&gt;='NILAI CPL'!$B$3,4,U66&gt;='NILAI CPL'!$B$4,3,U66&gt;='NILAI CPL'!$B$5,2,U66&gt;'NILAI CPL'!$B$6,1),0),"")</f>
        <v/>
      </c>
      <c r="AS66" s="2" t="str" cm="1">
        <f t="array" ref="AS66">IF('NILAI CPL'!$B66&lt;&gt;"",IFERROR(_xlfn.IFS(V66&gt;='NILAI CPL'!$B$3,4,V66&gt;='NILAI CPL'!$B$4,3,V66&gt;='NILAI CPL'!$B$5,2,V66&gt;'NILAI CPL'!$B$6,1),0),"")</f>
        <v/>
      </c>
      <c r="AT66" s="2" t="str" cm="1">
        <f t="array" ref="AT66">IF('NILAI CPL'!$B66&lt;&gt;"",IFERROR(_xlfn.IFS(W66&gt;='NILAI CPL'!$B$3,4,W66&gt;='NILAI CPL'!$B$4,3,W66&gt;='NILAI CPL'!$B$5,2,W66&gt;'NILAI CPL'!$B$6,1),0),"")</f>
        <v/>
      </c>
      <c r="AU66" s="2" t="str" cm="1">
        <f t="array" ref="AU66">IF('NILAI CPL'!$B66&lt;&gt;"",IFERROR(_xlfn.IFS(X66&gt;='NILAI CPL'!$B$3,4,X66&gt;='NILAI CPL'!$B$4,3,X66&gt;='NILAI CPL'!$B$5,2,X66&gt;'NILAI CPL'!$B$6,1),0),"")</f>
        <v/>
      </c>
      <c r="AV66" s="2" t="str" cm="1">
        <f t="array" ref="AV66">IF('NILAI CPL'!$B66&lt;&gt;"",IFERROR(_xlfn.IFS(Y66&gt;='NILAI CPL'!$B$3,4,Y66&gt;='NILAI CPL'!$B$4,3,Y66&gt;='NILAI CPL'!$B$5,2,Y66&gt;'NILAI CPL'!$B$6,1),0),"")</f>
        <v/>
      </c>
      <c r="AW66" s="2" t="str" cm="1">
        <f t="array" ref="AW66">IF('NILAI CPL'!$B66&lt;&gt;"",IFERROR(_xlfn.IFS(Z66&gt;='NILAI CPL'!$B$3,4,Z66&gt;='NILAI CPL'!$B$4,3,Z66&gt;='NILAI CPL'!$B$5,2,Z66&gt;'NILAI CPL'!$B$6,1),0),"")</f>
        <v/>
      </c>
      <c r="AX66" s="2" t="str" cm="1">
        <f t="array" ref="AX66">IF('NILAI CPL'!$B66&lt;&gt;"",IFERROR(_xlfn.IFS(AA66&gt;='NILAI CPL'!$B$3,4,AA66&gt;='NILAI CPL'!$B$4,3,AA66&gt;='NILAI CPL'!$B$5,2,AA66&gt;'NILAI CPL'!$B$6,1),0),"")</f>
        <v/>
      </c>
      <c r="AY66" s="2" t="str" cm="1">
        <f t="array" ref="AY66">IF('NILAI CPL'!$B66&lt;&gt;"",IFERROR(_xlfn.IFS(AB66&gt;='NILAI CPL'!$B$3,4,AB66&gt;='NILAI CPL'!$B$4,3,AB66&gt;='NILAI CPL'!$B$5,2,AB66&gt;'NILAI CPL'!$B$6,1),0),"")</f>
        <v/>
      </c>
      <c r="AZ66" s="2" t="str" cm="1">
        <f t="array" ref="AZ66">IF('NILAI CPL'!$B66&lt;&gt;"",IFERROR(_xlfn.IFS(AC66&gt;='NILAI CPL'!$B$3,4,AC66&gt;='NILAI CPL'!$B$4,3,AC66&gt;='NILAI CPL'!$B$5,2,AC66&gt;'NILAI CPL'!$B$6,1),0),"")</f>
        <v/>
      </c>
      <c r="BA66" s="2" t="str" cm="1">
        <f t="array" ref="BA66">IF('NILAI CPL'!$B66&lt;&gt;"",IFERROR(_xlfn.IFS(AD66&gt;='NILAI CPL'!$B$3,4,AD66&gt;='NILAI CPL'!$B$4,3,AD66&gt;='NILAI CPL'!$B$5,2,AD66&gt;'NILAI CPL'!$B$6,1),0),"")</f>
        <v/>
      </c>
      <c r="BB66" s="2" t="str" cm="1">
        <f t="array" ref="BB66">IF('NILAI CPL'!$B66&lt;&gt;"",IFERROR(_xlfn.IFS(AE66&gt;='NILAI CPL'!$B$3,4,AE66&gt;='NILAI CPL'!$B$4,3,AE66&gt;='NILAI CPL'!$B$5,2,AE66&gt;'NILAI CPL'!$B$6,1),0),"")</f>
        <v/>
      </c>
      <c r="BC66" s="2" t="str" cm="1">
        <f t="array" ref="BC66">IF('NILAI CPL'!$B66&lt;&gt;"",IFERROR(_xlfn.IFS(AF66&gt;='NILAI CPL'!$B$3,4,AF66&gt;='NILAI CPL'!$B$4,3,AF66&gt;='NILAI CPL'!$B$5,2,AF66&gt;'NILAI CPL'!$B$6,1),0),"")</f>
        <v/>
      </c>
      <c r="BD66" s="2" t="str" cm="1">
        <f t="array" ref="BD66">IF('NILAI CPL'!$B66&lt;&gt;"",IFERROR(_xlfn.IFS(AG66&gt;='NILAI CPL'!$B$3,4,AG66&gt;='NILAI CPL'!$B$4,3,AG66&gt;='NILAI CPL'!$B$5,2,AG66&gt;'NILAI CPL'!$B$6,1),0),"")</f>
        <v/>
      </c>
      <c r="BE66" s="2" t="str" cm="1">
        <f t="array" ref="BE66">IF('NILAI CPL'!$B66&lt;&gt;"",IFERROR(_xlfn.IFS(AH66&gt;='NILAI CPL'!$B$3,4,AH66&gt;='NILAI CPL'!$B$4,3,AH66&gt;='NILAI CPL'!$B$5,2,AH66&gt;'NILAI CPL'!$B$6,1),0),"")</f>
        <v/>
      </c>
      <c r="BF66" s="2" t="str" cm="1">
        <f t="array" ref="BF66">IF('NILAI CPL'!$B66&lt;&gt;"",IFERROR(_xlfn.IFS(AI66&gt;='NILAI CPL'!$B$3,4,AI66&gt;='NILAI CPL'!$B$4,3,AI66&gt;='NILAI CPL'!$B$5,2,AI66&gt;'NILAI CPL'!$B$6,1),0),"")</f>
        <v/>
      </c>
      <c r="BG66" s="2" t="str" cm="1">
        <f t="array" ref="BG66">IF('NILAI CPL'!$B66&lt;&gt;"",IFERROR(_xlfn.IFS(AJ66&gt;='NILAI CPL'!$B$3,4,AJ66&gt;='NILAI CPL'!$B$4,3,AJ66&gt;='NILAI CPL'!$B$5,2,AJ66&gt;'NILAI CPL'!$B$6,1),0),"")</f>
        <v/>
      </c>
      <c r="BH66" s="2" t="str" cm="1">
        <f t="array" ref="BH66">IF('NILAI CPL'!$B66&lt;&gt;"",IFERROR(_xlfn.IFS(AK66&gt;='NILAI CPL'!$B$3,4,AK66&gt;='NILAI CPL'!$B$4,3,AK66&gt;='NILAI CPL'!$B$5,2,AK66&gt;'NILAI CPL'!$B$6,1),0),"")</f>
        <v/>
      </c>
      <c r="BI66" s="2" t="str" cm="1">
        <f t="array" ref="BI66">IF('NILAI CPL'!$B66&lt;&gt;"",IFERROR(_xlfn.IFS(AL66&gt;='NILAI CPL'!$B$3,4,AL66&gt;='NILAI CPL'!$B$4,3,AL66&gt;='NILAI CPL'!$B$5,2,AL66&gt;'NILAI CPL'!$B$6,1),0),"")</f>
        <v/>
      </c>
      <c r="BJ66" s="2" t="str" cm="1">
        <f t="array" ref="BJ66">IF('NILAI CPL'!$B66&lt;&gt;"",IFERROR(_xlfn.IFS(AM66&gt;='NILAI CPL'!$B$3,4,AM66&gt;='NILAI CPL'!$B$4,3,AM66&gt;='NILAI CPL'!$B$5,2,AM66&gt;'NILAI CPL'!$B$6,1),0),"")</f>
        <v/>
      </c>
      <c r="BK66" s="2" t="str" cm="1">
        <f t="array" ref="BK66">IF('NILAI CPL'!$B66&lt;&gt;"",IFERROR(_xlfn.IFS(AN66&gt;='NILAI CPL'!$B$3,4,AN66&gt;='NILAI CPL'!$B$4,3,AN66&gt;='NILAI CPL'!$B$5,2,AN66&gt;'NILAI CPL'!$B$6,1),0),"")</f>
        <v/>
      </c>
    </row>
    <row r="67" spans="1:63" x14ac:dyDescent="0.2">
      <c r="A67" s="2">
        <v>57</v>
      </c>
      <c r="B67" s="2" t="str">
        <f>IF(LEN(SUMMARY!B67)&gt;0, SUMMARY!B67, "")</f>
        <v/>
      </c>
      <c r="C67" s="2" t="str">
        <f>IF(LEN(SUMMARY!C67)&gt;0, SUMMARY!C67, "")</f>
        <v/>
      </c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" t="str">
        <f t="shared" si="2"/>
        <v/>
      </c>
      <c r="S67" s="2" t="str">
        <f t="shared" si="3"/>
        <v/>
      </c>
      <c r="T67" s="2" t="str">
        <f t="shared" si="4"/>
        <v/>
      </c>
      <c r="U67" s="2" t="str">
        <f t="shared" si="5"/>
        <v/>
      </c>
      <c r="V67" s="2" t="str">
        <f t="shared" si="6"/>
        <v/>
      </c>
      <c r="W67" s="2" t="str">
        <f t="shared" si="7"/>
        <v/>
      </c>
      <c r="X67" s="2" t="str">
        <f t="shared" si="8"/>
        <v/>
      </c>
      <c r="Y67" s="2" t="str">
        <f t="shared" si="9"/>
        <v/>
      </c>
      <c r="Z67" s="2" t="str">
        <f t="shared" si="10"/>
        <v/>
      </c>
      <c r="AA67" s="2" t="str">
        <f t="shared" si="11"/>
        <v/>
      </c>
      <c r="AB67" s="2" t="str">
        <f t="shared" si="12"/>
        <v/>
      </c>
      <c r="AC67" s="2" t="str">
        <f t="shared" si="13"/>
        <v/>
      </c>
      <c r="AD67" s="2" t="str">
        <f t="shared" si="14"/>
        <v/>
      </c>
      <c r="AE67" s="2" t="str">
        <f t="shared" si="15"/>
        <v/>
      </c>
      <c r="AF67" s="2" t="str">
        <f t="shared" si="16"/>
        <v/>
      </c>
      <c r="AG67" s="2" t="str">
        <f t="shared" si="17"/>
        <v/>
      </c>
      <c r="AH67" s="2" t="str">
        <f t="shared" si="18"/>
        <v/>
      </c>
      <c r="AI67" s="2" t="str">
        <f t="shared" si="19"/>
        <v/>
      </c>
      <c r="AJ67" s="2" t="str">
        <f t="shared" si="20"/>
        <v/>
      </c>
      <c r="AK67" s="2" t="str">
        <f t="shared" si="21"/>
        <v/>
      </c>
      <c r="AL67" s="2" t="str">
        <f t="shared" si="22"/>
        <v/>
      </c>
      <c r="AM67" s="2" t="str">
        <f t="shared" si="23"/>
        <v/>
      </c>
      <c r="AN67" s="2" t="str">
        <f t="shared" si="24"/>
        <v/>
      </c>
      <c r="AP67" s="2" t="str" cm="1">
        <f t="array" ref="AP67">IF('NILAI CPL'!$B67&lt;&gt;"",IFERROR(_xlfn.IFS(S67&gt;='NILAI CPL'!$B$3,4,S67&gt;='NILAI CPL'!$B$4,3,S67&gt;='NILAI CPL'!$B$5,2,S67&gt;'NILAI CPL'!$B$6,1),0),"")</f>
        <v/>
      </c>
      <c r="AQ67" s="2" t="str" cm="1">
        <f t="array" ref="AQ67">IF('NILAI CPL'!$B67&lt;&gt;"",IFERROR(_xlfn.IFS(T67&gt;='NILAI CPL'!$B$3,4,T67&gt;='NILAI CPL'!$B$4,3,T67&gt;='NILAI CPL'!$B$5,2,T67&gt;'NILAI CPL'!$B$6,1),0),"")</f>
        <v/>
      </c>
      <c r="AR67" s="2" t="str" cm="1">
        <f t="array" ref="AR67">IF('NILAI CPL'!$B67&lt;&gt;"",IFERROR(_xlfn.IFS(U67&gt;='NILAI CPL'!$B$3,4,U67&gt;='NILAI CPL'!$B$4,3,U67&gt;='NILAI CPL'!$B$5,2,U67&gt;'NILAI CPL'!$B$6,1),0),"")</f>
        <v/>
      </c>
      <c r="AS67" s="2" t="str" cm="1">
        <f t="array" ref="AS67">IF('NILAI CPL'!$B67&lt;&gt;"",IFERROR(_xlfn.IFS(V67&gt;='NILAI CPL'!$B$3,4,V67&gt;='NILAI CPL'!$B$4,3,V67&gt;='NILAI CPL'!$B$5,2,V67&gt;'NILAI CPL'!$B$6,1),0),"")</f>
        <v/>
      </c>
      <c r="AT67" s="2" t="str" cm="1">
        <f t="array" ref="AT67">IF('NILAI CPL'!$B67&lt;&gt;"",IFERROR(_xlfn.IFS(W67&gt;='NILAI CPL'!$B$3,4,W67&gt;='NILAI CPL'!$B$4,3,W67&gt;='NILAI CPL'!$B$5,2,W67&gt;'NILAI CPL'!$B$6,1),0),"")</f>
        <v/>
      </c>
      <c r="AU67" s="2" t="str" cm="1">
        <f t="array" ref="AU67">IF('NILAI CPL'!$B67&lt;&gt;"",IFERROR(_xlfn.IFS(X67&gt;='NILAI CPL'!$B$3,4,X67&gt;='NILAI CPL'!$B$4,3,X67&gt;='NILAI CPL'!$B$5,2,X67&gt;'NILAI CPL'!$B$6,1),0),"")</f>
        <v/>
      </c>
      <c r="AV67" s="2" t="str" cm="1">
        <f t="array" ref="AV67">IF('NILAI CPL'!$B67&lt;&gt;"",IFERROR(_xlfn.IFS(Y67&gt;='NILAI CPL'!$B$3,4,Y67&gt;='NILAI CPL'!$B$4,3,Y67&gt;='NILAI CPL'!$B$5,2,Y67&gt;'NILAI CPL'!$B$6,1),0),"")</f>
        <v/>
      </c>
      <c r="AW67" s="2" t="str" cm="1">
        <f t="array" ref="AW67">IF('NILAI CPL'!$B67&lt;&gt;"",IFERROR(_xlfn.IFS(Z67&gt;='NILAI CPL'!$B$3,4,Z67&gt;='NILAI CPL'!$B$4,3,Z67&gt;='NILAI CPL'!$B$5,2,Z67&gt;'NILAI CPL'!$B$6,1),0),"")</f>
        <v/>
      </c>
      <c r="AX67" s="2" t="str" cm="1">
        <f t="array" ref="AX67">IF('NILAI CPL'!$B67&lt;&gt;"",IFERROR(_xlfn.IFS(AA67&gt;='NILAI CPL'!$B$3,4,AA67&gt;='NILAI CPL'!$B$4,3,AA67&gt;='NILAI CPL'!$B$5,2,AA67&gt;'NILAI CPL'!$B$6,1),0),"")</f>
        <v/>
      </c>
      <c r="AY67" s="2" t="str" cm="1">
        <f t="array" ref="AY67">IF('NILAI CPL'!$B67&lt;&gt;"",IFERROR(_xlfn.IFS(AB67&gt;='NILAI CPL'!$B$3,4,AB67&gt;='NILAI CPL'!$B$4,3,AB67&gt;='NILAI CPL'!$B$5,2,AB67&gt;'NILAI CPL'!$B$6,1),0),"")</f>
        <v/>
      </c>
      <c r="AZ67" s="2" t="str" cm="1">
        <f t="array" ref="AZ67">IF('NILAI CPL'!$B67&lt;&gt;"",IFERROR(_xlfn.IFS(AC67&gt;='NILAI CPL'!$B$3,4,AC67&gt;='NILAI CPL'!$B$4,3,AC67&gt;='NILAI CPL'!$B$5,2,AC67&gt;'NILAI CPL'!$B$6,1),0),"")</f>
        <v/>
      </c>
      <c r="BA67" s="2" t="str" cm="1">
        <f t="array" ref="BA67">IF('NILAI CPL'!$B67&lt;&gt;"",IFERROR(_xlfn.IFS(AD67&gt;='NILAI CPL'!$B$3,4,AD67&gt;='NILAI CPL'!$B$4,3,AD67&gt;='NILAI CPL'!$B$5,2,AD67&gt;'NILAI CPL'!$B$6,1),0),"")</f>
        <v/>
      </c>
      <c r="BB67" s="2" t="str" cm="1">
        <f t="array" ref="BB67">IF('NILAI CPL'!$B67&lt;&gt;"",IFERROR(_xlfn.IFS(AE67&gt;='NILAI CPL'!$B$3,4,AE67&gt;='NILAI CPL'!$B$4,3,AE67&gt;='NILAI CPL'!$B$5,2,AE67&gt;'NILAI CPL'!$B$6,1),0),"")</f>
        <v/>
      </c>
      <c r="BC67" s="2" t="str" cm="1">
        <f t="array" ref="BC67">IF('NILAI CPL'!$B67&lt;&gt;"",IFERROR(_xlfn.IFS(AF67&gt;='NILAI CPL'!$B$3,4,AF67&gt;='NILAI CPL'!$B$4,3,AF67&gt;='NILAI CPL'!$B$5,2,AF67&gt;'NILAI CPL'!$B$6,1),0),"")</f>
        <v/>
      </c>
      <c r="BD67" s="2" t="str" cm="1">
        <f t="array" ref="BD67">IF('NILAI CPL'!$B67&lt;&gt;"",IFERROR(_xlfn.IFS(AG67&gt;='NILAI CPL'!$B$3,4,AG67&gt;='NILAI CPL'!$B$4,3,AG67&gt;='NILAI CPL'!$B$5,2,AG67&gt;'NILAI CPL'!$B$6,1),0),"")</f>
        <v/>
      </c>
      <c r="BE67" s="2" t="str" cm="1">
        <f t="array" ref="BE67">IF('NILAI CPL'!$B67&lt;&gt;"",IFERROR(_xlfn.IFS(AH67&gt;='NILAI CPL'!$B$3,4,AH67&gt;='NILAI CPL'!$B$4,3,AH67&gt;='NILAI CPL'!$B$5,2,AH67&gt;'NILAI CPL'!$B$6,1),0),"")</f>
        <v/>
      </c>
      <c r="BF67" s="2" t="str" cm="1">
        <f t="array" ref="BF67">IF('NILAI CPL'!$B67&lt;&gt;"",IFERROR(_xlfn.IFS(AI67&gt;='NILAI CPL'!$B$3,4,AI67&gt;='NILAI CPL'!$B$4,3,AI67&gt;='NILAI CPL'!$B$5,2,AI67&gt;'NILAI CPL'!$B$6,1),0),"")</f>
        <v/>
      </c>
      <c r="BG67" s="2" t="str" cm="1">
        <f t="array" ref="BG67">IF('NILAI CPL'!$B67&lt;&gt;"",IFERROR(_xlfn.IFS(AJ67&gt;='NILAI CPL'!$B$3,4,AJ67&gt;='NILAI CPL'!$B$4,3,AJ67&gt;='NILAI CPL'!$B$5,2,AJ67&gt;'NILAI CPL'!$B$6,1),0),"")</f>
        <v/>
      </c>
      <c r="BH67" s="2" t="str" cm="1">
        <f t="array" ref="BH67">IF('NILAI CPL'!$B67&lt;&gt;"",IFERROR(_xlfn.IFS(AK67&gt;='NILAI CPL'!$B$3,4,AK67&gt;='NILAI CPL'!$B$4,3,AK67&gt;='NILAI CPL'!$B$5,2,AK67&gt;'NILAI CPL'!$B$6,1),0),"")</f>
        <v/>
      </c>
      <c r="BI67" s="2" t="str" cm="1">
        <f t="array" ref="BI67">IF('NILAI CPL'!$B67&lt;&gt;"",IFERROR(_xlfn.IFS(AL67&gt;='NILAI CPL'!$B$3,4,AL67&gt;='NILAI CPL'!$B$4,3,AL67&gt;='NILAI CPL'!$B$5,2,AL67&gt;'NILAI CPL'!$B$6,1),0),"")</f>
        <v/>
      </c>
      <c r="BJ67" s="2" t="str" cm="1">
        <f t="array" ref="BJ67">IF('NILAI CPL'!$B67&lt;&gt;"",IFERROR(_xlfn.IFS(AM67&gt;='NILAI CPL'!$B$3,4,AM67&gt;='NILAI CPL'!$B$4,3,AM67&gt;='NILAI CPL'!$B$5,2,AM67&gt;'NILAI CPL'!$B$6,1),0),"")</f>
        <v/>
      </c>
      <c r="BK67" s="2" t="str" cm="1">
        <f t="array" ref="BK67">IF('NILAI CPL'!$B67&lt;&gt;"",IFERROR(_xlfn.IFS(AN67&gt;='NILAI CPL'!$B$3,4,AN67&gt;='NILAI CPL'!$B$4,3,AN67&gt;='NILAI CPL'!$B$5,2,AN67&gt;'NILAI CPL'!$B$6,1),0),"")</f>
        <v/>
      </c>
    </row>
    <row r="68" spans="1:63" x14ac:dyDescent="0.2">
      <c r="A68" s="2">
        <v>58</v>
      </c>
      <c r="B68" s="2" t="str">
        <f>IF(LEN(SUMMARY!B68)&gt;0, SUMMARY!B68, "")</f>
        <v/>
      </c>
      <c r="C68" s="2" t="str">
        <f>IF(LEN(SUMMARY!C68)&gt;0, SUMMARY!C68, "")</f>
        <v/>
      </c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" t="str">
        <f t="shared" si="2"/>
        <v/>
      </c>
      <c r="S68" s="2" t="str">
        <f t="shared" si="3"/>
        <v/>
      </c>
      <c r="T68" s="2" t="str">
        <f t="shared" si="4"/>
        <v/>
      </c>
      <c r="U68" s="2" t="str">
        <f t="shared" si="5"/>
        <v/>
      </c>
      <c r="V68" s="2" t="str">
        <f t="shared" si="6"/>
        <v/>
      </c>
      <c r="W68" s="2" t="str">
        <f t="shared" si="7"/>
        <v/>
      </c>
      <c r="X68" s="2" t="str">
        <f t="shared" si="8"/>
        <v/>
      </c>
      <c r="Y68" s="2" t="str">
        <f t="shared" si="9"/>
        <v/>
      </c>
      <c r="Z68" s="2" t="str">
        <f t="shared" si="10"/>
        <v/>
      </c>
      <c r="AA68" s="2" t="str">
        <f t="shared" si="11"/>
        <v/>
      </c>
      <c r="AB68" s="2" t="str">
        <f t="shared" si="12"/>
        <v/>
      </c>
      <c r="AC68" s="2" t="str">
        <f t="shared" si="13"/>
        <v/>
      </c>
      <c r="AD68" s="2" t="str">
        <f t="shared" si="14"/>
        <v/>
      </c>
      <c r="AE68" s="2" t="str">
        <f t="shared" si="15"/>
        <v/>
      </c>
      <c r="AF68" s="2" t="str">
        <f t="shared" si="16"/>
        <v/>
      </c>
      <c r="AG68" s="2" t="str">
        <f t="shared" si="17"/>
        <v/>
      </c>
      <c r="AH68" s="2" t="str">
        <f t="shared" si="18"/>
        <v/>
      </c>
      <c r="AI68" s="2" t="str">
        <f t="shared" si="19"/>
        <v/>
      </c>
      <c r="AJ68" s="2" t="str">
        <f t="shared" si="20"/>
        <v/>
      </c>
      <c r="AK68" s="2" t="str">
        <f t="shared" si="21"/>
        <v/>
      </c>
      <c r="AL68" s="2" t="str">
        <f t="shared" si="22"/>
        <v/>
      </c>
      <c r="AM68" s="2" t="str">
        <f t="shared" si="23"/>
        <v/>
      </c>
      <c r="AN68" s="2" t="str">
        <f t="shared" si="24"/>
        <v/>
      </c>
      <c r="AP68" s="2" t="str" cm="1">
        <f t="array" ref="AP68">IF('NILAI CPL'!$B68&lt;&gt;"",IFERROR(_xlfn.IFS(S68&gt;='NILAI CPL'!$B$3,4,S68&gt;='NILAI CPL'!$B$4,3,S68&gt;='NILAI CPL'!$B$5,2,S68&gt;'NILAI CPL'!$B$6,1),0),"")</f>
        <v/>
      </c>
      <c r="AQ68" s="2" t="str" cm="1">
        <f t="array" ref="AQ68">IF('NILAI CPL'!$B68&lt;&gt;"",IFERROR(_xlfn.IFS(T68&gt;='NILAI CPL'!$B$3,4,T68&gt;='NILAI CPL'!$B$4,3,T68&gt;='NILAI CPL'!$B$5,2,T68&gt;'NILAI CPL'!$B$6,1),0),"")</f>
        <v/>
      </c>
      <c r="AR68" s="2" t="str" cm="1">
        <f t="array" ref="AR68">IF('NILAI CPL'!$B68&lt;&gt;"",IFERROR(_xlfn.IFS(U68&gt;='NILAI CPL'!$B$3,4,U68&gt;='NILAI CPL'!$B$4,3,U68&gt;='NILAI CPL'!$B$5,2,U68&gt;'NILAI CPL'!$B$6,1),0),"")</f>
        <v/>
      </c>
      <c r="AS68" s="2" t="str" cm="1">
        <f t="array" ref="AS68">IF('NILAI CPL'!$B68&lt;&gt;"",IFERROR(_xlfn.IFS(V68&gt;='NILAI CPL'!$B$3,4,V68&gt;='NILAI CPL'!$B$4,3,V68&gt;='NILAI CPL'!$B$5,2,V68&gt;'NILAI CPL'!$B$6,1),0),"")</f>
        <v/>
      </c>
      <c r="AT68" s="2" t="str" cm="1">
        <f t="array" ref="AT68">IF('NILAI CPL'!$B68&lt;&gt;"",IFERROR(_xlfn.IFS(W68&gt;='NILAI CPL'!$B$3,4,W68&gt;='NILAI CPL'!$B$4,3,W68&gt;='NILAI CPL'!$B$5,2,W68&gt;'NILAI CPL'!$B$6,1),0),"")</f>
        <v/>
      </c>
      <c r="AU68" s="2" t="str" cm="1">
        <f t="array" ref="AU68">IF('NILAI CPL'!$B68&lt;&gt;"",IFERROR(_xlfn.IFS(X68&gt;='NILAI CPL'!$B$3,4,X68&gt;='NILAI CPL'!$B$4,3,X68&gt;='NILAI CPL'!$B$5,2,X68&gt;'NILAI CPL'!$B$6,1),0),"")</f>
        <v/>
      </c>
      <c r="AV68" s="2" t="str" cm="1">
        <f t="array" ref="AV68">IF('NILAI CPL'!$B68&lt;&gt;"",IFERROR(_xlfn.IFS(Y68&gt;='NILAI CPL'!$B$3,4,Y68&gt;='NILAI CPL'!$B$4,3,Y68&gt;='NILAI CPL'!$B$5,2,Y68&gt;'NILAI CPL'!$B$6,1),0),"")</f>
        <v/>
      </c>
      <c r="AW68" s="2" t="str" cm="1">
        <f t="array" ref="AW68">IF('NILAI CPL'!$B68&lt;&gt;"",IFERROR(_xlfn.IFS(Z68&gt;='NILAI CPL'!$B$3,4,Z68&gt;='NILAI CPL'!$B$4,3,Z68&gt;='NILAI CPL'!$B$5,2,Z68&gt;'NILAI CPL'!$B$6,1),0),"")</f>
        <v/>
      </c>
      <c r="AX68" s="2" t="str" cm="1">
        <f t="array" ref="AX68">IF('NILAI CPL'!$B68&lt;&gt;"",IFERROR(_xlfn.IFS(AA68&gt;='NILAI CPL'!$B$3,4,AA68&gt;='NILAI CPL'!$B$4,3,AA68&gt;='NILAI CPL'!$B$5,2,AA68&gt;'NILAI CPL'!$B$6,1),0),"")</f>
        <v/>
      </c>
      <c r="AY68" s="2" t="str" cm="1">
        <f t="array" ref="AY68">IF('NILAI CPL'!$B68&lt;&gt;"",IFERROR(_xlfn.IFS(AB68&gt;='NILAI CPL'!$B$3,4,AB68&gt;='NILAI CPL'!$B$4,3,AB68&gt;='NILAI CPL'!$B$5,2,AB68&gt;'NILAI CPL'!$B$6,1),0),"")</f>
        <v/>
      </c>
      <c r="AZ68" s="2" t="str" cm="1">
        <f t="array" ref="AZ68">IF('NILAI CPL'!$B68&lt;&gt;"",IFERROR(_xlfn.IFS(AC68&gt;='NILAI CPL'!$B$3,4,AC68&gt;='NILAI CPL'!$B$4,3,AC68&gt;='NILAI CPL'!$B$5,2,AC68&gt;'NILAI CPL'!$B$6,1),0),"")</f>
        <v/>
      </c>
      <c r="BA68" s="2" t="str" cm="1">
        <f t="array" ref="BA68">IF('NILAI CPL'!$B68&lt;&gt;"",IFERROR(_xlfn.IFS(AD68&gt;='NILAI CPL'!$B$3,4,AD68&gt;='NILAI CPL'!$B$4,3,AD68&gt;='NILAI CPL'!$B$5,2,AD68&gt;'NILAI CPL'!$B$6,1),0),"")</f>
        <v/>
      </c>
      <c r="BB68" s="2" t="str" cm="1">
        <f t="array" ref="BB68">IF('NILAI CPL'!$B68&lt;&gt;"",IFERROR(_xlfn.IFS(AE68&gt;='NILAI CPL'!$B$3,4,AE68&gt;='NILAI CPL'!$B$4,3,AE68&gt;='NILAI CPL'!$B$5,2,AE68&gt;'NILAI CPL'!$B$6,1),0),"")</f>
        <v/>
      </c>
      <c r="BC68" s="2" t="str" cm="1">
        <f t="array" ref="BC68">IF('NILAI CPL'!$B68&lt;&gt;"",IFERROR(_xlfn.IFS(AF68&gt;='NILAI CPL'!$B$3,4,AF68&gt;='NILAI CPL'!$B$4,3,AF68&gt;='NILAI CPL'!$B$5,2,AF68&gt;'NILAI CPL'!$B$6,1),0),"")</f>
        <v/>
      </c>
      <c r="BD68" s="2" t="str" cm="1">
        <f t="array" ref="BD68">IF('NILAI CPL'!$B68&lt;&gt;"",IFERROR(_xlfn.IFS(AG68&gt;='NILAI CPL'!$B$3,4,AG68&gt;='NILAI CPL'!$B$4,3,AG68&gt;='NILAI CPL'!$B$5,2,AG68&gt;'NILAI CPL'!$B$6,1),0),"")</f>
        <v/>
      </c>
      <c r="BE68" s="2" t="str" cm="1">
        <f t="array" ref="BE68">IF('NILAI CPL'!$B68&lt;&gt;"",IFERROR(_xlfn.IFS(AH68&gt;='NILAI CPL'!$B$3,4,AH68&gt;='NILAI CPL'!$B$4,3,AH68&gt;='NILAI CPL'!$B$5,2,AH68&gt;'NILAI CPL'!$B$6,1),0),"")</f>
        <v/>
      </c>
      <c r="BF68" s="2" t="str" cm="1">
        <f t="array" ref="BF68">IF('NILAI CPL'!$B68&lt;&gt;"",IFERROR(_xlfn.IFS(AI68&gt;='NILAI CPL'!$B$3,4,AI68&gt;='NILAI CPL'!$B$4,3,AI68&gt;='NILAI CPL'!$B$5,2,AI68&gt;'NILAI CPL'!$B$6,1),0),"")</f>
        <v/>
      </c>
      <c r="BG68" s="2" t="str" cm="1">
        <f t="array" ref="BG68">IF('NILAI CPL'!$B68&lt;&gt;"",IFERROR(_xlfn.IFS(AJ68&gt;='NILAI CPL'!$B$3,4,AJ68&gt;='NILAI CPL'!$B$4,3,AJ68&gt;='NILAI CPL'!$B$5,2,AJ68&gt;'NILAI CPL'!$B$6,1),0),"")</f>
        <v/>
      </c>
      <c r="BH68" s="2" t="str" cm="1">
        <f t="array" ref="BH68">IF('NILAI CPL'!$B68&lt;&gt;"",IFERROR(_xlfn.IFS(AK68&gt;='NILAI CPL'!$B$3,4,AK68&gt;='NILAI CPL'!$B$4,3,AK68&gt;='NILAI CPL'!$B$5,2,AK68&gt;'NILAI CPL'!$B$6,1),0),"")</f>
        <v/>
      </c>
      <c r="BI68" s="2" t="str" cm="1">
        <f t="array" ref="BI68">IF('NILAI CPL'!$B68&lt;&gt;"",IFERROR(_xlfn.IFS(AL68&gt;='NILAI CPL'!$B$3,4,AL68&gt;='NILAI CPL'!$B$4,3,AL68&gt;='NILAI CPL'!$B$5,2,AL68&gt;'NILAI CPL'!$B$6,1),0),"")</f>
        <v/>
      </c>
      <c r="BJ68" s="2" t="str" cm="1">
        <f t="array" ref="BJ68">IF('NILAI CPL'!$B68&lt;&gt;"",IFERROR(_xlfn.IFS(AM68&gt;='NILAI CPL'!$B$3,4,AM68&gt;='NILAI CPL'!$B$4,3,AM68&gt;='NILAI CPL'!$B$5,2,AM68&gt;'NILAI CPL'!$B$6,1),0),"")</f>
        <v/>
      </c>
      <c r="BK68" s="2" t="str" cm="1">
        <f t="array" ref="BK68">IF('NILAI CPL'!$B68&lt;&gt;"",IFERROR(_xlfn.IFS(AN68&gt;='NILAI CPL'!$B$3,4,AN68&gt;='NILAI CPL'!$B$4,3,AN68&gt;='NILAI CPL'!$B$5,2,AN68&gt;'NILAI CPL'!$B$6,1),0),"")</f>
        <v/>
      </c>
    </row>
    <row r="69" spans="1:63" x14ac:dyDescent="0.2">
      <c r="A69" s="2">
        <v>59</v>
      </c>
      <c r="B69" s="2" t="str">
        <f>IF(LEN(SUMMARY!B69)&gt;0, SUMMARY!B69, "")</f>
        <v/>
      </c>
      <c r="C69" s="2" t="str">
        <f>IF(LEN(SUMMARY!C69)&gt;0, SUMMARY!C69, "")</f>
        <v/>
      </c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" t="str">
        <f t="shared" si="2"/>
        <v/>
      </c>
      <c r="S69" s="2" t="str">
        <f t="shared" si="3"/>
        <v/>
      </c>
      <c r="T69" s="2" t="str">
        <f t="shared" si="4"/>
        <v/>
      </c>
      <c r="U69" s="2" t="str">
        <f t="shared" si="5"/>
        <v/>
      </c>
      <c r="V69" s="2" t="str">
        <f t="shared" si="6"/>
        <v/>
      </c>
      <c r="W69" s="2" t="str">
        <f t="shared" si="7"/>
        <v/>
      </c>
      <c r="X69" s="2" t="str">
        <f t="shared" si="8"/>
        <v/>
      </c>
      <c r="Y69" s="2" t="str">
        <f t="shared" si="9"/>
        <v/>
      </c>
      <c r="Z69" s="2" t="str">
        <f t="shared" si="10"/>
        <v/>
      </c>
      <c r="AA69" s="2" t="str">
        <f t="shared" si="11"/>
        <v/>
      </c>
      <c r="AB69" s="2" t="str">
        <f t="shared" si="12"/>
        <v/>
      </c>
      <c r="AC69" s="2" t="str">
        <f t="shared" si="13"/>
        <v/>
      </c>
      <c r="AD69" s="2" t="str">
        <f t="shared" si="14"/>
        <v/>
      </c>
      <c r="AE69" s="2" t="str">
        <f t="shared" si="15"/>
        <v/>
      </c>
      <c r="AF69" s="2" t="str">
        <f t="shared" si="16"/>
        <v/>
      </c>
      <c r="AG69" s="2" t="str">
        <f t="shared" si="17"/>
        <v/>
      </c>
      <c r="AH69" s="2" t="str">
        <f t="shared" si="18"/>
        <v/>
      </c>
      <c r="AI69" s="2" t="str">
        <f t="shared" si="19"/>
        <v/>
      </c>
      <c r="AJ69" s="2" t="str">
        <f t="shared" si="20"/>
        <v/>
      </c>
      <c r="AK69" s="2" t="str">
        <f t="shared" si="21"/>
        <v/>
      </c>
      <c r="AL69" s="2" t="str">
        <f t="shared" si="22"/>
        <v/>
      </c>
      <c r="AM69" s="2" t="str">
        <f t="shared" si="23"/>
        <v/>
      </c>
      <c r="AN69" s="2" t="str">
        <f t="shared" si="24"/>
        <v/>
      </c>
      <c r="AP69" s="2" t="str" cm="1">
        <f t="array" ref="AP69">IF('NILAI CPL'!$B69&lt;&gt;"",IFERROR(_xlfn.IFS(S69&gt;='NILAI CPL'!$B$3,4,S69&gt;='NILAI CPL'!$B$4,3,S69&gt;='NILAI CPL'!$B$5,2,S69&gt;'NILAI CPL'!$B$6,1),0),"")</f>
        <v/>
      </c>
      <c r="AQ69" s="2" t="str" cm="1">
        <f t="array" ref="AQ69">IF('NILAI CPL'!$B69&lt;&gt;"",IFERROR(_xlfn.IFS(T69&gt;='NILAI CPL'!$B$3,4,T69&gt;='NILAI CPL'!$B$4,3,T69&gt;='NILAI CPL'!$B$5,2,T69&gt;'NILAI CPL'!$B$6,1),0),"")</f>
        <v/>
      </c>
      <c r="AR69" s="2" t="str" cm="1">
        <f t="array" ref="AR69">IF('NILAI CPL'!$B69&lt;&gt;"",IFERROR(_xlfn.IFS(U69&gt;='NILAI CPL'!$B$3,4,U69&gt;='NILAI CPL'!$B$4,3,U69&gt;='NILAI CPL'!$B$5,2,U69&gt;'NILAI CPL'!$B$6,1),0),"")</f>
        <v/>
      </c>
      <c r="AS69" s="2" t="str" cm="1">
        <f t="array" ref="AS69">IF('NILAI CPL'!$B69&lt;&gt;"",IFERROR(_xlfn.IFS(V69&gt;='NILAI CPL'!$B$3,4,V69&gt;='NILAI CPL'!$B$4,3,V69&gt;='NILAI CPL'!$B$5,2,V69&gt;'NILAI CPL'!$B$6,1),0),"")</f>
        <v/>
      </c>
      <c r="AT69" s="2" t="str" cm="1">
        <f t="array" ref="AT69">IF('NILAI CPL'!$B69&lt;&gt;"",IFERROR(_xlfn.IFS(W69&gt;='NILAI CPL'!$B$3,4,W69&gt;='NILAI CPL'!$B$4,3,W69&gt;='NILAI CPL'!$B$5,2,W69&gt;'NILAI CPL'!$B$6,1),0),"")</f>
        <v/>
      </c>
      <c r="AU69" s="2" t="str" cm="1">
        <f t="array" ref="AU69">IF('NILAI CPL'!$B69&lt;&gt;"",IFERROR(_xlfn.IFS(X69&gt;='NILAI CPL'!$B$3,4,X69&gt;='NILAI CPL'!$B$4,3,X69&gt;='NILAI CPL'!$B$5,2,X69&gt;'NILAI CPL'!$B$6,1),0),"")</f>
        <v/>
      </c>
      <c r="AV69" s="2" t="str" cm="1">
        <f t="array" ref="AV69">IF('NILAI CPL'!$B69&lt;&gt;"",IFERROR(_xlfn.IFS(Y69&gt;='NILAI CPL'!$B$3,4,Y69&gt;='NILAI CPL'!$B$4,3,Y69&gt;='NILAI CPL'!$B$5,2,Y69&gt;'NILAI CPL'!$B$6,1),0),"")</f>
        <v/>
      </c>
      <c r="AW69" s="2" t="str" cm="1">
        <f t="array" ref="AW69">IF('NILAI CPL'!$B69&lt;&gt;"",IFERROR(_xlfn.IFS(Z69&gt;='NILAI CPL'!$B$3,4,Z69&gt;='NILAI CPL'!$B$4,3,Z69&gt;='NILAI CPL'!$B$5,2,Z69&gt;'NILAI CPL'!$B$6,1),0),"")</f>
        <v/>
      </c>
      <c r="AX69" s="2" t="str" cm="1">
        <f t="array" ref="AX69">IF('NILAI CPL'!$B69&lt;&gt;"",IFERROR(_xlfn.IFS(AA69&gt;='NILAI CPL'!$B$3,4,AA69&gt;='NILAI CPL'!$B$4,3,AA69&gt;='NILAI CPL'!$B$5,2,AA69&gt;'NILAI CPL'!$B$6,1),0),"")</f>
        <v/>
      </c>
      <c r="AY69" s="2" t="str" cm="1">
        <f t="array" ref="AY69">IF('NILAI CPL'!$B69&lt;&gt;"",IFERROR(_xlfn.IFS(AB69&gt;='NILAI CPL'!$B$3,4,AB69&gt;='NILAI CPL'!$B$4,3,AB69&gt;='NILAI CPL'!$B$5,2,AB69&gt;'NILAI CPL'!$B$6,1),0),"")</f>
        <v/>
      </c>
      <c r="AZ69" s="2" t="str" cm="1">
        <f t="array" ref="AZ69">IF('NILAI CPL'!$B69&lt;&gt;"",IFERROR(_xlfn.IFS(AC69&gt;='NILAI CPL'!$B$3,4,AC69&gt;='NILAI CPL'!$B$4,3,AC69&gt;='NILAI CPL'!$B$5,2,AC69&gt;'NILAI CPL'!$B$6,1),0),"")</f>
        <v/>
      </c>
      <c r="BA69" s="2" t="str" cm="1">
        <f t="array" ref="BA69">IF('NILAI CPL'!$B69&lt;&gt;"",IFERROR(_xlfn.IFS(AD69&gt;='NILAI CPL'!$B$3,4,AD69&gt;='NILAI CPL'!$B$4,3,AD69&gt;='NILAI CPL'!$B$5,2,AD69&gt;'NILAI CPL'!$B$6,1),0),"")</f>
        <v/>
      </c>
      <c r="BB69" s="2" t="str" cm="1">
        <f t="array" ref="BB69">IF('NILAI CPL'!$B69&lt;&gt;"",IFERROR(_xlfn.IFS(AE69&gt;='NILAI CPL'!$B$3,4,AE69&gt;='NILAI CPL'!$B$4,3,AE69&gt;='NILAI CPL'!$B$5,2,AE69&gt;'NILAI CPL'!$B$6,1),0),"")</f>
        <v/>
      </c>
      <c r="BC69" s="2" t="str" cm="1">
        <f t="array" ref="BC69">IF('NILAI CPL'!$B69&lt;&gt;"",IFERROR(_xlfn.IFS(AF69&gt;='NILAI CPL'!$B$3,4,AF69&gt;='NILAI CPL'!$B$4,3,AF69&gt;='NILAI CPL'!$B$5,2,AF69&gt;'NILAI CPL'!$B$6,1),0),"")</f>
        <v/>
      </c>
      <c r="BD69" s="2" t="str" cm="1">
        <f t="array" ref="BD69">IF('NILAI CPL'!$B69&lt;&gt;"",IFERROR(_xlfn.IFS(AG69&gt;='NILAI CPL'!$B$3,4,AG69&gt;='NILAI CPL'!$B$4,3,AG69&gt;='NILAI CPL'!$B$5,2,AG69&gt;'NILAI CPL'!$B$6,1),0),"")</f>
        <v/>
      </c>
      <c r="BE69" s="2" t="str" cm="1">
        <f t="array" ref="BE69">IF('NILAI CPL'!$B69&lt;&gt;"",IFERROR(_xlfn.IFS(AH69&gt;='NILAI CPL'!$B$3,4,AH69&gt;='NILAI CPL'!$B$4,3,AH69&gt;='NILAI CPL'!$B$5,2,AH69&gt;'NILAI CPL'!$B$6,1),0),"")</f>
        <v/>
      </c>
      <c r="BF69" s="2" t="str" cm="1">
        <f t="array" ref="BF69">IF('NILAI CPL'!$B69&lt;&gt;"",IFERROR(_xlfn.IFS(AI69&gt;='NILAI CPL'!$B$3,4,AI69&gt;='NILAI CPL'!$B$4,3,AI69&gt;='NILAI CPL'!$B$5,2,AI69&gt;'NILAI CPL'!$B$6,1),0),"")</f>
        <v/>
      </c>
      <c r="BG69" s="2" t="str" cm="1">
        <f t="array" ref="BG69">IF('NILAI CPL'!$B69&lt;&gt;"",IFERROR(_xlfn.IFS(AJ69&gt;='NILAI CPL'!$B$3,4,AJ69&gt;='NILAI CPL'!$B$4,3,AJ69&gt;='NILAI CPL'!$B$5,2,AJ69&gt;'NILAI CPL'!$B$6,1),0),"")</f>
        <v/>
      </c>
      <c r="BH69" s="2" t="str" cm="1">
        <f t="array" ref="BH69">IF('NILAI CPL'!$B69&lt;&gt;"",IFERROR(_xlfn.IFS(AK69&gt;='NILAI CPL'!$B$3,4,AK69&gt;='NILAI CPL'!$B$4,3,AK69&gt;='NILAI CPL'!$B$5,2,AK69&gt;'NILAI CPL'!$B$6,1),0),"")</f>
        <v/>
      </c>
      <c r="BI69" s="2" t="str" cm="1">
        <f t="array" ref="BI69">IF('NILAI CPL'!$B69&lt;&gt;"",IFERROR(_xlfn.IFS(AL69&gt;='NILAI CPL'!$B$3,4,AL69&gt;='NILAI CPL'!$B$4,3,AL69&gt;='NILAI CPL'!$B$5,2,AL69&gt;'NILAI CPL'!$B$6,1),0),"")</f>
        <v/>
      </c>
      <c r="BJ69" s="2" t="str" cm="1">
        <f t="array" ref="BJ69">IF('NILAI CPL'!$B69&lt;&gt;"",IFERROR(_xlfn.IFS(AM69&gt;='NILAI CPL'!$B$3,4,AM69&gt;='NILAI CPL'!$B$4,3,AM69&gt;='NILAI CPL'!$B$5,2,AM69&gt;'NILAI CPL'!$B$6,1),0),"")</f>
        <v/>
      </c>
      <c r="BK69" s="2" t="str" cm="1">
        <f t="array" ref="BK69">IF('NILAI CPL'!$B69&lt;&gt;"",IFERROR(_xlfn.IFS(AN69&gt;='NILAI CPL'!$B$3,4,AN69&gt;='NILAI CPL'!$B$4,3,AN69&gt;='NILAI CPL'!$B$5,2,AN69&gt;'NILAI CPL'!$B$6,1),0),"")</f>
        <v/>
      </c>
    </row>
    <row r="70" spans="1:63" x14ac:dyDescent="0.2">
      <c r="A70" s="2">
        <v>60</v>
      </c>
      <c r="B70" s="2" t="str">
        <f>IF(LEN(SUMMARY!B70)&gt;0, SUMMARY!B70, "")</f>
        <v/>
      </c>
      <c r="C70" s="2" t="str">
        <f>IF(LEN(SUMMARY!C70)&gt;0, SUMMARY!C70, "")</f>
        <v/>
      </c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" t="str">
        <f t="shared" si="2"/>
        <v/>
      </c>
      <c r="S70" s="2" t="str">
        <f t="shared" si="3"/>
        <v/>
      </c>
      <c r="T70" s="2" t="str">
        <f t="shared" si="4"/>
        <v/>
      </c>
      <c r="U70" s="2" t="str">
        <f t="shared" si="5"/>
        <v/>
      </c>
      <c r="V70" s="2" t="str">
        <f t="shared" si="6"/>
        <v/>
      </c>
      <c r="W70" s="2" t="str">
        <f t="shared" si="7"/>
        <v/>
      </c>
      <c r="X70" s="2" t="str">
        <f t="shared" si="8"/>
        <v/>
      </c>
      <c r="Y70" s="2" t="str">
        <f t="shared" si="9"/>
        <v/>
      </c>
      <c r="Z70" s="2" t="str">
        <f t="shared" si="10"/>
        <v/>
      </c>
      <c r="AA70" s="2" t="str">
        <f t="shared" si="11"/>
        <v/>
      </c>
      <c r="AB70" s="2" t="str">
        <f t="shared" si="12"/>
        <v/>
      </c>
      <c r="AC70" s="2" t="str">
        <f t="shared" si="13"/>
        <v/>
      </c>
      <c r="AD70" s="2" t="str">
        <f t="shared" si="14"/>
        <v/>
      </c>
      <c r="AE70" s="2" t="str">
        <f t="shared" si="15"/>
        <v/>
      </c>
      <c r="AF70" s="2" t="str">
        <f t="shared" si="16"/>
        <v/>
      </c>
      <c r="AG70" s="2" t="str">
        <f t="shared" si="17"/>
        <v/>
      </c>
      <c r="AH70" s="2" t="str">
        <f t="shared" si="18"/>
        <v/>
      </c>
      <c r="AI70" s="2" t="str">
        <f t="shared" si="19"/>
        <v/>
      </c>
      <c r="AJ70" s="2" t="str">
        <f t="shared" si="20"/>
        <v/>
      </c>
      <c r="AK70" s="2" t="str">
        <f t="shared" si="21"/>
        <v/>
      </c>
      <c r="AL70" s="2" t="str">
        <f t="shared" si="22"/>
        <v/>
      </c>
      <c r="AM70" s="2" t="str">
        <f t="shared" si="23"/>
        <v/>
      </c>
      <c r="AN70" s="2" t="str">
        <f t="shared" si="24"/>
        <v/>
      </c>
      <c r="AP70" s="2" t="str" cm="1">
        <f t="array" ref="AP70">IF('NILAI CPL'!$B70&lt;&gt;"",IFERROR(_xlfn.IFS(S70&gt;='NILAI CPL'!$B$3,4,S70&gt;='NILAI CPL'!$B$4,3,S70&gt;='NILAI CPL'!$B$5,2,S70&gt;'NILAI CPL'!$B$6,1),0),"")</f>
        <v/>
      </c>
      <c r="AQ70" s="2" t="str" cm="1">
        <f t="array" ref="AQ70">IF('NILAI CPL'!$B70&lt;&gt;"",IFERROR(_xlfn.IFS(T70&gt;='NILAI CPL'!$B$3,4,T70&gt;='NILAI CPL'!$B$4,3,T70&gt;='NILAI CPL'!$B$5,2,T70&gt;'NILAI CPL'!$B$6,1),0),"")</f>
        <v/>
      </c>
      <c r="AR70" s="2" t="str" cm="1">
        <f t="array" ref="AR70">IF('NILAI CPL'!$B70&lt;&gt;"",IFERROR(_xlfn.IFS(U70&gt;='NILAI CPL'!$B$3,4,U70&gt;='NILAI CPL'!$B$4,3,U70&gt;='NILAI CPL'!$B$5,2,U70&gt;'NILAI CPL'!$B$6,1),0),"")</f>
        <v/>
      </c>
      <c r="AS70" s="2" t="str" cm="1">
        <f t="array" ref="AS70">IF('NILAI CPL'!$B70&lt;&gt;"",IFERROR(_xlfn.IFS(V70&gt;='NILAI CPL'!$B$3,4,V70&gt;='NILAI CPL'!$B$4,3,V70&gt;='NILAI CPL'!$B$5,2,V70&gt;'NILAI CPL'!$B$6,1),0),"")</f>
        <v/>
      </c>
      <c r="AT70" s="2" t="str" cm="1">
        <f t="array" ref="AT70">IF('NILAI CPL'!$B70&lt;&gt;"",IFERROR(_xlfn.IFS(W70&gt;='NILAI CPL'!$B$3,4,W70&gt;='NILAI CPL'!$B$4,3,W70&gt;='NILAI CPL'!$B$5,2,W70&gt;'NILAI CPL'!$B$6,1),0),"")</f>
        <v/>
      </c>
      <c r="AU70" s="2" t="str" cm="1">
        <f t="array" ref="AU70">IF('NILAI CPL'!$B70&lt;&gt;"",IFERROR(_xlfn.IFS(X70&gt;='NILAI CPL'!$B$3,4,X70&gt;='NILAI CPL'!$B$4,3,X70&gt;='NILAI CPL'!$B$5,2,X70&gt;'NILAI CPL'!$B$6,1),0),"")</f>
        <v/>
      </c>
      <c r="AV70" s="2" t="str" cm="1">
        <f t="array" ref="AV70">IF('NILAI CPL'!$B70&lt;&gt;"",IFERROR(_xlfn.IFS(Y70&gt;='NILAI CPL'!$B$3,4,Y70&gt;='NILAI CPL'!$B$4,3,Y70&gt;='NILAI CPL'!$B$5,2,Y70&gt;'NILAI CPL'!$B$6,1),0),"")</f>
        <v/>
      </c>
      <c r="AW70" s="2" t="str" cm="1">
        <f t="array" ref="AW70">IF('NILAI CPL'!$B70&lt;&gt;"",IFERROR(_xlfn.IFS(Z70&gt;='NILAI CPL'!$B$3,4,Z70&gt;='NILAI CPL'!$B$4,3,Z70&gt;='NILAI CPL'!$B$5,2,Z70&gt;'NILAI CPL'!$B$6,1),0),"")</f>
        <v/>
      </c>
      <c r="AX70" s="2" t="str" cm="1">
        <f t="array" ref="AX70">IF('NILAI CPL'!$B70&lt;&gt;"",IFERROR(_xlfn.IFS(AA70&gt;='NILAI CPL'!$B$3,4,AA70&gt;='NILAI CPL'!$B$4,3,AA70&gt;='NILAI CPL'!$B$5,2,AA70&gt;'NILAI CPL'!$B$6,1),0),"")</f>
        <v/>
      </c>
      <c r="AY70" s="2" t="str" cm="1">
        <f t="array" ref="AY70">IF('NILAI CPL'!$B70&lt;&gt;"",IFERROR(_xlfn.IFS(AB70&gt;='NILAI CPL'!$B$3,4,AB70&gt;='NILAI CPL'!$B$4,3,AB70&gt;='NILAI CPL'!$B$5,2,AB70&gt;'NILAI CPL'!$B$6,1),0),"")</f>
        <v/>
      </c>
      <c r="AZ70" s="2" t="str" cm="1">
        <f t="array" ref="AZ70">IF('NILAI CPL'!$B70&lt;&gt;"",IFERROR(_xlfn.IFS(AC70&gt;='NILAI CPL'!$B$3,4,AC70&gt;='NILAI CPL'!$B$4,3,AC70&gt;='NILAI CPL'!$B$5,2,AC70&gt;'NILAI CPL'!$B$6,1),0),"")</f>
        <v/>
      </c>
      <c r="BA70" s="2" t="str" cm="1">
        <f t="array" ref="BA70">IF('NILAI CPL'!$B70&lt;&gt;"",IFERROR(_xlfn.IFS(AD70&gt;='NILAI CPL'!$B$3,4,AD70&gt;='NILAI CPL'!$B$4,3,AD70&gt;='NILAI CPL'!$B$5,2,AD70&gt;'NILAI CPL'!$B$6,1),0),"")</f>
        <v/>
      </c>
      <c r="BB70" s="2" t="str" cm="1">
        <f t="array" ref="BB70">IF('NILAI CPL'!$B70&lt;&gt;"",IFERROR(_xlfn.IFS(AE70&gt;='NILAI CPL'!$B$3,4,AE70&gt;='NILAI CPL'!$B$4,3,AE70&gt;='NILAI CPL'!$B$5,2,AE70&gt;'NILAI CPL'!$B$6,1),0),"")</f>
        <v/>
      </c>
      <c r="BC70" s="2" t="str" cm="1">
        <f t="array" ref="BC70">IF('NILAI CPL'!$B70&lt;&gt;"",IFERROR(_xlfn.IFS(AF70&gt;='NILAI CPL'!$B$3,4,AF70&gt;='NILAI CPL'!$B$4,3,AF70&gt;='NILAI CPL'!$B$5,2,AF70&gt;'NILAI CPL'!$B$6,1),0),"")</f>
        <v/>
      </c>
      <c r="BD70" s="2" t="str" cm="1">
        <f t="array" ref="BD70">IF('NILAI CPL'!$B70&lt;&gt;"",IFERROR(_xlfn.IFS(AG70&gt;='NILAI CPL'!$B$3,4,AG70&gt;='NILAI CPL'!$B$4,3,AG70&gt;='NILAI CPL'!$B$5,2,AG70&gt;'NILAI CPL'!$B$6,1),0),"")</f>
        <v/>
      </c>
      <c r="BE70" s="2" t="str" cm="1">
        <f t="array" ref="BE70">IF('NILAI CPL'!$B70&lt;&gt;"",IFERROR(_xlfn.IFS(AH70&gt;='NILAI CPL'!$B$3,4,AH70&gt;='NILAI CPL'!$B$4,3,AH70&gt;='NILAI CPL'!$B$5,2,AH70&gt;'NILAI CPL'!$B$6,1),0),"")</f>
        <v/>
      </c>
      <c r="BF70" s="2" t="str" cm="1">
        <f t="array" ref="BF70">IF('NILAI CPL'!$B70&lt;&gt;"",IFERROR(_xlfn.IFS(AI70&gt;='NILAI CPL'!$B$3,4,AI70&gt;='NILAI CPL'!$B$4,3,AI70&gt;='NILAI CPL'!$B$5,2,AI70&gt;'NILAI CPL'!$B$6,1),0),"")</f>
        <v/>
      </c>
      <c r="BG70" s="2" t="str" cm="1">
        <f t="array" ref="BG70">IF('NILAI CPL'!$B70&lt;&gt;"",IFERROR(_xlfn.IFS(AJ70&gt;='NILAI CPL'!$B$3,4,AJ70&gt;='NILAI CPL'!$B$4,3,AJ70&gt;='NILAI CPL'!$B$5,2,AJ70&gt;'NILAI CPL'!$B$6,1),0),"")</f>
        <v/>
      </c>
      <c r="BH70" s="2" t="str" cm="1">
        <f t="array" ref="BH70">IF('NILAI CPL'!$B70&lt;&gt;"",IFERROR(_xlfn.IFS(AK70&gt;='NILAI CPL'!$B$3,4,AK70&gt;='NILAI CPL'!$B$4,3,AK70&gt;='NILAI CPL'!$B$5,2,AK70&gt;'NILAI CPL'!$B$6,1),0),"")</f>
        <v/>
      </c>
      <c r="BI70" s="2" t="str" cm="1">
        <f t="array" ref="BI70">IF('NILAI CPL'!$B70&lt;&gt;"",IFERROR(_xlfn.IFS(AL70&gt;='NILAI CPL'!$B$3,4,AL70&gt;='NILAI CPL'!$B$4,3,AL70&gt;='NILAI CPL'!$B$5,2,AL70&gt;'NILAI CPL'!$B$6,1),0),"")</f>
        <v/>
      </c>
      <c r="BJ70" s="2" t="str" cm="1">
        <f t="array" ref="BJ70">IF('NILAI CPL'!$B70&lt;&gt;"",IFERROR(_xlfn.IFS(AM70&gt;='NILAI CPL'!$B$3,4,AM70&gt;='NILAI CPL'!$B$4,3,AM70&gt;='NILAI CPL'!$B$5,2,AM70&gt;'NILAI CPL'!$B$6,1),0),"")</f>
        <v/>
      </c>
      <c r="BK70" s="2" t="str" cm="1">
        <f t="array" ref="BK70">IF('NILAI CPL'!$B70&lt;&gt;"",IFERROR(_xlfn.IFS(AN70&gt;='NILAI CPL'!$B$3,4,AN70&gt;='NILAI CPL'!$B$4,3,AN70&gt;='NILAI CPL'!$B$5,2,AN70&gt;'NILAI CPL'!$B$6,1),0),"")</f>
        <v/>
      </c>
    </row>
    <row r="71" spans="1:63" x14ac:dyDescent="0.2">
      <c r="A71" s="2">
        <v>61</v>
      </c>
      <c r="B71" s="2" t="str">
        <f>IF(LEN(SUMMARY!B71)&gt;0, SUMMARY!B71, "")</f>
        <v/>
      </c>
      <c r="C71" s="2" t="str">
        <f>IF(LEN(SUMMARY!C71)&gt;0, SUMMARY!C71, "")</f>
        <v/>
      </c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" t="str">
        <f t="shared" si="2"/>
        <v/>
      </c>
      <c r="S71" s="2" t="str">
        <f t="shared" si="3"/>
        <v/>
      </c>
      <c r="T71" s="2" t="str">
        <f t="shared" si="4"/>
        <v/>
      </c>
      <c r="U71" s="2" t="str">
        <f t="shared" si="5"/>
        <v/>
      </c>
      <c r="V71" s="2" t="str">
        <f t="shared" si="6"/>
        <v/>
      </c>
      <c r="W71" s="2" t="str">
        <f t="shared" si="7"/>
        <v/>
      </c>
      <c r="X71" s="2" t="str">
        <f t="shared" si="8"/>
        <v/>
      </c>
      <c r="Y71" s="2" t="str">
        <f t="shared" si="9"/>
        <v/>
      </c>
      <c r="Z71" s="2" t="str">
        <f t="shared" si="10"/>
        <v/>
      </c>
      <c r="AA71" s="2" t="str">
        <f t="shared" si="11"/>
        <v/>
      </c>
      <c r="AB71" s="2" t="str">
        <f t="shared" si="12"/>
        <v/>
      </c>
      <c r="AC71" s="2" t="str">
        <f t="shared" si="13"/>
        <v/>
      </c>
      <c r="AD71" s="2" t="str">
        <f t="shared" si="14"/>
        <v/>
      </c>
      <c r="AE71" s="2" t="str">
        <f t="shared" si="15"/>
        <v/>
      </c>
      <c r="AF71" s="2" t="str">
        <f t="shared" si="16"/>
        <v/>
      </c>
      <c r="AG71" s="2" t="str">
        <f t="shared" si="17"/>
        <v/>
      </c>
      <c r="AH71" s="2" t="str">
        <f t="shared" si="18"/>
        <v/>
      </c>
      <c r="AI71" s="2" t="str">
        <f t="shared" si="19"/>
        <v/>
      </c>
      <c r="AJ71" s="2" t="str">
        <f t="shared" si="20"/>
        <v/>
      </c>
      <c r="AK71" s="2" t="str">
        <f t="shared" si="21"/>
        <v/>
      </c>
      <c r="AL71" s="2" t="str">
        <f t="shared" si="22"/>
        <v/>
      </c>
      <c r="AM71" s="2" t="str">
        <f t="shared" si="23"/>
        <v/>
      </c>
      <c r="AN71" s="2" t="str">
        <f t="shared" si="24"/>
        <v/>
      </c>
      <c r="AP71" s="2" t="str" cm="1">
        <f t="array" ref="AP71">IF('NILAI CPL'!$B71&lt;&gt;"",IFERROR(_xlfn.IFS(S71&gt;='NILAI CPL'!$B$3,4,S71&gt;='NILAI CPL'!$B$4,3,S71&gt;='NILAI CPL'!$B$5,2,S71&gt;'NILAI CPL'!$B$6,1),0),"")</f>
        <v/>
      </c>
      <c r="AQ71" s="2" t="str" cm="1">
        <f t="array" ref="AQ71">IF('NILAI CPL'!$B71&lt;&gt;"",IFERROR(_xlfn.IFS(T71&gt;='NILAI CPL'!$B$3,4,T71&gt;='NILAI CPL'!$B$4,3,T71&gt;='NILAI CPL'!$B$5,2,T71&gt;'NILAI CPL'!$B$6,1),0),"")</f>
        <v/>
      </c>
      <c r="AR71" s="2" t="str" cm="1">
        <f t="array" ref="AR71">IF('NILAI CPL'!$B71&lt;&gt;"",IFERROR(_xlfn.IFS(U71&gt;='NILAI CPL'!$B$3,4,U71&gt;='NILAI CPL'!$B$4,3,U71&gt;='NILAI CPL'!$B$5,2,U71&gt;'NILAI CPL'!$B$6,1),0),"")</f>
        <v/>
      </c>
      <c r="AS71" s="2" t="str" cm="1">
        <f t="array" ref="AS71">IF('NILAI CPL'!$B71&lt;&gt;"",IFERROR(_xlfn.IFS(V71&gt;='NILAI CPL'!$B$3,4,V71&gt;='NILAI CPL'!$B$4,3,V71&gt;='NILAI CPL'!$B$5,2,V71&gt;'NILAI CPL'!$B$6,1),0),"")</f>
        <v/>
      </c>
      <c r="AT71" s="2" t="str" cm="1">
        <f t="array" ref="AT71">IF('NILAI CPL'!$B71&lt;&gt;"",IFERROR(_xlfn.IFS(W71&gt;='NILAI CPL'!$B$3,4,W71&gt;='NILAI CPL'!$B$4,3,W71&gt;='NILAI CPL'!$B$5,2,W71&gt;'NILAI CPL'!$B$6,1),0),"")</f>
        <v/>
      </c>
      <c r="AU71" s="2" t="str" cm="1">
        <f t="array" ref="AU71">IF('NILAI CPL'!$B71&lt;&gt;"",IFERROR(_xlfn.IFS(X71&gt;='NILAI CPL'!$B$3,4,X71&gt;='NILAI CPL'!$B$4,3,X71&gt;='NILAI CPL'!$B$5,2,X71&gt;'NILAI CPL'!$B$6,1),0),"")</f>
        <v/>
      </c>
      <c r="AV71" s="2" t="str" cm="1">
        <f t="array" ref="AV71">IF('NILAI CPL'!$B71&lt;&gt;"",IFERROR(_xlfn.IFS(Y71&gt;='NILAI CPL'!$B$3,4,Y71&gt;='NILAI CPL'!$B$4,3,Y71&gt;='NILAI CPL'!$B$5,2,Y71&gt;'NILAI CPL'!$B$6,1),0),"")</f>
        <v/>
      </c>
      <c r="AW71" s="2" t="str" cm="1">
        <f t="array" ref="AW71">IF('NILAI CPL'!$B71&lt;&gt;"",IFERROR(_xlfn.IFS(Z71&gt;='NILAI CPL'!$B$3,4,Z71&gt;='NILAI CPL'!$B$4,3,Z71&gt;='NILAI CPL'!$B$5,2,Z71&gt;'NILAI CPL'!$B$6,1),0),"")</f>
        <v/>
      </c>
      <c r="AX71" s="2" t="str" cm="1">
        <f t="array" ref="AX71">IF('NILAI CPL'!$B71&lt;&gt;"",IFERROR(_xlfn.IFS(AA71&gt;='NILAI CPL'!$B$3,4,AA71&gt;='NILAI CPL'!$B$4,3,AA71&gt;='NILAI CPL'!$B$5,2,AA71&gt;'NILAI CPL'!$B$6,1),0),"")</f>
        <v/>
      </c>
      <c r="AY71" s="2" t="str" cm="1">
        <f t="array" ref="AY71">IF('NILAI CPL'!$B71&lt;&gt;"",IFERROR(_xlfn.IFS(AB71&gt;='NILAI CPL'!$B$3,4,AB71&gt;='NILAI CPL'!$B$4,3,AB71&gt;='NILAI CPL'!$B$5,2,AB71&gt;'NILAI CPL'!$B$6,1),0),"")</f>
        <v/>
      </c>
      <c r="AZ71" s="2" t="str" cm="1">
        <f t="array" ref="AZ71">IF('NILAI CPL'!$B71&lt;&gt;"",IFERROR(_xlfn.IFS(AC71&gt;='NILAI CPL'!$B$3,4,AC71&gt;='NILAI CPL'!$B$4,3,AC71&gt;='NILAI CPL'!$B$5,2,AC71&gt;'NILAI CPL'!$B$6,1),0),"")</f>
        <v/>
      </c>
      <c r="BA71" s="2" t="str" cm="1">
        <f t="array" ref="BA71">IF('NILAI CPL'!$B71&lt;&gt;"",IFERROR(_xlfn.IFS(AD71&gt;='NILAI CPL'!$B$3,4,AD71&gt;='NILAI CPL'!$B$4,3,AD71&gt;='NILAI CPL'!$B$5,2,AD71&gt;'NILAI CPL'!$B$6,1),0),"")</f>
        <v/>
      </c>
      <c r="BB71" s="2" t="str" cm="1">
        <f t="array" ref="BB71">IF('NILAI CPL'!$B71&lt;&gt;"",IFERROR(_xlfn.IFS(AE71&gt;='NILAI CPL'!$B$3,4,AE71&gt;='NILAI CPL'!$B$4,3,AE71&gt;='NILAI CPL'!$B$5,2,AE71&gt;'NILAI CPL'!$B$6,1),0),"")</f>
        <v/>
      </c>
      <c r="BC71" s="2" t="str" cm="1">
        <f t="array" ref="BC71">IF('NILAI CPL'!$B71&lt;&gt;"",IFERROR(_xlfn.IFS(AF71&gt;='NILAI CPL'!$B$3,4,AF71&gt;='NILAI CPL'!$B$4,3,AF71&gt;='NILAI CPL'!$B$5,2,AF71&gt;'NILAI CPL'!$B$6,1),0),"")</f>
        <v/>
      </c>
      <c r="BD71" s="2" t="str" cm="1">
        <f t="array" ref="BD71">IF('NILAI CPL'!$B71&lt;&gt;"",IFERROR(_xlfn.IFS(AG71&gt;='NILAI CPL'!$B$3,4,AG71&gt;='NILAI CPL'!$B$4,3,AG71&gt;='NILAI CPL'!$B$5,2,AG71&gt;'NILAI CPL'!$B$6,1),0),"")</f>
        <v/>
      </c>
      <c r="BE71" s="2" t="str" cm="1">
        <f t="array" ref="BE71">IF('NILAI CPL'!$B71&lt;&gt;"",IFERROR(_xlfn.IFS(AH71&gt;='NILAI CPL'!$B$3,4,AH71&gt;='NILAI CPL'!$B$4,3,AH71&gt;='NILAI CPL'!$B$5,2,AH71&gt;'NILAI CPL'!$B$6,1),0),"")</f>
        <v/>
      </c>
      <c r="BF71" s="2" t="str" cm="1">
        <f t="array" ref="BF71">IF('NILAI CPL'!$B71&lt;&gt;"",IFERROR(_xlfn.IFS(AI71&gt;='NILAI CPL'!$B$3,4,AI71&gt;='NILAI CPL'!$B$4,3,AI71&gt;='NILAI CPL'!$B$5,2,AI71&gt;'NILAI CPL'!$B$6,1),0),"")</f>
        <v/>
      </c>
      <c r="BG71" s="2" t="str" cm="1">
        <f t="array" ref="BG71">IF('NILAI CPL'!$B71&lt;&gt;"",IFERROR(_xlfn.IFS(AJ71&gt;='NILAI CPL'!$B$3,4,AJ71&gt;='NILAI CPL'!$B$4,3,AJ71&gt;='NILAI CPL'!$B$5,2,AJ71&gt;'NILAI CPL'!$B$6,1),0),"")</f>
        <v/>
      </c>
      <c r="BH71" s="2" t="str" cm="1">
        <f t="array" ref="BH71">IF('NILAI CPL'!$B71&lt;&gt;"",IFERROR(_xlfn.IFS(AK71&gt;='NILAI CPL'!$B$3,4,AK71&gt;='NILAI CPL'!$B$4,3,AK71&gt;='NILAI CPL'!$B$5,2,AK71&gt;'NILAI CPL'!$B$6,1),0),"")</f>
        <v/>
      </c>
      <c r="BI71" s="2" t="str" cm="1">
        <f t="array" ref="BI71">IF('NILAI CPL'!$B71&lt;&gt;"",IFERROR(_xlfn.IFS(AL71&gt;='NILAI CPL'!$B$3,4,AL71&gt;='NILAI CPL'!$B$4,3,AL71&gt;='NILAI CPL'!$B$5,2,AL71&gt;'NILAI CPL'!$B$6,1),0),"")</f>
        <v/>
      </c>
      <c r="BJ71" s="2" t="str" cm="1">
        <f t="array" ref="BJ71">IF('NILAI CPL'!$B71&lt;&gt;"",IFERROR(_xlfn.IFS(AM71&gt;='NILAI CPL'!$B$3,4,AM71&gt;='NILAI CPL'!$B$4,3,AM71&gt;='NILAI CPL'!$B$5,2,AM71&gt;'NILAI CPL'!$B$6,1),0),"")</f>
        <v/>
      </c>
      <c r="BK71" s="2" t="str" cm="1">
        <f t="array" ref="BK71">IF('NILAI CPL'!$B71&lt;&gt;"",IFERROR(_xlfn.IFS(AN71&gt;='NILAI CPL'!$B$3,4,AN71&gt;='NILAI CPL'!$B$4,3,AN71&gt;='NILAI CPL'!$B$5,2,AN71&gt;'NILAI CPL'!$B$6,1),0),"")</f>
        <v/>
      </c>
    </row>
    <row r="72" spans="1:63" x14ac:dyDescent="0.2">
      <c r="A72" s="2">
        <v>62</v>
      </c>
      <c r="B72" s="2" t="str">
        <f>IF(LEN(SUMMARY!B72)&gt;0, SUMMARY!B72, "")</f>
        <v/>
      </c>
      <c r="C72" s="2" t="str">
        <f>IF(LEN(SUMMARY!C72)&gt;0, SUMMARY!C72, "")</f>
        <v/>
      </c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" t="str">
        <f t="shared" si="2"/>
        <v/>
      </c>
      <c r="S72" s="2" t="str">
        <f t="shared" si="3"/>
        <v/>
      </c>
      <c r="T72" s="2" t="str">
        <f t="shared" si="4"/>
        <v/>
      </c>
      <c r="U72" s="2" t="str">
        <f t="shared" si="5"/>
        <v/>
      </c>
      <c r="V72" s="2" t="str">
        <f t="shared" si="6"/>
        <v/>
      </c>
      <c r="W72" s="2" t="str">
        <f t="shared" si="7"/>
        <v/>
      </c>
      <c r="X72" s="2" t="str">
        <f t="shared" si="8"/>
        <v/>
      </c>
      <c r="Y72" s="2" t="str">
        <f t="shared" si="9"/>
        <v/>
      </c>
      <c r="Z72" s="2" t="str">
        <f t="shared" si="10"/>
        <v/>
      </c>
      <c r="AA72" s="2" t="str">
        <f t="shared" si="11"/>
        <v/>
      </c>
      <c r="AB72" s="2" t="str">
        <f t="shared" si="12"/>
        <v/>
      </c>
      <c r="AC72" s="2" t="str">
        <f t="shared" si="13"/>
        <v/>
      </c>
      <c r="AD72" s="2" t="str">
        <f t="shared" si="14"/>
        <v/>
      </c>
      <c r="AE72" s="2" t="str">
        <f t="shared" si="15"/>
        <v/>
      </c>
      <c r="AF72" s="2" t="str">
        <f t="shared" si="16"/>
        <v/>
      </c>
      <c r="AG72" s="2" t="str">
        <f t="shared" si="17"/>
        <v/>
      </c>
      <c r="AH72" s="2" t="str">
        <f t="shared" si="18"/>
        <v/>
      </c>
      <c r="AI72" s="2" t="str">
        <f t="shared" si="19"/>
        <v/>
      </c>
      <c r="AJ72" s="2" t="str">
        <f t="shared" si="20"/>
        <v/>
      </c>
      <c r="AK72" s="2" t="str">
        <f t="shared" si="21"/>
        <v/>
      </c>
      <c r="AL72" s="2" t="str">
        <f t="shared" si="22"/>
        <v/>
      </c>
      <c r="AM72" s="2" t="str">
        <f t="shared" si="23"/>
        <v/>
      </c>
      <c r="AN72" s="2" t="str">
        <f t="shared" si="24"/>
        <v/>
      </c>
      <c r="AP72" s="2" t="str" cm="1">
        <f t="array" ref="AP72">IF('NILAI CPL'!$B72&lt;&gt;"",IFERROR(_xlfn.IFS(S72&gt;='NILAI CPL'!$B$3,4,S72&gt;='NILAI CPL'!$B$4,3,S72&gt;='NILAI CPL'!$B$5,2,S72&gt;'NILAI CPL'!$B$6,1),0),"")</f>
        <v/>
      </c>
      <c r="AQ72" s="2" t="str" cm="1">
        <f t="array" ref="AQ72">IF('NILAI CPL'!$B72&lt;&gt;"",IFERROR(_xlfn.IFS(T72&gt;='NILAI CPL'!$B$3,4,T72&gt;='NILAI CPL'!$B$4,3,T72&gt;='NILAI CPL'!$B$5,2,T72&gt;'NILAI CPL'!$B$6,1),0),"")</f>
        <v/>
      </c>
      <c r="AR72" s="2" t="str" cm="1">
        <f t="array" ref="AR72">IF('NILAI CPL'!$B72&lt;&gt;"",IFERROR(_xlfn.IFS(U72&gt;='NILAI CPL'!$B$3,4,U72&gt;='NILAI CPL'!$B$4,3,U72&gt;='NILAI CPL'!$B$5,2,U72&gt;'NILAI CPL'!$B$6,1),0),"")</f>
        <v/>
      </c>
      <c r="AS72" s="2" t="str" cm="1">
        <f t="array" ref="AS72">IF('NILAI CPL'!$B72&lt;&gt;"",IFERROR(_xlfn.IFS(V72&gt;='NILAI CPL'!$B$3,4,V72&gt;='NILAI CPL'!$B$4,3,V72&gt;='NILAI CPL'!$B$5,2,V72&gt;'NILAI CPL'!$B$6,1),0),"")</f>
        <v/>
      </c>
      <c r="AT72" s="2" t="str" cm="1">
        <f t="array" ref="AT72">IF('NILAI CPL'!$B72&lt;&gt;"",IFERROR(_xlfn.IFS(W72&gt;='NILAI CPL'!$B$3,4,W72&gt;='NILAI CPL'!$B$4,3,W72&gt;='NILAI CPL'!$B$5,2,W72&gt;'NILAI CPL'!$B$6,1),0),"")</f>
        <v/>
      </c>
      <c r="AU72" s="2" t="str" cm="1">
        <f t="array" ref="AU72">IF('NILAI CPL'!$B72&lt;&gt;"",IFERROR(_xlfn.IFS(X72&gt;='NILAI CPL'!$B$3,4,X72&gt;='NILAI CPL'!$B$4,3,X72&gt;='NILAI CPL'!$B$5,2,X72&gt;'NILAI CPL'!$B$6,1),0),"")</f>
        <v/>
      </c>
      <c r="AV72" s="2" t="str" cm="1">
        <f t="array" ref="AV72">IF('NILAI CPL'!$B72&lt;&gt;"",IFERROR(_xlfn.IFS(Y72&gt;='NILAI CPL'!$B$3,4,Y72&gt;='NILAI CPL'!$B$4,3,Y72&gt;='NILAI CPL'!$B$5,2,Y72&gt;'NILAI CPL'!$B$6,1),0),"")</f>
        <v/>
      </c>
      <c r="AW72" s="2" t="str" cm="1">
        <f t="array" ref="AW72">IF('NILAI CPL'!$B72&lt;&gt;"",IFERROR(_xlfn.IFS(Z72&gt;='NILAI CPL'!$B$3,4,Z72&gt;='NILAI CPL'!$B$4,3,Z72&gt;='NILAI CPL'!$B$5,2,Z72&gt;'NILAI CPL'!$B$6,1),0),"")</f>
        <v/>
      </c>
      <c r="AX72" s="2" t="str" cm="1">
        <f t="array" ref="AX72">IF('NILAI CPL'!$B72&lt;&gt;"",IFERROR(_xlfn.IFS(AA72&gt;='NILAI CPL'!$B$3,4,AA72&gt;='NILAI CPL'!$B$4,3,AA72&gt;='NILAI CPL'!$B$5,2,AA72&gt;'NILAI CPL'!$B$6,1),0),"")</f>
        <v/>
      </c>
      <c r="AY72" s="2" t="str" cm="1">
        <f t="array" ref="AY72">IF('NILAI CPL'!$B72&lt;&gt;"",IFERROR(_xlfn.IFS(AB72&gt;='NILAI CPL'!$B$3,4,AB72&gt;='NILAI CPL'!$B$4,3,AB72&gt;='NILAI CPL'!$B$5,2,AB72&gt;'NILAI CPL'!$B$6,1),0),"")</f>
        <v/>
      </c>
      <c r="AZ72" s="2" t="str" cm="1">
        <f t="array" ref="AZ72">IF('NILAI CPL'!$B72&lt;&gt;"",IFERROR(_xlfn.IFS(AC72&gt;='NILAI CPL'!$B$3,4,AC72&gt;='NILAI CPL'!$B$4,3,AC72&gt;='NILAI CPL'!$B$5,2,AC72&gt;'NILAI CPL'!$B$6,1),0),"")</f>
        <v/>
      </c>
      <c r="BA72" s="2" t="str" cm="1">
        <f t="array" ref="BA72">IF('NILAI CPL'!$B72&lt;&gt;"",IFERROR(_xlfn.IFS(AD72&gt;='NILAI CPL'!$B$3,4,AD72&gt;='NILAI CPL'!$B$4,3,AD72&gt;='NILAI CPL'!$B$5,2,AD72&gt;'NILAI CPL'!$B$6,1),0),"")</f>
        <v/>
      </c>
      <c r="BB72" s="2" t="str" cm="1">
        <f t="array" ref="BB72">IF('NILAI CPL'!$B72&lt;&gt;"",IFERROR(_xlfn.IFS(AE72&gt;='NILAI CPL'!$B$3,4,AE72&gt;='NILAI CPL'!$B$4,3,AE72&gt;='NILAI CPL'!$B$5,2,AE72&gt;'NILAI CPL'!$B$6,1),0),"")</f>
        <v/>
      </c>
      <c r="BC72" s="2" t="str" cm="1">
        <f t="array" ref="BC72">IF('NILAI CPL'!$B72&lt;&gt;"",IFERROR(_xlfn.IFS(AF72&gt;='NILAI CPL'!$B$3,4,AF72&gt;='NILAI CPL'!$B$4,3,AF72&gt;='NILAI CPL'!$B$5,2,AF72&gt;'NILAI CPL'!$B$6,1),0),"")</f>
        <v/>
      </c>
      <c r="BD72" s="2" t="str" cm="1">
        <f t="array" ref="BD72">IF('NILAI CPL'!$B72&lt;&gt;"",IFERROR(_xlfn.IFS(AG72&gt;='NILAI CPL'!$B$3,4,AG72&gt;='NILAI CPL'!$B$4,3,AG72&gt;='NILAI CPL'!$B$5,2,AG72&gt;'NILAI CPL'!$B$6,1),0),"")</f>
        <v/>
      </c>
      <c r="BE72" s="2" t="str" cm="1">
        <f t="array" ref="BE72">IF('NILAI CPL'!$B72&lt;&gt;"",IFERROR(_xlfn.IFS(AH72&gt;='NILAI CPL'!$B$3,4,AH72&gt;='NILAI CPL'!$B$4,3,AH72&gt;='NILAI CPL'!$B$5,2,AH72&gt;'NILAI CPL'!$B$6,1),0),"")</f>
        <v/>
      </c>
      <c r="BF72" s="2" t="str" cm="1">
        <f t="array" ref="BF72">IF('NILAI CPL'!$B72&lt;&gt;"",IFERROR(_xlfn.IFS(AI72&gt;='NILAI CPL'!$B$3,4,AI72&gt;='NILAI CPL'!$B$4,3,AI72&gt;='NILAI CPL'!$B$5,2,AI72&gt;'NILAI CPL'!$B$6,1),0),"")</f>
        <v/>
      </c>
      <c r="BG72" s="2" t="str" cm="1">
        <f t="array" ref="BG72">IF('NILAI CPL'!$B72&lt;&gt;"",IFERROR(_xlfn.IFS(AJ72&gt;='NILAI CPL'!$B$3,4,AJ72&gt;='NILAI CPL'!$B$4,3,AJ72&gt;='NILAI CPL'!$B$5,2,AJ72&gt;'NILAI CPL'!$B$6,1),0),"")</f>
        <v/>
      </c>
      <c r="BH72" s="2" t="str" cm="1">
        <f t="array" ref="BH72">IF('NILAI CPL'!$B72&lt;&gt;"",IFERROR(_xlfn.IFS(AK72&gt;='NILAI CPL'!$B$3,4,AK72&gt;='NILAI CPL'!$B$4,3,AK72&gt;='NILAI CPL'!$B$5,2,AK72&gt;'NILAI CPL'!$B$6,1),0),"")</f>
        <v/>
      </c>
      <c r="BI72" s="2" t="str" cm="1">
        <f t="array" ref="BI72">IF('NILAI CPL'!$B72&lt;&gt;"",IFERROR(_xlfn.IFS(AL72&gt;='NILAI CPL'!$B$3,4,AL72&gt;='NILAI CPL'!$B$4,3,AL72&gt;='NILAI CPL'!$B$5,2,AL72&gt;'NILAI CPL'!$B$6,1),0),"")</f>
        <v/>
      </c>
      <c r="BJ72" s="2" t="str" cm="1">
        <f t="array" ref="BJ72">IF('NILAI CPL'!$B72&lt;&gt;"",IFERROR(_xlfn.IFS(AM72&gt;='NILAI CPL'!$B$3,4,AM72&gt;='NILAI CPL'!$B$4,3,AM72&gt;='NILAI CPL'!$B$5,2,AM72&gt;'NILAI CPL'!$B$6,1),0),"")</f>
        <v/>
      </c>
      <c r="BK72" s="2" t="str" cm="1">
        <f t="array" ref="BK72">IF('NILAI CPL'!$B72&lt;&gt;"",IFERROR(_xlfn.IFS(AN72&gt;='NILAI CPL'!$B$3,4,AN72&gt;='NILAI CPL'!$B$4,3,AN72&gt;='NILAI CPL'!$B$5,2,AN72&gt;'NILAI CPL'!$B$6,1),0),"")</f>
        <v/>
      </c>
    </row>
    <row r="73" spans="1:63" x14ac:dyDescent="0.2">
      <c r="A73" s="2">
        <v>63</v>
      </c>
      <c r="B73" s="2" t="str">
        <f>IF(LEN(SUMMARY!B73)&gt;0, SUMMARY!B73, "")</f>
        <v/>
      </c>
      <c r="C73" s="2" t="str">
        <f>IF(LEN(SUMMARY!C73)&gt;0, SUMMARY!C73, "")</f>
        <v/>
      </c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" t="str">
        <f t="shared" si="2"/>
        <v/>
      </c>
      <c r="S73" s="2" t="str">
        <f t="shared" si="3"/>
        <v/>
      </c>
      <c r="T73" s="2" t="str">
        <f t="shared" si="4"/>
        <v/>
      </c>
      <c r="U73" s="2" t="str">
        <f t="shared" si="5"/>
        <v/>
      </c>
      <c r="V73" s="2" t="str">
        <f t="shared" si="6"/>
        <v/>
      </c>
      <c r="W73" s="2" t="str">
        <f t="shared" si="7"/>
        <v/>
      </c>
      <c r="X73" s="2" t="str">
        <f t="shared" si="8"/>
        <v/>
      </c>
      <c r="Y73" s="2" t="str">
        <f t="shared" si="9"/>
        <v/>
      </c>
      <c r="Z73" s="2" t="str">
        <f t="shared" si="10"/>
        <v/>
      </c>
      <c r="AA73" s="2" t="str">
        <f t="shared" si="11"/>
        <v/>
      </c>
      <c r="AB73" s="2" t="str">
        <f t="shared" si="12"/>
        <v/>
      </c>
      <c r="AC73" s="2" t="str">
        <f t="shared" si="13"/>
        <v/>
      </c>
      <c r="AD73" s="2" t="str">
        <f t="shared" si="14"/>
        <v/>
      </c>
      <c r="AE73" s="2" t="str">
        <f t="shared" si="15"/>
        <v/>
      </c>
      <c r="AF73" s="2" t="str">
        <f t="shared" si="16"/>
        <v/>
      </c>
      <c r="AG73" s="2" t="str">
        <f t="shared" si="17"/>
        <v/>
      </c>
      <c r="AH73" s="2" t="str">
        <f t="shared" si="18"/>
        <v/>
      </c>
      <c r="AI73" s="2" t="str">
        <f t="shared" si="19"/>
        <v/>
      </c>
      <c r="AJ73" s="2" t="str">
        <f t="shared" si="20"/>
        <v/>
      </c>
      <c r="AK73" s="2" t="str">
        <f t="shared" si="21"/>
        <v/>
      </c>
      <c r="AL73" s="2" t="str">
        <f t="shared" si="22"/>
        <v/>
      </c>
      <c r="AM73" s="2" t="str">
        <f t="shared" si="23"/>
        <v/>
      </c>
      <c r="AN73" s="2" t="str">
        <f t="shared" si="24"/>
        <v/>
      </c>
      <c r="AP73" s="2" t="str" cm="1">
        <f t="array" ref="AP73">IF('NILAI CPL'!$B73&lt;&gt;"",IFERROR(_xlfn.IFS(S73&gt;='NILAI CPL'!$B$3,4,S73&gt;='NILAI CPL'!$B$4,3,S73&gt;='NILAI CPL'!$B$5,2,S73&gt;'NILAI CPL'!$B$6,1),0),"")</f>
        <v/>
      </c>
      <c r="AQ73" s="2" t="str" cm="1">
        <f t="array" ref="AQ73">IF('NILAI CPL'!$B73&lt;&gt;"",IFERROR(_xlfn.IFS(T73&gt;='NILAI CPL'!$B$3,4,T73&gt;='NILAI CPL'!$B$4,3,T73&gt;='NILAI CPL'!$B$5,2,T73&gt;'NILAI CPL'!$B$6,1),0),"")</f>
        <v/>
      </c>
      <c r="AR73" s="2" t="str" cm="1">
        <f t="array" ref="AR73">IF('NILAI CPL'!$B73&lt;&gt;"",IFERROR(_xlfn.IFS(U73&gt;='NILAI CPL'!$B$3,4,U73&gt;='NILAI CPL'!$B$4,3,U73&gt;='NILAI CPL'!$B$5,2,U73&gt;'NILAI CPL'!$B$6,1),0),"")</f>
        <v/>
      </c>
      <c r="AS73" s="2" t="str" cm="1">
        <f t="array" ref="AS73">IF('NILAI CPL'!$B73&lt;&gt;"",IFERROR(_xlfn.IFS(V73&gt;='NILAI CPL'!$B$3,4,V73&gt;='NILAI CPL'!$B$4,3,V73&gt;='NILAI CPL'!$B$5,2,V73&gt;'NILAI CPL'!$B$6,1),0),"")</f>
        <v/>
      </c>
      <c r="AT73" s="2" t="str" cm="1">
        <f t="array" ref="AT73">IF('NILAI CPL'!$B73&lt;&gt;"",IFERROR(_xlfn.IFS(W73&gt;='NILAI CPL'!$B$3,4,W73&gt;='NILAI CPL'!$B$4,3,W73&gt;='NILAI CPL'!$B$5,2,W73&gt;'NILAI CPL'!$B$6,1),0),"")</f>
        <v/>
      </c>
      <c r="AU73" s="2" t="str" cm="1">
        <f t="array" ref="AU73">IF('NILAI CPL'!$B73&lt;&gt;"",IFERROR(_xlfn.IFS(X73&gt;='NILAI CPL'!$B$3,4,X73&gt;='NILAI CPL'!$B$4,3,X73&gt;='NILAI CPL'!$B$5,2,X73&gt;'NILAI CPL'!$B$6,1),0),"")</f>
        <v/>
      </c>
      <c r="AV73" s="2" t="str" cm="1">
        <f t="array" ref="AV73">IF('NILAI CPL'!$B73&lt;&gt;"",IFERROR(_xlfn.IFS(Y73&gt;='NILAI CPL'!$B$3,4,Y73&gt;='NILAI CPL'!$B$4,3,Y73&gt;='NILAI CPL'!$B$5,2,Y73&gt;'NILAI CPL'!$B$6,1),0),"")</f>
        <v/>
      </c>
      <c r="AW73" s="2" t="str" cm="1">
        <f t="array" ref="AW73">IF('NILAI CPL'!$B73&lt;&gt;"",IFERROR(_xlfn.IFS(Z73&gt;='NILAI CPL'!$B$3,4,Z73&gt;='NILAI CPL'!$B$4,3,Z73&gt;='NILAI CPL'!$B$5,2,Z73&gt;'NILAI CPL'!$B$6,1),0),"")</f>
        <v/>
      </c>
      <c r="AX73" s="2" t="str" cm="1">
        <f t="array" ref="AX73">IF('NILAI CPL'!$B73&lt;&gt;"",IFERROR(_xlfn.IFS(AA73&gt;='NILAI CPL'!$B$3,4,AA73&gt;='NILAI CPL'!$B$4,3,AA73&gt;='NILAI CPL'!$B$5,2,AA73&gt;'NILAI CPL'!$B$6,1),0),"")</f>
        <v/>
      </c>
      <c r="AY73" s="2" t="str" cm="1">
        <f t="array" ref="AY73">IF('NILAI CPL'!$B73&lt;&gt;"",IFERROR(_xlfn.IFS(AB73&gt;='NILAI CPL'!$B$3,4,AB73&gt;='NILAI CPL'!$B$4,3,AB73&gt;='NILAI CPL'!$B$5,2,AB73&gt;'NILAI CPL'!$B$6,1),0),"")</f>
        <v/>
      </c>
      <c r="AZ73" s="2" t="str" cm="1">
        <f t="array" ref="AZ73">IF('NILAI CPL'!$B73&lt;&gt;"",IFERROR(_xlfn.IFS(AC73&gt;='NILAI CPL'!$B$3,4,AC73&gt;='NILAI CPL'!$B$4,3,AC73&gt;='NILAI CPL'!$B$5,2,AC73&gt;'NILAI CPL'!$B$6,1),0),"")</f>
        <v/>
      </c>
      <c r="BA73" s="2" t="str" cm="1">
        <f t="array" ref="BA73">IF('NILAI CPL'!$B73&lt;&gt;"",IFERROR(_xlfn.IFS(AD73&gt;='NILAI CPL'!$B$3,4,AD73&gt;='NILAI CPL'!$B$4,3,AD73&gt;='NILAI CPL'!$B$5,2,AD73&gt;'NILAI CPL'!$B$6,1),0),"")</f>
        <v/>
      </c>
      <c r="BB73" s="2" t="str" cm="1">
        <f t="array" ref="BB73">IF('NILAI CPL'!$B73&lt;&gt;"",IFERROR(_xlfn.IFS(AE73&gt;='NILAI CPL'!$B$3,4,AE73&gt;='NILAI CPL'!$B$4,3,AE73&gt;='NILAI CPL'!$B$5,2,AE73&gt;'NILAI CPL'!$B$6,1),0),"")</f>
        <v/>
      </c>
      <c r="BC73" s="2" t="str" cm="1">
        <f t="array" ref="BC73">IF('NILAI CPL'!$B73&lt;&gt;"",IFERROR(_xlfn.IFS(AF73&gt;='NILAI CPL'!$B$3,4,AF73&gt;='NILAI CPL'!$B$4,3,AF73&gt;='NILAI CPL'!$B$5,2,AF73&gt;'NILAI CPL'!$B$6,1),0),"")</f>
        <v/>
      </c>
      <c r="BD73" s="2" t="str" cm="1">
        <f t="array" ref="BD73">IF('NILAI CPL'!$B73&lt;&gt;"",IFERROR(_xlfn.IFS(AG73&gt;='NILAI CPL'!$B$3,4,AG73&gt;='NILAI CPL'!$B$4,3,AG73&gt;='NILAI CPL'!$B$5,2,AG73&gt;'NILAI CPL'!$B$6,1),0),"")</f>
        <v/>
      </c>
      <c r="BE73" s="2" t="str" cm="1">
        <f t="array" ref="BE73">IF('NILAI CPL'!$B73&lt;&gt;"",IFERROR(_xlfn.IFS(AH73&gt;='NILAI CPL'!$B$3,4,AH73&gt;='NILAI CPL'!$B$4,3,AH73&gt;='NILAI CPL'!$B$5,2,AH73&gt;'NILAI CPL'!$B$6,1),0),"")</f>
        <v/>
      </c>
      <c r="BF73" s="2" t="str" cm="1">
        <f t="array" ref="BF73">IF('NILAI CPL'!$B73&lt;&gt;"",IFERROR(_xlfn.IFS(AI73&gt;='NILAI CPL'!$B$3,4,AI73&gt;='NILAI CPL'!$B$4,3,AI73&gt;='NILAI CPL'!$B$5,2,AI73&gt;'NILAI CPL'!$B$6,1),0),"")</f>
        <v/>
      </c>
      <c r="BG73" s="2" t="str" cm="1">
        <f t="array" ref="BG73">IF('NILAI CPL'!$B73&lt;&gt;"",IFERROR(_xlfn.IFS(AJ73&gt;='NILAI CPL'!$B$3,4,AJ73&gt;='NILAI CPL'!$B$4,3,AJ73&gt;='NILAI CPL'!$B$5,2,AJ73&gt;'NILAI CPL'!$B$6,1),0),"")</f>
        <v/>
      </c>
      <c r="BH73" s="2" t="str" cm="1">
        <f t="array" ref="BH73">IF('NILAI CPL'!$B73&lt;&gt;"",IFERROR(_xlfn.IFS(AK73&gt;='NILAI CPL'!$B$3,4,AK73&gt;='NILAI CPL'!$B$4,3,AK73&gt;='NILAI CPL'!$B$5,2,AK73&gt;'NILAI CPL'!$B$6,1),0),"")</f>
        <v/>
      </c>
      <c r="BI73" s="2" t="str" cm="1">
        <f t="array" ref="BI73">IF('NILAI CPL'!$B73&lt;&gt;"",IFERROR(_xlfn.IFS(AL73&gt;='NILAI CPL'!$B$3,4,AL73&gt;='NILAI CPL'!$B$4,3,AL73&gt;='NILAI CPL'!$B$5,2,AL73&gt;'NILAI CPL'!$B$6,1),0),"")</f>
        <v/>
      </c>
      <c r="BJ73" s="2" t="str" cm="1">
        <f t="array" ref="BJ73">IF('NILAI CPL'!$B73&lt;&gt;"",IFERROR(_xlfn.IFS(AM73&gt;='NILAI CPL'!$B$3,4,AM73&gt;='NILAI CPL'!$B$4,3,AM73&gt;='NILAI CPL'!$B$5,2,AM73&gt;'NILAI CPL'!$B$6,1),0),"")</f>
        <v/>
      </c>
      <c r="BK73" s="2" t="str" cm="1">
        <f t="array" ref="BK73">IF('NILAI CPL'!$B73&lt;&gt;"",IFERROR(_xlfn.IFS(AN73&gt;='NILAI CPL'!$B$3,4,AN73&gt;='NILAI CPL'!$B$4,3,AN73&gt;='NILAI CPL'!$B$5,2,AN73&gt;'NILAI CPL'!$B$6,1),0),"")</f>
        <v/>
      </c>
    </row>
    <row r="74" spans="1:63" x14ac:dyDescent="0.2">
      <c r="A74" s="2">
        <v>64</v>
      </c>
      <c r="B74" s="2" t="str">
        <f>IF(LEN(SUMMARY!B74)&gt;0, SUMMARY!B74, "")</f>
        <v/>
      </c>
      <c r="C74" s="2" t="str">
        <f>IF(LEN(SUMMARY!C74)&gt;0, SUMMARY!C74, "")</f>
        <v/>
      </c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" t="str">
        <f t="shared" si="2"/>
        <v/>
      </c>
      <c r="S74" s="2" t="str">
        <f t="shared" si="3"/>
        <v/>
      </c>
      <c r="T74" s="2" t="str">
        <f t="shared" si="4"/>
        <v/>
      </c>
      <c r="U74" s="2" t="str">
        <f t="shared" si="5"/>
        <v/>
      </c>
      <c r="V74" s="2" t="str">
        <f t="shared" si="6"/>
        <v/>
      </c>
      <c r="W74" s="2" t="str">
        <f t="shared" si="7"/>
        <v/>
      </c>
      <c r="X74" s="2" t="str">
        <f t="shared" si="8"/>
        <v/>
      </c>
      <c r="Y74" s="2" t="str">
        <f t="shared" si="9"/>
        <v/>
      </c>
      <c r="Z74" s="2" t="str">
        <f t="shared" si="10"/>
        <v/>
      </c>
      <c r="AA74" s="2" t="str">
        <f t="shared" si="11"/>
        <v/>
      </c>
      <c r="AB74" s="2" t="str">
        <f t="shared" si="12"/>
        <v/>
      </c>
      <c r="AC74" s="2" t="str">
        <f t="shared" si="13"/>
        <v/>
      </c>
      <c r="AD74" s="2" t="str">
        <f t="shared" si="14"/>
        <v/>
      </c>
      <c r="AE74" s="2" t="str">
        <f t="shared" si="15"/>
        <v/>
      </c>
      <c r="AF74" s="2" t="str">
        <f t="shared" si="16"/>
        <v/>
      </c>
      <c r="AG74" s="2" t="str">
        <f t="shared" si="17"/>
        <v/>
      </c>
      <c r="AH74" s="2" t="str">
        <f t="shared" si="18"/>
        <v/>
      </c>
      <c r="AI74" s="2" t="str">
        <f t="shared" si="19"/>
        <v/>
      </c>
      <c r="AJ74" s="2" t="str">
        <f t="shared" si="20"/>
        <v/>
      </c>
      <c r="AK74" s="2" t="str">
        <f t="shared" si="21"/>
        <v/>
      </c>
      <c r="AL74" s="2" t="str">
        <f t="shared" si="22"/>
        <v/>
      </c>
      <c r="AM74" s="2" t="str">
        <f t="shared" si="23"/>
        <v/>
      </c>
      <c r="AN74" s="2" t="str">
        <f t="shared" si="24"/>
        <v/>
      </c>
      <c r="AP74" s="2" t="str" cm="1">
        <f t="array" ref="AP74">IF('NILAI CPL'!$B74&lt;&gt;"",IFERROR(_xlfn.IFS(S74&gt;='NILAI CPL'!$B$3,4,S74&gt;='NILAI CPL'!$B$4,3,S74&gt;='NILAI CPL'!$B$5,2,S74&gt;'NILAI CPL'!$B$6,1),0),"")</f>
        <v/>
      </c>
      <c r="AQ74" s="2" t="str" cm="1">
        <f t="array" ref="AQ74">IF('NILAI CPL'!$B74&lt;&gt;"",IFERROR(_xlfn.IFS(T74&gt;='NILAI CPL'!$B$3,4,T74&gt;='NILAI CPL'!$B$4,3,T74&gt;='NILAI CPL'!$B$5,2,T74&gt;'NILAI CPL'!$B$6,1),0),"")</f>
        <v/>
      </c>
      <c r="AR74" s="2" t="str" cm="1">
        <f t="array" ref="AR74">IF('NILAI CPL'!$B74&lt;&gt;"",IFERROR(_xlfn.IFS(U74&gt;='NILAI CPL'!$B$3,4,U74&gt;='NILAI CPL'!$B$4,3,U74&gt;='NILAI CPL'!$B$5,2,U74&gt;'NILAI CPL'!$B$6,1),0),"")</f>
        <v/>
      </c>
      <c r="AS74" s="2" t="str" cm="1">
        <f t="array" ref="AS74">IF('NILAI CPL'!$B74&lt;&gt;"",IFERROR(_xlfn.IFS(V74&gt;='NILAI CPL'!$B$3,4,V74&gt;='NILAI CPL'!$B$4,3,V74&gt;='NILAI CPL'!$B$5,2,V74&gt;'NILAI CPL'!$B$6,1),0),"")</f>
        <v/>
      </c>
      <c r="AT74" s="2" t="str" cm="1">
        <f t="array" ref="AT74">IF('NILAI CPL'!$B74&lt;&gt;"",IFERROR(_xlfn.IFS(W74&gt;='NILAI CPL'!$B$3,4,W74&gt;='NILAI CPL'!$B$4,3,W74&gt;='NILAI CPL'!$B$5,2,W74&gt;'NILAI CPL'!$B$6,1),0),"")</f>
        <v/>
      </c>
      <c r="AU74" s="2" t="str" cm="1">
        <f t="array" ref="AU74">IF('NILAI CPL'!$B74&lt;&gt;"",IFERROR(_xlfn.IFS(X74&gt;='NILAI CPL'!$B$3,4,X74&gt;='NILAI CPL'!$B$4,3,X74&gt;='NILAI CPL'!$B$5,2,X74&gt;'NILAI CPL'!$B$6,1),0),"")</f>
        <v/>
      </c>
      <c r="AV74" s="2" t="str" cm="1">
        <f t="array" ref="AV74">IF('NILAI CPL'!$B74&lt;&gt;"",IFERROR(_xlfn.IFS(Y74&gt;='NILAI CPL'!$B$3,4,Y74&gt;='NILAI CPL'!$B$4,3,Y74&gt;='NILAI CPL'!$B$5,2,Y74&gt;'NILAI CPL'!$B$6,1),0),"")</f>
        <v/>
      </c>
      <c r="AW74" s="2" t="str" cm="1">
        <f t="array" ref="AW74">IF('NILAI CPL'!$B74&lt;&gt;"",IFERROR(_xlfn.IFS(Z74&gt;='NILAI CPL'!$B$3,4,Z74&gt;='NILAI CPL'!$B$4,3,Z74&gt;='NILAI CPL'!$B$5,2,Z74&gt;'NILAI CPL'!$B$6,1),0),"")</f>
        <v/>
      </c>
      <c r="AX74" s="2" t="str" cm="1">
        <f t="array" ref="AX74">IF('NILAI CPL'!$B74&lt;&gt;"",IFERROR(_xlfn.IFS(AA74&gt;='NILAI CPL'!$B$3,4,AA74&gt;='NILAI CPL'!$B$4,3,AA74&gt;='NILAI CPL'!$B$5,2,AA74&gt;'NILAI CPL'!$B$6,1),0),"")</f>
        <v/>
      </c>
      <c r="AY74" s="2" t="str" cm="1">
        <f t="array" ref="AY74">IF('NILAI CPL'!$B74&lt;&gt;"",IFERROR(_xlfn.IFS(AB74&gt;='NILAI CPL'!$B$3,4,AB74&gt;='NILAI CPL'!$B$4,3,AB74&gt;='NILAI CPL'!$B$5,2,AB74&gt;'NILAI CPL'!$B$6,1),0),"")</f>
        <v/>
      </c>
      <c r="AZ74" s="2" t="str" cm="1">
        <f t="array" ref="AZ74">IF('NILAI CPL'!$B74&lt;&gt;"",IFERROR(_xlfn.IFS(AC74&gt;='NILAI CPL'!$B$3,4,AC74&gt;='NILAI CPL'!$B$4,3,AC74&gt;='NILAI CPL'!$B$5,2,AC74&gt;'NILAI CPL'!$B$6,1),0),"")</f>
        <v/>
      </c>
      <c r="BA74" s="2" t="str" cm="1">
        <f t="array" ref="BA74">IF('NILAI CPL'!$B74&lt;&gt;"",IFERROR(_xlfn.IFS(AD74&gt;='NILAI CPL'!$B$3,4,AD74&gt;='NILAI CPL'!$B$4,3,AD74&gt;='NILAI CPL'!$B$5,2,AD74&gt;'NILAI CPL'!$B$6,1),0),"")</f>
        <v/>
      </c>
      <c r="BB74" s="2" t="str" cm="1">
        <f t="array" ref="BB74">IF('NILAI CPL'!$B74&lt;&gt;"",IFERROR(_xlfn.IFS(AE74&gt;='NILAI CPL'!$B$3,4,AE74&gt;='NILAI CPL'!$B$4,3,AE74&gt;='NILAI CPL'!$B$5,2,AE74&gt;'NILAI CPL'!$B$6,1),0),"")</f>
        <v/>
      </c>
      <c r="BC74" s="2" t="str" cm="1">
        <f t="array" ref="BC74">IF('NILAI CPL'!$B74&lt;&gt;"",IFERROR(_xlfn.IFS(AF74&gt;='NILAI CPL'!$B$3,4,AF74&gt;='NILAI CPL'!$B$4,3,AF74&gt;='NILAI CPL'!$B$5,2,AF74&gt;'NILAI CPL'!$B$6,1),0),"")</f>
        <v/>
      </c>
      <c r="BD74" s="2" t="str" cm="1">
        <f t="array" ref="BD74">IF('NILAI CPL'!$B74&lt;&gt;"",IFERROR(_xlfn.IFS(AG74&gt;='NILAI CPL'!$B$3,4,AG74&gt;='NILAI CPL'!$B$4,3,AG74&gt;='NILAI CPL'!$B$5,2,AG74&gt;'NILAI CPL'!$B$6,1),0),"")</f>
        <v/>
      </c>
      <c r="BE74" s="2" t="str" cm="1">
        <f t="array" ref="BE74">IF('NILAI CPL'!$B74&lt;&gt;"",IFERROR(_xlfn.IFS(AH74&gt;='NILAI CPL'!$B$3,4,AH74&gt;='NILAI CPL'!$B$4,3,AH74&gt;='NILAI CPL'!$B$5,2,AH74&gt;'NILAI CPL'!$B$6,1),0),"")</f>
        <v/>
      </c>
      <c r="BF74" s="2" t="str" cm="1">
        <f t="array" ref="BF74">IF('NILAI CPL'!$B74&lt;&gt;"",IFERROR(_xlfn.IFS(AI74&gt;='NILAI CPL'!$B$3,4,AI74&gt;='NILAI CPL'!$B$4,3,AI74&gt;='NILAI CPL'!$B$5,2,AI74&gt;'NILAI CPL'!$B$6,1),0),"")</f>
        <v/>
      </c>
      <c r="BG74" s="2" t="str" cm="1">
        <f t="array" ref="BG74">IF('NILAI CPL'!$B74&lt;&gt;"",IFERROR(_xlfn.IFS(AJ74&gt;='NILAI CPL'!$B$3,4,AJ74&gt;='NILAI CPL'!$B$4,3,AJ74&gt;='NILAI CPL'!$B$5,2,AJ74&gt;'NILAI CPL'!$B$6,1),0),"")</f>
        <v/>
      </c>
      <c r="BH74" s="2" t="str" cm="1">
        <f t="array" ref="BH74">IF('NILAI CPL'!$B74&lt;&gt;"",IFERROR(_xlfn.IFS(AK74&gt;='NILAI CPL'!$B$3,4,AK74&gt;='NILAI CPL'!$B$4,3,AK74&gt;='NILAI CPL'!$B$5,2,AK74&gt;'NILAI CPL'!$B$6,1),0),"")</f>
        <v/>
      </c>
      <c r="BI74" s="2" t="str" cm="1">
        <f t="array" ref="BI74">IF('NILAI CPL'!$B74&lt;&gt;"",IFERROR(_xlfn.IFS(AL74&gt;='NILAI CPL'!$B$3,4,AL74&gt;='NILAI CPL'!$B$4,3,AL74&gt;='NILAI CPL'!$B$5,2,AL74&gt;'NILAI CPL'!$B$6,1),0),"")</f>
        <v/>
      </c>
      <c r="BJ74" s="2" t="str" cm="1">
        <f t="array" ref="BJ74">IF('NILAI CPL'!$B74&lt;&gt;"",IFERROR(_xlfn.IFS(AM74&gt;='NILAI CPL'!$B$3,4,AM74&gt;='NILAI CPL'!$B$4,3,AM74&gt;='NILAI CPL'!$B$5,2,AM74&gt;'NILAI CPL'!$B$6,1),0),"")</f>
        <v/>
      </c>
      <c r="BK74" s="2" t="str" cm="1">
        <f t="array" ref="BK74">IF('NILAI CPL'!$B74&lt;&gt;"",IFERROR(_xlfn.IFS(AN74&gt;='NILAI CPL'!$B$3,4,AN74&gt;='NILAI CPL'!$B$4,3,AN74&gt;='NILAI CPL'!$B$5,2,AN74&gt;'NILAI CPL'!$B$6,1),0),"")</f>
        <v/>
      </c>
    </row>
    <row r="75" spans="1:63" x14ac:dyDescent="0.2">
      <c r="A75" s="2">
        <v>65</v>
      </c>
      <c r="B75" s="2" t="str">
        <f>IF(LEN(SUMMARY!B75)&gt;0, SUMMARY!B75, "")</f>
        <v/>
      </c>
      <c r="C75" s="2" t="str">
        <f>IF(LEN(SUMMARY!C75)&gt;0, SUMMARY!C75, "")</f>
        <v/>
      </c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" t="str">
        <f t="shared" si="2"/>
        <v/>
      </c>
      <c r="S75" s="2" t="str">
        <f t="shared" si="3"/>
        <v/>
      </c>
      <c r="T75" s="2" t="str">
        <f t="shared" si="4"/>
        <v/>
      </c>
      <c r="U75" s="2" t="str">
        <f t="shared" si="5"/>
        <v/>
      </c>
      <c r="V75" s="2" t="str">
        <f t="shared" si="6"/>
        <v/>
      </c>
      <c r="W75" s="2" t="str">
        <f t="shared" si="7"/>
        <v/>
      </c>
      <c r="X75" s="2" t="str">
        <f t="shared" si="8"/>
        <v/>
      </c>
      <c r="Y75" s="2" t="str">
        <f t="shared" si="9"/>
        <v/>
      </c>
      <c r="Z75" s="2" t="str">
        <f t="shared" si="10"/>
        <v/>
      </c>
      <c r="AA75" s="2" t="str">
        <f t="shared" si="11"/>
        <v/>
      </c>
      <c r="AB75" s="2" t="str">
        <f t="shared" si="12"/>
        <v/>
      </c>
      <c r="AC75" s="2" t="str">
        <f t="shared" si="13"/>
        <v/>
      </c>
      <c r="AD75" s="2" t="str">
        <f t="shared" si="14"/>
        <v/>
      </c>
      <c r="AE75" s="2" t="str">
        <f t="shared" si="15"/>
        <v/>
      </c>
      <c r="AF75" s="2" t="str">
        <f t="shared" si="16"/>
        <v/>
      </c>
      <c r="AG75" s="2" t="str">
        <f t="shared" si="17"/>
        <v/>
      </c>
      <c r="AH75" s="2" t="str">
        <f t="shared" si="18"/>
        <v/>
      </c>
      <c r="AI75" s="2" t="str">
        <f t="shared" si="19"/>
        <v/>
      </c>
      <c r="AJ75" s="2" t="str">
        <f t="shared" si="20"/>
        <v/>
      </c>
      <c r="AK75" s="2" t="str">
        <f t="shared" si="21"/>
        <v/>
      </c>
      <c r="AL75" s="2" t="str">
        <f t="shared" si="22"/>
        <v/>
      </c>
      <c r="AM75" s="2" t="str">
        <f t="shared" si="23"/>
        <v/>
      </c>
      <c r="AN75" s="2" t="str">
        <f t="shared" si="24"/>
        <v/>
      </c>
      <c r="AP75" s="2" t="str" cm="1">
        <f t="array" ref="AP75">IF('NILAI CPL'!$B75&lt;&gt;"",IFERROR(_xlfn.IFS(S75&gt;='NILAI CPL'!$B$3,4,S75&gt;='NILAI CPL'!$B$4,3,S75&gt;='NILAI CPL'!$B$5,2,S75&gt;'NILAI CPL'!$B$6,1),0),"")</f>
        <v/>
      </c>
      <c r="AQ75" s="2" t="str" cm="1">
        <f t="array" ref="AQ75">IF('NILAI CPL'!$B75&lt;&gt;"",IFERROR(_xlfn.IFS(T75&gt;='NILAI CPL'!$B$3,4,T75&gt;='NILAI CPL'!$B$4,3,T75&gt;='NILAI CPL'!$B$5,2,T75&gt;'NILAI CPL'!$B$6,1),0),"")</f>
        <v/>
      </c>
      <c r="AR75" s="2" t="str" cm="1">
        <f t="array" ref="AR75">IF('NILAI CPL'!$B75&lt;&gt;"",IFERROR(_xlfn.IFS(U75&gt;='NILAI CPL'!$B$3,4,U75&gt;='NILAI CPL'!$B$4,3,U75&gt;='NILAI CPL'!$B$5,2,U75&gt;'NILAI CPL'!$B$6,1),0),"")</f>
        <v/>
      </c>
      <c r="AS75" s="2" t="str" cm="1">
        <f t="array" ref="AS75">IF('NILAI CPL'!$B75&lt;&gt;"",IFERROR(_xlfn.IFS(V75&gt;='NILAI CPL'!$B$3,4,V75&gt;='NILAI CPL'!$B$4,3,V75&gt;='NILAI CPL'!$B$5,2,V75&gt;'NILAI CPL'!$B$6,1),0),"")</f>
        <v/>
      </c>
      <c r="AT75" s="2" t="str" cm="1">
        <f t="array" ref="AT75">IF('NILAI CPL'!$B75&lt;&gt;"",IFERROR(_xlfn.IFS(W75&gt;='NILAI CPL'!$B$3,4,W75&gt;='NILAI CPL'!$B$4,3,W75&gt;='NILAI CPL'!$B$5,2,W75&gt;'NILAI CPL'!$B$6,1),0),"")</f>
        <v/>
      </c>
      <c r="AU75" s="2" t="str" cm="1">
        <f t="array" ref="AU75">IF('NILAI CPL'!$B75&lt;&gt;"",IFERROR(_xlfn.IFS(X75&gt;='NILAI CPL'!$B$3,4,X75&gt;='NILAI CPL'!$B$4,3,X75&gt;='NILAI CPL'!$B$5,2,X75&gt;'NILAI CPL'!$B$6,1),0),"")</f>
        <v/>
      </c>
      <c r="AV75" s="2" t="str" cm="1">
        <f t="array" ref="AV75">IF('NILAI CPL'!$B75&lt;&gt;"",IFERROR(_xlfn.IFS(Y75&gt;='NILAI CPL'!$B$3,4,Y75&gt;='NILAI CPL'!$B$4,3,Y75&gt;='NILAI CPL'!$B$5,2,Y75&gt;'NILAI CPL'!$B$6,1),0),"")</f>
        <v/>
      </c>
      <c r="AW75" s="2" t="str" cm="1">
        <f t="array" ref="AW75">IF('NILAI CPL'!$B75&lt;&gt;"",IFERROR(_xlfn.IFS(Z75&gt;='NILAI CPL'!$B$3,4,Z75&gt;='NILAI CPL'!$B$4,3,Z75&gt;='NILAI CPL'!$B$5,2,Z75&gt;'NILAI CPL'!$B$6,1),0),"")</f>
        <v/>
      </c>
      <c r="AX75" s="2" t="str" cm="1">
        <f t="array" ref="AX75">IF('NILAI CPL'!$B75&lt;&gt;"",IFERROR(_xlfn.IFS(AA75&gt;='NILAI CPL'!$B$3,4,AA75&gt;='NILAI CPL'!$B$4,3,AA75&gt;='NILAI CPL'!$B$5,2,AA75&gt;'NILAI CPL'!$B$6,1),0),"")</f>
        <v/>
      </c>
      <c r="AY75" s="2" t="str" cm="1">
        <f t="array" ref="AY75">IF('NILAI CPL'!$B75&lt;&gt;"",IFERROR(_xlfn.IFS(AB75&gt;='NILAI CPL'!$B$3,4,AB75&gt;='NILAI CPL'!$B$4,3,AB75&gt;='NILAI CPL'!$B$5,2,AB75&gt;'NILAI CPL'!$B$6,1),0),"")</f>
        <v/>
      </c>
      <c r="AZ75" s="2" t="str" cm="1">
        <f t="array" ref="AZ75">IF('NILAI CPL'!$B75&lt;&gt;"",IFERROR(_xlfn.IFS(AC75&gt;='NILAI CPL'!$B$3,4,AC75&gt;='NILAI CPL'!$B$4,3,AC75&gt;='NILAI CPL'!$B$5,2,AC75&gt;'NILAI CPL'!$B$6,1),0),"")</f>
        <v/>
      </c>
      <c r="BA75" s="2" t="str" cm="1">
        <f t="array" ref="BA75">IF('NILAI CPL'!$B75&lt;&gt;"",IFERROR(_xlfn.IFS(AD75&gt;='NILAI CPL'!$B$3,4,AD75&gt;='NILAI CPL'!$B$4,3,AD75&gt;='NILAI CPL'!$B$5,2,AD75&gt;'NILAI CPL'!$B$6,1),0),"")</f>
        <v/>
      </c>
      <c r="BB75" s="2" t="str" cm="1">
        <f t="array" ref="BB75">IF('NILAI CPL'!$B75&lt;&gt;"",IFERROR(_xlfn.IFS(AE75&gt;='NILAI CPL'!$B$3,4,AE75&gt;='NILAI CPL'!$B$4,3,AE75&gt;='NILAI CPL'!$B$5,2,AE75&gt;'NILAI CPL'!$B$6,1),0),"")</f>
        <v/>
      </c>
      <c r="BC75" s="2" t="str" cm="1">
        <f t="array" ref="BC75">IF('NILAI CPL'!$B75&lt;&gt;"",IFERROR(_xlfn.IFS(AF75&gt;='NILAI CPL'!$B$3,4,AF75&gt;='NILAI CPL'!$B$4,3,AF75&gt;='NILAI CPL'!$B$5,2,AF75&gt;'NILAI CPL'!$B$6,1),0),"")</f>
        <v/>
      </c>
      <c r="BD75" s="2" t="str" cm="1">
        <f t="array" ref="BD75">IF('NILAI CPL'!$B75&lt;&gt;"",IFERROR(_xlfn.IFS(AG75&gt;='NILAI CPL'!$B$3,4,AG75&gt;='NILAI CPL'!$B$4,3,AG75&gt;='NILAI CPL'!$B$5,2,AG75&gt;'NILAI CPL'!$B$6,1),0),"")</f>
        <v/>
      </c>
      <c r="BE75" s="2" t="str" cm="1">
        <f t="array" ref="BE75">IF('NILAI CPL'!$B75&lt;&gt;"",IFERROR(_xlfn.IFS(AH75&gt;='NILAI CPL'!$B$3,4,AH75&gt;='NILAI CPL'!$B$4,3,AH75&gt;='NILAI CPL'!$B$5,2,AH75&gt;'NILAI CPL'!$B$6,1),0),"")</f>
        <v/>
      </c>
      <c r="BF75" s="2" t="str" cm="1">
        <f t="array" ref="BF75">IF('NILAI CPL'!$B75&lt;&gt;"",IFERROR(_xlfn.IFS(AI75&gt;='NILAI CPL'!$B$3,4,AI75&gt;='NILAI CPL'!$B$4,3,AI75&gt;='NILAI CPL'!$B$5,2,AI75&gt;'NILAI CPL'!$B$6,1),0),"")</f>
        <v/>
      </c>
      <c r="BG75" s="2" t="str" cm="1">
        <f t="array" ref="BG75">IF('NILAI CPL'!$B75&lt;&gt;"",IFERROR(_xlfn.IFS(AJ75&gt;='NILAI CPL'!$B$3,4,AJ75&gt;='NILAI CPL'!$B$4,3,AJ75&gt;='NILAI CPL'!$B$5,2,AJ75&gt;'NILAI CPL'!$B$6,1),0),"")</f>
        <v/>
      </c>
      <c r="BH75" s="2" t="str" cm="1">
        <f t="array" ref="BH75">IF('NILAI CPL'!$B75&lt;&gt;"",IFERROR(_xlfn.IFS(AK75&gt;='NILAI CPL'!$B$3,4,AK75&gt;='NILAI CPL'!$B$4,3,AK75&gt;='NILAI CPL'!$B$5,2,AK75&gt;'NILAI CPL'!$B$6,1),0),"")</f>
        <v/>
      </c>
      <c r="BI75" s="2" t="str" cm="1">
        <f t="array" ref="BI75">IF('NILAI CPL'!$B75&lt;&gt;"",IFERROR(_xlfn.IFS(AL75&gt;='NILAI CPL'!$B$3,4,AL75&gt;='NILAI CPL'!$B$4,3,AL75&gt;='NILAI CPL'!$B$5,2,AL75&gt;'NILAI CPL'!$B$6,1),0),"")</f>
        <v/>
      </c>
      <c r="BJ75" s="2" t="str" cm="1">
        <f t="array" ref="BJ75">IF('NILAI CPL'!$B75&lt;&gt;"",IFERROR(_xlfn.IFS(AM75&gt;='NILAI CPL'!$B$3,4,AM75&gt;='NILAI CPL'!$B$4,3,AM75&gt;='NILAI CPL'!$B$5,2,AM75&gt;'NILAI CPL'!$B$6,1),0),"")</f>
        <v/>
      </c>
      <c r="BK75" s="2" t="str" cm="1">
        <f t="array" ref="BK75">IF('NILAI CPL'!$B75&lt;&gt;"",IFERROR(_xlfn.IFS(AN75&gt;='NILAI CPL'!$B$3,4,AN75&gt;='NILAI CPL'!$B$4,3,AN75&gt;='NILAI CPL'!$B$5,2,AN75&gt;'NILAI CPL'!$B$6,1),0),"")</f>
        <v/>
      </c>
    </row>
    <row r="76" spans="1:63" x14ac:dyDescent="0.2">
      <c r="A76" s="2">
        <v>66</v>
      </c>
      <c r="B76" s="2" t="str">
        <f>IF(LEN(SUMMARY!B76)&gt;0, SUMMARY!B76, "")</f>
        <v/>
      </c>
      <c r="C76" s="2" t="str">
        <f>IF(LEN(SUMMARY!C76)&gt;0, SUMMARY!C76, "")</f>
        <v/>
      </c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" t="str">
        <f t="shared" ref="Q76:Q90" si="25">IF(B76&lt;&gt;"",IFERROR(ROUNDUP(SUMPRODUCT($E$10:$P$10,E76:P76)/SUM($E$10:$P$10),2),0),"")</f>
        <v/>
      </c>
      <c r="S76" s="2" t="str">
        <f t="shared" ref="S76:S90" si="26">IF(B76&lt;&gt;"",IFERROR(ROUNDUP(SUMPRODUCT(E76:P76,$E$95:$P$95)/SUM($E$95:$P$95),2),0),"")</f>
        <v/>
      </c>
      <c r="T76" s="2" t="str">
        <f t="shared" ref="T76:T90" si="27">IF(B76&lt;&gt;"",IFERROR(ROUNDUP(SUMPRODUCT(E76:P76,$E$96:$P$96)/SUM($E$96:$P$96),2),0),"")</f>
        <v/>
      </c>
      <c r="U76" s="2" t="str">
        <f t="shared" ref="U76:U90" si="28">IF(B76&lt;&gt;"",IFERROR(ROUNDUP(SUMPRODUCT(E76:P76,$E$97:$P$97)/SUM($E$97:$P$97),2),0),"")</f>
        <v/>
      </c>
      <c r="V76" s="2" t="str">
        <f t="shared" ref="V76:V90" si="29">IF(B76&lt;&gt;"",IFERROR(ROUNDUP(SUMPRODUCT(E76:P76,$E$98:$P$98)/SUM($E$98:$P$98),2),0),"")</f>
        <v/>
      </c>
      <c r="W76" s="2" t="str">
        <f t="shared" ref="W76:W90" si="30">IF(B76&lt;&gt;"",IFERROR(ROUNDUP(SUMPRODUCT(E76:P76,$E$99:$P$99)/SUM($E$99:$P$99),2),0),"")</f>
        <v/>
      </c>
      <c r="X76" s="2" t="str">
        <f t="shared" ref="X76:X90" si="31">IF(B76&lt;&gt;"",IFERROR(ROUNDUP(SUMPRODUCT(E76:P76,$E$100:$P$100)/SUM($E$100:$P$100),2),0),"")</f>
        <v/>
      </c>
      <c r="Y76" s="2" t="str">
        <f t="shared" ref="Y76:Y90" si="32">IF(B76&lt;&gt;"",IFERROR(ROUNDUP(SUMPRODUCT(E76:P76,$E$101:$P$101)/SUM($E$101:$P$101),2),0),"")</f>
        <v/>
      </c>
      <c r="Z76" s="2" t="str">
        <f t="shared" ref="Z76:Z90" si="33">IF(B76&lt;&gt;"",IFERROR(ROUNDUP(SUMPRODUCT(E76:P76,$E$102:$P$102)/SUM($E$102:$P$102),2),0),"")</f>
        <v/>
      </c>
      <c r="AA76" s="2" t="str">
        <f t="shared" ref="AA76:AA90" si="34">IF(B76&lt;&gt;"",IFERROR(ROUNDUP(SUMPRODUCT(E76:P76,$E$103:$P$103)/SUM($E$103:$P$103),2),0),"")</f>
        <v/>
      </c>
      <c r="AB76" s="2" t="str">
        <f t="shared" ref="AB76:AB90" si="35">IF(B76&lt;&gt;"",IFERROR(ROUNDUP(SUMPRODUCT(E76:P76,$E$104:$P$104)/SUM($E$104:$P$104),2),0),"")</f>
        <v/>
      </c>
      <c r="AC76" s="2" t="str">
        <f t="shared" ref="AC76:AC90" si="36">IF(B76&lt;&gt;"",IFERROR(ROUNDUP(SUMPRODUCT(E76:P76,$E$105:$P$105)/SUM($E$105:$P$105),2),0),"")</f>
        <v/>
      </c>
      <c r="AD76" s="2" t="str">
        <f t="shared" ref="AD76:AD90" si="37">IF(B76&lt;&gt;"",IFERROR(ROUNDUP(SUMPRODUCT(E76:P76,$E$106:$P$106)/SUM($E$106:$P$106),2),0),"")</f>
        <v/>
      </c>
      <c r="AE76" s="2" t="str">
        <f t="shared" ref="AE76:AE90" si="38">IF(B76&lt;&gt;"",IFERROR(ROUNDUP(SUMPRODUCT(E76:P76,$E$107:$P$107)/SUM($E$107:$P$107),2),0),"")</f>
        <v/>
      </c>
      <c r="AF76" s="2" t="str">
        <f t="shared" ref="AF76:AF90" si="39">IF(B76&lt;&gt;"",IFERROR(ROUNDUP(SUMPRODUCT(E76:P76,$E$108:$P$108)/SUM($E$108:$P$108),2),0),"")</f>
        <v/>
      </c>
      <c r="AG76" s="2" t="str">
        <f t="shared" ref="AG76:AG90" si="40">IF(B76&lt;&gt;"",IFERROR(ROUNDUP(SUMPRODUCT(E76:P76,$E$109:$P$109)/SUM($E$109:$P$109),2),0),"")</f>
        <v/>
      </c>
      <c r="AH76" s="2" t="str">
        <f t="shared" ref="AH76:AH90" si="41">IF(B76&lt;&gt;"",IFERROR(ROUNDUP(SUMPRODUCT(E76:P76,$E$110:$P$110)/SUM($E$110:$P$110),2),0),"")</f>
        <v/>
      </c>
      <c r="AI76" s="2" t="str">
        <f t="shared" ref="AI76:AI90" si="42">IF(B76&lt;&gt;"",IFERROR(ROUNDUP(SUMPRODUCT(E76:P76,$E$111:$P$111)/SUM($E$111:$P$111),2),0),"")</f>
        <v/>
      </c>
      <c r="AJ76" s="2" t="str">
        <f t="shared" ref="AJ76:AJ90" si="43">IF(B76&lt;&gt;"",IFERROR(ROUNDUP(SUMPRODUCT(E76:P76,$E$112:$P$112)/SUM($E$112:$P$112),2),0),"")</f>
        <v/>
      </c>
      <c r="AK76" s="2" t="str">
        <f t="shared" ref="AK76:AK90" si="44">IF(B76&lt;&gt;"",IFERROR(ROUNDUP(SUMPRODUCT(E76:P76,$E$113:$P$113)/SUM($E$113:$P$113),2),0),"")</f>
        <v/>
      </c>
      <c r="AL76" s="2" t="str">
        <f t="shared" ref="AL76:AL90" si="45">IF(B76&lt;&gt;"",IFERROR(ROUNDUP(SUMPRODUCT(E76:P76,$E$114:$P$114)/SUM($E$114:$P$114),2),0),"")</f>
        <v/>
      </c>
      <c r="AM76" s="2" t="str">
        <f t="shared" ref="AM76:AM90" si="46">IF(B76&lt;&gt;"",IFERROR(ROUNDUP(SUMPRODUCT(E76:P76,$E$115:$P$115)/SUM($E$115:$P$115),2),0),"")</f>
        <v/>
      </c>
      <c r="AN76" s="2" t="str">
        <f t="shared" ref="AN76:AN90" si="47">IF(B76&lt;&gt;"",IFERROR(ROUNDUP(SUMPRODUCT(E76:P76,$E$116:$P$116)/SUM($E$116:$P$116),2),0),"")</f>
        <v/>
      </c>
      <c r="AP76" s="2" t="str" cm="1">
        <f t="array" ref="AP76">IF('NILAI CPL'!$B76&lt;&gt;"",IFERROR(_xlfn.IFS(S76&gt;='NILAI CPL'!$B$3,4,S76&gt;='NILAI CPL'!$B$4,3,S76&gt;='NILAI CPL'!$B$5,2,S76&gt;'NILAI CPL'!$B$6,1),0),"")</f>
        <v/>
      </c>
      <c r="AQ76" s="2" t="str" cm="1">
        <f t="array" ref="AQ76">IF('NILAI CPL'!$B76&lt;&gt;"",IFERROR(_xlfn.IFS(T76&gt;='NILAI CPL'!$B$3,4,T76&gt;='NILAI CPL'!$B$4,3,T76&gt;='NILAI CPL'!$B$5,2,T76&gt;'NILAI CPL'!$B$6,1),0),"")</f>
        <v/>
      </c>
      <c r="AR76" s="2" t="str" cm="1">
        <f t="array" ref="AR76">IF('NILAI CPL'!$B76&lt;&gt;"",IFERROR(_xlfn.IFS(U76&gt;='NILAI CPL'!$B$3,4,U76&gt;='NILAI CPL'!$B$4,3,U76&gt;='NILAI CPL'!$B$5,2,U76&gt;'NILAI CPL'!$B$6,1),0),"")</f>
        <v/>
      </c>
      <c r="AS76" s="2" t="str" cm="1">
        <f t="array" ref="AS76">IF('NILAI CPL'!$B76&lt;&gt;"",IFERROR(_xlfn.IFS(V76&gt;='NILAI CPL'!$B$3,4,V76&gt;='NILAI CPL'!$B$4,3,V76&gt;='NILAI CPL'!$B$5,2,V76&gt;'NILAI CPL'!$B$6,1),0),"")</f>
        <v/>
      </c>
      <c r="AT76" s="2" t="str" cm="1">
        <f t="array" ref="AT76">IF('NILAI CPL'!$B76&lt;&gt;"",IFERROR(_xlfn.IFS(W76&gt;='NILAI CPL'!$B$3,4,W76&gt;='NILAI CPL'!$B$4,3,W76&gt;='NILAI CPL'!$B$5,2,W76&gt;'NILAI CPL'!$B$6,1),0),"")</f>
        <v/>
      </c>
      <c r="AU76" s="2" t="str" cm="1">
        <f t="array" ref="AU76">IF('NILAI CPL'!$B76&lt;&gt;"",IFERROR(_xlfn.IFS(X76&gt;='NILAI CPL'!$B$3,4,X76&gt;='NILAI CPL'!$B$4,3,X76&gt;='NILAI CPL'!$B$5,2,X76&gt;'NILAI CPL'!$B$6,1),0),"")</f>
        <v/>
      </c>
      <c r="AV76" s="2" t="str" cm="1">
        <f t="array" ref="AV76">IF('NILAI CPL'!$B76&lt;&gt;"",IFERROR(_xlfn.IFS(Y76&gt;='NILAI CPL'!$B$3,4,Y76&gt;='NILAI CPL'!$B$4,3,Y76&gt;='NILAI CPL'!$B$5,2,Y76&gt;'NILAI CPL'!$B$6,1),0),"")</f>
        <v/>
      </c>
      <c r="AW76" s="2" t="str" cm="1">
        <f t="array" ref="AW76">IF('NILAI CPL'!$B76&lt;&gt;"",IFERROR(_xlfn.IFS(Z76&gt;='NILAI CPL'!$B$3,4,Z76&gt;='NILAI CPL'!$B$4,3,Z76&gt;='NILAI CPL'!$B$5,2,Z76&gt;'NILAI CPL'!$B$6,1),0),"")</f>
        <v/>
      </c>
      <c r="AX76" s="2" t="str" cm="1">
        <f t="array" ref="AX76">IF('NILAI CPL'!$B76&lt;&gt;"",IFERROR(_xlfn.IFS(AA76&gt;='NILAI CPL'!$B$3,4,AA76&gt;='NILAI CPL'!$B$4,3,AA76&gt;='NILAI CPL'!$B$5,2,AA76&gt;'NILAI CPL'!$B$6,1),0),"")</f>
        <v/>
      </c>
      <c r="AY76" s="2" t="str" cm="1">
        <f t="array" ref="AY76">IF('NILAI CPL'!$B76&lt;&gt;"",IFERROR(_xlfn.IFS(AB76&gt;='NILAI CPL'!$B$3,4,AB76&gt;='NILAI CPL'!$B$4,3,AB76&gt;='NILAI CPL'!$B$5,2,AB76&gt;'NILAI CPL'!$B$6,1),0),"")</f>
        <v/>
      </c>
      <c r="AZ76" s="2" t="str" cm="1">
        <f t="array" ref="AZ76">IF('NILAI CPL'!$B76&lt;&gt;"",IFERROR(_xlfn.IFS(AC76&gt;='NILAI CPL'!$B$3,4,AC76&gt;='NILAI CPL'!$B$4,3,AC76&gt;='NILAI CPL'!$B$5,2,AC76&gt;'NILAI CPL'!$B$6,1),0),"")</f>
        <v/>
      </c>
      <c r="BA76" s="2" t="str" cm="1">
        <f t="array" ref="BA76">IF('NILAI CPL'!$B76&lt;&gt;"",IFERROR(_xlfn.IFS(AD76&gt;='NILAI CPL'!$B$3,4,AD76&gt;='NILAI CPL'!$B$4,3,AD76&gt;='NILAI CPL'!$B$5,2,AD76&gt;'NILAI CPL'!$B$6,1),0),"")</f>
        <v/>
      </c>
      <c r="BB76" s="2" t="str" cm="1">
        <f t="array" ref="BB76">IF('NILAI CPL'!$B76&lt;&gt;"",IFERROR(_xlfn.IFS(AE76&gt;='NILAI CPL'!$B$3,4,AE76&gt;='NILAI CPL'!$B$4,3,AE76&gt;='NILAI CPL'!$B$5,2,AE76&gt;'NILAI CPL'!$B$6,1),0),"")</f>
        <v/>
      </c>
      <c r="BC76" s="2" t="str" cm="1">
        <f t="array" ref="BC76">IF('NILAI CPL'!$B76&lt;&gt;"",IFERROR(_xlfn.IFS(AF76&gt;='NILAI CPL'!$B$3,4,AF76&gt;='NILAI CPL'!$B$4,3,AF76&gt;='NILAI CPL'!$B$5,2,AF76&gt;'NILAI CPL'!$B$6,1),0),"")</f>
        <v/>
      </c>
      <c r="BD76" s="2" t="str" cm="1">
        <f t="array" ref="BD76">IF('NILAI CPL'!$B76&lt;&gt;"",IFERROR(_xlfn.IFS(AG76&gt;='NILAI CPL'!$B$3,4,AG76&gt;='NILAI CPL'!$B$4,3,AG76&gt;='NILAI CPL'!$B$5,2,AG76&gt;'NILAI CPL'!$B$6,1),0),"")</f>
        <v/>
      </c>
      <c r="BE76" s="2" t="str" cm="1">
        <f t="array" ref="BE76">IF('NILAI CPL'!$B76&lt;&gt;"",IFERROR(_xlfn.IFS(AH76&gt;='NILAI CPL'!$B$3,4,AH76&gt;='NILAI CPL'!$B$4,3,AH76&gt;='NILAI CPL'!$B$5,2,AH76&gt;'NILAI CPL'!$B$6,1),0),"")</f>
        <v/>
      </c>
      <c r="BF76" s="2" t="str" cm="1">
        <f t="array" ref="BF76">IF('NILAI CPL'!$B76&lt;&gt;"",IFERROR(_xlfn.IFS(AI76&gt;='NILAI CPL'!$B$3,4,AI76&gt;='NILAI CPL'!$B$4,3,AI76&gt;='NILAI CPL'!$B$5,2,AI76&gt;'NILAI CPL'!$B$6,1),0),"")</f>
        <v/>
      </c>
      <c r="BG76" s="2" t="str" cm="1">
        <f t="array" ref="BG76">IF('NILAI CPL'!$B76&lt;&gt;"",IFERROR(_xlfn.IFS(AJ76&gt;='NILAI CPL'!$B$3,4,AJ76&gt;='NILAI CPL'!$B$4,3,AJ76&gt;='NILAI CPL'!$B$5,2,AJ76&gt;'NILAI CPL'!$B$6,1),0),"")</f>
        <v/>
      </c>
      <c r="BH76" s="2" t="str" cm="1">
        <f t="array" ref="BH76">IF('NILAI CPL'!$B76&lt;&gt;"",IFERROR(_xlfn.IFS(AK76&gt;='NILAI CPL'!$B$3,4,AK76&gt;='NILAI CPL'!$B$4,3,AK76&gt;='NILAI CPL'!$B$5,2,AK76&gt;'NILAI CPL'!$B$6,1),0),"")</f>
        <v/>
      </c>
      <c r="BI76" s="2" t="str" cm="1">
        <f t="array" ref="BI76">IF('NILAI CPL'!$B76&lt;&gt;"",IFERROR(_xlfn.IFS(AL76&gt;='NILAI CPL'!$B$3,4,AL76&gt;='NILAI CPL'!$B$4,3,AL76&gt;='NILAI CPL'!$B$5,2,AL76&gt;'NILAI CPL'!$B$6,1),0),"")</f>
        <v/>
      </c>
      <c r="BJ76" s="2" t="str" cm="1">
        <f t="array" ref="BJ76">IF('NILAI CPL'!$B76&lt;&gt;"",IFERROR(_xlfn.IFS(AM76&gt;='NILAI CPL'!$B$3,4,AM76&gt;='NILAI CPL'!$B$4,3,AM76&gt;='NILAI CPL'!$B$5,2,AM76&gt;'NILAI CPL'!$B$6,1),0),"")</f>
        <v/>
      </c>
      <c r="BK76" s="2" t="str" cm="1">
        <f t="array" ref="BK76">IF('NILAI CPL'!$B76&lt;&gt;"",IFERROR(_xlfn.IFS(AN76&gt;='NILAI CPL'!$B$3,4,AN76&gt;='NILAI CPL'!$B$4,3,AN76&gt;='NILAI CPL'!$B$5,2,AN76&gt;'NILAI CPL'!$B$6,1),0),"")</f>
        <v/>
      </c>
    </row>
    <row r="77" spans="1:63" x14ac:dyDescent="0.2">
      <c r="A77" s="2">
        <v>67</v>
      </c>
      <c r="B77" s="2" t="str">
        <f>IF(LEN(SUMMARY!B77)&gt;0, SUMMARY!B77, "")</f>
        <v/>
      </c>
      <c r="C77" s="2" t="str">
        <f>IF(LEN(SUMMARY!C77)&gt;0, SUMMARY!C77, "")</f>
        <v/>
      </c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" t="str">
        <f t="shared" si="25"/>
        <v/>
      </c>
      <c r="S77" s="2" t="str">
        <f t="shared" si="26"/>
        <v/>
      </c>
      <c r="T77" s="2" t="str">
        <f t="shared" si="27"/>
        <v/>
      </c>
      <c r="U77" s="2" t="str">
        <f t="shared" si="28"/>
        <v/>
      </c>
      <c r="V77" s="2" t="str">
        <f t="shared" si="29"/>
        <v/>
      </c>
      <c r="W77" s="2" t="str">
        <f t="shared" si="30"/>
        <v/>
      </c>
      <c r="X77" s="2" t="str">
        <f t="shared" si="31"/>
        <v/>
      </c>
      <c r="Y77" s="2" t="str">
        <f t="shared" si="32"/>
        <v/>
      </c>
      <c r="Z77" s="2" t="str">
        <f t="shared" si="33"/>
        <v/>
      </c>
      <c r="AA77" s="2" t="str">
        <f t="shared" si="34"/>
        <v/>
      </c>
      <c r="AB77" s="2" t="str">
        <f t="shared" si="35"/>
        <v/>
      </c>
      <c r="AC77" s="2" t="str">
        <f t="shared" si="36"/>
        <v/>
      </c>
      <c r="AD77" s="2" t="str">
        <f t="shared" si="37"/>
        <v/>
      </c>
      <c r="AE77" s="2" t="str">
        <f t="shared" si="38"/>
        <v/>
      </c>
      <c r="AF77" s="2" t="str">
        <f t="shared" si="39"/>
        <v/>
      </c>
      <c r="AG77" s="2" t="str">
        <f t="shared" si="40"/>
        <v/>
      </c>
      <c r="AH77" s="2" t="str">
        <f t="shared" si="41"/>
        <v/>
      </c>
      <c r="AI77" s="2" t="str">
        <f t="shared" si="42"/>
        <v/>
      </c>
      <c r="AJ77" s="2" t="str">
        <f t="shared" si="43"/>
        <v/>
      </c>
      <c r="AK77" s="2" t="str">
        <f t="shared" si="44"/>
        <v/>
      </c>
      <c r="AL77" s="2" t="str">
        <f t="shared" si="45"/>
        <v/>
      </c>
      <c r="AM77" s="2" t="str">
        <f t="shared" si="46"/>
        <v/>
      </c>
      <c r="AN77" s="2" t="str">
        <f t="shared" si="47"/>
        <v/>
      </c>
      <c r="AP77" s="2" t="str" cm="1">
        <f t="array" ref="AP77">IF('NILAI CPL'!$B77&lt;&gt;"",IFERROR(_xlfn.IFS(S77&gt;='NILAI CPL'!$B$3,4,S77&gt;='NILAI CPL'!$B$4,3,S77&gt;='NILAI CPL'!$B$5,2,S77&gt;'NILAI CPL'!$B$6,1),0),"")</f>
        <v/>
      </c>
      <c r="AQ77" s="2" t="str" cm="1">
        <f t="array" ref="AQ77">IF('NILAI CPL'!$B77&lt;&gt;"",IFERROR(_xlfn.IFS(T77&gt;='NILAI CPL'!$B$3,4,T77&gt;='NILAI CPL'!$B$4,3,T77&gt;='NILAI CPL'!$B$5,2,T77&gt;'NILAI CPL'!$B$6,1),0),"")</f>
        <v/>
      </c>
      <c r="AR77" s="2" t="str" cm="1">
        <f t="array" ref="AR77">IF('NILAI CPL'!$B77&lt;&gt;"",IFERROR(_xlfn.IFS(U77&gt;='NILAI CPL'!$B$3,4,U77&gt;='NILAI CPL'!$B$4,3,U77&gt;='NILAI CPL'!$B$5,2,U77&gt;'NILAI CPL'!$B$6,1),0),"")</f>
        <v/>
      </c>
      <c r="AS77" s="2" t="str" cm="1">
        <f t="array" ref="AS77">IF('NILAI CPL'!$B77&lt;&gt;"",IFERROR(_xlfn.IFS(V77&gt;='NILAI CPL'!$B$3,4,V77&gt;='NILAI CPL'!$B$4,3,V77&gt;='NILAI CPL'!$B$5,2,V77&gt;'NILAI CPL'!$B$6,1),0),"")</f>
        <v/>
      </c>
      <c r="AT77" s="2" t="str" cm="1">
        <f t="array" ref="AT77">IF('NILAI CPL'!$B77&lt;&gt;"",IFERROR(_xlfn.IFS(W77&gt;='NILAI CPL'!$B$3,4,W77&gt;='NILAI CPL'!$B$4,3,W77&gt;='NILAI CPL'!$B$5,2,W77&gt;'NILAI CPL'!$B$6,1),0),"")</f>
        <v/>
      </c>
      <c r="AU77" s="2" t="str" cm="1">
        <f t="array" ref="AU77">IF('NILAI CPL'!$B77&lt;&gt;"",IFERROR(_xlfn.IFS(X77&gt;='NILAI CPL'!$B$3,4,X77&gt;='NILAI CPL'!$B$4,3,X77&gt;='NILAI CPL'!$B$5,2,X77&gt;'NILAI CPL'!$B$6,1),0),"")</f>
        <v/>
      </c>
      <c r="AV77" s="2" t="str" cm="1">
        <f t="array" ref="AV77">IF('NILAI CPL'!$B77&lt;&gt;"",IFERROR(_xlfn.IFS(Y77&gt;='NILAI CPL'!$B$3,4,Y77&gt;='NILAI CPL'!$B$4,3,Y77&gt;='NILAI CPL'!$B$5,2,Y77&gt;'NILAI CPL'!$B$6,1),0),"")</f>
        <v/>
      </c>
      <c r="AW77" s="2" t="str" cm="1">
        <f t="array" ref="AW77">IF('NILAI CPL'!$B77&lt;&gt;"",IFERROR(_xlfn.IFS(Z77&gt;='NILAI CPL'!$B$3,4,Z77&gt;='NILAI CPL'!$B$4,3,Z77&gt;='NILAI CPL'!$B$5,2,Z77&gt;'NILAI CPL'!$B$6,1),0),"")</f>
        <v/>
      </c>
      <c r="AX77" s="2" t="str" cm="1">
        <f t="array" ref="AX77">IF('NILAI CPL'!$B77&lt;&gt;"",IFERROR(_xlfn.IFS(AA77&gt;='NILAI CPL'!$B$3,4,AA77&gt;='NILAI CPL'!$B$4,3,AA77&gt;='NILAI CPL'!$B$5,2,AA77&gt;'NILAI CPL'!$B$6,1),0),"")</f>
        <v/>
      </c>
      <c r="AY77" s="2" t="str" cm="1">
        <f t="array" ref="AY77">IF('NILAI CPL'!$B77&lt;&gt;"",IFERROR(_xlfn.IFS(AB77&gt;='NILAI CPL'!$B$3,4,AB77&gt;='NILAI CPL'!$B$4,3,AB77&gt;='NILAI CPL'!$B$5,2,AB77&gt;'NILAI CPL'!$B$6,1),0),"")</f>
        <v/>
      </c>
      <c r="AZ77" s="2" t="str" cm="1">
        <f t="array" ref="AZ77">IF('NILAI CPL'!$B77&lt;&gt;"",IFERROR(_xlfn.IFS(AC77&gt;='NILAI CPL'!$B$3,4,AC77&gt;='NILAI CPL'!$B$4,3,AC77&gt;='NILAI CPL'!$B$5,2,AC77&gt;'NILAI CPL'!$B$6,1),0),"")</f>
        <v/>
      </c>
      <c r="BA77" s="2" t="str" cm="1">
        <f t="array" ref="BA77">IF('NILAI CPL'!$B77&lt;&gt;"",IFERROR(_xlfn.IFS(AD77&gt;='NILAI CPL'!$B$3,4,AD77&gt;='NILAI CPL'!$B$4,3,AD77&gt;='NILAI CPL'!$B$5,2,AD77&gt;'NILAI CPL'!$B$6,1),0),"")</f>
        <v/>
      </c>
      <c r="BB77" s="2" t="str" cm="1">
        <f t="array" ref="BB77">IF('NILAI CPL'!$B77&lt;&gt;"",IFERROR(_xlfn.IFS(AE77&gt;='NILAI CPL'!$B$3,4,AE77&gt;='NILAI CPL'!$B$4,3,AE77&gt;='NILAI CPL'!$B$5,2,AE77&gt;'NILAI CPL'!$B$6,1),0),"")</f>
        <v/>
      </c>
      <c r="BC77" s="2" t="str" cm="1">
        <f t="array" ref="BC77">IF('NILAI CPL'!$B77&lt;&gt;"",IFERROR(_xlfn.IFS(AF77&gt;='NILAI CPL'!$B$3,4,AF77&gt;='NILAI CPL'!$B$4,3,AF77&gt;='NILAI CPL'!$B$5,2,AF77&gt;'NILAI CPL'!$B$6,1),0),"")</f>
        <v/>
      </c>
      <c r="BD77" s="2" t="str" cm="1">
        <f t="array" ref="BD77">IF('NILAI CPL'!$B77&lt;&gt;"",IFERROR(_xlfn.IFS(AG77&gt;='NILAI CPL'!$B$3,4,AG77&gt;='NILAI CPL'!$B$4,3,AG77&gt;='NILAI CPL'!$B$5,2,AG77&gt;'NILAI CPL'!$B$6,1),0),"")</f>
        <v/>
      </c>
      <c r="BE77" s="2" t="str" cm="1">
        <f t="array" ref="BE77">IF('NILAI CPL'!$B77&lt;&gt;"",IFERROR(_xlfn.IFS(AH77&gt;='NILAI CPL'!$B$3,4,AH77&gt;='NILAI CPL'!$B$4,3,AH77&gt;='NILAI CPL'!$B$5,2,AH77&gt;'NILAI CPL'!$B$6,1),0),"")</f>
        <v/>
      </c>
      <c r="BF77" s="2" t="str" cm="1">
        <f t="array" ref="BF77">IF('NILAI CPL'!$B77&lt;&gt;"",IFERROR(_xlfn.IFS(AI77&gt;='NILAI CPL'!$B$3,4,AI77&gt;='NILAI CPL'!$B$4,3,AI77&gt;='NILAI CPL'!$B$5,2,AI77&gt;'NILAI CPL'!$B$6,1),0),"")</f>
        <v/>
      </c>
      <c r="BG77" s="2" t="str" cm="1">
        <f t="array" ref="BG77">IF('NILAI CPL'!$B77&lt;&gt;"",IFERROR(_xlfn.IFS(AJ77&gt;='NILAI CPL'!$B$3,4,AJ77&gt;='NILAI CPL'!$B$4,3,AJ77&gt;='NILAI CPL'!$B$5,2,AJ77&gt;'NILAI CPL'!$B$6,1),0),"")</f>
        <v/>
      </c>
      <c r="BH77" s="2" t="str" cm="1">
        <f t="array" ref="BH77">IF('NILAI CPL'!$B77&lt;&gt;"",IFERROR(_xlfn.IFS(AK77&gt;='NILAI CPL'!$B$3,4,AK77&gt;='NILAI CPL'!$B$4,3,AK77&gt;='NILAI CPL'!$B$5,2,AK77&gt;'NILAI CPL'!$B$6,1),0),"")</f>
        <v/>
      </c>
      <c r="BI77" s="2" t="str" cm="1">
        <f t="array" ref="BI77">IF('NILAI CPL'!$B77&lt;&gt;"",IFERROR(_xlfn.IFS(AL77&gt;='NILAI CPL'!$B$3,4,AL77&gt;='NILAI CPL'!$B$4,3,AL77&gt;='NILAI CPL'!$B$5,2,AL77&gt;'NILAI CPL'!$B$6,1),0),"")</f>
        <v/>
      </c>
      <c r="BJ77" s="2" t="str" cm="1">
        <f t="array" ref="BJ77">IF('NILAI CPL'!$B77&lt;&gt;"",IFERROR(_xlfn.IFS(AM77&gt;='NILAI CPL'!$B$3,4,AM77&gt;='NILAI CPL'!$B$4,3,AM77&gt;='NILAI CPL'!$B$5,2,AM77&gt;'NILAI CPL'!$B$6,1),0),"")</f>
        <v/>
      </c>
      <c r="BK77" s="2" t="str" cm="1">
        <f t="array" ref="BK77">IF('NILAI CPL'!$B77&lt;&gt;"",IFERROR(_xlfn.IFS(AN77&gt;='NILAI CPL'!$B$3,4,AN77&gt;='NILAI CPL'!$B$4,3,AN77&gt;='NILAI CPL'!$B$5,2,AN77&gt;'NILAI CPL'!$B$6,1),0),"")</f>
        <v/>
      </c>
    </row>
    <row r="78" spans="1:63" x14ac:dyDescent="0.2">
      <c r="A78" s="2">
        <v>68</v>
      </c>
      <c r="B78" s="2" t="str">
        <f>IF(LEN(SUMMARY!B78)&gt;0, SUMMARY!B78, "")</f>
        <v/>
      </c>
      <c r="C78" s="2" t="str">
        <f>IF(LEN(SUMMARY!C78)&gt;0, SUMMARY!C78, "")</f>
        <v/>
      </c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" t="str">
        <f t="shared" si="25"/>
        <v/>
      </c>
      <c r="S78" s="2" t="str">
        <f t="shared" si="26"/>
        <v/>
      </c>
      <c r="T78" s="2" t="str">
        <f t="shared" si="27"/>
        <v/>
      </c>
      <c r="U78" s="2" t="str">
        <f t="shared" si="28"/>
        <v/>
      </c>
      <c r="V78" s="2" t="str">
        <f t="shared" si="29"/>
        <v/>
      </c>
      <c r="W78" s="2" t="str">
        <f t="shared" si="30"/>
        <v/>
      </c>
      <c r="X78" s="2" t="str">
        <f t="shared" si="31"/>
        <v/>
      </c>
      <c r="Y78" s="2" t="str">
        <f t="shared" si="32"/>
        <v/>
      </c>
      <c r="Z78" s="2" t="str">
        <f t="shared" si="33"/>
        <v/>
      </c>
      <c r="AA78" s="2" t="str">
        <f t="shared" si="34"/>
        <v/>
      </c>
      <c r="AB78" s="2" t="str">
        <f t="shared" si="35"/>
        <v/>
      </c>
      <c r="AC78" s="2" t="str">
        <f t="shared" si="36"/>
        <v/>
      </c>
      <c r="AD78" s="2" t="str">
        <f t="shared" si="37"/>
        <v/>
      </c>
      <c r="AE78" s="2" t="str">
        <f t="shared" si="38"/>
        <v/>
      </c>
      <c r="AF78" s="2" t="str">
        <f t="shared" si="39"/>
        <v/>
      </c>
      <c r="AG78" s="2" t="str">
        <f t="shared" si="40"/>
        <v/>
      </c>
      <c r="AH78" s="2" t="str">
        <f t="shared" si="41"/>
        <v/>
      </c>
      <c r="AI78" s="2" t="str">
        <f t="shared" si="42"/>
        <v/>
      </c>
      <c r="AJ78" s="2" t="str">
        <f t="shared" si="43"/>
        <v/>
      </c>
      <c r="AK78" s="2" t="str">
        <f t="shared" si="44"/>
        <v/>
      </c>
      <c r="AL78" s="2" t="str">
        <f t="shared" si="45"/>
        <v/>
      </c>
      <c r="AM78" s="2" t="str">
        <f t="shared" si="46"/>
        <v/>
      </c>
      <c r="AN78" s="2" t="str">
        <f t="shared" si="47"/>
        <v/>
      </c>
      <c r="AP78" s="2" t="str" cm="1">
        <f t="array" ref="AP78">IF('NILAI CPL'!$B78&lt;&gt;"",IFERROR(_xlfn.IFS(S78&gt;='NILAI CPL'!$B$3,4,S78&gt;='NILAI CPL'!$B$4,3,S78&gt;='NILAI CPL'!$B$5,2,S78&gt;'NILAI CPL'!$B$6,1),0),"")</f>
        <v/>
      </c>
      <c r="AQ78" s="2" t="str" cm="1">
        <f t="array" ref="AQ78">IF('NILAI CPL'!$B78&lt;&gt;"",IFERROR(_xlfn.IFS(T78&gt;='NILAI CPL'!$B$3,4,T78&gt;='NILAI CPL'!$B$4,3,T78&gt;='NILAI CPL'!$B$5,2,T78&gt;'NILAI CPL'!$B$6,1),0),"")</f>
        <v/>
      </c>
      <c r="AR78" s="2" t="str" cm="1">
        <f t="array" ref="AR78">IF('NILAI CPL'!$B78&lt;&gt;"",IFERROR(_xlfn.IFS(U78&gt;='NILAI CPL'!$B$3,4,U78&gt;='NILAI CPL'!$B$4,3,U78&gt;='NILAI CPL'!$B$5,2,U78&gt;'NILAI CPL'!$B$6,1),0),"")</f>
        <v/>
      </c>
      <c r="AS78" s="2" t="str" cm="1">
        <f t="array" ref="AS78">IF('NILAI CPL'!$B78&lt;&gt;"",IFERROR(_xlfn.IFS(V78&gt;='NILAI CPL'!$B$3,4,V78&gt;='NILAI CPL'!$B$4,3,V78&gt;='NILAI CPL'!$B$5,2,V78&gt;'NILAI CPL'!$B$6,1),0),"")</f>
        <v/>
      </c>
      <c r="AT78" s="2" t="str" cm="1">
        <f t="array" ref="AT78">IF('NILAI CPL'!$B78&lt;&gt;"",IFERROR(_xlfn.IFS(W78&gt;='NILAI CPL'!$B$3,4,W78&gt;='NILAI CPL'!$B$4,3,W78&gt;='NILAI CPL'!$B$5,2,W78&gt;'NILAI CPL'!$B$6,1),0),"")</f>
        <v/>
      </c>
      <c r="AU78" s="2" t="str" cm="1">
        <f t="array" ref="AU78">IF('NILAI CPL'!$B78&lt;&gt;"",IFERROR(_xlfn.IFS(X78&gt;='NILAI CPL'!$B$3,4,X78&gt;='NILAI CPL'!$B$4,3,X78&gt;='NILAI CPL'!$B$5,2,X78&gt;'NILAI CPL'!$B$6,1),0),"")</f>
        <v/>
      </c>
      <c r="AV78" s="2" t="str" cm="1">
        <f t="array" ref="AV78">IF('NILAI CPL'!$B78&lt;&gt;"",IFERROR(_xlfn.IFS(Y78&gt;='NILAI CPL'!$B$3,4,Y78&gt;='NILAI CPL'!$B$4,3,Y78&gt;='NILAI CPL'!$B$5,2,Y78&gt;'NILAI CPL'!$B$6,1),0),"")</f>
        <v/>
      </c>
      <c r="AW78" s="2" t="str" cm="1">
        <f t="array" ref="AW78">IF('NILAI CPL'!$B78&lt;&gt;"",IFERROR(_xlfn.IFS(Z78&gt;='NILAI CPL'!$B$3,4,Z78&gt;='NILAI CPL'!$B$4,3,Z78&gt;='NILAI CPL'!$B$5,2,Z78&gt;'NILAI CPL'!$B$6,1),0),"")</f>
        <v/>
      </c>
      <c r="AX78" s="2" t="str" cm="1">
        <f t="array" ref="AX78">IF('NILAI CPL'!$B78&lt;&gt;"",IFERROR(_xlfn.IFS(AA78&gt;='NILAI CPL'!$B$3,4,AA78&gt;='NILAI CPL'!$B$4,3,AA78&gt;='NILAI CPL'!$B$5,2,AA78&gt;'NILAI CPL'!$B$6,1),0),"")</f>
        <v/>
      </c>
      <c r="AY78" s="2" t="str" cm="1">
        <f t="array" ref="AY78">IF('NILAI CPL'!$B78&lt;&gt;"",IFERROR(_xlfn.IFS(AB78&gt;='NILAI CPL'!$B$3,4,AB78&gt;='NILAI CPL'!$B$4,3,AB78&gt;='NILAI CPL'!$B$5,2,AB78&gt;'NILAI CPL'!$B$6,1),0),"")</f>
        <v/>
      </c>
      <c r="AZ78" s="2" t="str" cm="1">
        <f t="array" ref="AZ78">IF('NILAI CPL'!$B78&lt;&gt;"",IFERROR(_xlfn.IFS(AC78&gt;='NILAI CPL'!$B$3,4,AC78&gt;='NILAI CPL'!$B$4,3,AC78&gt;='NILAI CPL'!$B$5,2,AC78&gt;'NILAI CPL'!$B$6,1),0),"")</f>
        <v/>
      </c>
      <c r="BA78" s="2" t="str" cm="1">
        <f t="array" ref="BA78">IF('NILAI CPL'!$B78&lt;&gt;"",IFERROR(_xlfn.IFS(AD78&gt;='NILAI CPL'!$B$3,4,AD78&gt;='NILAI CPL'!$B$4,3,AD78&gt;='NILAI CPL'!$B$5,2,AD78&gt;'NILAI CPL'!$B$6,1),0),"")</f>
        <v/>
      </c>
      <c r="BB78" s="2" t="str" cm="1">
        <f t="array" ref="BB78">IF('NILAI CPL'!$B78&lt;&gt;"",IFERROR(_xlfn.IFS(AE78&gt;='NILAI CPL'!$B$3,4,AE78&gt;='NILAI CPL'!$B$4,3,AE78&gt;='NILAI CPL'!$B$5,2,AE78&gt;'NILAI CPL'!$B$6,1),0),"")</f>
        <v/>
      </c>
      <c r="BC78" s="2" t="str" cm="1">
        <f t="array" ref="BC78">IF('NILAI CPL'!$B78&lt;&gt;"",IFERROR(_xlfn.IFS(AF78&gt;='NILAI CPL'!$B$3,4,AF78&gt;='NILAI CPL'!$B$4,3,AF78&gt;='NILAI CPL'!$B$5,2,AF78&gt;'NILAI CPL'!$B$6,1),0),"")</f>
        <v/>
      </c>
      <c r="BD78" s="2" t="str" cm="1">
        <f t="array" ref="BD78">IF('NILAI CPL'!$B78&lt;&gt;"",IFERROR(_xlfn.IFS(AG78&gt;='NILAI CPL'!$B$3,4,AG78&gt;='NILAI CPL'!$B$4,3,AG78&gt;='NILAI CPL'!$B$5,2,AG78&gt;'NILAI CPL'!$B$6,1),0),"")</f>
        <v/>
      </c>
      <c r="BE78" s="2" t="str" cm="1">
        <f t="array" ref="BE78">IF('NILAI CPL'!$B78&lt;&gt;"",IFERROR(_xlfn.IFS(AH78&gt;='NILAI CPL'!$B$3,4,AH78&gt;='NILAI CPL'!$B$4,3,AH78&gt;='NILAI CPL'!$B$5,2,AH78&gt;'NILAI CPL'!$B$6,1),0),"")</f>
        <v/>
      </c>
      <c r="BF78" s="2" t="str" cm="1">
        <f t="array" ref="BF78">IF('NILAI CPL'!$B78&lt;&gt;"",IFERROR(_xlfn.IFS(AI78&gt;='NILAI CPL'!$B$3,4,AI78&gt;='NILAI CPL'!$B$4,3,AI78&gt;='NILAI CPL'!$B$5,2,AI78&gt;'NILAI CPL'!$B$6,1),0),"")</f>
        <v/>
      </c>
      <c r="BG78" s="2" t="str" cm="1">
        <f t="array" ref="BG78">IF('NILAI CPL'!$B78&lt;&gt;"",IFERROR(_xlfn.IFS(AJ78&gt;='NILAI CPL'!$B$3,4,AJ78&gt;='NILAI CPL'!$B$4,3,AJ78&gt;='NILAI CPL'!$B$5,2,AJ78&gt;'NILAI CPL'!$B$6,1),0),"")</f>
        <v/>
      </c>
      <c r="BH78" s="2" t="str" cm="1">
        <f t="array" ref="BH78">IF('NILAI CPL'!$B78&lt;&gt;"",IFERROR(_xlfn.IFS(AK78&gt;='NILAI CPL'!$B$3,4,AK78&gt;='NILAI CPL'!$B$4,3,AK78&gt;='NILAI CPL'!$B$5,2,AK78&gt;'NILAI CPL'!$B$6,1),0),"")</f>
        <v/>
      </c>
      <c r="BI78" s="2" t="str" cm="1">
        <f t="array" ref="BI78">IF('NILAI CPL'!$B78&lt;&gt;"",IFERROR(_xlfn.IFS(AL78&gt;='NILAI CPL'!$B$3,4,AL78&gt;='NILAI CPL'!$B$4,3,AL78&gt;='NILAI CPL'!$B$5,2,AL78&gt;'NILAI CPL'!$B$6,1),0),"")</f>
        <v/>
      </c>
      <c r="BJ78" s="2" t="str" cm="1">
        <f t="array" ref="BJ78">IF('NILAI CPL'!$B78&lt;&gt;"",IFERROR(_xlfn.IFS(AM78&gt;='NILAI CPL'!$B$3,4,AM78&gt;='NILAI CPL'!$B$4,3,AM78&gt;='NILAI CPL'!$B$5,2,AM78&gt;'NILAI CPL'!$B$6,1),0),"")</f>
        <v/>
      </c>
      <c r="BK78" s="2" t="str" cm="1">
        <f t="array" ref="BK78">IF('NILAI CPL'!$B78&lt;&gt;"",IFERROR(_xlfn.IFS(AN78&gt;='NILAI CPL'!$B$3,4,AN78&gt;='NILAI CPL'!$B$4,3,AN78&gt;='NILAI CPL'!$B$5,2,AN78&gt;'NILAI CPL'!$B$6,1),0),"")</f>
        <v/>
      </c>
    </row>
    <row r="79" spans="1:63" x14ac:dyDescent="0.2">
      <c r="A79" s="2">
        <v>69</v>
      </c>
      <c r="B79" s="2" t="str">
        <f>IF(LEN(SUMMARY!B79)&gt;0, SUMMARY!B79, "")</f>
        <v/>
      </c>
      <c r="C79" s="2" t="str">
        <f>IF(LEN(SUMMARY!C79)&gt;0, SUMMARY!C79, "")</f>
        <v/>
      </c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" t="str">
        <f t="shared" si="25"/>
        <v/>
      </c>
      <c r="S79" s="2" t="str">
        <f t="shared" si="26"/>
        <v/>
      </c>
      <c r="T79" s="2" t="str">
        <f t="shared" si="27"/>
        <v/>
      </c>
      <c r="U79" s="2" t="str">
        <f t="shared" si="28"/>
        <v/>
      </c>
      <c r="V79" s="2" t="str">
        <f t="shared" si="29"/>
        <v/>
      </c>
      <c r="W79" s="2" t="str">
        <f t="shared" si="30"/>
        <v/>
      </c>
      <c r="X79" s="2" t="str">
        <f t="shared" si="31"/>
        <v/>
      </c>
      <c r="Y79" s="2" t="str">
        <f t="shared" si="32"/>
        <v/>
      </c>
      <c r="Z79" s="2" t="str">
        <f t="shared" si="33"/>
        <v/>
      </c>
      <c r="AA79" s="2" t="str">
        <f t="shared" si="34"/>
        <v/>
      </c>
      <c r="AB79" s="2" t="str">
        <f t="shared" si="35"/>
        <v/>
      </c>
      <c r="AC79" s="2" t="str">
        <f t="shared" si="36"/>
        <v/>
      </c>
      <c r="AD79" s="2" t="str">
        <f t="shared" si="37"/>
        <v/>
      </c>
      <c r="AE79" s="2" t="str">
        <f t="shared" si="38"/>
        <v/>
      </c>
      <c r="AF79" s="2" t="str">
        <f t="shared" si="39"/>
        <v/>
      </c>
      <c r="AG79" s="2" t="str">
        <f t="shared" si="40"/>
        <v/>
      </c>
      <c r="AH79" s="2" t="str">
        <f t="shared" si="41"/>
        <v/>
      </c>
      <c r="AI79" s="2" t="str">
        <f t="shared" si="42"/>
        <v/>
      </c>
      <c r="AJ79" s="2" t="str">
        <f t="shared" si="43"/>
        <v/>
      </c>
      <c r="AK79" s="2" t="str">
        <f t="shared" si="44"/>
        <v/>
      </c>
      <c r="AL79" s="2" t="str">
        <f t="shared" si="45"/>
        <v/>
      </c>
      <c r="AM79" s="2" t="str">
        <f t="shared" si="46"/>
        <v/>
      </c>
      <c r="AN79" s="2" t="str">
        <f t="shared" si="47"/>
        <v/>
      </c>
      <c r="AP79" s="2" t="str" cm="1">
        <f t="array" ref="AP79">IF('NILAI CPL'!$B79&lt;&gt;"",IFERROR(_xlfn.IFS(S79&gt;='NILAI CPL'!$B$3,4,S79&gt;='NILAI CPL'!$B$4,3,S79&gt;='NILAI CPL'!$B$5,2,S79&gt;'NILAI CPL'!$B$6,1),0),"")</f>
        <v/>
      </c>
      <c r="AQ79" s="2" t="str" cm="1">
        <f t="array" ref="AQ79">IF('NILAI CPL'!$B79&lt;&gt;"",IFERROR(_xlfn.IFS(T79&gt;='NILAI CPL'!$B$3,4,T79&gt;='NILAI CPL'!$B$4,3,T79&gt;='NILAI CPL'!$B$5,2,T79&gt;'NILAI CPL'!$B$6,1),0),"")</f>
        <v/>
      </c>
      <c r="AR79" s="2" t="str" cm="1">
        <f t="array" ref="AR79">IF('NILAI CPL'!$B79&lt;&gt;"",IFERROR(_xlfn.IFS(U79&gt;='NILAI CPL'!$B$3,4,U79&gt;='NILAI CPL'!$B$4,3,U79&gt;='NILAI CPL'!$B$5,2,U79&gt;'NILAI CPL'!$B$6,1),0),"")</f>
        <v/>
      </c>
      <c r="AS79" s="2" t="str" cm="1">
        <f t="array" ref="AS79">IF('NILAI CPL'!$B79&lt;&gt;"",IFERROR(_xlfn.IFS(V79&gt;='NILAI CPL'!$B$3,4,V79&gt;='NILAI CPL'!$B$4,3,V79&gt;='NILAI CPL'!$B$5,2,V79&gt;'NILAI CPL'!$B$6,1),0),"")</f>
        <v/>
      </c>
      <c r="AT79" s="2" t="str" cm="1">
        <f t="array" ref="AT79">IF('NILAI CPL'!$B79&lt;&gt;"",IFERROR(_xlfn.IFS(W79&gt;='NILAI CPL'!$B$3,4,W79&gt;='NILAI CPL'!$B$4,3,W79&gt;='NILAI CPL'!$B$5,2,W79&gt;'NILAI CPL'!$B$6,1),0),"")</f>
        <v/>
      </c>
      <c r="AU79" s="2" t="str" cm="1">
        <f t="array" ref="AU79">IF('NILAI CPL'!$B79&lt;&gt;"",IFERROR(_xlfn.IFS(X79&gt;='NILAI CPL'!$B$3,4,X79&gt;='NILAI CPL'!$B$4,3,X79&gt;='NILAI CPL'!$B$5,2,X79&gt;'NILAI CPL'!$B$6,1),0),"")</f>
        <v/>
      </c>
      <c r="AV79" s="2" t="str" cm="1">
        <f t="array" ref="AV79">IF('NILAI CPL'!$B79&lt;&gt;"",IFERROR(_xlfn.IFS(Y79&gt;='NILAI CPL'!$B$3,4,Y79&gt;='NILAI CPL'!$B$4,3,Y79&gt;='NILAI CPL'!$B$5,2,Y79&gt;'NILAI CPL'!$B$6,1),0),"")</f>
        <v/>
      </c>
      <c r="AW79" s="2" t="str" cm="1">
        <f t="array" ref="AW79">IF('NILAI CPL'!$B79&lt;&gt;"",IFERROR(_xlfn.IFS(Z79&gt;='NILAI CPL'!$B$3,4,Z79&gt;='NILAI CPL'!$B$4,3,Z79&gt;='NILAI CPL'!$B$5,2,Z79&gt;'NILAI CPL'!$B$6,1),0),"")</f>
        <v/>
      </c>
      <c r="AX79" s="2" t="str" cm="1">
        <f t="array" ref="AX79">IF('NILAI CPL'!$B79&lt;&gt;"",IFERROR(_xlfn.IFS(AA79&gt;='NILAI CPL'!$B$3,4,AA79&gt;='NILAI CPL'!$B$4,3,AA79&gt;='NILAI CPL'!$B$5,2,AA79&gt;'NILAI CPL'!$B$6,1),0),"")</f>
        <v/>
      </c>
      <c r="AY79" s="2" t="str" cm="1">
        <f t="array" ref="AY79">IF('NILAI CPL'!$B79&lt;&gt;"",IFERROR(_xlfn.IFS(AB79&gt;='NILAI CPL'!$B$3,4,AB79&gt;='NILAI CPL'!$B$4,3,AB79&gt;='NILAI CPL'!$B$5,2,AB79&gt;'NILAI CPL'!$B$6,1),0),"")</f>
        <v/>
      </c>
      <c r="AZ79" s="2" t="str" cm="1">
        <f t="array" ref="AZ79">IF('NILAI CPL'!$B79&lt;&gt;"",IFERROR(_xlfn.IFS(AC79&gt;='NILAI CPL'!$B$3,4,AC79&gt;='NILAI CPL'!$B$4,3,AC79&gt;='NILAI CPL'!$B$5,2,AC79&gt;'NILAI CPL'!$B$6,1),0),"")</f>
        <v/>
      </c>
      <c r="BA79" s="2" t="str" cm="1">
        <f t="array" ref="BA79">IF('NILAI CPL'!$B79&lt;&gt;"",IFERROR(_xlfn.IFS(AD79&gt;='NILAI CPL'!$B$3,4,AD79&gt;='NILAI CPL'!$B$4,3,AD79&gt;='NILAI CPL'!$B$5,2,AD79&gt;'NILAI CPL'!$B$6,1),0),"")</f>
        <v/>
      </c>
      <c r="BB79" s="2" t="str" cm="1">
        <f t="array" ref="BB79">IF('NILAI CPL'!$B79&lt;&gt;"",IFERROR(_xlfn.IFS(AE79&gt;='NILAI CPL'!$B$3,4,AE79&gt;='NILAI CPL'!$B$4,3,AE79&gt;='NILAI CPL'!$B$5,2,AE79&gt;'NILAI CPL'!$B$6,1),0),"")</f>
        <v/>
      </c>
      <c r="BC79" s="2" t="str" cm="1">
        <f t="array" ref="BC79">IF('NILAI CPL'!$B79&lt;&gt;"",IFERROR(_xlfn.IFS(AF79&gt;='NILAI CPL'!$B$3,4,AF79&gt;='NILAI CPL'!$B$4,3,AF79&gt;='NILAI CPL'!$B$5,2,AF79&gt;'NILAI CPL'!$B$6,1),0),"")</f>
        <v/>
      </c>
      <c r="BD79" s="2" t="str" cm="1">
        <f t="array" ref="BD79">IF('NILAI CPL'!$B79&lt;&gt;"",IFERROR(_xlfn.IFS(AG79&gt;='NILAI CPL'!$B$3,4,AG79&gt;='NILAI CPL'!$B$4,3,AG79&gt;='NILAI CPL'!$B$5,2,AG79&gt;'NILAI CPL'!$B$6,1),0),"")</f>
        <v/>
      </c>
      <c r="BE79" s="2" t="str" cm="1">
        <f t="array" ref="BE79">IF('NILAI CPL'!$B79&lt;&gt;"",IFERROR(_xlfn.IFS(AH79&gt;='NILAI CPL'!$B$3,4,AH79&gt;='NILAI CPL'!$B$4,3,AH79&gt;='NILAI CPL'!$B$5,2,AH79&gt;'NILAI CPL'!$B$6,1),0),"")</f>
        <v/>
      </c>
      <c r="BF79" s="2" t="str" cm="1">
        <f t="array" ref="BF79">IF('NILAI CPL'!$B79&lt;&gt;"",IFERROR(_xlfn.IFS(AI79&gt;='NILAI CPL'!$B$3,4,AI79&gt;='NILAI CPL'!$B$4,3,AI79&gt;='NILAI CPL'!$B$5,2,AI79&gt;'NILAI CPL'!$B$6,1),0),"")</f>
        <v/>
      </c>
      <c r="BG79" s="2" t="str" cm="1">
        <f t="array" ref="BG79">IF('NILAI CPL'!$B79&lt;&gt;"",IFERROR(_xlfn.IFS(AJ79&gt;='NILAI CPL'!$B$3,4,AJ79&gt;='NILAI CPL'!$B$4,3,AJ79&gt;='NILAI CPL'!$B$5,2,AJ79&gt;'NILAI CPL'!$B$6,1),0),"")</f>
        <v/>
      </c>
      <c r="BH79" s="2" t="str" cm="1">
        <f t="array" ref="BH79">IF('NILAI CPL'!$B79&lt;&gt;"",IFERROR(_xlfn.IFS(AK79&gt;='NILAI CPL'!$B$3,4,AK79&gt;='NILAI CPL'!$B$4,3,AK79&gt;='NILAI CPL'!$B$5,2,AK79&gt;'NILAI CPL'!$B$6,1),0),"")</f>
        <v/>
      </c>
      <c r="BI79" s="2" t="str" cm="1">
        <f t="array" ref="BI79">IF('NILAI CPL'!$B79&lt;&gt;"",IFERROR(_xlfn.IFS(AL79&gt;='NILAI CPL'!$B$3,4,AL79&gt;='NILAI CPL'!$B$4,3,AL79&gt;='NILAI CPL'!$B$5,2,AL79&gt;'NILAI CPL'!$B$6,1),0),"")</f>
        <v/>
      </c>
      <c r="BJ79" s="2" t="str" cm="1">
        <f t="array" ref="BJ79">IF('NILAI CPL'!$B79&lt;&gt;"",IFERROR(_xlfn.IFS(AM79&gt;='NILAI CPL'!$B$3,4,AM79&gt;='NILAI CPL'!$B$4,3,AM79&gt;='NILAI CPL'!$B$5,2,AM79&gt;'NILAI CPL'!$B$6,1),0),"")</f>
        <v/>
      </c>
      <c r="BK79" s="2" t="str" cm="1">
        <f t="array" ref="BK79">IF('NILAI CPL'!$B79&lt;&gt;"",IFERROR(_xlfn.IFS(AN79&gt;='NILAI CPL'!$B$3,4,AN79&gt;='NILAI CPL'!$B$4,3,AN79&gt;='NILAI CPL'!$B$5,2,AN79&gt;'NILAI CPL'!$B$6,1),0),"")</f>
        <v/>
      </c>
    </row>
    <row r="80" spans="1:63" x14ac:dyDescent="0.2">
      <c r="A80" s="2">
        <v>70</v>
      </c>
      <c r="B80" s="2" t="str">
        <f>IF(LEN(SUMMARY!B80)&gt;0, SUMMARY!B80, "")</f>
        <v/>
      </c>
      <c r="C80" s="2" t="str">
        <f>IF(LEN(SUMMARY!C80)&gt;0, SUMMARY!C80, "")</f>
        <v/>
      </c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" t="str">
        <f t="shared" si="25"/>
        <v/>
      </c>
      <c r="S80" s="2" t="str">
        <f t="shared" si="26"/>
        <v/>
      </c>
      <c r="T80" s="2" t="str">
        <f t="shared" si="27"/>
        <v/>
      </c>
      <c r="U80" s="2" t="str">
        <f t="shared" si="28"/>
        <v/>
      </c>
      <c r="V80" s="2" t="str">
        <f t="shared" si="29"/>
        <v/>
      </c>
      <c r="W80" s="2" t="str">
        <f t="shared" si="30"/>
        <v/>
      </c>
      <c r="X80" s="2" t="str">
        <f t="shared" si="31"/>
        <v/>
      </c>
      <c r="Y80" s="2" t="str">
        <f t="shared" si="32"/>
        <v/>
      </c>
      <c r="Z80" s="2" t="str">
        <f t="shared" si="33"/>
        <v/>
      </c>
      <c r="AA80" s="2" t="str">
        <f t="shared" si="34"/>
        <v/>
      </c>
      <c r="AB80" s="2" t="str">
        <f t="shared" si="35"/>
        <v/>
      </c>
      <c r="AC80" s="2" t="str">
        <f t="shared" si="36"/>
        <v/>
      </c>
      <c r="AD80" s="2" t="str">
        <f t="shared" si="37"/>
        <v/>
      </c>
      <c r="AE80" s="2" t="str">
        <f t="shared" si="38"/>
        <v/>
      </c>
      <c r="AF80" s="2" t="str">
        <f t="shared" si="39"/>
        <v/>
      </c>
      <c r="AG80" s="2" t="str">
        <f t="shared" si="40"/>
        <v/>
      </c>
      <c r="AH80" s="2" t="str">
        <f t="shared" si="41"/>
        <v/>
      </c>
      <c r="AI80" s="2" t="str">
        <f t="shared" si="42"/>
        <v/>
      </c>
      <c r="AJ80" s="2" t="str">
        <f t="shared" si="43"/>
        <v/>
      </c>
      <c r="AK80" s="2" t="str">
        <f t="shared" si="44"/>
        <v/>
      </c>
      <c r="AL80" s="2" t="str">
        <f t="shared" si="45"/>
        <v/>
      </c>
      <c r="AM80" s="2" t="str">
        <f t="shared" si="46"/>
        <v/>
      </c>
      <c r="AN80" s="2" t="str">
        <f t="shared" si="47"/>
        <v/>
      </c>
      <c r="AP80" s="2" t="str" cm="1">
        <f t="array" ref="AP80">IF('NILAI CPL'!$B80&lt;&gt;"",IFERROR(_xlfn.IFS(S80&gt;='NILAI CPL'!$B$3,4,S80&gt;='NILAI CPL'!$B$4,3,S80&gt;='NILAI CPL'!$B$5,2,S80&gt;'NILAI CPL'!$B$6,1),0),"")</f>
        <v/>
      </c>
      <c r="AQ80" s="2" t="str" cm="1">
        <f t="array" ref="AQ80">IF('NILAI CPL'!$B80&lt;&gt;"",IFERROR(_xlfn.IFS(T80&gt;='NILAI CPL'!$B$3,4,T80&gt;='NILAI CPL'!$B$4,3,T80&gt;='NILAI CPL'!$B$5,2,T80&gt;'NILAI CPL'!$B$6,1),0),"")</f>
        <v/>
      </c>
      <c r="AR80" s="2" t="str" cm="1">
        <f t="array" ref="AR80">IF('NILAI CPL'!$B80&lt;&gt;"",IFERROR(_xlfn.IFS(U80&gt;='NILAI CPL'!$B$3,4,U80&gt;='NILAI CPL'!$B$4,3,U80&gt;='NILAI CPL'!$B$5,2,U80&gt;'NILAI CPL'!$B$6,1),0),"")</f>
        <v/>
      </c>
      <c r="AS80" s="2" t="str" cm="1">
        <f t="array" ref="AS80">IF('NILAI CPL'!$B80&lt;&gt;"",IFERROR(_xlfn.IFS(V80&gt;='NILAI CPL'!$B$3,4,V80&gt;='NILAI CPL'!$B$4,3,V80&gt;='NILAI CPL'!$B$5,2,V80&gt;'NILAI CPL'!$B$6,1),0),"")</f>
        <v/>
      </c>
      <c r="AT80" s="2" t="str" cm="1">
        <f t="array" ref="AT80">IF('NILAI CPL'!$B80&lt;&gt;"",IFERROR(_xlfn.IFS(W80&gt;='NILAI CPL'!$B$3,4,W80&gt;='NILAI CPL'!$B$4,3,W80&gt;='NILAI CPL'!$B$5,2,W80&gt;'NILAI CPL'!$B$6,1),0),"")</f>
        <v/>
      </c>
      <c r="AU80" s="2" t="str" cm="1">
        <f t="array" ref="AU80">IF('NILAI CPL'!$B80&lt;&gt;"",IFERROR(_xlfn.IFS(X80&gt;='NILAI CPL'!$B$3,4,X80&gt;='NILAI CPL'!$B$4,3,X80&gt;='NILAI CPL'!$B$5,2,X80&gt;'NILAI CPL'!$B$6,1),0),"")</f>
        <v/>
      </c>
      <c r="AV80" s="2" t="str" cm="1">
        <f t="array" ref="AV80">IF('NILAI CPL'!$B80&lt;&gt;"",IFERROR(_xlfn.IFS(Y80&gt;='NILAI CPL'!$B$3,4,Y80&gt;='NILAI CPL'!$B$4,3,Y80&gt;='NILAI CPL'!$B$5,2,Y80&gt;'NILAI CPL'!$B$6,1),0),"")</f>
        <v/>
      </c>
      <c r="AW80" s="2" t="str" cm="1">
        <f t="array" ref="AW80">IF('NILAI CPL'!$B80&lt;&gt;"",IFERROR(_xlfn.IFS(Z80&gt;='NILAI CPL'!$B$3,4,Z80&gt;='NILAI CPL'!$B$4,3,Z80&gt;='NILAI CPL'!$B$5,2,Z80&gt;'NILAI CPL'!$B$6,1),0),"")</f>
        <v/>
      </c>
      <c r="AX80" s="2" t="str" cm="1">
        <f t="array" ref="AX80">IF('NILAI CPL'!$B80&lt;&gt;"",IFERROR(_xlfn.IFS(AA80&gt;='NILAI CPL'!$B$3,4,AA80&gt;='NILAI CPL'!$B$4,3,AA80&gt;='NILAI CPL'!$B$5,2,AA80&gt;'NILAI CPL'!$B$6,1),0),"")</f>
        <v/>
      </c>
      <c r="AY80" s="2" t="str" cm="1">
        <f t="array" ref="AY80">IF('NILAI CPL'!$B80&lt;&gt;"",IFERROR(_xlfn.IFS(AB80&gt;='NILAI CPL'!$B$3,4,AB80&gt;='NILAI CPL'!$B$4,3,AB80&gt;='NILAI CPL'!$B$5,2,AB80&gt;'NILAI CPL'!$B$6,1),0),"")</f>
        <v/>
      </c>
      <c r="AZ80" s="2" t="str" cm="1">
        <f t="array" ref="AZ80">IF('NILAI CPL'!$B80&lt;&gt;"",IFERROR(_xlfn.IFS(AC80&gt;='NILAI CPL'!$B$3,4,AC80&gt;='NILAI CPL'!$B$4,3,AC80&gt;='NILAI CPL'!$B$5,2,AC80&gt;'NILAI CPL'!$B$6,1),0),"")</f>
        <v/>
      </c>
      <c r="BA80" s="2" t="str" cm="1">
        <f t="array" ref="BA80">IF('NILAI CPL'!$B80&lt;&gt;"",IFERROR(_xlfn.IFS(AD80&gt;='NILAI CPL'!$B$3,4,AD80&gt;='NILAI CPL'!$B$4,3,AD80&gt;='NILAI CPL'!$B$5,2,AD80&gt;'NILAI CPL'!$B$6,1),0),"")</f>
        <v/>
      </c>
      <c r="BB80" s="2" t="str" cm="1">
        <f t="array" ref="BB80">IF('NILAI CPL'!$B80&lt;&gt;"",IFERROR(_xlfn.IFS(AE80&gt;='NILAI CPL'!$B$3,4,AE80&gt;='NILAI CPL'!$B$4,3,AE80&gt;='NILAI CPL'!$B$5,2,AE80&gt;'NILAI CPL'!$B$6,1),0),"")</f>
        <v/>
      </c>
      <c r="BC80" s="2" t="str" cm="1">
        <f t="array" ref="BC80">IF('NILAI CPL'!$B80&lt;&gt;"",IFERROR(_xlfn.IFS(AF80&gt;='NILAI CPL'!$B$3,4,AF80&gt;='NILAI CPL'!$B$4,3,AF80&gt;='NILAI CPL'!$B$5,2,AF80&gt;'NILAI CPL'!$B$6,1),0),"")</f>
        <v/>
      </c>
      <c r="BD80" s="2" t="str" cm="1">
        <f t="array" ref="BD80">IF('NILAI CPL'!$B80&lt;&gt;"",IFERROR(_xlfn.IFS(AG80&gt;='NILAI CPL'!$B$3,4,AG80&gt;='NILAI CPL'!$B$4,3,AG80&gt;='NILAI CPL'!$B$5,2,AG80&gt;'NILAI CPL'!$B$6,1),0),"")</f>
        <v/>
      </c>
      <c r="BE80" s="2" t="str" cm="1">
        <f t="array" ref="BE80">IF('NILAI CPL'!$B80&lt;&gt;"",IFERROR(_xlfn.IFS(AH80&gt;='NILAI CPL'!$B$3,4,AH80&gt;='NILAI CPL'!$B$4,3,AH80&gt;='NILAI CPL'!$B$5,2,AH80&gt;'NILAI CPL'!$B$6,1),0),"")</f>
        <v/>
      </c>
      <c r="BF80" s="2" t="str" cm="1">
        <f t="array" ref="BF80">IF('NILAI CPL'!$B80&lt;&gt;"",IFERROR(_xlfn.IFS(AI80&gt;='NILAI CPL'!$B$3,4,AI80&gt;='NILAI CPL'!$B$4,3,AI80&gt;='NILAI CPL'!$B$5,2,AI80&gt;'NILAI CPL'!$B$6,1),0),"")</f>
        <v/>
      </c>
      <c r="BG80" s="2" t="str" cm="1">
        <f t="array" ref="BG80">IF('NILAI CPL'!$B80&lt;&gt;"",IFERROR(_xlfn.IFS(AJ80&gt;='NILAI CPL'!$B$3,4,AJ80&gt;='NILAI CPL'!$B$4,3,AJ80&gt;='NILAI CPL'!$B$5,2,AJ80&gt;'NILAI CPL'!$B$6,1),0),"")</f>
        <v/>
      </c>
      <c r="BH80" s="2" t="str" cm="1">
        <f t="array" ref="BH80">IF('NILAI CPL'!$B80&lt;&gt;"",IFERROR(_xlfn.IFS(AK80&gt;='NILAI CPL'!$B$3,4,AK80&gt;='NILAI CPL'!$B$4,3,AK80&gt;='NILAI CPL'!$B$5,2,AK80&gt;'NILAI CPL'!$B$6,1),0),"")</f>
        <v/>
      </c>
      <c r="BI80" s="2" t="str" cm="1">
        <f t="array" ref="BI80">IF('NILAI CPL'!$B80&lt;&gt;"",IFERROR(_xlfn.IFS(AL80&gt;='NILAI CPL'!$B$3,4,AL80&gt;='NILAI CPL'!$B$4,3,AL80&gt;='NILAI CPL'!$B$5,2,AL80&gt;'NILAI CPL'!$B$6,1),0),"")</f>
        <v/>
      </c>
      <c r="BJ80" s="2" t="str" cm="1">
        <f t="array" ref="BJ80">IF('NILAI CPL'!$B80&lt;&gt;"",IFERROR(_xlfn.IFS(AM80&gt;='NILAI CPL'!$B$3,4,AM80&gt;='NILAI CPL'!$B$4,3,AM80&gt;='NILAI CPL'!$B$5,2,AM80&gt;'NILAI CPL'!$B$6,1),0),"")</f>
        <v/>
      </c>
      <c r="BK80" s="2" t="str" cm="1">
        <f t="array" ref="BK80">IF('NILAI CPL'!$B80&lt;&gt;"",IFERROR(_xlfn.IFS(AN80&gt;='NILAI CPL'!$B$3,4,AN80&gt;='NILAI CPL'!$B$4,3,AN80&gt;='NILAI CPL'!$B$5,2,AN80&gt;'NILAI CPL'!$B$6,1),0),"")</f>
        <v/>
      </c>
    </row>
    <row r="81" spans="1:63" x14ac:dyDescent="0.2">
      <c r="A81" s="2">
        <v>71</v>
      </c>
      <c r="B81" s="2" t="str">
        <f>IF(LEN(SUMMARY!B81)&gt;0, SUMMARY!B81, "")</f>
        <v/>
      </c>
      <c r="C81" s="2" t="str">
        <f>IF(LEN(SUMMARY!C81)&gt;0, SUMMARY!C81, "")</f>
        <v/>
      </c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" t="str">
        <f t="shared" si="25"/>
        <v/>
      </c>
      <c r="S81" s="2" t="str">
        <f t="shared" si="26"/>
        <v/>
      </c>
      <c r="T81" s="2" t="str">
        <f t="shared" si="27"/>
        <v/>
      </c>
      <c r="U81" s="2" t="str">
        <f t="shared" si="28"/>
        <v/>
      </c>
      <c r="V81" s="2" t="str">
        <f t="shared" si="29"/>
        <v/>
      </c>
      <c r="W81" s="2" t="str">
        <f t="shared" si="30"/>
        <v/>
      </c>
      <c r="X81" s="2" t="str">
        <f t="shared" si="31"/>
        <v/>
      </c>
      <c r="Y81" s="2" t="str">
        <f t="shared" si="32"/>
        <v/>
      </c>
      <c r="Z81" s="2" t="str">
        <f t="shared" si="33"/>
        <v/>
      </c>
      <c r="AA81" s="2" t="str">
        <f t="shared" si="34"/>
        <v/>
      </c>
      <c r="AB81" s="2" t="str">
        <f t="shared" si="35"/>
        <v/>
      </c>
      <c r="AC81" s="2" t="str">
        <f t="shared" si="36"/>
        <v/>
      </c>
      <c r="AD81" s="2" t="str">
        <f t="shared" si="37"/>
        <v/>
      </c>
      <c r="AE81" s="2" t="str">
        <f t="shared" si="38"/>
        <v/>
      </c>
      <c r="AF81" s="2" t="str">
        <f t="shared" si="39"/>
        <v/>
      </c>
      <c r="AG81" s="2" t="str">
        <f t="shared" si="40"/>
        <v/>
      </c>
      <c r="AH81" s="2" t="str">
        <f t="shared" si="41"/>
        <v/>
      </c>
      <c r="AI81" s="2" t="str">
        <f t="shared" si="42"/>
        <v/>
      </c>
      <c r="AJ81" s="2" t="str">
        <f t="shared" si="43"/>
        <v/>
      </c>
      <c r="AK81" s="2" t="str">
        <f t="shared" si="44"/>
        <v/>
      </c>
      <c r="AL81" s="2" t="str">
        <f t="shared" si="45"/>
        <v/>
      </c>
      <c r="AM81" s="2" t="str">
        <f t="shared" si="46"/>
        <v/>
      </c>
      <c r="AN81" s="2" t="str">
        <f t="shared" si="47"/>
        <v/>
      </c>
      <c r="AP81" s="2" t="str" cm="1">
        <f t="array" ref="AP81">IF('NILAI CPL'!$B81&lt;&gt;"",IFERROR(_xlfn.IFS(S81&gt;='NILAI CPL'!$B$3,4,S81&gt;='NILAI CPL'!$B$4,3,S81&gt;='NILAI CPL'!$B$5,2,S81&gt;'NILAI CPL'!$B$6,1),0),"")</f>
        <v/>
      </c>
      <c r="AQ81" s="2" t="str" cm="1">
        <f t="array" ref="AQ81">IF('NILAI CPL'!$B81&lt;&gt;"",IFERROR(_xlfn.IFS(T81&gt;='NILAI CPL'!$B$3,4,T81&gt;='NILAI CPL'!$B$4,3,T81&gt;='NILAI CPL'!$B$5,2,T81&gt;'NILAI CPL'!$B$6,1),0),"")</f>
        <v/>
      </c>
      <c r="AR81" s="2" t="str" cm="1">
        <f t="array" ref="AR81">IF('NILAI CPL'!$B81&lt;&gt;"",IFERROR(_xlfn.IFS(U81&gt;='NILAI CPL'!$B$3,4,U81&gt;='NILAI CPL'!$B$4,3,U81&gt;='NILAI CPL'!$B$5,2,U81&gt;'NILAI CPL'!$B$6,1),0),"")</f>
        <v/>
      </c>
      <c r="AS81" s="2" t="str" cm="1">
        <f t="array" ref="AS81">IF('NILAI CPL'!$B81&lt;&gt;"",IFERROR(_xlfn.IFS(V81&gt;='NILAI CPL'!$B$3,4,V81&gt;='NILAI CPL'!$B$4,3,V81&gt;='NILAI CPL'!$B$5,2,V81&gt;'NILAI CPL'!$B$6,1),0),"")</f>
        <v/>
      </c>
      <c r="AT81" s="2" t="str" cm="1">
        <f t="array" ref="AT81">IF('NILAI CPL'!$B81&lt;&gt;"",IFERROR(_xlfn.IFS(W81&gt;='NILAI CPL'!$B$3,4,W81&gt;='NILAI CPL'!$B$4,3,W81&gt;='NILAI CPL'!$B$5,2,W81&gt;'NILAI CPL'!$B$6,1),0),"")</f>
        <v/>
      </c>
      <c r="AU81" s="2" t="str" cm="1">
        <f t="array" ref="AU81">IF('NILAI CPL'!$B81&lt;&gt;"",IFERROR(_xlfn.IFS(X81&gt;='NILAI CPL'!$B$3,4,X81&gt;='NILAI CPL'!$B$4,3,X81&gt;='NILAI CPL'!$B$5,2,X81&gt;'NILAI CPL'!$B$6,1),0),"")</f>
        <v/>
      </c>
      <c r="AV81" s="2" t="str" cm="1">
        <f t="array" ref="AV81">IF('NILAI CPL'!$B81&lt;&gt;"",IFERROR(_xlfn.IFS(Y81&gt;='NILAI CPL'!$B$3,4,Y81&gt;='NILAI CPL'!$B$4,3,Y81&gt;='NILAI CPL'!$B$5,2,Y81&gt;'NILAI CPL'!$B$6,1),0),"")</f>
        <v/>
      </c>
      <c r="AW81" s="2" t="str" cm="1">
        <f t="array" ref="AW81">IF('NILAI CPL'!$B81&lt;&gt;"",IFERROR(_xlfn.IFS(Z81&gt;='NILAI CPL'!$B$3,4,Z81&gt;='NILAI CPL'!$B$4,3,Z81&gt;='NILAI CPL'!$B$5,2,Z81&gt;'NILAI CPL'!$B$6,1),0),"")</f>
        <v/>
      </c>
      <c r="AX81" s="2" t="str" cm="1">
        <f t="array" ref="AX81">IF('NILAI CPL'!$B81&lt;&gt;"",IFERROR(_xlfn.IFS(AA81&gt;='NILAI CPL'!$B$3,4,AA81&gt;='NILAI CPL'!$B$4,3,AA81&gt;='NILAI CPL'!$B$5,2,AA81&gt;'NILAI CPL'!$B$6,1),0),"")</f>
        <v/>
      </c>
      <c r="AY81" s="2" t="str" cm="1">
        <f t="array" ref="AY81">IF('NILAI CPL'!$B81&lt;&gt;"",IFERROR(_xlfn.IFS(AB81&gt;='NILAI CPL'!$B$3,4,AB81&gt;='NILAI CPL'!$B$4,3,AB81&gt;='NILAI CPL'!$B$5,2,AB81&gt;'NILAI CPL'!$B$6,1),0),"")</f>
        <v/>
      </c>
      <c r="AZ81" s="2" t="str" cm="1">
        <f t="array" ref="AZ81">IF('NILAI CPL'!$B81&lt;&gt;"",IFERROR(_xlfn.IFS(AC81&gt;='NILAI CPL'!$B$3,4,AC81&gt;='NILAI CPL'!$B$4,3,AC81&gt;='NILAI CPL'!$B$5,2,AC81&gt;'NILAI CPL'!$B$6,1),0),"")</f>
        <v/>
      </c>
      <c r="BA81" s="2" t="str" cm="1">
        <f t="array" ref="BA81">IF('NILAI CPL'!$B81&lt;&gt;"",IFERROR(_xlfn.IFS(AD81&gt;='NILAI CPL'!$B$3,4,AD81&gt;='NILAI CPL'!$B$4,3,AD81&gt;='NILAI CPL'!$B$5,2,AD81&gt;'NILAI CPL'!$B$6,1),0),"")</f>
        <v/>
      </c>
      <c r="BB81" s="2" t="str" cm="1">
        <f t="array" ref="BB81">IF('NILAI CPL'!$B81&lt;&gt;"",IFERROR(_xlfn.IFS(AE81&gt;='NILAI CPL'!$B$3,4,AE81&gt;='NILAI CPL'!$B$4,3,AE81&gt;='NILAI CPL'!$B$5,2,AE81&gt;'NILAI CPL'!$B$6,1),0),"")</f>
        <v/>
      </c>
      <c r="BC81" s="2" t="str" cm="1">
        <f t="array" ref="BC81">IF('NILAI CPL'!$B81&lt;&gt;"",IFERROR(_xlfn.IFS(AF81&gt;='NILAI CPL'!$B$3,4,AF81&gt;='NILAI CPL'!$B$4,3,AF81&gt;='NILAI CPL'!$B$5,2,AF81&gt;'NILAI CPL'!$B$6,1),0),"")</f>
        <v/>
      </c>
      <c r="BD81" s="2" t="str" cm="1">
        <f t="array" ref="BD81">IF('NILAI CPL'!$B81&lt;&gt;"",IFERROR(_xlfn.IFS(AG81&gt;='NILAI CPL'!$B$3,4,AG81&gt;='NILAI CPL'!$B$4,3,AG81&gt;='NILAI CPL'!$B$5,2,AG81&gt;'NILAI CPL'!$B$6,1),0),"")</f>
        <v/>
      </c>
      <c r="BE81" s="2" t="str" cm="1">
        <f t="array" ref="BE81">IF('NILAI CPL'!$B81&lt;&gt;"",IFERROR(_xlfn.IFS(AH81&gt;='NILAI CPL'!$B$3,4,AH81&gt;='NILAI CPL'!$B$4,3,AH81&gt;='NILAI CPL'!$B$5,2,AH81&gt;'NILAI CPL'!$B$6,1),0),"")</f>
        <v/>
      </c>
      <c r="BF81" s="2" t="str" cm="1">
        <f t="array" ref="BF81">IF('NILAI CPL'!$B81&lt;&gt;"",IFERROR(_xlfn.IFS(AI81&gt;='NILAI CPL'!$B$3,4,AI81&gt;='NILAI CPL'!$B$4,3,AI81&gt;='NILAI CPL'!$B$5,2,AI81&gt;'NILAI CPL'!$B$6,1),0),"")</f>
        <v/>
      </c>
      <c r="BG81" s="2" t="str" cm="1">
        <f t="array" ref="BG81">IF('NILAI CPL'!$B81&lt;&gt;"",IFERROR(_xlfn.IFS(AJ81&gt;='NILAI CPL'!$B$3,4,AJ81&gt;='NILAI CPL'!$B$4,3,AJ81&gt;='NILAI CPL'!$B$5,2,AJ81&gt;'NILAI CPL'!$B$6,1),0),"")</f>
        <v/>
      </c>
      <c r="BH81" s="2" t="str" cm="1">
        <f t="array" ref="BH81">IF('NILAI CPL'!$B81&lt;&gt;"",IFERROR(_xlfn.IFS(AK81&gt;='NILAI CPL'!$B$3,4,AK81&gt;='NILAI CPL'!$B$4,3,AK81&gt;='NILAI CPL'!$B$5,2,AK81&gt;'NILAI CPL'!$B$6,1),0),"")</f>
        <v/>
      </c>
      <c r="BI81" s="2" t="str" cm="1">
        <f t="array" ref="BI81">IF('NILAI CPL'!$B81&lt;&gt;"",IFERROR(_xlfn.IFS(AL81&gt;='NILAI CPL'!$B$3,4,AL81&gt;='NILAI CPL'!$B$4,3,AL81&gt;='NILAI CPL'!$B$5,2,AL81&gt;'NILAI CPL'!$B$6,1),0),"")</f>
        <v/>
      </c>
      <c r="BJ81" s="2" t="str" cm="1">
        <f t="array" ref="BJ81">IF('NILAI CPL'!$B81&lt;&gt;"",IFERROR(_xlfn.IFS(AM81&gt;='NILAI CPL'!$B$3,4,AM81&gt;='NILAI CPL'!$B$4,3,AM81&gt;='NILAI CPL'!$B$5,2,AM81&gt;'NILAI CPL'!$B$6,1),0),"")</f>
        <v/>
      </c>
      <c r="BK81" s="2" t="str" cm="1">
        <f t="array" ref="BK81">IF('NILAI CPL'!$B81&lt;&gt;"",IFERROR(_xlfn.IFS(AN81&gt;='NILAI CPL'!$B$3,4,AN81&gt;='NILAI CPL'!$B$4,3,AN81&gt;='NILAI CPL'!$B$5,2,AN81&gt;'NILAI CPL'!$B$6,1),0),"")</f>
        <v/>
      </c>
    </row>
    <row r="82" spans="1:63" x14ac:dyDescent="0.2">
      <c r="A82" s="2">
        <v>72</v>
      </c>
      <c r="B82" s="2" t="str">
        <f>IF(LEN(SUMMARY!B82)&gt;0, SUMMARY!B82, "")</f>
        <v/>
      </c>
      <c r="C82" s="2" t="str">
        <f>IF(LEN(SUMMARY!C82)&gt;0, SUMMARY!C82, "")</f>
        <v/>
      </c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" t="str">
        <f t="shared" si="25"/>
        <v/>
      </c>
      <c r="S82" s="2" t="str">
        <f t="shared" si="26"/>
        <v/>
      </c>
      <c r="T82" s="2" t="str">
        <f t="shared" si="27"/>
        <v/>
      </c>
      <c r="U82" s="2" t="str">
        <f t="shared" si="28"/>
        <v/>
      </c>
      <c r="V82" s="2" t="str">
        <f t="shared" si="29"/>
        <v/>
      </c>
      <c r="W82" s="2" t="str">
        <f t="shared" si="30"/>
        <v/>
      </c>
      <c r="X82" s="2" t="str">
        <f t="shared" si="31"/>
        <v/>
      </c>
      <c r="Y82" s="2" t="str">
        <f t="shared" si="32"/>
        <v/>
      </c>
      <c r="Z82" s="2" t="str">
        <f t="shared" si="33"/>
        <v/>
      </c>
      <c r="AA82" s="2" t="str">
        <f t="shared" si="34"/>
        <v/>
      </c>
      <c r="AB82" s="2" t="str">
        <f t="shared" si="35"/>
        <v/>
      </c>
      <c r="AC82" s="2" t="str">
        <f t="shared" si="36"/>
        <v/>
      </c>
      <c r="AD82" s="2" t="str">
        <f t="shared" si="37"/>
        <v/>
      </c>
      <c r="AE82" s="2" t="str">
        <f t="shared" si="38"/>
        <v/>
      </c>
      <c r="AF82" s="2" t="str">
        <f t="shared" si="39"/>
        <v/>
      </c>
      <c r="AG82" s="2" t="str">
        <f t="shared" si="40"/>
        <v/>
      </c>
      <c r="AH82" s="2" t="str">
        <f t="shared" si="41"/>
        <v/>
      </c>
      <c r="AI82" s="2" t="str">
        <f t="shared" si="42"/>
        <v/>
      </c>
      <c r="AJ82" s="2" t="str">
        <f t="shared" si="43"/>
        <v/>
      </c>
      <c r="AK82" s="2" t="str">
        <f t="shared" si="44"/>
        <v/>
      </c>
      <c r="AL82" s="2" t="str">
        <f t="shared" si="45"/>
        <v/>
      </c>
      <c r="AM82" s="2" t="str">
        <f t="shared" si="46"/>
        <v/>
      </c>
      <c r="AN82" s="2" t="str">
        <f t="shared" si="47"/>
        <v/>
      </c>
      <c r="AP82" s="2" t="str" cm="1">
        <f t="array" ref="AP82">IF('NILAI CPL'!$B82&lt;&gt;"",IFERROR(_xlfn.IFS(S82&gt;='NILAI CPL'!$B$3,4,S82&gt;='NILAI CPL'!$B$4,3,S82&gt;='NILAI CPL'!$B$5,2,S82&gt;'NILAI CPL'!$B$6,1),0),"")</f>
        <v/>
      </c>
      <c r="AQ82" s="2" t="str" cm="1">
        <f t="array" ref="AQ82">IF('NILAI CPL'!$B82&lt;&gt;"",IFERROR(_xlfn.IFS(T82&gt;='NILAI CPL'!$B$3,4,T82&gt;='NILAI CPL'!$B$4,3,T82&gt;='NILAI CPL'!$B$5,2,T82&gt;'NILAI CPL'!$B$6,1),0),"")</f>
        <v/>
      </c>
      <c r="AR82" s="2" t="str" cm="1">
        <f t="array" ref="AR82">IF('NILAI CPL'!$B82&lt;&gt;"",IFERROR(_xlfn.IFS(U82&gt;='NILAI CPL'!$B$3,4,U82&gt;='NILAI CPL'!$B$4,3,U82&gt;='NILAI CPL'!$B$5,2,U82&gt;'NILAI CPL'!$B$6,1),0),"")</f>
        <v/>
      </c>
      <c r="AS82" s="2" t="str" cm="1">
        <f t="array" ref="AS82">IF('NILAI CPL'!$B82&lt;&gt;"",IFERROR(_xlfn.IFS(V82&gt;='NILAI CPL'!$B$3,4,V82&gt;='NILAI CPL'!$B$4,3,V82&gt;='NILAI CPL'!$B$5,2,V82&gt;'NILAI CPL'!$B$6,1),0),"")</f>
        <v/>
      </c>
      <c r="AT82" s="2" t="str" cm="1">
        <f t="array" ref="AT82">IF('NILAI CPL'!$B82&lt;&gt;"",IFERROR(_xlfn.IFS(W82&gt;='NILAI CPL'!$B$3,4,W82&gt;='NILAI CPL'!$B$4,3,W82&gt;='NILAI CPL'!$B$5,2,W82&gt;'NILAI CPL'!$B$6,1),0),"")</f>
        <v/>
      </c>
      <c r="AU82" s="2" t="str" cm="1">
        <f t="array" ref="AU82">IF('NILAI CPL'!$B82&lt;&gt;"",IFERROR(_xlfn.IFS(X82&gt;='NILAI CPL'!$B$3,4,X82&gt;='NILAI CPL'!$B$4,3,X82&gt;='NILAI CPL'!$B$5,2,X82&gt;'NILAI CPL'!$B$6,1),0),"")</f>
        <v/>
      </c>
      <c r="AV82" s="2" t="str" cm="1">
        <f t="array" ref="AV82">IF('NILAI CPL'!$B82&lt;&gt;"",IFERROR(_xlfn.IFS(Y82&gt;='NILAI CPL'!$B$3,4,Y82&gt;='NILAI CPL'!$B$4,3,Y82&gt;='NILAI CPL'!$B$5,2,Y82&gt;'NILAI CPL'!$B$6,1),0),"")</f>
        <v/>
      </c>
      <c r="AW82" s="2" t="str" cm="1">
        <f t="array" ref="AW82">IF('NILAI CPL'!$B82&lt;&gt;"",IFERROR(_xlfn.IFS(Z82&gt;='NILAI CPL'!$B$3,4,Z82&gt;='NILAI CPL'!$B$4,3,Z82&gt;='NILAI CPL'!$B$5,2,Z82&gt;'NILAI CPL'!$B$6,1),0),"")</f>
        <v/>
      </c>
      <c r="AX82" s="2" t="str" cm="1">
        <f t="array" ref="AX82">IF('NILAI CPL'!$B82&lt;&gt;"",IFERROR(_xlfn.IFS(AA82&gt;='NILAI CPL'!$B$3,4,AA82&gt;='NILAI CPL'!$B$4,3,AA82&gt;='NILAI CPL'!$B$5,2,AA82&gt;'NILAI CPL'!$B$6,1),0),"")</f>
        <v/>
      </c>
      <c r="AY82" s="2" t="str" cm="1">
        <f t="array" ref="AY82">IF('NILAI CPL'!$B82&lt;&gt;"",IFERROR(_xlfn.IFS(AB82&gt;='NILAI CPL'!$B$3,4,AB82&gt;='NILAI CPL'!$B$4,3,AB82&gt;='NILAI CPL'!$B$5,2,AB82&gt;'NILAI CPL'!$B$6,1),0),"")</f>
        <v/>
      </c>
      <c r="AZ82" s="2" t="str" cm="1">
        <f t="array" ref="AZ82">IF('NILAI CPL'!$B82&lt;&gt;"",IFERROR(_xlfn.IFS(AC82&gt;='NILAI CPL'!$B$3,4,AC82&gt;='NILAI CPL'!$B$4,3,AC82&gt;='NILAI CPL'!$B$5,2,AC82&gt;'NILAI CPL'!$B$6,1),0),"")</f>
        <v/>
      </c>
      <c r="BA82" s="2" t="str" cm="1">
        <f t="array" ref="BA82">IF('NILAI CPL'!$B82&lt;&gt;"",IFERROR(_xlfn.IFS(AD82&gt;='NILAI CPL'!$B$3,4,AD82&gt;='NILAI CPL'!$B$4,3,AD82&gt;='NILAI CPL'!$B$5,2,AD82&gt;'NILAI CPL'!$B$6,1),0),"")</f>
        <v/>
      </c>
      <c r="BB82" s="2" t="str" cm="1">
        <f t="array" ref="BB82">IF('NILAI CPL'!$B82&lt;&gt;"",IFERROR(_xlfn.IFS(AE82&gt;='NILAI CPL'!$B$3,4,AE82&gt;='NILAI CPL'!$B$4,3,AE82&gt;='NILAI CPL'!$B$5,2,AE82&gt;'NILAI CPL'!$B$6,1),0),"")</f>
        <v/>
      </c>
      <c r="BC82" s="2" t="str" cm="1">
        <f t="array" ref="BC82">IF('NILAI CPL'!$B82&lt;&gt;"",IFERROR(_xlfn.IFS(AF82&gt;='NILAI CPL'!$B$3,4,AF82&gt;='NILAI CPL'!$B$4,3,AF82&gt;='NILAI CPL'!$B$5,2,AF82&gt;'NILAI CPL'!$B$6,1),0),"")</f>
        <v/>
      </c>
      <c r="BD82" s="2" t="str" cm="1">
        <f t="array" ref="BD82">IF('NILAI CPL'!$B82&lt;&gt;"",IFERROR(_xlfn.IFS(AG82&gt;='NILAI CPL'!$B$3,4,AG82&gt;='NILAI CPL'!$B$4,3,AG82&gt;='NILAI CPL'!$B$5,2,AG82&gt;'NILAI CPL'!$B$6,1),0),"")</f>
        <v/>
      </c>
      <c r="BE82" s="2" t="str" cm="1">
        <f t="array" ref="BE82">IF('NILAI CPL'!$B82&lt;&gt;"",IFERROR(_xlfn.IFS(AH82&gt;='NILAI CPL'!$B$3,4,AH82&gt;='NILAI CPL'!$B$4,3,AH82&gt;='NILAI CPL'!$B$5,2,AH82&gt;'NILAI CPL'!$B$6,1),0),"")</f>
        <v/>
      </c>
      <c r="BF82" s="2" t="str" cm="1">
        <f t="array" ref="BF82">IF('NILAI CPL'!$B82&lt;&gt;"",IFERROR(_xlfn.IFS(AI82&gt;='NILAI CPL'!$B$3,4,AI82&gt;='NILAI CPL'!$B$4,3,AI82&gt;='NILAI CPL'!$B$5,2,AI82&gt;'NILAI CPL'!$B$6,1),0),"")</f>
        <v/>
      </c>
      <c r="BG82" s="2" t="str" cm="1">
        <f t="array" ref="BG82">IF('NILAI CPL'!$B82&lt;&gt;"",IFERROR(_xlfn.IFS(AJ82&gt;='NILAI CPL'!$B$3,4,AJ82&gt;='NILAI CPL'!$B$4,3,AJ82&gt;='NILAI CPL'!$B$5,2,AJ82&gt;'NILAI CPL'!$B$6,1),0),"")</f>
        <v/>
      </c>
      <c r="BH82" s="2" t="str" cm="1">
        <f t="array" ref="BH82">IF('NILAI CPL'!$B82&lt;&gt;"",IFERROR(_xlfn.IFS(AK82&gt;='NILAI CPL'!$B$3,4,AK82&gt;='NILAI CPL'!$B$4,3,AK82&gt;='NILAI CPL'!$B$5,2,AK82&gt;'NILAI CPL'!$B$6,1),0),"")</f>
        <v/>
      </c>
      <c r="BI82" s="2" t="str" cm="1">
        <f t="array" ref="BI82">IF('NILAI CPL'!$B82&lt;&gt;"",IFERROR(_xlfn.IFS(AL82&gt;='NILAI CPL'!$B$3,4,AL82&gt;='NILAI CPL'!$B$4,3,AL82&gt;='NILAI CPL'!$B$5,2,AL82&gt;'NILAI CPL'!$B$6,1),0),"")</f>
        <v/>
      </c>
      <c r="BJ82" s="2" t="str" cm="1">
        <f t="array" ref="BJ82">IF('NILAI CPL'!$B82&lt;&gt;"",IFERROR(_xlfn.IFS(AM82&gt;='NILAI CPL'!$B$3,4,AM82&gt;='NILAI CPL'!$B$4,3,AM82&gt;='NILAI CPL'!$B$5,2,AM82&gt;'NILAI CPL'!$B$6,1),0),"")</f>
        <v/>
      </c>
      <c r="BK82" s="2" t="str" cm="1">
        <f t="array" ref="BK82">IF('NILAI CPL'!$B82&lt;&gt;"",IFERROR(_xlfn.IFS(AN82&gt;='NILAI CPL'!$B$3,4,AN82&gt;='NILAI CPL'!$B$4,3,AN82&gt;='NILAI CPL'!$B$5,2,AN82&gt;'NILAI CPL'!$B$6,1),0),"")</f>
        <v/>
      </c>
    </row>
    <row r="83" spans="1:63" x14ac:dyDescent="0.2">
      <c r="A83" s="2">
        <v>73</v>
      </c>
      <c r="B83" s="2" t="str">
        <f>IF(LEN(SUMMARY!B83)&gt;0, SUMMARY!B83, "")</f>
        <v/>
      </c>
      <c r="C83" s="2" t="str">
        <f>IF(LEN(SUMMARY!C83)&gt;0, SUMMARY!C83, "")</f>
        <v/>
      </c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" t="str">
        <f t="shared" si="25"/>
        <v/>
      </c>
      <c r="S83" s="2" t="str">
        <f t="shared" si="26"/>
        <v/>
      </c>
      <c r="T83" s="2" t="str">
        <f t="shared" si="27"/>
        <v/>
      </c>
      <c r="U83" s="2" t="str">
        <f t="shared" si="28"/>
        <v/>
      </c>
      <c r="V83" s="2" t="str">
        <f t="shared" si="29"/>
        <v/>
      </c>
      <c r="W83" s="2" t="str">
        <f t="shared" si="30"/>
        <v/>
      </c>
      <c r="X83" s="2" t="str">
        <f t="shared" si="31"/>
        <v/>
      </c>
      <c r="Y83" s="2" t="str">
        <f t="shared" si="32"/>
        <v/>
      </c>
      <c r="Z83" s="2" t="str">
        <f t="shared" si="33"/>
        <v/>
      </c>
      <c r="AA83" s="2" t="str">
        <f t="shared" si="34"/>
        <v/>
      </c>
      <c r="AB83" s="2" t="str">
        <f t="shared" si="35"/>
        <v/>
      </c>
      <c r="AC83" s="2" t="str">
        <f t="shared" si="36"/>
        <v/>
      </c>
      <c r="AD83" s="2" t="str">
        <f t="shared" si="37"/>
        <v/>
      </c>
      <c r="AE83" s="2" t="str">
        <f t="shared" si="38"/>
        <v/>
      </c>
      <c r="AF83" s="2" t="str">
        <f t="shared" si="39"/>
        <v/>
      </c>
      <c r="AG83" s="2" t="str">
        <f t="shared" si="40"/>
        <v/>
      </c>
      <c r="AH83" s="2" t="str">
        <f t="shared" si="41"/>
        <v/>
      </c>
      <c r="AI83" s="2" t="str">
        <f t="shared" si="42"/>
        <v/>
      </c>
      <c r="AJ83" s="2" t="str">
        <f t="shared" si="43"/>
        <v/>
      </c>
      <c r="AK83" s="2" t="str">
        <f t="shared" si="44"/>
        <v/>
      </c>
      <c r="AL83" s="2" t="str">
        <f t="shared" si="45"/>
        <v/>
      </c>
      <c r="AM83" s="2" t="str">
        <f t="shared" si="46"/>
        <v/>
      </c>
      <c r="AN83" s="2" t="str">
        <f t="shared" si="47"/>
        <v/>
      </c>
      <c r="AP83" s="2" t="str" cm="1">
        <f t="array" ref="AP83">IF('NILAI CPL'!$B83&lt;&gt;"",IFERROR(_xlfn.IFS(S83&gt;='NILAI CPL'!$B$3,4,S83&gt;='NILAI CPL'!$B$4,3,S83&gt;='NILAI CPL'!$B$5,2,S83&gt;'NILAI CPL'!$B$6,1),0),"")</f>
        <v/>
      </c>
      <c r="AQ83" s="2" t="str" cm="1">
        <f t="array" ref="AQ83">IF('NILAI CPL'!$B83&lt;&gt;"",IFERROR(_xlfn.IFS(T83&gt;='NILAI CPL'!$B$3,4,T83&gt;='NILAI CPL'!$B$4,3,T83&gt;='NILAI CPL'!$B$5,2,T83&gt;'NILAI CPL'!$B$6,1),0),"")</f>
        <v/>
      </c>
      <c r="AR83" s="2" t="str" cm="1">
        <f t="array" ref="AR83">IF('NILAI CPL'!$B83&lt;&gt;"",IFERROR(_xlfn.IFS(U83&gt;='NILAI CPL'!$B$3,4,U83&gt;='NILAI CPL'!$B$4,3,U83&gt;='NILAI CPL'!$B$5,2,U83&gt;'NILAI CPL'!$B$6,1),0),"")</f>
        <v/>
      </c>
      <c r="AS83" s="2" t="str" cm="1">
        <f t="array" ref="AS83">IF('NILAI CPL'!$B83&lt;&gt;"",IFERROR(_xlfn.IFS(V83&gt;='NILAI CPL'!$B$3,4,V83&gt;='NILAI CPL'!$B$4,3,V83&gt;='NILAI CPL'!$B$5,2,V83&gt;'NILAI CPL'!$B$6,1),0),"")</f>
        <v/>
      </c>
      <c r="AT83" s="2" t="str" cm="1">
        <f t="array" ref="AT83">IF('NILAI CPL'!$B83&lt;&gt;"",IFERROR(_xlfn.IFS(W83&gt;='NILAI CPL'!$B$3,4,W83&gt;='NILAI CPL'!$B$4,3,W83&gt;='NILAI CPL'!$B$5,2,W83&gt;'NILAI CPL'!$B$6,1),0),"")</f>
        <v/>
      </c>
      <c r="AU83" s="2" t="str" cm="1">
        <f t="array" ref="AU83">IF('NILAI CPL'!$B83&lt;&gt;"",IFERROR(_xlfn.IFS(X83&gt;='NILAI CPL'!$B$3,4,X83&gt;='NILAI CPL'!$B$4,3,X83&gt;='NILAI CPL'!$B$5,2,X83&gt;'NILAI CPL'!$B$6,1),0),"")</f>
        <v/>
      </c>
      <c r="AV83" s="2" t="str" cm="1">
        <f t="array" ref="AV83">IF('NILAI CPL'!$B83&lt;&gt;"",IFERROR(_xlfn.IFS(Y83&gt;='NILAI CPL'!$B$3,4,Y83&gt;='NILAI CPL'!$B$4,3,Y83&gt;='NILAI CPL'!$B$5,2,Y83&gt;'NILAI CPL'!$B$6,1),0),"")</f>
        <v/>
      </c>
      <c r="AW83" s="2" t="str" cm="1">
        <f t="array" ref="AW83">IF('NILAI CPL'!$B83&lt;&gt;"",IFERROR(_xlfn.IFS(Z83&gt;='NILAI CPL'!$B$3,4,Z83&gt;='NILAI CPL'!$B$4,3,Z83&gt;='NILAI CPL'!$B$5,2,Z83&gt;'NILAI CPL'!$B$6,1),0),"")</f>
        <v/>
      </c>
      <c r="AX83" s="2" t="str" cm="1">
        <f t="array" ref="AX83">IF('NILAI CPL'!$B83&lt;&gt;"",IFERROR(_xlfn.IFS(AA83&gt;='NILAI CPL'!$B$3,4,AA83&gt;='NILAI CPL'!$B$4,3,AA83&gt;='NILAI CPL'!$B$5,2,AA83&gt;'NILAI CPL'!$B$6,1),0),"")</f>
        <v/>
      </c>
      <c r="AY83" s="2" t="str" cm="1">
        <f t="array" ref="AY83">IF('NILAI CPL'!$B83&lt;&gt;"",IFERROR(_xlfn.IFS(AB83&gt;='NILAI CPL'!$B$3,4,AB83&gt;='NILAI CPL'!$B$4,3,AB83&gt;='NILAI CPL'!$B$5,2,AB83&gt;'NILAI CPL'!$B$6,1),0),"")</f>
        <v/>
      </c>
      <c r="AZ83" s="2" t="str" cm="1">
        <f t="array" ref="AZ83">IF('NILAI CPL'!$B83&lt;&gt;"",IFERROR(_xlfn.IFS(AC83&gt;='NILAI CPL'!$B$3,4,AC83&gt;='NILAI CPL'!$B$4,3,AC83&gt;='NILAI CPL'!$B$5,2,AC83&gt;'NILAI CPL'!$B$6,1),0),"")</f>
        <v/>
      </c>
      <c r="BA83" s="2" t="str" cm="1">
        <f t="array" ref="BA83">IF('NILAI CPL'!$B83&lt;&gt;"",IFERROR(_xlfn.IFS(AD83&gt;='NILAI CPL'!$B$3,4,AD83&gt;='NILAI CPL'!$B$4,3,AD83&gt;='NILAI CPL'!$B$5,2,AD83&gt;'NILAI CPL'!$B$6,1),0),"")</f>
        <v/>
      </c>
      <c r="BB83" s="2" t="str" cm="1">
        <f t="array" ref="BB83">IF('NILAI CPL'!$B83&lt;&gt;"",IFERROR(_xlfn.IFS(AE83&gt;='NILAI CPL'!$B$3,4,AE83&gt;='NILAI CPL'!$B$4,3,AE83&gt;='NILAI CPL'!$B$5,2,AE83&gt;'NILAI CPL'!$B$6,1),0),"")</f>
        <v/>
      </c>
      <c r="BC83" s="2" t="str" cm="1">
        <f t="array" ref="BC83">IF('NILAI CPL'!$B83&lt;&gt;"",IFERROR(_xlfn.IFS(AF83&gt;='NILAI CPL'!$B$3,4,AF83&gt;='NILAI CPL'!$B$4,3,AF83&gt;='NILAI CPL'!$B$5,2,AF83&gt;'NILAI CPL'!$B$6,1),0),"")</f>
        <v/>
      </c>
      <c r="BD83" s="2" t="str" cm="1">
        <f t="array" ref="BD83">IF('NILAI CPL'!$B83&lt;&gt;"",IFERROR(_xlfn.IFS(AG83&gt;='NILAI CPL'!$B$3,4,AG83&gt;='NILAI CPL'!$B$4,3,AG83&gt;='NILAI CPL'!$B$5,2,AG83&gt;'NILAI CPL'!$B$6,1),0),"")</f>
        <v/>
      </c>
      <c r="BE83" s="2" t="str" cm="1">
        <f t="array" ref="BE83">IF('NILAI CPL'!$B83&lt;&gt;"",IFERROR(_xlfn.IFS(AH83&gt;='NILAI CPL'!$B$3,4,AH83&gt;='NILAI CPL'!$B$4,3,AH83&gt;='NILAI CPL'!$B$5,2,AH83&gt;'NILAI CPL'!$B$6,1),0),"")</f>
        <v/>
      </c>
      <c r="BF83" s="2" t="str" cm="1">
        <f t="array" ref="BF83">IF('NILAI CPL'!$B83&lt;&gt;"",IFERROR(_xlfn.IFS(AI83&gt;='NILAI CPL'!$B$3,4,AI83&gt;='NILAI CPL'!$B$4,3,AI83&gt;='NILAI CPL'!$B$5,2,AI83&gt;'NILAI CPL'!$B$6,1),0),"")</f>
        <v/>
      </c>
      <c r="BG83" s="2" t="str" cm="1">
        <f t="array" ref="BG83">IF('NILAI CPL'!$B83&lt;&gt;"",IFERROR(_xlfn.IFS(AJ83&gt;='NILAI CPL'!$B$3,4,AJ83&gt;='NILAI CPL'!$B$4,3,AJ83&gt;='NILAI CPL'!$B$5,2,AJ83&gt;'NILAI CPL'!$B$6,1),0),"")</f>
        <v/>
      </c>
      <c r="BH83" s="2" t="str" cm="1">
        <f t="array" ref="BH83">IF('NILAI CPL'!$B83&lt;&gt;"",IFERROR(_xlfn.IFS(AK83&gt;='NILAI CPL'!$B$3,4,AK83&gt;='NILAI CPL'!$B$4,3,AK83&gt;='NILAI CPL'!$B$5,2,AK83&gt;'NILAI CPL'!$B$6,1),0),"")</f>
        <v/>
      </c>
      <c r="BI83" s="2" t="str" cm="1">
        <f t="array" ref="BI83">IF('NILAI CPL'!$B83&lt;&gt;"",IFERROR(_xlfn.IFS(AL83&gt;='NILAI CPL'!$B$3,4,AL83&gt;='NILAI CPL'!$B$4,3,AL83&gt;='NILAI CPL'!$B$5,2,AL83&gt;'NILAI CPL'!$B$6,1),0),"")</f>
        <v/>
      </c>
      <c r="BJ83" s="2" t="str" cm="1">
        <f t="array" ref="BJ83">IF('NILAI CPL'!$B83&lt;&gt;"",IFERROR(_xlfn.IFS(AM83&gt;='NILAI CPL'!$B$3,4,AM83&gt;='NILAI CPL'!$B$4,3,AM83&gt;='NILAI CPL'!$B$5,2,AM83&gt;'NILAI CPL'!$B$6,1),0),"")</f>
        <v/>
      </c>
      <c r="BK83" s="2" t="str" cm="1">
        <f t="array" ref="BK83">IF('NILAI CPL'!$B83&lt;&gt;"",IFERROR(_xlfn.IFS(AN83&gt;='NILAI CPL'!$B$3,4,AN83&gt;='NILAI CPL'!$B$4,3,AN83&gt;='NILAI CPL'!$B$5,2,AN83&gt;'NILAI CPL'!$B$6,1),0),"")</f>
        <v/>
      </c>
    </row>
    <row r="84" spans="1:63" x14ac:dyDescent="0.2">
      <c r="A84" s="2">
        <v>74</v>
      </c>
      <c r="B84" s="2" t="str">
        <f>IF(LEN(SUMMARY!B84)&gt;0, SUMMARY!B84, "")</f>
        <v/>
      </c>
      <c r="C84" s="2" t="str">
        <f>IF(LEN(SUMMARY!C84)&gt;0, SUMMARY!C84, "")</f>
        <v/>
      </c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" t="str">
        <f t="shared" si="25"/>
        <v/>
      </c>
      <c r="S84" s="2" t="str">
        <f t="shared" si="26"/>
        <v/>
      </c>
      <c r="T84" s="2" t="str">
        <f t="shared" si="27"/>
        <v/>
      </c>
      <c r="U84" s="2" t="str">
        <f t="shared" si="28"/>
        <v/>
      </c>
      <c r="V84" s="2" t="str">
        <f t="shared" si="29"/>
        <v/>
      </c>
      <c r="W84" s="2" t="str">
        <f t="shared" si="30"/>
        <v/>
      </c>
      <c r="X84" s="2" t="str">
        <f t="shared" si="31"/>
        <v/>
      </c>
      <c r="Y84" s="2" t="str">
        <f t="shared" si="32"/>
        <v/>
      </c>
      <c r="Z84" s="2" t="str">
        <f t="shared" si="33"/>
        <v/>
      </c>
      <c r="AA84" s="2" t="str">
        <f t="shared" si="34"/>
        <v/>
      </c>
      <c r="AB84" s="2" t="str">
        <f t="shared" si="35"/>
        <v/>
      </c>
      <c r="AC84" s="2" t="str">
        <f t="shared" si="36"/>
        <v/>
      </c>
      <c r="AD84" s="2" t="str">
        <f t="shared" si="37"/>
        <v/>
      </c>
      <c r="AE84" s="2" t="str">
        <f t="shared" si="38"/>
        <v/>
      </c>
      <c r="AF84" s="2" t="str">
        <f t="shared" si="39"/>
        <v/>
      </c>
      <c r="AG84" s="2" t="str">
        <f t="shared" si="40"/>
        <v/>
      </c>
      <c r="AH84" s="2" t="str">
        <f t="shared" si="41"/>
        <v/>
      </c>
      <c r="AI84" s="2" t="str">
        <f t="shared" si="42"/>
        <v/>
      </c>
      <c r="AJ84" s="2" t="str">
        <f t="shared" si="43"/>
        <v/>
      </c>
      <c r="AK84" s="2" t="str">
        <f t="shared" si="44"/>
        <v/>
      </c>
      <c r="AL84" s="2" t="str">
        <f t="shared" si="45"/>
        <v/>
      </c>
      <c r="AM84" s="2" t="str">
        <f t="shared" si="46"/>
        <v/>
      </c>
      <c r="AN84" s="2" t="str">
        <f t="shared" si="47"/>
        <v/>
      </c>
      <c r="AP84" s="2" t="str" cm="1">
        <f t="array" ref="AP84">IF('NILAI CPL'!$B84&lt;&gt;"",IFERROR(_xlfn.IFS(S84&gt;='NILAI CPL'!$B$3,4,S84&gt;='NILAI CPL'!$B$4,3,S84&gt;='NILAI CPL'!$B$5,2,S84&gt;'NILAI CPL'!$B$6,1),0),"")</f>
        <v/>
      </c>
      <c r="AQ84" s="2" t="str" cm="1">
        <f t="array" ref="AQ84">IF('NILAI CPL'!$B84&lt;&gt;"",IFERROR(_xlfn.IFS(T84&gt;='NILAI CPL'!$B$3,4,T84&gt;='NILAI CPL'!$B$4,3,T84&gt;='NILAI CPL'!$B$5,2,T84&gt;'NILAI CPL'!$B$6,1),0),"")</f>
        <v/>
      </c>
      <c r="AR84" s="2" t="str" cm="1">
        <f t="array" ref="AR84">IF('NILAI CPL'!$B84&lt;&gt;"",IFERROR(_xlfn.IFS(U84&gt;='NILAI CPL'!$B$3,4,U84&gt;='NILAI CPL'!$B$4,3,U84&gt;='NILAI CPL'!$B$5,2,U84&gt;'NILAI CPL'!$B$6,1),0),"")</f>
        <v/>
      </c>
      <c r="AS84" s="2" t="str" cm="1">
        <f t="array" ref="AS84">IF('NILAI CPL'!$B84&lt;&gt;"",IFERROR(_xlfn.IFS(V84&gt;='NILAI CPL'!$B$3,4,V84&gt;='NILAI CPL'!$B$4,3,V84&gt;='NILAI CPL'!$B$5,2,V84&gt;'NILAI CPL'!$B$6,1),0),"")</f>
        <v/>
      </c>
      <c r="AT84" s="2" t="str" cm="1">
        <f t="array" ref="AT84">IF('NILAI CPL'!$B84&lt;&gt;"",IFERROR(_xlfn.IFS(W84&gt;='NILAI CPL'!$B$3,4,W84&gt;='NILAI CPL'!$B$4,3,W84&gt;='NILAI CPL'!$B$5,2,W84&gt;'NILAI CPL'!$B$6,1),0),"")</f>
        <v/>
      </c>
      <c r="AU84" s="2" t="str" cm="1">
        <f t="array" ref="AU84">IF('NILAI CPL'!$B84&lt;&gt;"",IFERROR(_xlfn.IFS(X84&gt;='NILAI CPL'!$B$3,4,X84&gt;='NILAI CPL'!$B$4,3,X84&gt;='NILAI CPL'!$B$5,2,X84&gt;'NILAI CPL'!$B$6,1),0),"")</f>
        <v/>
      </c>
      <c r="AV84" s="2" t="str" cm="1">
        <f t="array" ref="AV84">IF('NILAI CPL'!$B84&lt;&gt;"",IFERROR(_xlfn.IFS(Y84&gt;='NILAI CPL'!$B$3,4,Y84&gt;='NILAI CPL'!$B$4,3,Y84&gt;='NILAI CPL'!$B$5,2,Y84&gt;'NILAI CPL'!$B$6,1),0),"")</f>
        <v/>
      </c>
      <c r="AW84" s="2" t="str" cm="1">
        <f t="array" ref="AW84">IF('NILAI CPL'!$B84&lt;&gt;"",IFERROR(_xlfn.IFS(Z84&gt;='NILAI CPL'!$B$3,4,Z84&gt;='NILAI CPL'!$B$4,3,Z84&gt;='NILAI CPL'!$B$5,2,Z84&gt;'NILAI CPL'!$B$6,1),0),"")</f>
        <v/>
      </c>
      <c r="AX84" s="2" t="str" cm="1">
        <f t="array" ref="AX84">IF('NILAI CPL'!$B84&lt;&gt;"",IFERROR(_xlfn.IFS(AA84&gt;='NILAI CPL'!$B$3,4,AA84&gt;='NILAI CPL'!$B$4,3,AA84&gt;='NILAI CPL'!$B$5,2,AA84&gt;'NILAI CPL'!$B$6,1),0),"")</f>
        <v/>
      </c>
      <c r="AY84" s="2" t="str" cm="1">
        <f t="array" ref="AY84">IF('NILAI CPL'!$B84&lt;&gt;"",IFERROR(_xlfn.IFS(AB84&gt;='NILAI CPL'!$B$3,4,AB84&gt;='NILAI CPL'!$B$4,3,AB84&gt;='NILAI CPL'!$B$5,2,AB84&gt;'NILAI CPL'!$B$6,1),0),"")</f>
        <v/>
      </c>
      <c r="AZ84" s="2" t="str" cm="1">
        <f t="array" ref="AZ84">IF('NILAI CPL'!$B84&lt;&gt;"",IFERROR(_xlfn.IFS(AC84&gt;='NILAI CPL'!$B$3,4,AC84&gt;='NILAI CPL'!$B$4,3,AC84&gt;='NILAI CPL'!$B$5,2,AC84&gt;'NILAI CPL'!$B$6,1),0),"")</f>
        <v/>
      </c>
      <c r="BA84" s="2" t="str" cm="1">
        <f t="array" ref="BA84">IF('NILAI CPL'!$B84&lt;&gt;"",IFERROR(_xlfn.IFS(AD84&gt;='NILAI CPL'!$B$3,4,AD84&gt;='NILAI CPL'!$B$4,3,AD84&gt;='NILAI CPL'!$B$5,2,AD84&gt;'NILAI CPL'!$B$6,1),0),"")</f>
        <v/>
      </c>
      <c r="BB84" s="2" t="str" cm="1">
        <f t="array" ref="BB84">IF('NILAI CPL'!$B84&lt;&gt;"",IFERROR(_xlfn.IFS(AE84&gt;='NILAI CPL'!$B$3,4,AE84&gt;='NILAI CPL'!$B$4,3,AE84&gt;='NILAI CPL'!$B$5,2,AE84&gt;'NILAI CPL'!$B$6,1),0),"")</f>
        <v/>
      </c>
      <c r="BC84" s="2" t="str" cm="1">
        <f t="array" ref="BC84">IF('NILAI CPL'!$B84&lt;&gt;"",IFERROR(_xlfn.IFS(AF84&gt;='NILAI CPL'!$B$3,4,AF84&gt;='NILAI CPL'!$B$4,3,AF84&gt;='NILAI CPL'!$B$5,2,AF84&gt;'NILAI CPL'!$B$6,1),0),"")</f>
        <v/>
      </c>
      <c r="BD84" s="2" t="str" cm="1">
        <f t="array" ref="BD84">IF('NILAI CPL'!$B84&lt;&gt;"",IFERROR(_xlfn.IFS(AG84&gt;='NILAI CPL'!$B$3,4,AG84&gt;='NILAI CPL'!$B$4,3,AG84&gt;='NILAI CPL'!$B$5,2,AG84&gt;'NILAI CPL'!$B$6,1),0),"")</f>
        <v/>
      </c>
      <c r="BE84" s="2" t="str" cm="1">
        <f t="array" ref="BE84">IF('NILAI CPL'!$B84&lt;&gt;"",IFERROR(_xlfn.IFS(AH84&gt;='NILAI CPL'!$B$3,4,AH84&gt;='NILAI CPL'!$B$4,3,AH84&gt;='NILAI CPL'!$B$5,2,AH84&gt;'NILAI CPL'!$B$6,1),0),"")</f>
        <v/>
      </c>
      <c r="BF84" s="2" t="str" cm="1">
        <f t="array" ref="BF84">IF('NILAI CPL'!$B84&lt;&gt;"",IFERROR(_xlfn.IFS(AI84&gt;='NILAI CPL'!$B$3,4,AI84&gt;='NILAI CPL'!$B$4,3,AI84&gt;='NILAI CPL'!$B$5,2,AI84&gt;'NILAI CPL'!$B$6,1),0),"")</f>
        <v/>
      </c>
      <c r="BG84" s="2" t="str" cm="1">
        <f t="array" ref="BG84">IF('NILAI CPL'!$B84&lt;&gt;"",IFERROR(_xlfn.IFS(AJ84&gt;='NILAI CPL'!$B$3,4,AJ84&gt;='NILAI CPL'!$B$4,3,AJ84&gt;='NILAI CPL'!$B$5,2,AJ84&gt;'NILAI CPL'!$B$6,1),0),"")</f>
        <v/>
      </c>
      <c r="BH84" s="2" t="str" cm="1">
        <f t="array" ref="BH84">IF('NILAI CPL'!$B84&lt;&gt;"",IFERROR(_xlfn.IFS(AK84&gt;='NILAI CPL'!$B$3,4,AK84&gt;='NILAI CPL'!$B$4,3,AK84&gt;='NILAI CPL'!$B$5,2,AK84&gt;'NILAI CPL'!$B$6,1),0),"")</f>
        <v/>
      </c>
      <c r="BI84" s="2" t="str" cm="1">
        <f t="array" ref="BI84">IF('NILAI CPL'!$B84&lt;&gt;"",IFERROR(_xlfn.IFS(AL84&gt;='NILAI CPL'!$B$3,4,AL84&gt;='NILAI CPL'!$B$4,3,AL84&gt;='NILAI CPL'!$B$5,2,AL84&gt;'NILAI CPL'!$B$6,1),0),"")</f>
        <v/>
      </c>
      <c r="BJ84" s="2" t="str" cm="1">
        <f t="array" ref="BJ84">IF('NILAI CPL'!$B84&lt;&gt;"",IFERROR(_xlfn.IFS(AM84&gt;='NILAI CPL'!$B$3,4,AM84&gt;='NILAI CPL'!$B$4,3,AM84&gt;='NILAI CPL'!$B$5,2,AM84&gt;'NILAI CPL'!$B$6,1),0),"")</f>
        <v/>
      </c>
      <c r="BK84" s="2" t="str" cm="1">
        <f t="array" ref="BK84">IF('NILAI CPL'!$B84&lt;&gt;"",IFERROR(_xlfn.IFS(AN84&gt;='NILAI CPL'!$B$3,4,AN84&gt;='NILAI CPL'!$B$4,3,AN84&gt;='NILAI CPL'!$B$5,2,AN84&gt;'NILAI CPL'!$B$6,1),0),"")</f>
        <v/>
      </c>
    </row>
    <row r="85" spans="1:63" x14ac:dyDescent="0.2">
      <c r="A85" s="2">
        <v>75</v>
      </c>
      <c r="B85" s="2" t="str">
        <f>IF(LEN(SUMMARY!B85)&gt;0, SUMMARY!B85, "")</f>
        <v/>
      </c>
      <c r="C85" s="2" t="str">
        <f>IF(LEN(SUMMARY!C85)&gt;0, SUMMARY!C85, "")</f>
        <v/>
      </c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" t="str">
        <f t="shared" si="25"/>
        <v/>
      </c>
      <c r="S85" s="2" t="str">
        <f t="shared" si="26"/>
        <v/>
      </c>
      <c r="T85" s="2" t="str">
        <f t="shared" si="27"/>
        <v/>
      </c>
      <c r="U85" s="2" t="str">
        <f t="shared" si="28"/>
        <v/>
      </c>
      <c r="V85" s="2" t="str">
        <f t="shared" si="29"/>
        <v/>
      </c>
      <c r="W85" s="2" t="str">
        <f t="shared" si="30"/>
        <v/>
      </c>
      <c r="X85" s="2" t="str">
        <f t="shared" si="31"/>
        <v/>
      </c>
      <c r="Y85" s="2" t="str">
        <f t="shared" si="32"/>
        <v/>
      </c>
      <c r="Z85" s="2" t="str">
        <f t="shared" si="33"/>
        <v/>
      </c>
      <c r="AA85" s="2" t="str">
        <f t="shared" si="34"/>
        <v/>
      </c>
      <c r="AB85" s="2" t="str">
        <f t="shared" si="35"/>
        <v/>
      </c>
      <c r="AC85" s="2" t="str">
        <f t="shared" si="36"/>
        <v/>
      </c>
      <c r="AD85" s="2" t="str">
        <f t="shared" si="37"/>
        <v/>
      </c>
      <c r="AE85" s="2" t="str">
        <f t="shared" si="38"/>
        <v/>
      </c>
      <c r="AF85" s="2" t="str">
        <f t="shared" si="39"/>
        <v/>
      </c>
      <c r="AG85" s="2" t="str">
        <f t="shared" si="40"/>
        <v/>
      </c>
      <c r="AH85" s="2" t="str">
        <f t="shared" si="41"/>
        <v/>
      </c>
      <c r="AI85" s="2" t="str">
        <f t="shared" si="42"/>
        <v/>
      </c>
      <c r="AJ85" s="2" t="str">
        <f t="shared" si="43"/>
        <v/>
      </c>
      <c r="AK85" s="2" t="str">
        <f t="shared" si="44"/>
        <v/>
      </c>
      <c r="AL85" s="2" t="str">
        <f t="shared" si="45"/>
        <v/>
      </c>
      <c r="AM85" s="2" t="str">
        <f t="shared" si="46"/>
        <v/>
      </c>
      <c r="AN85" s="2" t="str">
        <f t="shared" si="47"/>
        <v/>
      </c>
      <c r="AP85" s="2" t="str" cm="1">
        <f t="array" ref="AP85">IF('NILAI CPL'!$B85&lt;&gt;"",IFERROR(_xlfn.IFS(S85&gt;='NILAI CPL'!$B$3,4,S85&gt;='NILAI CPL'!$B$4,3,S85&gt;='NILAI CPL'!$B$5,2,S85&gt;'NILAI CPL'!$B$6,1),0),"")</f>
        <v/>
      </c>
      <c r="AQ85" s="2" t="str" cm="1">
        <f t="array" ref="AQ85">IF('NILAI CPL'!$B85&lt;&gt;"",IFERROR(_xlfn.IFS(T85&gt;='NILAI CPL'!$B$3,4,T85&gt;='NILAI CPL'!$B$4,3,T85&gt;='NILAI CPL'!$B$5,2,T85&gt;'NILAI CPL'!$B$6,1),0),"")</f>
        <v/>
      </c>
      <c r="AR85" s="2" t="str" cm="1">
        <f t="array" ref="AR85">IF('NILAI CPL'!$B85&lt;&gt;"",IFERROR(_xlfn.IFS(U85&gt;='NILAI CPL'!$B$3,4,U85&gt;='NILAI CPL'!$B$4,3,U85&gt;='NILAI CPL'!$B$5,2,U85&gt;'NILAI CPL'!$B$6,1),0),"")</f>
        <v/>
      </c>
      <c r="AS85" s="2" t="str" cm="1">
        <f t="array" ref="AS85">IF('NILAI CPL'!$B85&lt;&gt;"",IFERROR(_xlfn.IFS(V85&gt;='NILAI CPL'!$B$3,4,V85&gt;='NILAI CPL'!$B$4,3,V85&gt;='NILAI CPL'!$B$5,2,V85&gt;'NILAI CPL'!$B$6,1),0),"")</f>
        <v/>
      </c>
      <c r="AT85" s="2" t="str" cm="1">
        <f t="array" ref="AT85">IF('NILAI CPL'!$B85&lt;&gt;"",IFERROR(_xlfn.IFS(W85&gt;='NILAI CPL'!$B$3,4,W85&gt;='NILAI CPL'!$B$4,3,W85&gt;='NILAI CPL'!$B$5,2,W85&gt;'NILAI CPL'!$B$6,1),0),"")</f>
        <v/>
      </c>
      <c r="AU85" s="2" t="str" cm="1">
        <f t="array" ref="AU85">IF('NILAI CPL'!$B85&lt;&gt;"",IFERROR(_xlfn.IFS(X85&gt;='NILAI CPL'!$B$3,4,X85&gt;='NILAI CPL'!$B$4,3,X85&gt;='NILAI CPL'!$B$5,2,X85&gt;'NILAI CPL'!$B$6,1),0),"")</f>
        <v/>
      </c>
      <c r="AV85" s="2" t="str" cm="1">
        <f t="array" ref="AV85">IF('NILAI CPL'!$B85&lt;&gt;"",IFERROR(_xlfn.IFS(Y85&gt;='NILAI CPL'!$B$3,4,Y85&gt;='NILAI CPL'!$B$4,3,Y85&gt;='NILAI CPL'!$B$5,2,Y85&gt;'NILAI CPL'!$B$6,1),0),"")</f>
        <v/>
      </c>
      <c r="AW85" s="2" t="str" cm="1">
        <f t="array" ref="AW85">IF('NILAI CPL'!$B85&lt;&gt;"",IFERROR(_xlfn.IFS(Z85&gt;='NILAI CPL'!$B$3,4,Z85&gt;='NILAI CPL'!$B$4,3,Z85&gt;='NILAI CPL'!$B$5,2,Z85&gt;'NILAI CPL'!$B$6,1),0),"")</f>
        <v/>
      </c>
      <c r="AX85" s="2" t="str" cm="1">
        <f t="array" ref="AX85">IF('NILAI CPL'!$B85&lt;&gt;"",IFERROR(_xlfn.IFS(AA85&gt;='NILAI CPL'!$B$3,4,AA85&gt;='NILAI CPL'!$B$4,3,AA85&gt;='NILAI CPL'!$B$5,2,AA85&gt;'NILAI CPL'!$B$6,1),0),"")</f>
        <v/>
      </c>
      <c r="AY85" s="2" t="str" cm="1">
        <f t="array" ref="AY85">IF('NILAI CPL'!$B85&lt;&gt;"",IFERROR(_xlfn.IFS(AB85&gt;='NILAI CPL'!$B$3,4,AB85&gt;='NILAI CPL'!$B$4,3,AB85&gt;='NILAI CPL'!$B$5,2,AB85&gt;'NILAI CPL'!$B$6,1),0),"")</f>
        <v/>
      </c>
      <c r="AZ85" s="2" t="str" cm="1">
        <f t="array" ref="AZ85">IF('NILAI CPL'!$B85&lt;&gt;"",IFERROR(_xlfn.IFS(AC85&gt;='NILAI CPL'!$B$3,4,AC85&gt;='NILAI CPL'!$B$4,3,AC85&gt;='NILAI CPL'!$B$5,2,AC85&gt;'NILAI CPL'!$B$6,1),0),"")</f>
        <v/>
      </c>
      <c r="BA85" s="2" t="str" cm="1">
        <f t="array" ref="BA85">IF('NILAI CPL'!$B85&lt;&gt;"",IFERROR(_xlfn.IFS(AD85&gt;='NILAI CPL'!$B$3,4,AD85&gt;='NILAI CPL'!$B$4,3,AD85&gt;='NILAI CPL'!$B$5,2,AD85&gt;'NILAI CPL'!$B$6,1),0),"")</f>
        <v/>
      </c>
      <c r="BB85" s="2" t="str" cm="1">
        <f t="array" ref="BB85">IF('NILAI CPL'!$B85&lt;&gt;"",IFERROR(_xlfn.IFS(AE85&gt;='NILAI CPL'!$B$3,4,AE85&gt;='NILAI CPL'!$B$4,3,AE85&gt;='NILAI CPL'!$B$5,2,AE85&gt;'NILAI CPL'!$B$6,1),0),"")</f>
        <v/>
      </c>
      <c r="BC85" s="2" t="str" cm="1">
        <f t="array" ref="BC85">IF('NILAI CPL'!$B85&lt;&gt;"",IFERROR(_xlfn.IFS(AF85&gt;='NILAI CPL'!$B$3,4,AF85&gt;='NILAI CPL'!$B$4,3,AF85&gt;='NILAI CPL'!$B$5,2,AF85&gt;'NILAI CPL'!$B$6,1),0),"")</f>
        <v/>
      </c>
      <c r="BD85" s="2" t="str" cm="1">
        <f t="array" ref="BD85">IF('NILAI CPL'!$B85&lt;&gt;"",IFERROR(_xlfn.IFS(AG85&gt;='NILAI CPL'!$B$3,4,AG85&gt;='NILAI CPL'!$B$4,3,AG85&gt;='NILAI CPL'!$B$5,2,AG85&gt;'NILAI CPL'!$B$6,1),0),"")</f>
        <v/>
      </c>
      <c r="BE85" s="2" t="str" cm="1">
        <f t="array" ref="BE85">IF('NILAI CPL'!$B85&lt;&gt;"",IFERROR(_xlfn.IFS(AH85&gt;='NILAI CPL'!$B$3,4,AH85&gt;='NILAI CPL'!$B$4,3,AH85&gt;='NILAI CPL'!$B$5,2,AH85&gt;'NILAI CPL'!$B$6,1),0),"")</f>
        <v/>
      </c>
      <c r="BF85" s="2" t="str" cm="1">
        <f t="array" ref="BF85">IF('NILAI CPL'!$B85&lt;&gt;"",IFERROR(_xlfn.IFS(AI85&gt;='NILAI CPL'!$B$3,4,AI85&gt;='NILAI CPL'!$B$4,3,AI85&gt;='NILAI CPL'!$B$5,2,AI85&gt;'NILAI CPL'!$B$6,1),0),"")</f>
        <v/>
      </c>
      <c r="BG85" s="2" t="str" cm="1">
        <f t="array" ref="BG85">IF('NILAI CPL'!$B85&lt;&gt;"",IFERROR(_xlfn.IFS(AJ85&gt;='NILAI CPL'!$B$3,4,AJ85&gt;='NILAI CPL'!$B$4,3,AJ85&gt;='NILAI CPL'!$B$5,2,AJ85&gt;'NILAI CPL'!$B$6,1),0),"")</f>
        <v/>
      </c>
      <c r="BH85" s="2" t="str" cm="1">
        <f t="array" ref="BH85">IF('NILAI CPL'!$B85&lt;&gt;"",IFERROR(_xlfn.IFS(AK85&gt;='NILAI CPL'!$B$3,4,AK85&gt;='NILAI CPL'!$B$4,3,AK85&gt;='NILAI CPL'!$B$5,2,AK85&gt;'NILAI CPL'!$B$6,1),0),"")</f>
        <v/>
      </c>
      <c r="BI85" s="2" t="str" cm="1">
        <f t="array" ref="BI85">IF('NILAI CPL'!$B85&lt;&gt;"",IFERROR(_xlfn.IFS(AL85&gt;='NILAI CPL'!$B$3,4,AL85&gt;='NILAI CPL'!$B$4,3,AL85&gt;='NILAI CPL'!$B$5,2,AL85&gt;'NILAI CPL'!$B$6,1),0),"")</f>
        <v/>
      </c>
      <c r="BJ85" s="2" t="str" cm="1">
        <f t="array" ref="BJ85">IF('NILAI CPL'!$B85&lt;&gt;"",IFERROR(_xlfn.IFS(AM85&gt;='NILAI CPL'!$B$3,4,AM85&gt;='NILAI CPL'!$B$4,3,AM85&gt;='NILAI CPL'!$B$5,2,AM85&gt;'NILAI CPL'!$B$6,1),0),"")</f>
        <v/>
      </c>
      <c r="BK85" s="2" t="str" cm="1">
        <f t="array" ref="BK85">IF('NILAI CPL'!$B85&lt;&gt;"",IFERROR(_xlfn.IFS(AN85&gt;='NILAI CPL'!$B$3,4,AN85&gt;='NILAI CPL'!$B$4,3,AN85&gt;='NILAI CPL'!$B$5,2,AN85&gt;'NILAI CPL'!$B$6,1),0),"")</f>
        <v/>
      </c>
    </row>
    <row r="86" spans="1:63" x14ac:dyDescent="0.2">
      <c r="A86" s="2">
        <v>76</v>
      </c>
      <c r="B86" s="2" t="str">
        <f>IF(LEN(SUMMARY!B86)&gt;0, SUMMARY!B86, "")</f>
        <v/>
      </c>
      <c r="C86" s="2" t="str">
        <f>IF(LEN(SUMMARY!C86)&gt;0, SUMMARY!C86, "")</f>
        <v/>
      </c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" t="str">
        <f t="shared" si="25"/>
        <v/>
      </c>
      <c r="S86" s="2" t="str">
        <f t="shared" si="26"/>
        <v/>
      </c>
      <c r="T86" s="2" t="str">
        <f t="shared" si="27"/>
        <v/>
      </c>
      <c r="U86" s="2" t="str">
        <f t="shared" si="28"/>
        <v/>
      </c>
      <c r="V86" s="2" t="str">
        <f t="shared" si="29"/>
        <v/>
      </c>
      <c r="W86" s="2" t="str">
        <f t="shared" si="30"/>
        <v/>
      </c>
      <c r="X86" s="2" t="str">
        <f t="shared" si="31"/>
        <v/>
      </c>
      <c r="Y86" s="2" t="str">
        <f t="shared" si="32"/>
        <v/>
      </c>
      <c r="Z86" s="2" t="str">
        <f t="shared" si="33"/>
        <v/>
      </c>
      <c r="AA86" s="2" t="str">
        <f t="shared" si="34"/>
        <v/>
      </c>
      <c r="AB86" s="2" t="str">
        <f t="shared" si="35"/>
        <v/>
      </c>
      <c r="AC86" s="2" t="str">
        <f t="shared" si="36"/>
        <v/>
      </c>
      <c r="AD86" s="2" t="str">
        <f t="shared" si="37"/>
        <v/>
      </c>
      <c r="AE86" s="2" t="str">
        <f t="shared" si="38"/>
        <v/>
      </c>
      <c r="AF86" s="2" t="str">
        <f t="shared" si="39"/>
        <v/>
      </c>
      <c r="AG86" s="2" t="str">
        <f t="shared" si="40"/>
        <v/>
      </c>
      <c r="AH86" s="2" t="str">
        <f t="shared" si="41"/>
        <v/>
      </c>
      <c r="AI86" s="2" t="str">
        <f t="shared" si="42"/>
        <v/>
      </c>
      <c r="AJ86" s="2" t="str">
        <f t="shared" si="43"/>
        <v/>
      </c>
      <c r="AK86" s="2" t="str">
        <f t="shared" si="44"/>
        <v/>
      </c>
      <c r="AL86" s="2" t="str">
        <f t="shared" si="45"/>
        <v/>
      </c>
      <c r="AM86" s="2" t="str">
        <f t="shared" si="46"/>
        <v/>
      </c>
      <c r="AN86" s="2" t="str">
        <f t="shared" si="47"/>
        <v/>
      </c>
      <c r="AP86" s="2" t="str" cm="1">
        <f t="array" ref="AP86">IF('NILAI CPL'!$B86&lt;&gt;"",IFERROR(_xlfn.IFS(S86&gt;='NILAI CPL'!$B$3,4,S86&gt;='NILAI CPL'!$B$4,3,S86&gt;='NILAI CPL'!$B$5,2,S86&gt;'NILAI CPL'!$B$6,1),0),"")</f>
        <v/>
      </c>
      <c r="AQ86" s="2" t="str" cm="1">
        <f t="array" ref="AQ86">IF('NILAI CPL'!$B86&lt;&gt;"",IFERROR(_xlfn.IFS(T86&gt;='NILAI CPL'!$B$3,4,T86&gt;='NILAI CPL'!$B$4,3,T86&gt;='NILAI CPL'!$B$5,2,T86&gt;'NILAI CPL'!$B$6,1),0),"")</f>
        <v/>
      </c>
      <c r="AR86" s="2" t="str" cm="1">
        <f t="array" ref="AR86">IF('NILAI CPL'!$B86&lt;&gt;"",IFERROR(_xlfn.IFS(U86&gt;='NILAI CPL'!$B$3,4,U86&gt;='NILAI CPL'!$B$4,3,U86&gt;='NILAI CPL'!$B$5,2,U86&gt;'NILAI CPL'!$B$6,1),0),"")</f>
        <v/>
      </c>
      <c r="AS86" s="2" t="str" cm="1">
        <f t="array" ref="AS86">IF('NILAI CPL'!$B86&lt;&gt;"",IFERROR(_xlfn.IFS(V86&gt;='NILAI CPL'!$B$3,4,V86&gt;='NILAI CPL'!$B$4,3,V86&gt;='NILAI CPL'!$B$5,2,V86&gt;'NILAI CPL'!$B$6,1),0),"")</f>
        <v/>
      </c>
      <c r="AT86" s="2" t="str" cm="1">
        <f t="array" ref="AT86">IF('NILAI CPL'!$B86&lt;&gt;"",IFERROR(_xlfn.IFS(W86&gt;='NILAI CPL'!$B$3,4,W86&gt;='NILAI CPL'!$B$4,3,W86&gt;='NILAI CPL'!$B$5,2,W86&gt;'NILAI CPL'!$B$6,1),0),"")</f>
        <v/>
      </c>
      <c r="AU86" s="2" t="str" cm="1">
        <f t="array" ref="AU86">IF('NILAI CPL'!$B86&lt;&gt;"",IFERROR(_xlfn.IFS(X86&gt;='NILAI CPL'!$B$3,4,X86&gt;='NILAI CPL'!$B$4,3,X86&gt;='NILAI CPL'!$B$5,2,X86&gt;'NILAI CPL'!$B$6,1),0),"")</f>
        <v/>
      </c>
      <c r="AV86" s="2" t="str" cm="1">
        <f t="array" ref="AV86">IF('NILAI CPL'!$B86&lt;&gt;"",IFERROR(_xlfn.IFS(Y86&gt;='NILAI CPL'!$B$3,4,Y86&gt;='NILAI CPL'!$B$4,3,Y86&gt;='NILAI CPL'!$B$5,2,Y86&gt;'NILAI CPL'!$B$6,1),0),"")</f>
        <v/>
      </c>
      <c r="AW86" s="2" t="str" cm="1">
        <f t="array" ref="AW86">IF('NILAI CPL'!$B86&lt;&gt;"",IFERROR(_xlfn.IFS(Z86&gt;='NILAI CPL'!$B$3,4,Z86&gt;='NILAI CPL'!$B$4,3,Z86&gt;='NILAI CPL'!$B$5,2,Z86&gt;'NILAI CPL'!$B$6,1),0),"")</f>
        <v/>
      </c>
      <c r="AX86" s="2" t="str" cm="1">
        <f t="array" ref="AX86">IF('NILAI CPL'!$B86&lt;&gt;"",IFERROR(_xlfn.IFS(AA86&gt;='NILAI CPL'!$B$3,4,AA86&gt;='NILAI CPL'!$B$4,3,AA86&gt;='NILAI CPL'!$B$5,2,AA86&gt;'NILAI CPL'!$B$6,1),0),"")</f>
        <v/>
      </c>
      <c r="AY86" s="2" t="str" cm="1">
        <f t="array" ref="AY86">IF('NILAI CPL'!$B86&lt;&gt;"",IFERROR(_xlfn.IFS(AB86&gt;='NILAI CPL'!$B$3,4,AB86&gt;='NILAI CPL'!$B$4,3,AB86&gt;='NILAI CPL'!$B$5,2,AB86&gt;'NILAI CPL'!$B$6,1),0),"")</f>
        <v/>
      </c>
      <c r="AZ86" s="2" t="str" cm="1">
        <f t="array" ref="AZ86">IF('NILAI CPL'!$B86&lt;&gt;"",IFERROR(_xlfn.IFS(AC86&gt;='NILAI CPL'!$B$3,4,AC86&gt;='NILAI CPL'!$B$4,3,AC86&gt;='NILAI CPL'!$B$5,2,AC86&gt;'NILAI CPL'!$B$6,1),0),"")</f>
        <v/>
      </c>
      <c r="BA86" s="2" t="str" cm="1">
        <f t="array" ref="BA86">IF('NILAI CPL'!$B86&lt;&gt;"",IFERROR(_xlfn.IFS(AD86&gt;='NILAI CPL'!$B$3,4,AD86&gt;='NILAI CPL'!$B$4,3,AD86&gt;='NILAI CPL'!$B$5,2,AD86&gt;'NILAI CPL'!$B$6,1),0),"")</f>
        <v/>
      </c>
      <c r="BB86" s="2" t="str" cm="1">
        <f t="array" ref="BB86">IF('NILAI CPL'!$B86&lt;&gt;"",IFERROR(_xlfn.IFS(AE86&gt;='NILAI CPL'!$B$3,4,AE86&gt;='NILAI CPL'!$B$4,3,AE86&gt;='NILAI CPL'!$B$5,2,AE86&gt;'NILAI CPL'!$B$6,1),0),"")</f>
        <v/>
      </c>
      <c r="BC86" s="2" t="str" cm="1">
        <f t="array" ref="BC86">IF('NILAI CPL'!$B86&lt;&gt;"",IFERROR(_xlfn.IFS(AF86&gt;='NILAI CPL'!$B$3,4,AF86&gt;='NILAI CPL'!$B$4,3,AF86&gt;='NILAI CPL'!$B$5,2,AF86&gt;'NILAI CPL'!$B$6,1),0),"")</f>
        <v/>
      </c>
      <c r="BD86" s="2" t="str" cm="1">
        <f t="array" ref="BD86">IF('NILAI CPL'!$B86&lt;&gt;"",IFERROR(_xlfn.IFS(AG86&gt;='NILAI CPL'!$B$3,4,AG86&gt;='NILAI CPL'!$B$4,3,AG86&gt;='NILAI CPL'!$B$5,2,AG86&gt;'NILAI CPL'!$B$6,1),0),"")</f>
        <v/>
      </c>
      <c r="BE86" s="2" t="str" cm="1">
        <f t="array" ref="BE86">IF('NILAI CPL'!$B86&lt;&gt;"",IFERROR(_xlfn.IFS(AH86&gt;='NILAI CPL'!$B$3,4,AH86&gt;='NILAI CPL'!$B$4,3,AH86&gt;='NILAI CPL'!$B$5,2,AH86&gt;'NILAI CPL'!$B$6,1),0),"")</f>
        <v/>
      </c>
      <c r="BF86" s="2" t="str" cm="1">
        <f t="array" ref="BF86">IF('NILAI CPL'!$B86&lt;&gt;"",IFERROR(_xlfn.IFS(AI86&gt;='NILAI CPL'!$B$3,4,AI86&gt;='NILAI CPL'!$B$4,3,AI86&gt;='NILAI CPL'!$B$5,2,AI86&gt;'NILAI CPL'!$B$6,1),0),"")</f>
        <v/>
      </c>
      <c r="BG86" s="2" t="str" cm="1">
        <f t="array" ref="BG86">IF('NILAI CPL'!$B86&lt;&gt;"",IFERROR(_xlfn.IFS(AJ86&gt;='NILAI CPL'!$B$3,4,AJ86&gt;='NILAI CPL'!$B$4,3,AJ86&gt;='NILAI CPL'!$B$5,2,AJ86&gt;'NILAI CPL'!$B$6,1),0),"")</f>
        <v/>
      </c>
      <c r="BH86" s="2" t="str" cm="1">
        <f t="array" ref="BH86">IF('NILAI CPL'!$B86&lt;&gt;"",IFERROR(_xlfn.IFS(AK86&gt;='NILAI CPL'!$B$3,4,AK86&gt;='NILAI CPL'!$B$4,3,AK86&gt;='NILAI CPL'!$B$5,2,AK86&gt;'NILAI CPL'!$B$6,1),0),"")</f>
        <v/>
      </c>
      <c r="BI86" s="2" t="str" cm="1">
        <f t="array" ref="BI86">IF('NILAI CPL'!$B86&lt;&gt;"",IFERROR(_xlfn.IFS(AL86&gt;='NILAI CPL'!$B$3,4,AL86&gt;='NILAI CPL'!$B$4,3,AL86&gt;='NILAI CPL'!$B$5,2,AL86&gt;'NILAI CPL'!$B$6,1),0),"")</f>
        <v/>
      </c>
      <c r="BJ86" s="2" t="str" cm="1">
        <f t="array" ref="BJ86">IF('NILAI CPL'!$B86&lt;&gt;"",IFERROR(_xlfn.IFS(AM86&gt;='NILAI CPL'!$B$3,4,AM86&gt;='NILAI CPL'!$B$4,3,AM86&gt;='NILAI CPL'!$B$5,2,AM86&gt;'NILAI CPL'!$B$6,1),0),"")</f>
        <v/>
      </c>
      <c r="BK86" s="2" t="str" cm="1">
        <f t="array" ref="BK86">IF('NILAI CPL'!$B86&lt;&gt;"",IFERROR(_xlfn.IFS(AN86&gt;='NILAI CPL'!$B$3,4,AN86&gt;='NILAI CPL'!$B$4,3,AN86&gt;='NILAI CPL'!$B$5,2,AN86&gt;'NILAI CPL'!$B$6,1),0),"")</f>
        <v/>
      </c>
    </row>
    <row r="87" spans="1:63" x14ac:dyDescent="0.2">
      <c r="A87" s="2">
        <v>77</v>
      </c>
      <c r="B87" s="2" t="str">
        <f>IF(LEN(SUMMARY!B87)&gt;0, SUMMARY!B87, "")</f>
        <v/>
      </c>
      <c r="C87" s="2" t="str">
        <f>IF(LEN(SUMMARY!C87)&gt;0, SUMMARY!C87, "")</f>
        <v/>
      </c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" t="str">
        <f t="shared" si="25"/>
        <v/>
      </c>
      <c r="S87" s="2" t="str">
        <f t="shared" si="26"/>
        <v/>
      </c>
      <c r="T87" s="2" t="str">
        <f t="shared" si="27"/>
        <v/>
      </c>
      <c r="U87" s="2" t="str">
        <f t="shared" si="28"/>
        <v/>
      </c>
      <c r="V87" s="2" t="str">
        <f t="shared" si="29"/>
        <v/>
      </c>
      <c r="W87" s="2" t="str">
        <f t="shared" si="30"/>
        <v/>
      </c>
      <c r="X87" s="2" t="str">
        <f t="shared" si="31"/>
        <v/>
      </c>
      <c r="Y87" s="2" t="str">
        <f t="shared" si="32"/>
        <v/>
      </c>
      <c r="Z87" s="2" t="str">
        <f t="shared" si="33"/>
        <v/>
      </c>
      <c r="AA87" s="2" t="str">
        <f t="shared" si="34"/>
        <v/>
      </c>
      <c r="AB87" s="2" t="str">
        <f t="shared" si="35"/>
        <v/>
      </c>
      <c r="AC87" s="2" t="str">
        <f t="shared" si="36"/>
        <v/>
      </c>
      <c r="AD87" s="2" t="str">
        <f t="shared" si="37"/>
        <v/>
      </c>
      <c r="AE87" s="2" t="str">
        <f t="shared" si="38"/>
        <v/>
      </c>
      <c r="AF87" s="2" t="str">
        <f t="shared" si="39"/>
        <v/>
      </c>
      <c r="AG87" s="2" t="str">
        <f t="shared" si="40"/>
        <v/>
      </c>
      <c r="AH87" s="2" t="str">
        <f t="shared" si="41"/>
        <v/>
      </c>
      <c r="AI87" s="2" t="str">
        <f t="shared" si="42"/>
        <v/>
      </c>
      <c r="AJ87" s="2" t="str">
        <f t="shared" si="43"/>
        <v/>
      </c>
      <c r="AK87" s="2" t="str">
        <f t="shared" si="44"/>
        <v/>
      </c>
      <c r="AL87" s="2" t="str">
        <f t="shared" si="45"/>
        <v/>
      </c>
      <c r="AM87" s="2" t="str">
        <f t="shared" si="46"/>
        <v/>
      </c>
      <c r="AN87" s="2" t="str">
        <f t="shared" si="47"/>
        <v/>
      </c>
      <c r="AP87" s="2" t="str" cm="1">
        <f t="array" ref="AP87">IF('NILAI CPL'!$B87&lt;&gt;"",IFERROR(_xlfn.IFS(S87&gt;='NILAI CPL'!$B$3,4,S87&gt;='NILAI CPL'!$B$4,3,S87&gt;='NILAI CPL'!$B$5,2,S87&gt;'NILAI CPL'!$B$6,1),0),"")</f>
        <v/>
      </c>
      <c r="AQ87" s="2" t="str" cm="1">
        <f t="array" ref="AQ87">IF('NILAI CPL'!$B87&lt;&gt;"",IFERROR(_xlfn.IFS(T87&gt;='NILAI CPL'!$B$3,4,T87&gt;='NILAI CPL'!$B$4,3,T87&gt;='NILAI CPL'!$B$5,2,T87&gt;'NILAI CPL'!$B$6,1),0),"")</f>
        <v/>
      </c>
      <c r="AR87" s="2" t="str" cm="1">
        <f t="array" ref="AR87">IF('NILAI CPL'!$B87&lt;&gt;"",IFERROR(_xlfn.IFS(U87&gt;='NILAI CPL'!$B$3,4,U87&gt;='NILAI CPL'!$B$4,3,U87&gt;='NILAI CPL'!$B$5,2,U87&gt;'NILAI CPL'!$B$6,1),0),"")</f>
        <v/>
      </c>
      <c r="AS87" s="2" t="str" cm="1">
        <f t="array" ref="AS87">IF('NILAI CPL'!$B87&lt;&gt;"",IFERROR(_xlfn.IFS(V87&gt;='NILAI CPL'!$B$3,4,V87&gt;='NILAI CPL'!$B$4,3,V87&gt;='NILAI CPL'!$B$5,2,V87&gt;'NILAI CPL'!$B$6,1),0),"")</f>
        <v/>
      </c>
      <c r="AT87" s="2" t="str" cm="1">
        <f t="array" ref="AT87">IF('NILAI CPL'!$B87&lt;&gt;"",IFERROR(_xlfn.IFS(W87&gt;='NILAI CPL'!$B$3,4,W87&gt;='NILAI CPL'!$B$4,3,W87&gt;='NILAI CPL'!$B$5,2,W87&gt;'NILAI CPL'!$B$6,1),0),"")</f>
        <v/>
      </c>
      <c r="AU87" s="2" t="str" cm="1">
        <f t="array" ref="AU87">IF('NILAI CPL'!$B87&lt;&gt;"",IFERROR(_xlfn.IFS(X87&gt;='NILAI CPL'!$B$3,4,X87&gt;='NILAI CPL'!$B$4,3,X87&gt;='NILAI CPL'!$B$5,2,X87&gt;'NILAI CPL'!$B$6,1),0),"")</f>
        <v/>
      </c>
      <c r="AV87" s="2" t="str" cm="1">
        <f t="array" ref="AV87">IF('NILAI CPL'!$B87&lt;&gt;"",IFERROR(_xlfn.IFS(Y87&gt;='NILAI CPL'!$B$3,4,Y87&gt;='NILAI CPL'!$B$4,3,Y87&gt;='NILAI CPL'!$B$5,2,Y87&gt;'NILAI CPL'!$B$6,1),0),"")</f>
        <v/>
      </c>
      <c r="AW87" s="2" t="str" cm="1">
        <f t="array" ref="AW87">IF('NILAI CPL'!$B87&lt;&gt;"",IFERROR(_xlfn.IFS(Z87&gt;='NILAI CPL'!$B$3,4,Z87&gt;='NILAI CPL'!$B$4,3,Z87&gt;='NILAI CPL'!$B$5,2,Z87&gt;'NILAI CPL'!$B$6,1),0),"")</f>
        <v/>
      </c>
      <c r="AX87" s="2" t="str" cm="1">
        <f t="array" ref="AX87">IF('NILAI CPL'!$B87&lt;&gt;"",IFERROR(_xlfn.IFS(AA87&gt;='NILAI CPL'!$B$3,4,AA87&gt;='NILAI CPL'!$B$4,3,AA87&gt;='NILAI CPL'!$B$5,2,AA87&gt;'NILAI CPL'!$B$6,1),0),"")</f>
        <v/>
      </c>
      <c r="AY87" s="2" t="str" cm="1">
        <f t="array" ref="AY87">IF('NILAI CPL'!$B87&lt;&gt;"",IFERROR(_xlfn.IFS(AB87&gt;='NILAI CPL'!$B$3,4,AB87&gt;='NILAI CPL'!$B$4,3,AB87&gt;='NILAI CPL'!$B$5,2,AB87&gt;'NILAI CPL'!$B$6,1),0),"")</f>
        <v/>
      </c>
      <c r="AZ87" s="2" t="str" cm="1">
        <f t="array" ref="AZ87">IF('NILAI CPL'!$B87&lt;&gt;"",IFERROR(_xlfn.IFS(AC87&gt;='NILAI CPL'!$B$3,4,AC87&gt;='NILAI CPL'!$B$4,3,AC87&gt;='NILAI CPL'!$B$5,2,AC87&gt;'NILAI CPL'!$B$6,1),0),"")</f>
        <v/>
      </c>
      <c r="BA87" s="2" t="str" cm="1">
        <f t="array" ref="BA87">IF('NILAI CPL'!$B87&lt;&gt;"",IFERROR(_xlfn.IFS(AD87&gt;='NILAI CPL'!$B$3,4,AD87&gt;='NILAI CPL'!$B$4,3,AD87&gt;='NILAI CPL'!$B$5,2,AD87&gt;'NILAI CPL'!$B$6,1),0),"")</f>
        <v/>
      </c>
      <c r="BB87" s="2" t="str" cm="1">
        <f t="array" ref="BB87">IF('NILAI CPL'!$B87&lt;&gt;"",IFERROR(_xlfn.IFS(AE87&gt;='NILAI CPL'!$B$3,4,AE87&gt;='NILAI CPL'!$B$4,3,AE87&gt;='NILAI CPL'!$B$5,2,AE87&gt;'NILAI CPL'!$B$6,1),0),"")</f>
        <v/>
      </c>
      <c r="BC87" s="2" t="str" cm="1">
        <f t="array" ref="BC87">IF('NILAI CPL'!$B87&lt;&gt;"",IFERROR(_xlfn.IFS(AF87&gt;='NILAI CPL'!$B$3,4,AF87&gt;='NILAI CPL'!$B$4,3,AF87&gt;='NILAI CPL'!$B$5,2,AF87&gt;'NILAI CPL'!$B$6,1),0),"")</f>
        <v/>
      </c>
      <c r="BD87" s="2" t="str" cm="1">
        <f t="array" ref="BD87">IF('NILAI CPL'!$B87&lt;&gt;"",IFERROR(_xlfn.IFS(AG87&gt;='NILAI CPL'!$B$3,4,AG87&gt;='NILAI CPL'!$B$4,3,AG87&gt;='NILAI CPL'!$B$5,2,AG87&gt;'NILAI CPL'!$B$6,1),0),"")</f>
        <v/>
      </c>
      <c r="BE87" s="2" t="str" cm="1">
        <f t="array" ref="BE87">IF('NILAI CPL'!$B87&lt;&gt;"",IFERROR(_xlfn.IFS(AH87&gt;='NILAI CPL'!$B$3,4,AH87&gt;='NILAI CPL'!$B$4,3,AH87&gt;='NILAI CPL'!$B$5,2,AH87&gt;'NILAI CPL'!$B$6,1),0),"")</f>
        <v/>
      </c>
      <c r="BF87" s="2" t="str" cm="1">
        <f t="array" ref="BF87">IF('NILAI CPL'!$B87&lt;&gt;"",IFERROR(_xlfn.IFS(AI87&gt;='NILAI CPL'!$B$3,4,AI87&gt;='NILAI CPL'!$B$4,3,AI87&gt;='NILAI CPL'!$B$5,2,AI87&gt;'NILAI CPL'!$B$6,1),0),"")</f>
        <v/>
      </c>
      <c r="BG87" s="2" t="str" cm="1">
        <f t="array" ref="BG87">IF('NILAI CPL'!$B87&lt;&gt;"",IFERROR(_xlfn.IFS(AJ87&gt;='NILAI CPL'!$B$3,4,AJ87&gt;='NILAI CPL'!$B$4,3,AJ87&gt;='NILAI CPL'!$B$5,2,AJ87&gt;'NILAI CPL'!$B$6,1),0),"")</f>
        <v/>
      </c>
      <c r="BH87" s="2" t="str" cm="1">
        <f t="array" ref="BH87">IF('NILAI CPL'!$B87&lt;&gt;"",IFERROR(_xlfn.IFS(AK87&gt;='NILAI CPL'!$B$3,4,AK87&gt;='NILAI CPL'!$B$4,3,AK87&gt;='NILAI CPL'!$B$5,2,AK87&gt;'NILAI CPL'!$B$6,1),0),"")</f>
        <v/>
      </c>
      <c r="BI87" s="2" t="str" cm="1">
        <f t="array" ref="BI87">IF('NILAI CPL'!$B87&lt;&gt;"",IFERROR(_xlfn.IFS(AL87&gt;='NILAI CPL'!$B$3,4,AL87&gt;='NILAI CPL'!$B$4,3,AL87&gt;='NILAI CPL'!$B$5,2,AL87&gt;'NILAI CPL'!$B$6,1),0),"")</f>
        <v/>
      </c>
      <c r="BJ87" s="2" t="str" cm="1">
        <f t="array" ref="BJ87">IF('NILAI CPL'!$B87&lt;&gt;"",IFERROR(_xlfn.IFS(AM87&gt;='NILAI CPL'!$B$3,4,AM87&gt;='NILAI CPL'!$B$4,3,AM87&gt;='NILAI CPL'!$B$5,2,AM87&gt;'NILAI CPL'!$B$6,1),0),"")</f>
        <v/>
      </c>
      <c r="BK87" s="2" t="str" cm="1">
        <f t="array" ref="BK87">IF('NILAI CPL'!$B87&lt;&gt;"",IFERROR(_xlfn.IFS(AN87&gt;='NILAI CPL'!$B$3,4,AN87&gt;='NILAI CPL'!$B$4,3,AN87&gt;='NILAI CPL'!$B$5,2,AN87&gt;'NILAI CPL'!$B$6,1),0),"")</f>
        <v/>
      </c>
    </row>
    <row r="88" spans="1:63" x14ac:dyDescent="0.2">
      <c r="A88" s="2">
        <v>78</v>
      </c>
      <c r="B88" s="2" t="str">
        <f>IF(LEN(SUMMARY!B88)&gt;0, SUMMARY!B88, "")</f>
        <v/>
      </c>
      <c r="C88" s="2" t="str">
        <f>IF(LEN(SUMMARY!C88)&gt;0, SUMMARY!C88, "")</f>
        <v/>
      </c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" t="str">
        <f t="shared" si="25"/>
        <v/>
      </c>
      <c r="S88" s="2" t="str">
        <f t="shared" si="26"/>
        <v/>
      </c>
      <c r="T88" s="2" t="str">
        <f t="shared" si="27"/>
        <v/>
      </c>
      <c r="U88" s="2" t="str">
        <f t="shared" si="28"/>
        <v/>
      </c>
      <c r="V88" s="2" t="str">
        <f t="shared" si="29"/>
        <v/>
      </c>
      <c r="W88" s="2" t="str">
        <f t="shared" si="30"/>
        <v/>
      </c>
      <c r="X88" s="2" t="str">
        <f t="shared" si="31"/>
        <v/>
      </c>
      <c r="Y88" s="2" t="str">
        <f t="shared" si="32"/>
        <v/>
      </c>
      <c r="Z88" s="2" t="str">
        <f t="shared" si="33"/>
        <v/>
      </c>
      <c r="AA88" s="2" t="str">
        <f t="shared" si="34"/>
        <v/>
      </c>
      <c r="AB88" s="2" t="str">
        <f t="shared" si="35"/>
        <v/>
      </c>
      <c r="AC88" s="2" t="str">
        <f t="shared" si="36"/>
        <v/>
      </c>
      <c r="AD88" s="2" t="str">
        <f t="shared" si="37"/>
        <v/>
      </c>
      <c r="AE88" s="2" t="str">
        <f t="shared" si="38"/>
        <v/>
      </c>
      <c r="AF88" s="2" t="str">
        <f t="shared" si="39"/>
        <v/>
      </c>
      <c r="AG88" s="2" t="str">
        <f t="shared" si="40"/>
        <v/>
      </c>
      <c r="AH88" s="2" t="str">
        <f t="shared" si="41"/>
        <v/>
      </c>
      <c r="AI88" s="2" t="str">
        <f t="shared" si="42"/>
        <v/>
      </c>
      <c r="AJ88" s="2" t="str">
        <f t="shared" si="43"/>
        <v/>
      </c>
      <c r="AK88" s="2" t="str">
        <f t="shared" si="44"/>
        <v/>
      </c>
      <c r="AL88" s="2" t="str">
        <f t="shared" si="45"/>
        <v/>
      </c>
      <c r="AM88" s="2" t="str">
        <f t="shared" si="46"/>
        <v/>
      </c>
      <c r="AN88" s="2" t="str">
        <f t="shared" si="47"/>
        <v/>
      </c>
      <c r="AP88" s="2" t="str" cm="1">
        <f t="array" ref="AP88">IF('NILAI CPL'!$B88&lt;&gt;"",IFERROR(_xlfn.IFS(S88&gt;='NILAI CPL'!$B$3,4,S88&gt;='NILAI CPL'!$B$4,3,S88&gt;='NILAI CPL'!$B$5,2,S88&gt;'NILAI CPL'!$B$6,1),0),"")</f>
        <v/>
      </c>
      <c r="AQ88" s="2" t="str" cm="1">
        <f t="array" ref="AQ88">IF('NILAI CPL'!$B88&lt;&gt;"",IFERROR(_xlfn.IFS(T88&gt;='NILAI CPL'!$B$3,4,T88&gt;='NILAI CPL'!$B$4,3,T88&gt;='NILAI CPL'!$B$5,2,T88&gt;'NILAI CPL'!$B$6,1),0),"")</f>
        <v/>
      </c>
      <c r="AR88" s="2" t="str" cm="1">
        <f t="array" ref="AR88">IF('NILAI CPL'!$B88&lt;&gt;"",IFERROR(_xlfn.IFS(U88&gt;='NILAI CPL'!$B$3,4,U88&gt;='NILAI CPL'!$B$4,3,U88&gt;='NILAI CPL'!$B$5,2,U88&gt;'NILAI CPL'!$B$6,1),0),"")</f>
        <v/>
      </c>
      <c r="AS88" s="2" t="str" cm="1">
        <f t="array" ref="AS88">IF('NILAI CPL'!$B88&lt;&gt;"",IFERROR(_xlfn.IFS(V88&gt;='NILAI CPL'!$B$3,4,V88&gt;='NILAI CPL'!$B$4,3,V88&gt;='NILAI CPL'!$B$5,2,V88&gt;'NILAI CPL'!$B$6,1),0),"")</f>
        <v/>
      </c>
      <c r="AT88" s="2" t="str" cm="1">
        <f t="array" ref="AT88">IF('NILAI CPL'!$B88&lt;&gt;"",IFERROR(_xlfn.IFS(W88&gt;='NILAI CPL'!$B$3,4,W88&gt;='NILAI CPL'!$B$4,3,W88&gt;='NILAI CPL'!$B$5,2,W88&gt;'NILAI CPL'!$B$6,1),0),"")</f>
        <v/>
      </c>
      <c r="AU88" s="2" t="str" cm="1">
        <f t="array" ref="AU88">IF('NILAI CPL'!$B88&lt;&gt;"",IFERROR(_xlfn.IFS(X88&gt;='NILAI CPL'!$B$3,4,X88&gt;='NILAI CPL'!$B$4,3,X88&gt;='NILAI CPL'!$B$5,2,X88&gt;'NILAI CPL'!$B$6,1),0),"")</f>
        <v/>
      </c>
      <c r="AV88" s="2" t="str" cm="1">
        <f t="array" ref="AV88">IF('NILAI CPL'!$B88&lt;&gt;"",IFERROR(_xlfn.IFS(Y88&gt;='NILAI CPL'!$B$3,4,Y88&gt;='NILAI CPL'!$B$4,3,Y88&gt;='NILAI CPL'!$B$5,2,Y88&gt;'NILAI CPL'!$B$6,1),0),"")</f>
        <v/>
      </c>
      <c r="AW88" s="2" t="str" cm="1">
        <f t="array" ref="AW88">IF('NILAI CPL'!$B88&lt;&gt;"",IFERROR(_xlfn.IFS(Z88&gt;='NILAI CPL'!$B$3,4,Z88&gt;='NILAI CPL'!$B$4,3,Z88&gt;='NILAI CPL'!$B$5,2,Z88&gt;'NILAI CPL'!$B$6,1),0),"")</f>
        <v/>
      </c>
      <c r="AX88" s="2" t="str" cm="1">
        <f t="array" ref="AX88">IF('NILAI CPL'!$B88&lt;&gt;"",IFERROR(_xlfn.IFS(AA88&gt;='NILAI CPL'!$B$3,4,AA88&gt;='NILAI CPL'!$B$4,3,AA88&gt;='NILAI CPL'!$B$5,2,AA88&gt;'NILAI CPL'!$B$6,1),0),"")</f>
        <v/>
      </c>
      <c r="AY88" s="2" t="str" cm="1">
        <f t="array" ref="AY88">IF('NILAI CPL'!$B88&lt;&gt;"",IFERROR(_xlfn.IFS(AB88&gt;='NILAI CPL'!$B$3,4,AB88&gt;='NILAI CPL'!$B$4,3,AB88&gt;='NILAI CPL'!$B$5,2,AB88&gt;'NILAI CPL'!$B$6,1),0),"")</f>
        <v/>
      </c>
      <c r="AZ88" s="2" t="str" cm="1">
        <f t="array" ref="AZ88">IF('NILAI CPL'!$B88&lt;&gt;"",IFERROR(_xlfn.IFS(AC88&gt;='NILAI CPL'!$B$3,4,AC88&gt;='NILAI CPL'!$B$4,3,AC88&gt;='NILAI CPL'!$B$5,2,AC88&gt;'NILAI CPL'!$B$6,1),0),"")</f>
        <v/>
      </c>
      <c r="BA88" s="2" t="str" cm="1">
        <f t="array" ref="BA88">IF('NILAI CPL'!$B88&lt;&gt;"",IFERROR(_xlfn.IFS(AD88&gt;='NILAI CPL'!$B$3,4,AD88&gt;='NILAI CPL'!$B$4,3,AD88&gt;='NILAI CPL'!$B$5,2,AD88&gt;'NILAI CPL'!$B$6,1),0),"")</f>
        <v/>
      </c>
      <c r="BB88" s="2" t="str" cm="1">
        <f t="array" ref="BB88">IF('NILAI CPL'!$B88&lt;&gt;"",IFERROR(_xlfn.IFS(AE88&gt;='NILAI CPL'!$B$3,4,AE88&gt;='NILAI CPL'!$B$4,3,AE88&gt;='NILAI CPL'!$B$5,2,AE88&gt;'NILAI CPL'!$B$6,1),0),"")</f>
        <v/>
      </c>
      <c r="BC88" s="2" t="str" cm="1">
        <f t="array" ref="BC88">IF('NILAI CPL'!$B88&lt;&gt;"",IFERROR(_xlfn.IFS(AF88&gt;='NILAI CPL'!$B$3,4,AF88&gt;='NILAI CPL'!$B$4,3,AF88&gt;='NILAI CPL'!$B$5,2,AF88&gt;'NILAI CPL'!$B$6,1),0),"")</f>
        <v/>
      </c>
      <c r="BD88" s="2" t="str" cm="1">
        <f t="array" ref="BD88">IF('NILAI CPL'!$B88&lt;&gt;"",IFERROR(_xlfn.IFS(AG88&gt;='NILAI CPL'!$B$3,4,AG88&gt;='NILAI CPL'!$B$4,3,AG88&gt;='NILAI CPL'!$B$5,2,AG88&gt;'NILAI CPL'!$B$6,1),0),"")</f>
        <v/>
      </c>
      <c r="BE88" s="2" t="str" cm="1">
        <f t="array" ref="BE88">IF('NILAI CPL'!$B88&lt;&gt;"",IFERROR(_xlfn.IFS(AH88&gt;='NILAI CPL'!$B$3,4,AH88&gt;='NILAI CPL'!$B$4,3,AH88&gt;='NILAI CPL'!$B$5,2,AH88&gt;'NILAI CPL'!$B$6,1),0),"")</f>
        <v/>
      </c>
      <c r="BF88" s="2" t="str" cm="1">
        <f t="array" ref="BF88">IF('NILAI CPL'!$B88&lt;&gt;"",IFERROR(_xlfn.IFS(AI88&gt;='NILAI CPL'!$B$3,4,AI88&gt;='NILAI CPL'!$B$4,3,AI88&gt;='NILAI CPL'!$B$5,2,AI88&gt;'NILAI CPL'!$B$6,1),0),"")</f>
        <v/>
      </c>
      <c r="BG88" s="2" t="str" cm="1">
        <f t="array" ref="BG88">IF('NILAI CPL'!$B88&lt;&gt;"",IFERROR(_xlfn.IFS(AJ88&gt;='NILAI CPL'!$B$3,4,AJ88&gt;='NILAI CPL'!$B$4,3,AJ88&gt;='NILAI CPL'!$B$5,2,AJ88&gt;'NILAI CPL'!$B$6,1),0),"")</f>
        <v/>
      </c>
      <c r="BH88" s="2" t="str" cm="1">
        <f t="array" ref="BH88">IF('NILAI CPL'!$B88&lt;&gt;"",IFERROR(_xlfn.IFS(AK88&gt;='NILAI CPL'!$B$3,4,AK88&gt;='NILAI CPL'!$B$4,3,AK88&gt;='NILAI CPL'!$B$5,2,AK88&gt;'NILAI CPL'!$B$6,1),0),"")</f>
        <v/>
      </c>
      <c r="BI88" s="2" t="str" cm="1">
        <f t="array" ref="BI88">IF('NILAI CPL'!$B88&lt;&gt;"",IFERROR(_xlfn.IFS(AL88&gt;='NILAI CPL'!$B$3,4,AL88&gt;='NILAI CPL'!$B$4,3,AL88&gt;='NILAI CPL'!$B$5,2,AL88&gt;'NILAI CPL'!$B$6,1),0),"")</f>
        <v/>
      </c>
      <c r="BJ88" s="2" t="str" cm="1">
        <f t="array" ref="BJ88">IF('NILAI CPL'!$B88&lt;&gt;"",IFERROR(_xlfn.IFS(AM88&gt;='NILAI CPL'!$B$3,4,AM88&gt;='NILAI CPL'!$B$4,3,AM88&gt;='NILAI CPL'!$B$5,2,AM88&gt;'NILAI CPL'!$B$6,1),0),"")</f>
        <v/>
      </c>
      <c r="BK88" s="2" t="str" cm="1">
        <f t="array" ref="BK88">IF('NILAI CPL'!$B88&lt;&gt;"",IFERROR(_xlfn.IFS(AN88&gt;='NILAI CPL'!$B$3,4,AN88&gt;='NILAI CPL'!$B$4,3,AN88&gt;='NILAI CPL'!$B$5,2,AN88&gt;'NILAI CPL'!$B$6,1),0),"")</f>
        <v/>
      </c>
    </row>
    <row r="89" spans="1:63" x14ac:dyDescent="0.2">
      <c r="A89" s="2">
        <v>79</v>
      </c>
      <c r="B89" s="2" t="str">
        <f>IF(LEN(SUMMARY!B89)&gt;0, SUMMARY!B89, "")</f>
        <v/>
      </c>
      <c r="C89" s="2" t="str">
        <f>IF(LEN(SUMMARY!C89)&gt;0, SUMMARY!C89, "")</f>
        <v/>
      </c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" t="str">
        <f t="shared" si="25"/>
        <v/>
      </c>
      <c r="S89" s="2" t="str">
        <f t="shared" si="26"/>
        <v/>
      </c>
      <c r="T89" s="2" t="str">
        <f t="shared" si="27"/>
        <v/>
      </c>
      <c r="U89" s="2" t="str">
        <f t="shared" si="28"/>
        <v/>
      </c>
      <c r="V89" s="2" t="str">
        <f t="shared" si="29"/>
        <v/>
      </c>
      <c r="W89" s="2" t="str">
        <f t="shared" si="30"/>
        <v/>
      </c>
      <c r="X89" s="2" t="str">
        <f t="shared" si="31"/>
        <v/>
      </c>
      <c r="Y89" s="2" t="str">
        <f t="shared" si="32"/>
        <v/>
      </c>
      <c r="Z89" s="2" t="str">
        <f t="shared" si="33"/>
        <v/>
      </c>
      <c r="AA89" s="2" t="str">
        <f t="shared" si="34"/>
        <v/>
      </c>
      <c r="AB89" s="2" t="str">
        <f t="shared" si="35"/>
        <v/>
      </c>
      <c r="AC89" s="2" t="str">
        <f t="shared" si="36"/>
        <v/>
      </c>
      <c r="AD89" s="2" t="str">
        <f t="shared" si="37"/>
        <v/>
      </c>
      <c r="AE89" s="2" t="str">
        <f t="shared" si="38"/>
        <v/>
      </c>
      <c r="AF89" s="2" t="str">
        <f t="shared" si="39"/>
        <v/>
      </c>
      <c r="AG89" s="2" t="str">
        <f t="shared" si="40"/>
        <v/>
      </c>
      <c r="AH89" s="2" t="str">
        <f t="shared" si="41"/>
        <v/>
      </c>
      <c r="AI89" s="2" t="str">
        <f t="shared" si="42"/>
        <v/>
      </c>
      <c r="AJ89" s="2" t="str">
        <f t="shared" si="43"/>
        <v/>
      </c>
      <c r="AK89" s="2" t="str">
        <f t="shared" si="44"/>
        <v/>
      </c>
      <c r="AL89" s="2" t="str">
        <f t="shared" si="45"/>
        <v/>
      </c>
      <c r="AM89" s="2" t="str">
        <f t="shared" si="46"/>
        <v/>
      </c>
      <c r="AN89" s="2" t="str">
        <f t="shared" si="47"/>
        <v/>
      </c>
      <c r="AP89" s="2" t="str" cm="1">
        <f t="array" ref="AP89">IF('NILAI CPL'!$B89&lt;&gt;"",IFERROR(_xlfn.IFS(S89&gt;='NILAI CPL'!$B$3,4,S89&gt;='NILAI CPL'!$B$4,3,S89&gt;='NILAI CPL'!$B$5,2,S89&gt;'NILAI CPL'!$B$6,1),0),"")</f>
        <v/>
      </c>
      <c r="AQ89" s="2" t="str" cm="1">
        <f t="array" ref="AQ89">IF('NILAI CPL'!$B89&lt;&gt;"",IFERROR(_xlfn.IFS(T89&gt;='NILAI CPL'!$B$3,4,T89&gt;='NILAI CPL'!$B$4,3,T89&gt;='NILAI CPL'!$B$5,2,T89&gt;'NILAI CPL'!$B$6,1),0),"")</f>
        <v/>
      </c>
      <c r="AR89" s="2" t="str" cm="1">
        <f t="array" ref="AR89">IF('NILAI CPL'!$B89&lt;&gt;"",IFERROR(_xlfn.IFS(U89&gt;='NILAI CPL'!$B$3,4,U89&gt;='NILAI CPL'!$B$4,3,U89&gt;='NILAI CPL'!$B$5,2,U89&gt;'NILAI CPL'!$B$6,1),0),"")</f>
        <v/>
      </c>
      <c r="AS89" s="2" t="str" cm="1">
        <f t="array" ref="AS89">IF('NILAI CPL'!$B89&lt;&gt;"",IFERROR(_xlfn.IFS(V89&gt;='NILAI CPL'!$B$3,4,V89&gt;='NILAI CPL'!$B$4,3,V89&gt;='NILAI CPL'!$B$5,2,V89&gt;'NILAI CPL'!$B$6,1),0),"")</f>
        <v/>
      </c>
      <c r="AT89" s="2" t="str" cm="1">
        <f t="array" ref="AT89">IF('NILAI CPL'!$B89&lt;&gt;"",IFERROR(_xlfn.IFS(W89&gt;='NILAI CPL'!$B$3,4,W89&gt;='NILAI CPL'!$B$4,3,W89&gt;='NILAI CPL'!$B$5,2,W89&gt;'NILAI CPL'!$B$6,1),0),"")</f>
        <v/>
      </c>
      <c r="AU89" s="2" t="str" cm="1">
        <f t="array" ref="AU89">IF('NILAI CPL'!$B89&lt;&gt;"",IFERROR(_xlfn.IFS(X89&gt;='NILAI CPL'!$B$3,4,X89&gt;='NILAI CPL'!$B$4,3,X89&gt;='NILAI CPL'!$B$5,2,X89&gt;'NILAI CPL'!$B$6,1),0),"")</f>
        <v/>
      </c>
      <c r="AV89" s="2" t="str" cm="1">
        <f t="array" ref="AV89">IF('NILAI CPL'!$B89&lt;&gt;"",IFERROR(_xlfn.IFS(Y89&gt;='NILAI CPL'!$B$3,4,Y89&gt;='NILAI CPL'!$B$4,3,Y89&gt;='NILAI CPL'!$B$5,2,Y89&gt;'NILAI CPL'!$B$6,1),0),"")</f>
        <v/>
      </c>
      <c r="AW89" s="2" t="str" cm="1">
        <f t="array" ref="AW89">IF('NILAI CPL'!$B89&lt;&gt;"",IFERROR(_xlfn.IFS(Z89&gt;='NILAI CPL'!$B$3,4,Z89&gt;='NILAI CPL'!$B$4,3,Z89&gt;='NILAI CPL'!$B$5,2,Z89&gt;'NILAI CPL'!$B$6,1),0),"")</f>
        <v/>
      </c>
      <c r="AX89" s="2" t="str" cm="1">
        <f t="array" ref="AX89">IF('NILAI CPL'!$B89&lt;&gt;"",IFERROR(_xlfn.IFS(AA89&gt;='NILAI CPL'!$B$3,4,AA89&gt;='NILAI CPL'!$B$4,3,AA89&gt;='NILAI CPL'!$B$5,2,AA89&gt;'NILAI CPL'!$B$6,1),0),"")</f>
        <v/>
      </c>
      <c r="AY89" s="2" t="str" cm="1">
        <f t="array" ref="AY89">IF('NILAI CPL'!$B89&lt;&gt;"",IFERROR(_xlfn.IFS(AB89&gt;='NILAI CPL'!$B$3,4,AB89&gt;='NILAI CPL'!$B$4,3,AB89&gt;='NILAI CPL'!$B$5,2,AB89&gt;'NILAI CPL'!$B$6,1),0),"")</f>
        <v/>
      </c>
      <c r="AZ89" s="2" t="str" cm="1">
        <f t="array" ref="AZ89">IF('NILAI CPL'!$B89&lt;&gt;"",IFERROR(_xlfn.IFS(AC89&gt;='NILAI CPL'!$B$3,4,AC89&gt;='NILAI CPL'!$B$4,3,AC89&gt;='NILAI CPL'!$B$5,2,AC89&gt;'NILAI CPL'!$B$6,1),0),"")</f>
        <v/>
      </c>
      <c r="BA89" s="2" t="str" cm="1">
        <f t="array" ref="BA89">IF('NILAI CPL'!$B89&lt;&gt;"",IFERROR(_xlfn.IFS(AD89&gt;='NILAI CPL'!$B$3,4,AD89&gt;='NILAI CPL'!$B$4,3,AD89&gt;='NILAI CPL'!$B$5,2,AD89&gt;'NILAI CPL'!$B$6,1),0),"")</f>
        <v/>
      </c>
      <c r="BB89" s="2" t="str" cm="1">
        <f t="array" ref="BB89">IF('NILAI CPL'!$B89&lt;&gt;"",IFERROR(_xlfn.IFS(AE89&gt;='NILAI CPL'!$B$3,4,AE89&gt;='NILAI CPL'!$B$4,3,AE89&gt;='NILAI CPL'!$B$5,2,AE89&gt;'NILAI CPL'!$B$6,1),0),"")</f>
        <v/>
      </c>
      <c r="BC89" s="2" t="str" cm="1">
        <f t="array" ref="BC89">IF('NILAI CPL'!$B89&lt;&gt;"",IFERROR(_xlfn.IFS(AF89&gt;='NILAI CPL'!$B$3,4,AF89&gt;='NILAI CPL'!$B$4,3,AF89&gt;='NILAI CPL'!$B$5,2,AF89&gt;'NILAI CPL'!$B$6,1),0),"")</f>
        <v/>
      </c>
      <c r="BD89" s="2" t="str" cm="1">
        <f t="array" ref="BD89">IF('NILAI CPL'!$B89&lt;&gt;"",IFERROR(_xlfn.IFS(AG89&gt;='NILAI CPL'!$B$3,4,AG89&gt;='NILAI CPL'!$B$4,3,AG89&gt;='NILAI CPL'!$B$5,2,AG89&gt;'NILAI CPL'!$B$6,1),0),"")</f>
        <v/>
      </c>
      <c r="BE89" s="2" t="str" cm="1">
        <f t="array" ref="BE89">IF('NILAI CPL'!$B89&lt;&gt;"",IFERROR(_xlfn.IFS(AH89&gt;='NILAI CPL'!$B$3,4,AH89&gt;='NILAI CPL'!$B$4,3,AH89&gt;='NILAI CPL'!$B$5,2,AH89&gt;'NILAI CPL'!$B$6,1),0),"")</f>
        <v/>
      </c>
      <c r="BF89" s="2" t="str" cm="1">
        <f t="array" ref="BF89">IF('NILAI CPL'!$B89&lt;&gt;"",IFERROR(_xlfn.IFS(AI89&gt;='NILAI CPL'!$B$3,4,AI89&gt;='NILAI CPL'!$B$4,3,AI89&gt;='NILAI CPL'!$B$5,2,AI89&gt;'NILAI CPL'!$B$6,1),0),"")</f>
        <v/>
      </c>
      <c r="BG89" s="2" t="str" cm="1">
        <f t="array" ref="BG89">IF('NILAI CPL'!$B89&lt;&gt;"",IFERROR(_xlfn.IFS(AJ89&gt;='NILAI CPL'!$B$3,4,AJ89&gt;='NILAI CPL'!$B$4,3,AJ89&gt;='NILAI CPL'!$B$5,2,AJ89&gt;'NILAI CPL'!$B$6,1),0),"")</f>
        <v/>
      </c>
      <c r="BH89" s="2" t="str" cm="1">
        <f t="array" ref="BH89">IF('NILAI CPL'!$B89&lt;&gt;"",IFERROR(_xlfn.IFS(AK89&gt;='NILAI CPL'!$B$3,4,AK89&gt;='NILAI CPL'!$B$4,3,AK89&gt;='NILAI CPL'!$B$5,2,AK89&gt;'NILAI CPL'!$B$6,1),0),"")</f>
        <v/>
      </c>
      <c r="BI89" s="2" t="str" cm="1">
        <f t="array" ref="BI89">IF('NILAI CPL'!$B89&lt;&gt;"",IFERROR(_xlfn.IFS(AL89&gt;='NILAI CPL'!$B$3,4,AL89&gt;='NILAI CPL'!$B$4,3,AL89&gt;='NILAI CPL'!$B$5,2,AL89&gt;'NILAI CPL'!$B$6,1),0),"")</f>
        <v/>
      </c>
      <c r="BJ89" s="2" t="str" cm="1">
        <f t="array" ref="BJ89">IF('NILAI CPL'!$B89&lt;&gt;"",IFERROR(_xlfn.IFS(AM89&gt;='NILAI CPL'!$B$3,4,AM89&gt;='NILAI CPL'!$B$4,3,AM89&gt;='NILAI CPL'!$B$5,2,AM89&gt;'NILAI CPL'!$B$6,1),0),"")</f>
        <v/>
      </c>
      <c r="BK89" s="2" t="str" cm="1">
        <f t="array" ref="BK89">IF('NILAI CPL'!$B89&lt;&gt;"",IFERROR(_xlfn.IFS(AN89&gt;='NILAI CPL'!$B$3,4,AN89&gt;='NILAI CPL'!$B$4,3,AN89&gt;='NILAI CPL'!$B$5,2,AN89&gt;'NILAI CPL'!$B$6,1),0),"")</f>
        <v/>
      </c>
    </row>
    <row r="90" spans="1:63" x14ac:dyDescent="0.2">
      <c r="A90" s="2">
        <v>80</v>
      </c>
      <c r="B90" s="2" t="str">
        <f>IF(LEN(SUMMARY!B90)&gt;0, SUMMARY!B90, "")</f>
        <v/>
      </c>
      <c r="C90" s="2" t="str">
        <f>IF(LEN(SUMMARY!C90)&gt;0, SUMMARY!C90, "")</f>
        <v/>
      </c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" t="str">
        <f t="shared" si="25"/>
        <v/>
      </c>
      <c r="S90" s="2" t="str">
        <f t="shared" si="26"/>
        <v/>
      </c>
      <c r="T90" s="2" t="str">
        <f t="shared" si="27"/>
        <v/>
      </c>
      <c r="U90" s="2" t="str">
        <f t="shared" si="28"/>
        <v/>
      </c>
      <c r="V90" s="2" t="str">
        <f t="shared" si="29"/>
        <v/>
      </c>
      <c r="W90" s="2" t="str">
        <f t="shared" si="30"/>
        <v/>
      </c>
      <c r="X90" s="2" t="str">
        <f t="shared" si="31"/>
        <v/>
      </c>
      <c r="Y90" s="2" t="str">
        <f t="shared" si="32"/>
        <v/>
      </c>
      <c r="Z90" s="2" t="str">
        <f t="shared" si="33"/>
        <v/>
      </c>
      <c r="AA90" s="2" t="str">
        <f t="shared" si="34"/>
        <v/>
      </c>
      <c r="AB90" s="2" t="str">
        <f t="shared" si="35"/>
        <v/>
      </c>
      <c r="AC90" s="2" t="str">
        <f t="shared" si="36"/>
        <v/>
      </c>
      <c r="AD90" s="2" t="str">
        <f t="shared" si="37"/>
        <v/>
      </c>
      <c r="AE90" s="2" t="str">
        <f t="shared" si="38"/>
        <v/>
      </c>
      <c r="AF90" s="2" t="str">
        <f t="shared" si="39"/>
        <v/>
      </c>
      <c r="AG90" s="2" t="str">
        <f t="shared" si="40"/>
        <v/>
      </c>
      <c r="AH90" s="2" t="str">
        <f t="shared" si="41"/>
        <v/>
      </c>
      <c r="AI90" s="2" t="str">
        <f t="shared" si="42"/>
        <v/>
      </c>
      <c r="AJ90" s="2" t="str">
        <f t="shared" si="43"/>
        <v/>
      </c>
      <c r="AK90" s="2" t="str">
        <f t="shared" si="44"/>
        <v/>
      </c>
      <c r="AL90" s="2" t="str">
        <f t="shared" si="45"/>
        <v/>
      </c>
      <c r="AM90" s="2" t="str">
        <f t="shared" si="46"/>
        <v/>
      </c>
      <c r="AN90" s="2" t="str">
        <f t="shared" si="47"/>
        <v/>
      </c>
      <c r="AP90" s="2" t="str" cm="1">
        <f t="array" ref="AP90">IF('NILAI CPL'!$B90&lt;&gt;"",IFERROR(_xlfn.IFS(S90&gt;='NILAI CPL'!$B$3,4,S90&gt;='NILAI CPL'!$B$4,3,S90&gt;='NILAI CPL'!$B$5,2,S90&gt;'NILAI CPL'!$B$6,1),0),"")</f>
        <v/>
      </c>
      <c r="AQ90" s="2" t="str" cm="1">
        <f t="array" ref="AQ90">IF('NILAI CPL'!$B90&lt;&gt;"",IFERROR(_xlfn.IFS(T90&gt;='NILAI CPL'!$B$3,4,T90&gt;='NILAI CPL'!$B$4,3,T90&gt;='NILAI CPL'!$B$5,2,T90&gt;'NILAI CPL'!$B$6,1),0),"")</f>
        <v/>
      </c>
      <c r="AR90" s="2" t="str" cm="1">
        <f t="array" ref="AR90">IF('NILAI CPL'!$B90&lt;&gt;"",IFERROR(_xlfn.IFS(U90&gt;='NILAI CPL'!$B$3,4,U90&gt;='NILAI CPL'!$B$4,3,U90&gt;='NILAI CPL'!$B$5,2,U90&gt;'NILAI CPL'!$B$6,1),0),"")</f>
        <v/>
      </c>
      <c r="AS90" s="2" t="str" cm="1">
        <f t="array" ref="AS90">IF('NILAI CPL'!$B90&lt;&gt;"",IFERROR(_xlfn.IFS(V90&gt;='NILAI CPL'!$B$3,4,V90&gt;='NILAI CPL'!$B$4,3,V90&gt;='NILAI CPL'!$B$5,2,V90&gt;'NILAI CPL'!$B$6,1),0),"")</f>
        <v/>
      </c>
      <c r="AT90" s="2" t="str" cm="1">
        <f t="array" ref="AT90">IF('NILAI CPL'!$B90&lt;&gt;"",IFERROR(_xlfn.IFS(W90&gt;='NILAI CPL'!$B$3,4,W90&gt;='NILAI CPL'!$B$4,3,W90&gt;='NILAI CPL'!$B$5,2,W90&gt;'NILAI CPL'!$B$6,1),0),"")</f>
        <v/>
      </c>
      <c r="AU90" s="2" t="str" cm="1">
        <f t="array" ref="AU90">IF('NILAI CPL'!$B90&lt;&gt;"",IFERROR(_xlfn.IFS(X90&gt;='NILAI CPL'!$B$3,4,X90&gt;='NILAI CPL'!$B$4,3,X90&gt;='NILAI CPL'!$B$5,2,X90&gt;'NILAI CPL'!$B$6,1),0),"")</f>
        <v/>
      </c>
      <c r="AV90" s="2" t="str" cm="1">
        <f t="array" ref="AV90">IF('NILAI CPL'!$B90&lt;&gt;"",IFERROR(_xlfn.IFS(Y90&gt;='NILAI CPL'!$B$3,4,Y90&gt;='NILAI CPL'!$B$4,3,Y90&gt;='NILAI CPL'!$B$5,2,Y90&gt;'NILAI CPL'!$B$6,1),0),"")</f>
        <v/>
      </c>
      <c r="AW90" s="2" t="str" cm="1">
        <f t="array" ref="AW90">IF('NILAI CPL'!$B90&lt;&gt;"",IFERROR(_xlfn.IFS(Z90&gt;='NILAI CPL'!$B$3,4,Z90&gt;='NILAI CPL'!$B$4,3,Z90&gt;='NILAI CPL'!$B$5,2,Z90&gt;'NILAI CPL'!$B$6,1),0),"")</f>
        <v/>
      </c>
      <c r="AX90" s="2" t="str" cm="1">
        <f t="array" ref="AX90">IF('NILAI CPL'!$B90&lt;&gt;"",IFERROR(_xlfn.IFS(AA90&gt;='NILAI CPL'!$B$3,4,AA90&gt;='NILAI CPL'!$B$4,3,AA90&gt;='NILAI CPL'!$B$5,2,AA90&gt;'NILAI CPL'!$B$6,1),0),"")</f>
        <v/>
      </c>
      <c r="AY90" s="2" t="str" cm="1">
        <f t="array" ref="AY90">IF('NILAI CPL'!$B90&lt;&gt;"",IFERROR(_xlfn.IFS(AB90&gt;='NILAI CPL'!$B$3,4,AB90&gt;='NILAI CPL'!$B$4,3,AB90&gt;='NILAI CPL'!$B$5,2,AB90&gt;'NILAI CPL'!$B$6,1),0),"")</f>
        <v/>
      </c>
      <c r="AZ90" s="2" t="str" cm="1">
        <f t="array" ref="AZ90">IF('NILAI CPL'!$B90&lt;&gt;"",IFERROR(_xlfn.IFS(AC90&gt;='NILAI CPL'!$B$3,4,AC90&gt;='NILAI CPL'!$B$4,3,AC90&gt;='NILAI CPL'!$B$5,2,AC90&gt;'NILAI CPL'!$B$6,1),0),"")</f>
        <v/>
      </c>
      <c r="BA90" s="2" t="str" cm="1">
        <f t="array" ref="BA90">IF('NILAI CPL'!$B90&lt;&gt;"",IFERROR(_xlfn.IFS(AD90&gt;='NILAI CPL'!$B$3,4,AD90&gt;='NILAI CPL'!$B$4,3,AD90&gt;='NILAI CPL'!$B$5,2,AD90&gt;'NILAI CPL'!$B$6,1),0),"")</f>
        <v/>
      </c>
      <c r="BB90" s="2" t="str" cm="1">
        <f t="array" ref="BB90">IF('NILAI CPL'!$B90&lt;&gt;"",IFERROR(_xlfn.IFS(AE90&gt;='NILAI CPL'!$B$3,4,AE90&gt;='NILAI CPL'!$B$4,3,AE90&gt;='NILAI CPL'!$B$5,2,AE90&gt;'NILAI CPL'!$B$6,1),0),"")</f>
        <v/>
      </c>
      <c r="BC90" s="2" t="str" cm="1">
        <f t="array" ref="BC90">IF('NILAI CPL'!$B90&lt;&gt;"",IFERROR(_xlfn.IFS(AF90&gt;='NILAI CPL'!$B$3,4,AF90&gt;='NILAI CPL'!$B$4,3,AF90&gt;='NILAI CPL'!$B$5,2,AF90&gt;'NILAI CPL'!$B$6,1),0),"")</f>
        <v/>
      </c>
      <c r="BD90" s="2" t="str" cm="1">
        <f t="array" ref="BD90">IF('NILAI CPL'!$B90&lt;&gt;"",IFERROR(_xlfn.IFS(AG90&gt;='NILAI CPL'!$B$3,4,AG90&gt;='NILAI CPL'!$B$4,3,AG90&gt;='NILAI CPL'!$B$5,2,AG90&gt;'NILAI CPL'!$B$6,1),0),"")</f>
        <v/>
      </c>
      <c r="BE90" s="2" t="str" cm="1">
        <f t="array" ref="BE90">IF('NILAI CPL'!$B90&lt;&gt;"",IFERROR(_xlfn.IFS(AH90&gt;='NILAI CPL'!$B$3,4,AH90&gt;='NILAI CPL'!$B$4,3,AH90&gt;='NILAI CPL'!$B$5,2,AH90&gt;'NILAI CPL'!$B$6,1),0),"")</f>
        <v/>
      </c>
      <c r="BF90" s="2" t="str" cm="1">
        <f t="array" ref="BF90">IF('NILAI CPL'!$B90&lt;&gt;"",IFERROR(_xlfn.IFS(AI90&gt;='NILAI CPL'!$B$3,4,AI90&gt;='NILAI CPL'!$B$4,3,AI90&gt;='NILAI CPL'!$B$5,2,AI90&gt;'NILAI CPL'!$B$6,1),0),"")</f>
        <v/>
      </c>
      <c r="BG90" s="2" t="str" cm="1">
        <f t="array" ref="BG90">IF('NILAI CPL'!$B90&lt;&gt;"",IFERROR(_xlfn.IFS(AJ90&gt;='NILAI CPL'!$B$3,4,AJ90&gt;='NILAI CPL'!$B$4,3,AJ90&gt;='NILAI CPL'!$B$5,2,AJ90&gt;'NILAI CPL'!$B$6,1),0),"")</f>
        <v/>
      </c>
      <c r="BH90" s="2" t="str" cm="1">
        <f t="array" ref="BH90">IF('NILAI CPL'!$B90&lt;&gt;"",IFERROR(_xlfn.IFS(AK90&gt;='NILAI CPL'!$B$3,4,AK90&gt;='NILAI CPL'!$B$4,3,AK90&gt;='NILAI CPL'!$B$5,2,AK90&gt;'NILAI CPL'!$B$6,1),0),"")</f>
        <v/>
      </c>
      <c r="BI90" s="2" t="str" cm="1">
        <f t="array" ref="BI90">IF('NILAI CPL'!$B90&lt;&gt;"",IFERROR(_xlfn.IFS(AL90&gt;='NILAI CPL'!$B$3,4,AL90&gt;='NILAI CPL'!$B$4,3,AL90&gt;='NILAI CPL'!$B$5,2,AL90&gt;'NILAI CPL'!$B$6,1),0),"")</f>
        <v/>
      </c>
      <c r="BJ90" s="2" t="str" cm="1">
        <f t="array" ref="BJ90">IF('NILAI CPL'!$B90&lt;&gt;"",IFERROR(_xlfn.IFS(AM90&gt;='NILAI CPL'!$B$3,4,AM90&gt;='NILAI CPL'!$B$4,3,AM90&gt;='NILAI CPL'!$B$5,2,AM90&gt;'NILAI CPL'!$B$6,1),0),"")</f>
        <v/>
      </c>
      <c r="BK90" s="2" t="str" cm="1">
        <f t="array" ref="BK90">IF('NILAI CPL'!$B90&lt;&gt;"",IFERROR(_xlfn.IFS(AN90&gt;='NILAI CPL'!$B$3,4,AN90&gt;='NILAI CPL'!$B$4,3,AN90&gt;='NILAI CPL'!$B$5,2,AN90&gt;'NILAI CPL'!$B$6,1),0),"")</f>
        <v/>
      </c>
    </row>
    <row r="93" spans="1:63" x14ac:dyDescent="0.2"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</row>
    <row r="94" spans="1:63" x14ac:dyDescent="0.2">
      <c r="B94" s="11" t="s">
        <v>6</v>
      </c>
      <c r="C94" s="11" t="s">
        <v>16</v>
      </c>
      <c r="D94" s="3" t="s">
        <v>79</v>
      </c>
      <c r="E94" s="11" t="s">
        <v>67</v>
      </c>
      <c r="F94" s="11" t="s">
        <v>68</v>
      </c>
      <c r="G94" s="11" t="s">
        <v>69</v>
      </c>
      <c r="H94" s="11" t="s">
        <v>70</v>
      </c>
      <c r="I94" s="11" t="s">
        <v>71</v>
      </c>
      <c r="J94" s="11" t="s">
        <v>72</v>
      </c>
      <c r="K94" s="11" t="s">
        <v>73</v>
      </c>
      <c r="L94" s="11" t="s">
        <v>74</v>
      </c>
      <c r="M94" s="11" t="s">
        <v>75</v>
      </c>
      <c r="N94" s="11" t="s">
        <v>76</v>
      </c>
      <c r="O94" s="11" t="s">
        <v>77</v>
      </c>
      <c r="P94" s="11" t="s">
        <v>78</v>
      </c>
    </row>
    <row r="95" spans="1:63" ht="17" x14ac:dyDescent="0.2">
      <c r="B95" s="55">
        <v>1</v>
      </c>
      <c r="C95" s="5" t="s">
        <v>39</v>
      </c>
      <c r="D95" s="10"/>
      <c r="E95" s="25">
        <v>0</v>
      </c>
      <c r="F95" s="25">
        <v>0</v>
      </c>
      <c r="G95" s="25">
        <v>0</v>
      </c>
      <c r="H95" s="25">
        <v>0</v>
      </c>
      <c r="I95" s="25">
        <v>0</v>
      </c>
      <c r="J95" s="25">
        <v>0</v>
      </c>
      <c r="K95" s="25">
        <v>0</v>
      </c>
      <c r="L95" s="25">
        <v>0</v>
      </c>
      <c r="M95" s="25">
        <v>0</v>
      </c>
      <c r="N95" s="25">
        <v>0</v>
      </c>
      <c r="O95" s="25">
        <v>0</v>
      </c>
      <c r="P95" s="25">
        <v>0</v>
      </c>
    </row>
    <row r="96" spans="1:63" ht="17" x14ac:dyDescent="0.2">
      <c r="B96" s="56"/>
      <c r="C96" s="5" t="s">
        <v>40</v>
      </c>
      <c r="D96" s="10"/>
      <c r="E96" s="25">
        <v>0</v>
      </c>
      <c r="F96" s="25">
        <v>0</v>
      </c>
      <c r="G96" s="25">
        <v>0</v>
      </c>
      <c r="H96" s="25">
        <v>0</v>
      </c>
      <c r="I96" s="25">
        <v>0</v>
      </c>
      <c r="J96" s="25">
        <v>0</v>
      </c>
      <c r="K96" s="25">
        <v>0</v>
      </c>
      <c r="L96" s="25">
        <v>0</v>
      </c>
      <c r="M96" s="25">
        <v>0</v>
      </c>
      <c r="N96" s="25">
        <v>0</v>
      </c>
      <c r="O96" s="25">
        <v>0</v>
      </c>
      <c r="P96" s="25">
        <v>0</v>
      </c>
    </row>
    <row r="97" spans="2:16" ht="17" x14ac:dyDescent="0.2">
      <c r="B97" s="55">
        <v>2</v>
      </c>
      <c r="C97" s="5" t="s">
        <v>41</v>
      </c>
      <c r="D97" s="10"/>
      <c r="E97" s="25">
        <v>0</v>
      </c>
      <c r="F97" s="25">
        <v>0</v>
      </c>
      <c r="G97" s="25">
        <v>0</v>
      </c>
      <c r="H97" s="25">
        <v>0</v>
      </c>
      <c r="I97" s="25">
        <v>0</v>
      </c>
      <c r="J97" s="25">
        <v>0</v>
      </c>
      <c r="K97" s="25">
        <v>0</v>
      </c>
      <c r="L97" s="25">
        <v>0</v>
      </c>
      <c r="M97" s="25">
        <v>0</v>
      </c>
      <c r="N97" s="25">
        <v>0</v>
      </c>
      <c r="O97" s="25">
        <v>0</v>
      </c>
      <c r="P97" s="25">
        <v>0</v>
      </c>
    </row>
    <row r="98" spans="2:16" ht="17" x14ac:dyDescent="0.2">
      <c r="B98" s="57"/>
      <c r="C98" s="5" t="s">
        <v>42</v>
      </c>
      <c r="D98" s="10"/>
      <c r="E98" s="25">
        <v>0</v>
      </c>
      <c r="F98" s="25">
        <v>0</v>
      </c>
      <c r="G98" s="25">
        <v>0</v>
      </c>
      <c r="H98" s="25">
        <v>0</v>
      </c>
      <c r="I98" s="25">
        <v>0</v>
      </c>
      <c r="J98" s="25">
        <v>0</v>
      </c>
      <c r="K98" s="25">
        <v>0</v>
      </c>
      <c r="L98" s="25">
        <v>0</v>
      </c>
      <c r="M98" s="25">
        <v>0</v>
      </c>
      <c r="N98" s="25">
        <v>0</v>
      </c>
      <c r="O98" s="25">
        <v>0</v>
      </c>
      <c r="P98" s="25">
        <v>0</v>
      </c>
    </row>
    <row r="99" spans="2:16" ht="17" x14ac:dyDescent="0.2">
      <c r="B99" s="57"/>
      <c r="C99" s="5" t="s">
        <v>43</v>
      </c>
      <c r="D99" s="10"/>
      <c r="E99" s="25">
        <v>0</v>
      </c>
      <c r="F99" s="25">
        <v>0</v>
      </c>
      <c r="G99" s="25">
        <v>0</v>
      </c>
      <c r="H99" s="25">
        <v>0</v>
      </c>
      <c r="I99" s="25">
        <v>0</v>
      </c>
      <c r="J99" s="25">
        <v>0</v>
      </c>
      <c r="K99" s="25">
        <v>0</v>
      </c>
      <c r="L99" s="25">
        <v>0</v>
      </c>
      <c r="M99" s="25">
        <v>0</v>
      </c>
      <c r="N99" s="25">
        <v>0</v>
      </c>
      <c r="O99" s="25">
        <v>0</v>
      </c>
      <c r="P99" s="25">
        <v>0</v>
      </c>
    </row>
    <row r="100" spans="2:16" ht="17" x14ac:dyDescent="0.2">
      <c r="B100" s="56"/>
      <c r="C100" s="5" t="s">
        <v>44</v>
      </c>
      <c r="D100" s="10"/>
      <c r="E100" s="25">
        <v>0</v>
      </c>
      <c r="F100" s="25">
        <v>0</v>
      </c>
      <c r="G100" s="25">
        <v>0</v>
      </c>
      <c r="H100" s="25">
        <v>0</v>
      </c>
      <c r="I100" s="25">
        <v>0</v>
      </c>
      <c r="J100" s="25">
        <v>0</v>
      </c>
      <c r="K100" s="25">
        <v>0</v>
      </c>
      <c r="L100" s="25">
        <v>0</v>
      </c>
      <c r="M100" s="25">
        <v>0</v>
      </c>
      <c r="N100" s="25">
        <v>0</v>
      </c>
      <c r="O100" s="25">
        <v>0</v>
      </c>
      <c r="P100" s="25">
        <v>0</v>
      </c>
    </row>
    <row r="101" spans="2:16" ht="17" x14ac:dyDescent="0.2">
      <c r="B101" s="55">
        <v>3</v>
      </c>
      <c r="C101" s="5" t="s">
        <v>45</v>
      </c>
      <c r="D101" s="10"/>
      <c r="E101" s="25">
        <v>0</v>
      </c>
      <c r="F101" s="25">
        <v>0</v>
      </c>
      <c r="G101" s="25">
        <v>0</v>
      </c>
      <c r="H101" s="25">
        <v>0</v>
      </c>
      <c r="I101" s="25">
        <v>0</v>
      </c>
      <c r="J101" s="25">
        <v>0</v>
      </c>
      <c r="K101" s="25">
        <v>0</v>
      </c>
      <c r="L101" s="25">
        <v>0</v>
      </c>
      <c r="M101" s="25">
        <v>0</v>
      </c>
      <c r="N101" s="25">
        <v>0</v>
      </c>
      <c r="O101" s="25">
        <v>0</v>
      </c>
      <c r="P101" s="25">
        <v>0</v>
      </c>
    </row>
    <row r="102" spans="2:16" ht="17" x14ac:dyDescent="0.2">
      <c r="B102" s="56"/>
      <c r="C102" s="5" t="s">
        <v>46</v>
      </c>
      <c r="D102" s="10"/>
      <c r="E102" s="25">
        <v>0</v>
      </c>
      <c r="F102" s="25">
        <v>0</v>
      </c>
      <c r="G102" s="25">
        <v>0</v>
      </c>
      <c r="H102" s="25">
        <v>0</v>
      </c>
      <c r="I102" s="25">
        <v>0</v>
      </c>
      <c r="J102" s="25">
        <v>0</v>
      </c>
      <c r="K102" s="25">
        <v>0</v>
      </c>
      <c r="L102" s="25">
        <v>0</v>
      </c>
      <c r="M102" s="25">
        <v>0</v>
      </c>
      <c r="N102" s="25">
        <v>0</v>
      </c>
      <c r="O102" s="25">
        <v>0</v>
      </c>
      <c r="P102" s="25">
        <v>0</v>
      </c>
    </row>
    <row r="103" spans="2:16" ht="17" x14ac:dyDescent="0.2">
      <c r="B103" s="55">
        <v>4</v>
      </c>
      <c r="C103" s="5" t="s">
        <v>47</v>
      </c>
      <c r="D103" s="10"/>
      <c r="E103" s="25">
        <v>0</v>
      </c>
      <c r="F103" s="25">
        <v>0</v>
      </c>
      <c r="G103" s="25">
        <v>0</v>
      </c>
      <c r="H103" s="25">
        <v>0</v>
      </c>
      <c r="I103" s="25">
        <v>0</v>
      </c>
      <c r="J103" s="25">
        <v>0</v>
      </c>
      <c r="K103" s="25">
        <v>0</v>
      </c>
      <c r="L103" s="25">
        <v>0</v>
      </c>
      <c r="M103" s="25">
        <v>0</v>
      </c>
      <c r="N103" s="25">
        <v>0</v>
      </c>
      <c r="O103" s="25">
        <v>0</v>
      </c>
      <c r="P103" s="25">
        <v>0</v>
      </c>
    </row>
    <row r="104" spans="2:16" ht="17" x14ac:dyDescent="0.2">
      <c r="B104" s="56"/>
      <c r="C104" s="5" t="s">
        <v>48</v>
      </c>
      <c r="D104" s="10"/>
      <c r="E104" s="25">
        <v>0</v>
      </c>
      <c r="F104" s="25">
        <v>0</v>
      </c>
      <c r="G104" s="25">
        <v>0</v>
      </c>
      <c r="H104" s="25">
        <v>0</v>
      </c>
      <c r="I104" s="25">
        <v>0</v>
      </c>
      <c r="J104" s="25">
        <v>0</v>
      </c>
      <c r="K104" s="25">
        <v>0</v>
      </c>
      <c r="L104" s="25">
        <v>0</v>
      </c>
      <c r="M104" s="25">
        <v>0</v>
      </c>
      <c r="N104" s="25">
        <v>0</v>
      </c>
      <c r="O104" s="25">
        <v>0</v>
      </c>
      <c r="P104" s="25">
        <v>0</v>
      </c>
    </row>
    <row r="105" spans="2:16" ht="17" x14ac:dyDescent="0.2">
      <c r="B105" s="55">
        <v>5</v>
      </c>
      <c r="C105" s="5" t="s">
        <v>49</v>
      </c>
      <c r="D105" s="10"/>
      <c r="E105" s="25">
        <v>0</v>
      </c>
      <c r="F105" s="25">
        <v>0</v>
      </c>
      <c r="G105" s="25">
        <v>0</v>
      </c>
      <c r="H105" s="25">
        <v>0</v>
      </c>
      <c r="I105" s="25">
        <v>0</v>
      </c>
      <c r="J105" s="25">
        <v>0</v>
      </c>
      <c r="K105" s="25">
        <v>0</v>
      </c>
      <c r="L105" s="25">
        <v>0</v>
      </c>
      <c r="M105" s="25">
        <v>0</v>
      </c>
      <c r="N105" s="25">
        <v>0</v>
      </c>
      <c r="O105" s="25">
        <v>0</v>
      </c>
      <c r="P105" s="25">
        <v>0</v>
      </c>
    </row>
    <row r="106" spans="2:16" ht="17" x14ac:dyDescent="0.2">
      <c r="B106" s="56"/>
      <c r="C106" s="5" t="s">
        <v>50</v>
      </c>
      <c r="D106" s="10"/>
      <c r="E106" s="25">
        <v>0</v>
      </c>
      <c r="F106" s="25">
        <v>0</v>
      </c>
      <c r="G106" s="25">
        <v>0</v>
      </c>
      <c r="H106" s="25">
        <v>0</v>
      </c>
      <c r="I106" s="25">
        <v>0</v>
      </c>
      <c r="J106" s="25">
        <v>0</v>
      </c>
      <c r="K106" s="25">
        <v>0</v>
      </c>
      <c r="L106" s="25">
        <v>0</v>
      </c>
      <c r="M106" s="25">
        <v>0</v>
      </c>
      <c r="N106" s="25">
        <v>0</v>
      </c>
      <c r="O106" s="25">
        <v>0</v>
      </c>
      <c r="P106" s="25">
        <v>0</v>
      </c>
    </row>
    <row r="107" spans="2:16" ht="17" x14ac:dyDescent="0.2">
      <c r="B107" s="55">
        <v>6</v>
      </c>
      <c r="C107" s="5" t="s">
        <v>51</v>
      </c>
      <c r="D107" s="10"/>
      <c r="E107" s="25">
        <v>0</v>
      </c>
      <c r="F107" s="25">
        <v>0</v>
      </c>
      <c r="G107" s="25">
        <v>0</v>
      </c>
      <c r="H107" s="25">
        <v>0</v>
      </c>
      <c r="I107" s="25">
        <v>0</v>
      </c>
      <c r="J107" s="25">
        <v>0</v>
      </c>
      <c r="K107" s="25">
        <v>0</v>
      </c>
      <c r="L107" s="25">
        <v>0</v>
      </c>
      <c r="M107" s="25">
        <v>0</v>
      </c>
      <c r="N107" s="25">
        <v>0</v>
      </c>
      <c r="O107" s="25">
        <v>0</v>
      </c>
      <c r="P107" s="25">
        <v>0</v>
      </c>
    </row>
    <row r="108" spans="2:16" ht="17" x14ac:dyDescent="0.2">
      <c r="B108" s="56"/>
      <c r="C108" s="5" t="s">
        <v>52</v>
      </c>
      <c r="D108" s="10"/>
      <c r="E108" s="25">
        <v>0</v>
      </c>
      <c r="F108" s="25">
        <v>0</v>
      </c>
      <c r="G108" s="25">
        <v>0</v>
      </c>
      <c r="H108" s="25">
        <v>0</v>
      </c>
      <c r="I108" s="25">
        <v>0</v>
      </c>
      <c r="J108" s="25">
        <v>0</v>
      </c>
      <c r="K108" s="25">
        <v>0</v>
      </c>
      <c r="L108" s="25">
        <v>0</v>
      </c>
      <c r="M108" s="25">
        <v>0</v>
      </c>
      <c r="N108" s="25">
        <v>0</v>
      </c>
      <c r="O108" s="25">
        <v>0</v>
      </c>
      <c r="P108" s="25">
        <v>0</v>
      </c>
    </row>
    <row r="109" spans="2:16" ht="17" x14ac:dyDescent="0.2">
      <c r="B109" s="55">
        <v>7</v>
      </c>
      <c r="C109" s="5" t="s">
        <v>53</v>
      </c>
      <c r="D109" s="10"/>
      <c r="E109" s="25">
        <v>0</v>
      </c>
      <c r="F109" s="25">
        <v>0</v>
      </c>
      <c r="G109" s="25">
        <v>0</v>
      </c>
      <c r="H109" s="25">
        <v>0</v>
      </c>
      <c r="I109" s="25">
        <v>0</v>
      </c>
      <c r="J109" s="25">
        <v>0</v>
      </c>
      <c r="K109" s="25">
        <v>0</v>
      </c>
      <c r="L109" s="25">
        <v>0</v>
      </c>
      <c r="M109" s="25">
        <v>0</v>
      </c>
      <c r="N109" s="25">
        <v>0</v>
      </c>
      <c r="O109" s="25">
        <v>0</v>
      </c>
      <c r="P109" s="25">
        <v>0</v>
      </c>
    </row>
    <row r="110" spans="2:16" ht="17" x14ac:dyDescent="0.2">
      <c r="B110" s="56"/>
      <c r="C110" s="5" t="s">
        <v>54</v>
      </c>
      <c r="D110" s="10"/>
      <c r="E110" s="25">
        <v>0</v>
      </c>
      <c r="F110" s="25">
        <v>0</v>
      </c>
      <c r="G110" s="25">
        <v>0</v>
      </c>
      <c r="H110" s="25">
        <v>0</v>
      </c>
      <c r="I110" s="25">
        <v>0</v>
      </c>
      <c r="J110" s="25">
        <v>0</v>
      </c>
      <c r="K110" s="25">
        <v>0</v>
      </c>
      <c r="L110" s="25">
        <v>0</v>
      </c>
      <c r="M110" s="25">
        <v>0</v>
      </c>
      <c r="N110" s="25">
        <v>0</v>
      </c>
      <c r="O110" s="25">
        <v>0</v>
      </c>
      <c r="P110" s="25">
        <v>0</v>
      </c>
    </row>
    <row r="111" spans="2:16" ht="17" x14ac:dyDescent="0.2">
      <c r="B111" s="55">
        <v>8</v>
      </c>
      <c r="C111" s="5" t="s">
        <v>55</v>
      </c>
      <c r="D111" s="10"/>
      <c r="E111" s="25">
        <v>0</v>
      </c>
      <c r="F111" s="25">
        <v>0</v>
      </c>
      <c r="G111" s="25">
        <v>0</v>
      </c>
      <c r="H111" s="25">
        <v>0</v>
      </c>
      <c r="I111" s="25">
        <v>0</v>
      </c>
      <c r="J111" s="25">
        <v>0</v>
      </c>
      <c r="K111" s="25">
        <v>0</v>
      </c>
      <c r="L111" s="25">
        <v>0</v>
      </c>
      <c r="M111" s="25">
        <v>0</v>
      </c>
      <c r="N111" s="25">
        <v>0</v>
      </c>
      <c r="O111" s="25">
        <v>0</v>
      </c>
      <c r="P111" s="25">
        <v>0</v>
      </c>
    </row>
    <row r="112" spans="2:16" ht="17" x14ac:dyDescent="0.2">
      <c r="B112" s="56"/>
      <c r="C112" s="5" t="s">
        <v>56</v>
      </c>
      <c r="D112" s="10"/>
      <c r="E112" s="25">
        <v>0</v>
      </c>
      <c r="F112" s="25">
        <v>0</v>
      </c>
      <c r="G112" s="25">
        <v>0</v>
      </c>
      <c r="H112" s="25">
        <v>0</v>
      </c>
      <c r="I112" s="25">
        <v>0</v>
      </c>
      <c r="J112" s="25">
        <v>0</v>
      </c>
      <c r="K112" s="25">
        <v>0</v>
      </c>
      <c r="L112" s="25">
        <v>0</v>
      </c>
      <c r="M112" s="25">
        <v>0</v>
      </c>
      <c r="N112" s="25">
        <v>0</v>
      </c>
      <c r="O112" s="25">
        <v>0</v>
      </c>
      <c r="P112" s="25">
        <v>0</v>
      </c>
    </row>
    <row r="113" spans="2:16" ht="17" x14ac:dyDescent="0.2">
      <c r="B113" s="55">
        <v>9</v>
      </c>
      <c r="C113" s="5" t="s">
        <v>57</v>
      </c>
      <c r="D113" s="10"/>
      <c r="E113" s="25">
        <v>0</v>
      </c>
      <c r="F113" s="25">
        <v>0</v>
      </c>
      <c r="G113" s="25">
        <v>0</v>
      </c>
      <c r="H113" s="25">
        <v>0</v>
      </c>
      <c r="I113" s="25">
        <v>0</v>
      </c>
      <c r="J113" s="25">
        <v>0</v>
      </c>
      <c r="K113" s="25">
        <v>0</v>
      </c>
      <c r="L113" s="25">
        <v>0</v>
      </c>
      <c r="M113" s="25">
        <v>0</v>
      </c>
      <c r="N113" s="25">
        <v>0</v>
      </c>
      <c r="O113" s="25">
        <v>0</v>
      </c>
      <c r="P113" s="25">
        <v>0</v>
      </c>
    </row>
    <row r="114" spans="2:16" ht="17" x14ac:dyDescent="0.2">
      <c r="B114" s="56"/>
      <c r="C114" s="5" t="s">
        <v>58</v>
      </c>
      <c r="D114" s="10"/>
      <c r="E114" s="25">
        <v>0</v>
      </c>
      <c r="F114" s="25">
        <v>0</v>
      </c>
      <c r="G114" s="25">
        <v>0</v>
      </c>
      <c r="H114" s="25">
        <v>0</v>
      </c>
      <c r="I114" s="25">
        <v>0</v>
      </c>
      <c r="J114" s="25">
        <v>0</v>
      </c>
      <c r="K114" s="25">
        <v>0</v>
      </c>
      <c r="L114" s="25">
        <v>0</v>
      </c>
      <c r="M114" s="25">
        <v>0</v>
      </c>
      <c r="N114" s="25">
        <v>0</v>
      </c>
      <c r="O114" s="25">
        <v>0</v>
      </c>
      <c r="P114" s="25">
        <v>0</v>
      </c>
    </row>
    <row r="115" spans="2:16" ht="17" x14ac:dyDescent="0.2">
      <c r="B115" s="55">
        <v>10</v>
      </c>
      <c r="C115" s="5" t="s">
        <v>59</v>
      </c>
      <c r="D115" s="10"/>
      <c r="E115" s="25">
        <v>0</v>
      </c>
      <c r="F115" s="25">
        <v>0</v>
      </c>
      <c r="G115" s="25">
        <v>0</v>
      </c>
      <c r="H115" s="25">
        <v>0</v>
      </c>
      <c r="I115" s="25">
        <v>0</v>
      </c>
      <c r="J115" s="25">
        <v>0</v>
      </c>
      <c r="K115" s="25">
        <v>0</v>
      </c>
      <c r="L115" s="25">
        <v>0</v>
      </c>
      <c r="M115" s="25">
        <v>0</v>
      </c>
      <c r="N115" s="25">
        <v>0</v>
      </c>
      <c r="O115" s="25">
        <v>0</v>
      </c>
      <c r="P115" s="25">
        <v>0</v>
      </c>
    </row>
    <row r="116" spans="2:16" ht="17" x14ac:dyDescent="0.2">
      <c r="B116" s="56"/>
      <c r="C116" s="5" t="s">
        <v>60</v>
      </c>
      <c r="D116" s="10"/>
      <c r="E116" s="25">
        <v>0</v>
      </c>
      <c r="F116" s="25">
        <v>0</v>
      </c>
      <c r="G116" s="25">
        <v>0</v>
      </c>
      <c r="H116" s="25">
        <v>0</v>
      </c>
      <c r="I116" s="25">
        <v>0</v>
      </c>
      <c r="J116" s="25">
        <v>0</v>
      </c>
      <c r="K116" s="25">
        <v>0</v>
      </c>
      <c r="L116" s="25">
        <v>0</v>
      </c>
      <c r="M116" s="25">
        <v>0</v>
      </c>
      <c r="N116" s="25">
        <v>0</v>
      </c>
      <c r="O116" s="25">
        <v>0</v>
      </c>
      <c r="P116" s="25">
        <v>0</v>
      </c>
    </row>
  </sheetData>
  <mergeCells count="31">
    <mergeCell ref="B111:B112"/>
    <mergeCell ref="B113:B114"/>
    <mergeCell ref="B115:B116"/>
    <mergeCell ref="B97:B100"/>
    <mergeCell ref="B101:B102"/>
    <mergeCell ref="B103:B104"/>
    <mergeCell ref="B105:B106"/>
    <mergeCell ref="B107:B108"/>
    <mergeCell ref="B109:B110"/>
    <mergeCell ref="AG9:AH9"/>
    <mergeCell ref="AI9:AJ9"/>
    <mergeCell ref="AK9:AL9"/>
    <mergeCell ref="AM9:AN9"/>
    <mergeCell ref="E93:P93"/>
    <mergeCell ref="AC9:AD9"/>
    <mergeCell ref="AE9:AF9"/>
    <mergeCell ref="B95:B96"/>
    <mergeCell ref="S9:T9"/>
    <mergeCell ref="U9:X9"/>
    <mergeCell ref="Y9:Z9"/>
    <mergeCell ref="AA9:AB9"/>
    <mergeCell ref="AP9:AQ9"/>
    <mergeCell ref="AR9:AU9"/>
    <mergeCell ref="AV9:AW9"/>
    <mergeCell ref="AX9:AY9"/>
    <mergeCell ref="AZ9:BA9"/>
    <mergeCell ref="BB9:BC9"/>
    <mergeCell ref="BD9:BE9"/>
    <mergeCell ref="BF9:BG9"/>
    <mergeCell ref="BH9:BI9"/>
    <mergeCell ref="BJ9:BK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5C148-7DC2-2B4B-9025-086B8C1C47E5}">
  <sheetPr codeName="Sheet9"/>
  <dimension ref="A1:BK116"/>
  <sheetViews>
    <sheetView showGridLines="0" zoomScale="125" zoomScaleNormal="75" workbookViewId="0"/>
  </sheetViews>
  <sheetFormatPr baseColWidth="10" defaultRowHeight="16" x14ac:dyDescent="0.2"/>
  <cols>
    <col min="1" max="2" width="10.83203125" style="6"/>
    <col min="3" max="3" width="23" style="6" bestFit="1" customWidth="1"/>
    <col min="4" max="16384" width="10.83203125" style="6"/>
  </cols>
  <sheetData>
    <row r="1" spans="1:63" x14ac:dyDescent="0.2">
      <c r="A1" s="3" t="s">
        <v>66</v>
      </c>
      <c r="B1" s="14" t="str" cm="1">
        <f t="array" aca="1" ref="B1" ca="1">GetCurrentSheetName()</f>
        <v>TUBES</v>
      </c>
    </row>
    <row r="2" spans="1:63" x14ac:dyDescent="0.2">
      <c r="A2" s="3" t="s">
        <v>61</v>
      </c>
      <c r="B2" s="25">
        <v>1</v>
      </c>
    </row>
    <row r="3" spans="1:63" x14ac:dyDescent="0.2">
      <c r="A3" s="3" t="s">
        <v>80</v>
      </c>
      <c r="B3" s="25">
        <v>1</v>
      </c>
    </row>
    <row r="7" spans="1:63" x14ac:dyDescent="0.2">
      <c r="A7" s="3"/>
      <c r="B7" s="3"/>
      <c r="C7" s="3"/>
      <c r="D7" s="3" t="s">
        <v>79</v>
      </c>
      <c r="E7" s="11" t="s">
        <v>67</v>
      </c>
      <c r="F7" s="11" t="s">
        <v>68</v>
      </c>
      <c r="G7" s="11" t="s">
        <v>69</v>
      </c>
      <c r="H7" s="11" t="s">
        <v>70</v>
      </c>
      <c r="I7" s="11" t="s">
        <v>71</v>
      </c>
      <c r="J7" s="11" t="s">
        <v>72</v>
      </c>
      <c r="K7" s="11" t="s">
        <v>73</v>
      </c>
      <c r="L7" s="11" t="s">
        <v>74</v>
      </c>
      <c r="M7" s="11" t="s">
        <v>75</v>
      </c>
      <c r="N7" s="11" t="s">
        <v>76</v>
      </c>
      <c r="O7" s="11" t="s">
        <v>77</v>
      </c>
      <c r="P7" s="11" t="s">
        <v>78</v>
      </c>
      <c r="Q7" s="21" t="s">
        <v>65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63" x14ac:dyDescent="0.2">
      <c r="A8" s="3"/>
      <c r="B8" s="3"/>
      <c r="C8" s="3"/>
      <c r="D8" s="3" t="s">
        <v>63</v>
      </c>
      <c r="E8" s="19">
        <f>IFERROR(ROUNDUP(STDEV(E11:E90),2),0)</f>
        <v>0</v>
      </c>
      <c r="F8" s="19">
        <f t="shared" ref="F8:Q8" si="0">IFERROR(ROUNDUP(STDEV(F11:F90),2),0)</f>
        <v>0</v>
      </c>
      <c r="G8" s="19">
        <f t="shared" si="0"/>
        <v>0</v>
      </c>
      <c r="H8" s="19">
        <f t="shared" si="0"/>
        <v>0</v>
      </c>
      <c r="I8" s="19">
        <f t="shared" si="0"/>
        <v>0</v>
      </c>
      <c r="J8" s="19">
        <f t="shared" si="0"/>
        <v>0</v>
      </c>
      <c r="K8" s="19">
        <f t="shared" si="0"/>
        <v>0</v>
      </c>
      <c r="L8" s="19">
        <f t="shared" si="0"/>
        <v>0</v>
      </c>
      <c r="M8" s="19">
        <f t="shared" si="0"/>
        <v>0</v>
      </c>
      <c r="N8" s="19">
        <f t="shared" si="0"/>
        <v>0</v>
      </c>
      <c r="O8" s="19">
        <f t="shared" si="0"/>
        <v>0</v>
      </c>
      <c r="P8" s="19">
        <f t="shared" si="0"/>
        <v>0</v>
      </c>
      <c r="Q8" s="19">
        <f t="shared" si="0"/>
        <v>0</v>
      </c>
      <c r="R8" s="3"/>
      <c r="S8" s="3"/>
      <c r="T8" s="9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</row>
    <row r="9" spans="1:63" x14ac:dyDescent="0.2">
      <c r="A9" s="3"/>
      <c r="B9" s="3"/>
      <c r="C9" s="3"/>
      <c r="D9" s="3" t="s">
        <v>62</v>
      </c>
      <c r="E9" s="20">
        <f>IFERROR(ROUNDUP(AVERAGE(E11:E90),2),0)</f>
        <v>0</v>
      </c>
      <c r="F9" s="20">
        <f t="shared" ref="F9:Q9" si="1">IFERROR(ROUNDUP(AVERAGE(F11:F90),2),0)</f>
        <v>0</v>
      </c>
      <c r="G9" s="20">
        <f t="shared" si="1"/>
        <v>0</v>
      </c>
      <c r="H9" s="20">
        <f t="shared" si="1"/>
        <v>0</v>
      </c>
      <c r="I9" s="20">
        <f t="shared" si="1"/>
        <v>0</v>
      </c>
      <c r="J9" s="20">
        <f t="shared" si="1"/>
        <v>0</v>
      </c>
      <c r="K9" s="20">
        <f t="shared" si="1"/>
        <v>0</v>
      </c>
      <c r="L9" s="20">
        <f t="shared" si="1"/>
        <v>0</v>
      </c>
      <c r="M9" s="20">
        <f t="shared" si="1"/>
        <v>0</v>
      </c>
      <c r="N9" s="20">
        <f t="shared" si="1"/>
        <v>0</v>
      </c>
      <c r="O9" s="20">
        <f t="shared" si="1"/>
        <v>0</v>
      </c>
      <c r="P9" s="20">
        <f t="shared" si="1"/>
        <v>0</v>
      </c>
      <c r="Q9" s="20">
        <f t="shared" si="1"/>
        <v>0</v>
      </c>
      <c r="R9" s="8" t="s">
        <v>6</v>
      </c>
      <c r="S9" s="48">
        <v>1</v>
      </c>
      <c r="T9" s="49"/>
      <c r="U9" s="52">
        <v>2</v>
      </c>
      <c r="V9" s="53"/>
      <c r="W9" s="53"/>
      <c r="X9" s="54"/>
      <c r="Y9" s="52">
        <v>3</v>
      </c>
      <c r="Z9" s="54"/>
      <c r="AA9" s="52">
        <v>4</v>
      </c>
      <c r="AB9" s="54"/>
      <c r="AC9" s="52">
        <v>5</v>
      </c>
      <c r="AD9" s="54"/>
      <c r="AE9" s="52">
        <v>6</v>
      </c>
      <c r="AF9" s="54"/>
      <c r="AG9" s="48">
        <v>7</v>
      </c>
      <c r="AH9" s="49"/>
      <c r="AI9" s="48">
        <v>8</v>
      </c>
      <c r="AJ9" s="49"/>
      <c r="AK9" s="48">
        <v>9</v>
      </c>
      <c r="AL9" s="49"/>
      <c r="AM9" s="48">
        <v>10</v>
      </c>
      <c r="AN9" s="49"/>
      <c r="AO9" s="8" t="s">
        <v>6</v>
      </c>
      <c r="AP9" s="42">
        <v>1</v>
      </c>
      <c r="AQ9" s="42"/>
      <c r="AR9" s="41">
        <v>2</v>
      </c>
      <c r="AS9" s="41"/>
      <c r="AT9" s="41"/>
      <c r="AU9" s="41"/>
      <c r="AV9" s="41">
        <v>3</v>
      </c>
      <c r="AW9" s="41"/>
      <c r="AX9" s="41">
        <v>4</v>
      </c>
      <c r="AY9" s="41"/>
      <c r="AZ9" s="41">
        <v>5</v>
      </c>
      <c r="BA9" s="41"/>
      <c r="BB9" s="41">
        <v>6</v>
      </c>
      <c r="BC9" s="41"/>
      <c r="BD9" s="42">
        <v>7</v>
      </c>
      <c r="BE9" s="42"/>
      <c r="BF9" s="42">
        <v>8</v>
      </c>
      <c r="BG9" s="42"/>
      <c r="BH9" s="42">
        <v>9</v>
      </c>
      <c r="BI9" s="42"/>
      <c r="BJ9" s="42">
        <v>10</v>
      </c>
      <c r="BK9" s="42"/>
    </row>
    <row r="10" spans="1:63" x14ac:dyDescent="0.2">
      <c r="A10" s="11" t="s">
        <v>5</v>
      </c>
      <c r="B10" s="11" t="s">
        <v>0</v>
      </c>
      <c r="C10" s="11" t="s">
        <v>1</v>
      </c>
      <c r="D10" s="3" t="s">
        <v>61</v>
      </c>
      <c r="E10" s="26">
        <v>1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2"/>
      <c r="R10" s="8" t="s">
        <v>16</v>
      </c>
      <c r="S10" s="16" t="s">
        <v>39</v>
      </c>
      <c r="T10" s="16" t="s">
        <v>40</v>
      </c>
      <c r="U10" s="16" t="s">
        <v>41</v>
      </c>
      <c r="V10" s="16" t="s">
        <v>42</v>
      </c>
      <c r="W10" s="16" t="s">
        <v>43</v>
      </c>
      <c r="X10" s="16" t="s">
        <v>44</v>
      </c>
      <c r="Y10" s="16" t="s">
        <v>45</v>
      </c>
      <c r="Z10" s="16" t="s">
        <v>46</v>
      </c>
      <c r="AA10" s="16" t="s">
        <v>47</v>
      </c>
      <c r="AB10" s="16" t="s">
        <v>48</v>
      </c>
      <c r="AC10" s="16" t="s">
        <v>49</v>
      </c>
      <c r="AD10" s="16" t="s">
        <v>50</v>
      </c>
      <c r="AE10" s="16" t="s">
        <v>51</v>
      </c>
      <c r="AF10" s="16" t="s">
        <v>52</v>
      </c>
      <c r="AG10" s="16" t="s">
        <v>53</v>
      </c>
      <c r="AH10" s="16" t="s">
        <v>54</v>
      </c>
      <c r="AI10" s="16" t="s">
        <v>55</v>
      </c>
      <c r="AJ10" s="16" t="s">
        <v>56</v>
      </c>
      <c r="AK10" s="16" t="s">
        <v>57</v>
      </c>
      <c r="AL10" s="16" t="s">
        <v>58</v>
      </c>
      <c r="AM10" s="16" t="s">
        <v>59</v>
      </c>
      <c r="AN10" s="16" t="s">
        <v>60</v>
      </c>
      <c r="AO10" s="8" t="s">
        <v>16</v>
      </c>
      <c r="AP10" s="31" t="s">
        <v>39</v>
      </c>
      <c r="AQ10" s="31" t="s">
        <v>40</v>
      </c>
      <c r="AR10" s="31" t="s">
        <v>41</v>
      </c>
      <c r="AS10" s="31" t="s">
        <v>42</v>
      </c>
      <c r="AT10" s="31" t="s">
        <v>43</v>
      </c>
      <c r="AU10" s="31" t="s">
        <v>44</v>
      </c>
      <c r="AV10" s="31" t="s">
        <v>45</v>
      </c>
      <c r="AW10" s="31" t="s">
        <v>46</v>
      </c>
      <c r="AX10" s="31" t="s">
        <v>47</v>
      </c>
      <c r="AY10" s="31" t="s">
        <v>48</v>
      </c>
      <c r="AZ10" s="31" t="s">
        <v>49</v>
      </c>
      <c r="BA10" s="31" t="s">
        <v>50</v>
      </c>
      <c r="BB10" s="31" t="s">
        <v>51</v>
      </c>
      <c r="BC10" s="31" t="s">
        <v>52</v>
      </c>
      <c r="BD10" s="31" t="s">
        <v>53</v>
      </c>
      <c r="BE10" s="31" t="s">
        <v>54</v>
      </c>
      <c r="BF10" s="31" t="s">
        <v>55</v>
      </c>
      <c r="BG10" s="31" t="s">
        <v>56</v>
      </c>
      <c r="BH10" s="31" t="s">
        <v>57</v>
      </c>
      <c r="BI10" s="31" t="s">
        <v>58</v>
      </c>
      <c r="BJ10" s="31" t="s">
        <v>59</v>
      </c>
      <c r="BK10" s="31" t="s">
        <v>60</v>
      </c>
    </row>
    <row r="11" spans="1:63" x14ac:dyDescent="0.2">
      <c r="A11" s="2">
        <v>1</v>
      </c>
      <c r="B11" s="2" t="str">
        <f>IF(LEN(SUMMARY!B11)&gt;0, SUMMARY!B11, "")</f>
        <v/>
      </c>
      <c r="C11" s="2" t="str">
        <f>IF(LEN(SUMMARY!C11)&gt;0, SUMMARY!C11, "")</f>
        <v/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" t="str">
        <f>IF(B11&lt;&gt;"",IFERROR(ROUNDUP(SUMPRODUCT($E$10:$P$10,E11:P11)/SUM($E$10:$P$10),2),0),"")</f>
        <v/>
      </c>
      <c r="S11" s="2" t="str">
        <f>IF(B11&lt;&gt;"",IFERROR(ROUNDUP(SUMPRODUCT(E11:P11,$E$95:$P$95)/SUM($E$95:$P$95),2),0),"")</f>
        <v/>
      </c>
      <c r="T11" s="2" t="str">
        <f>IF(B11&lt;&gt;"",IFERROR(ROUNDUP(SUMPRODUCT(E11:P11,$E$96:$P$96)/SUM($E$96:$P$96),2),0),"")</f>
        <v/>
      </c>
      <c r="U11" s="2" t="str">
        <f>IF(B11&lt;&gt;"",IFERROR(ROUNDUP(SUMPRODUCT(E11:P11,$E$97:$P$97)/SUM($E$97:$P$97),2),0),"")</f>
        <v/>
      </c>
      <c r="V11" s="2" t="str">
        <f>IF(B11&lt;&gt;"",IFERROR(ROUNDUP(SUMPRODUCT(E11:P11,$E$98:$P$98)/SUM($E$98:$P$98),2),0),"")</f>
        <v/>
      </c>
      <c r="W11" s="2" t="str">
        <f>IF(B11&lt;&gt;"",IFERROR(ROUNDUP(SUMPRODUCT(E11:P11,$E$99:$P$99)/SUM($E$99:$P$99),2),0),"")</f>
        <v/>
      </c>
      <c r="X11" s="2" t="str">
        <f>IF(B11&lt;&gt;"",IFERROR(ROUNDUP(SUMPRODUCT(E11:P11,$E$100:$P$100)/SUM($E$100:$P$100),2),0),"")</f>
        <v/>
      </c>
      <c r="Y11" s="2" t="str">
        <f>IF(B11&lt;&gt;"",IFERROR(ROUNDUP(SUMPRODUCT(E11:P11,$E$101:$P$101)/SUM($E$101:$P$101),2),0),"")</f>
        <v/>
      </c>
      <c r="Z11" s="2" t="str">
        <f>IF(B11&lt;&gt;"",IFERROR(ROUNDUP(SUMPRODUCT(E11:P11,$E$102:$P$102)/SUM($E$102:$P$102),2),0),"")</f>
        <v/>
      </c>
      <c r="AA11" s="2" t="str">
        <f>IF(B11&lt;&gt;"",IFERROR(ROUNDUP(SUMPRODUCT(E11:P11,$E$103:$P$103)/SUM($E$103:$P$103),2),0),"")</f>
        <v/>
      </c>
      <c r="AB11" s="2" t="str">
        <f>IF(B11&lt;&gt;"",IFERROR(ROUNDUP(SUMPRODUCT(E11:P11,$E$104:$P$104)/SUM($E$104:$P$104),2),0),"")</f>
        <v/>
      </c>
      <c r="AC11" s="2" t="str">
        <f>IF(B11&lt;&gt;"",IFERROR(ROUNDUP(SUMPRODUCT(E11:P11,$E$105:$P$105)/SUM($E$105:$P$105),2),0),"")</f>
        <v/>
      </c>
      <c r="AD11" s="2" t="str">
        <f>IF(B11&lt;&gt;"",IFERROR(ROUNDUP(SUMPRODUCT(E11:P11,$E$106:$P$106)/SUM($E$106:$P$106),2),0),"")</f>
        <v/>
      </c>
      <c r="AE11" s="2" t="str">
        <f>IF(B11&lt;&gt;"",IFERROR(ROUNDUP(SUMPRODUCT(E11:P11,$E$107:$P$107)/SUM($E$107:$P$107),2),0),"")</f>
        <v/>
      </c>
      <c r="AF11" s="2" t="str">
        <f>IF(B11&lt;&gt;"",IFERROR(ROUNDUP(SUMPRODUCT(E11:P11,$E$108:$P$108)/SUM($E$108:$P$108),2),0),"")</f>
        <v/>
      </c>
      <c r="AG11" s="2" t="str">
        <f>IF(B11&lt;&gt;"",IFERROR(ROUNDUP(SUMPRODUCT(E11:P11,$E$109:$P$109)/SUM($E$109:$P$109),2),0),"")</f>
        <v/>
      </c>
      <c r="AH11" s="2" t="str">
        <f>IF(B11&lt;&gt;"",IFERROR(ROUNDUP(SUMPRODUCT(E11:P11,$E$110:$P$110)/SUM($E$110:$P$110),2),0),"")</f>
        <v/>
      </c>
      <c r="AI11" s="2" t="str">
        <f>IF(B11&lt;&gt;"",IFERROR(ROUNDUP(SUMPRODUCT(E11:P11,$E$111:$P$111)/SUM($E$111:$P$111),2),0),"")</f>
        <v/>
      </c>
      <c r="AJ11" s="2" t="str">
        <f>IF(B11&lt;&gt;"",IFERROR(ROUNDUP(SUMPRODUCT(E11:P11,$E$112:$P$112)/SUM($E$112:$P$112),2),0),"")</f>
        <v/>
      </c>
      <c r="AK11" s="2" t="str">
        <f>IF(B11&lt;&gt;"",IFERROR(ROUNDUP(SUMPRODUCT(E11:P11,$E$113:$P$113)/SUM($E$113:$P$113),2),0),"")</f>
        <v/>
      </c>
      <c r="AL11" s="2" t="str">
        <f>IF(B11&lt;&gt;"",IFERROR(ROUNDUP(SUMPRODUCT(E11:P11,$E$114:$P$114)/SUM($E$114:$P$114),2),0),"")</f>
        <v/>
      </c>
      <c r="AM11" s="2" t="str">
        <f>IF(B11&lt;&gt;"",IFERROR(ROUNDUP(SUMPRODUCT(E11:P11,$E$115:$P$115)/SUM($E$115:$P$115),2),0),"")</f>
        <v/>
      </c>
      <c r="AN11" s="2" t="str">
        <f>IF(B11&lt;&gt;"",IFERROR(ROUNDUP(SUMPRODUCT(E11:P11,$E$116:$P$116)/SUM($E$116:$P$116),2),0),"")</f>
        <v/>
      </c>
      <c r="AP11" s="2" t="str" cm="1">
        <f t="array" ref="AP11">IF('NILAI CPL'!$B11&lt;&gt;"",IFERROR(_xlfn.IFS(S11&gt;='NILAI CPL'!$B$3,4,S11&gt;='NILAI CPL'!$B$4,3,S11&gt;='NILAI CPL'!$B$5,2,S11&gt;'NILAI CPL'!$B$6,1),0),"")</f>
        <v/>
      </c>
      <c r="AQ11" s="2" t="str" cm="1">
        <f t="array" ref="AQ11">IF('NILAI CPL'!$B11&lt;&gt;"",IFERROR(_xlfn.IFS(T11&gt;='NILAI CPL'!$B$3,4,T11&gt;='NILAI CPL'!$B$4,3,T11&gt;='NILAI CPL'!$B$5,2,T11&gt;'NILAI CPL'!$B$6,1),0),"")</f>
        <v/>
      </c>
      <c r="AR11" s="2" t="str" cm="1">
        <f t="array" ref="AR11">IF('NILAI CPL'!$B11&lt;&gt;"",IFERROR(_xlfn.IFS(U11&gt;='NILAI CPL'!$B$3,4,U11&gt;='NILAI CPL'!$B$4,3,U11&gt;='NILAI CPL'!$B$5,2,U11&gt;'NILAI CPL'!$B$6,1),0),"")</f>
        <v/>
      </c>
      <c r="AS11" s="2" t="str" cm="1">
        <f t="array" ref="AS11">IF('NILAI CPL'!$B11&lt;&gt;"",IFERROR(_xlfn.IFS(V11&gt;='NILAI CPL'!$B$3,4,V11&gt;='NILAI CPL'!$B$4,3,V11&gt;='NILAI CPL'!$B$5,2,V11&gt;'NILAI CPL'!$B$6,1),0),"")</f>
        <v/>
      </c>
      <c r="AT11" s="2" t="str" cm="1">
        <f t="array" ref="AT11">IF('NILAI CPL'!$B11&lt;&gt;"",IFERROR(_xlfn.IFS(W11&gt;='NILAI CPL'!$B$3,4,W11&gt;='NILAI CPL'!$B$4,3,W11&gt;='NILAI CPL'!$B$5,2,W11&gt;'NILAI CPL'!$B$6,1),0),"")</f>
        <v/>
      </c>
      <c r="AU11" s="2" t="str" cm="1">
        <f t="array" ref="AU11">IF('NILAI CPL'!$B11&lt;&gt;"",IFERROR(_xlfn.IFS(X11&gt;='NILAI CPL'!$B$3,4,X11&gt;='NILAI CPL'!$B$4,3,X11&gt;='NILAI CPL'!$B$5,2,X11&gt;'NILAI CPL'!$B$6,1),0),"")</f>
        <v/>
      </c>
      <c r="AV11" s="2" t="str" cm="1">
        <f t="array" ref="AV11">IF('NILAI CPL'!$B11&lt;&gt;"",IFERROR(_xlfn.IFS(Y11&gt;='NILAI CPL'!$B$3,4,Y11&gt;='NILAI CPL'!$B$4,3,Y11&gt;='NILAI CPL'!$B$5,2,Y11&gt;'NILAI CPL'!$B$6,1),0),"")</f>
        <v/>
      </c>
      <c r="AW11" s="2" t="str" cm="1">
        <f t="array" ref="AW11">IF('NILAI CPL'!$B11&lt;&gt;"",IFERROR(_xlfn.IFS(Z11&gt;='NILAI CPL'!$B$3,4,Z11&gt;='NILAI CPL'!$B$4,3,Z11&gt;='NILAI CPL'!$B$5,2,Z11&gt;'NILAI CPL'!$B$6,1),0),"")</f>
        <v/>
      </c>
      <c r="AX11" s="2" t="str" cm="1">
        <f t="array" ref="AX11">IF('NILAI CPL'!$B11&lt;&gt;"",IFERROR(_xlfn.IFS(AA11&gt;='NILAI CPL'!$B$3,4,AA11&gt;='NILAI CPL'!$B$4,3,AA11&gt;='NILAI CPL'!$B$5,2,AA11&gt;'NILAI CPL'!$B$6,1),0),"")</f>
        <v/>
      </c>
      <c r="AY11" s="2" t="str" cm="1">
        <f t="array" ref="AY11">IF('NILAI CPL'!$B11&lt;&gt;"",IFERROR(_xlfn.IFS(AB11&gt;='NILAI CPL'!$B$3,4,AB11&gt;='NILAI CPL'!$B$4,3,AB11&gt;='NILAI CPL'!$B$5,2,AB11&gt;'NILAI CPL'!$B$6,1),0),"")</f>
        <v/>
      </c>
      <c r="AZ11" s="2" t="str" cm="1">
        <f t="array" ref="AZ11">IF('NILAI CPL'!$B11&lt;&gt;"",IFERROR(_xlfn.IFS(AC11&gt;='NILAI CPL'!$B$3,4,AC11&gt;='NILAI CPL'!$B$4,3,AC11&gt;='NILAI CPL'!$B$5,2,AC11&gt;'NILAI CPL'!$B$6,1),0),"")</f>
        <v/>
      </c>
      <c r="BA11" s="2" t="str" cm="1">
        <f t="array" ref="BA11">IF('NILAI CPL'!$B11&lt;&gt;"",IFERROR(_xlfn.IFS(AD11&gt;='NILAI CPL'!$B$3,4,AD11&gt;='NILAI CPL'!$B$4,3,AD11&gt;='NILAI CPL'!$B$5,2,AD11&gt;'NILAI CPL'!$B$6,1),0),"")</f>
        <v/>
      </c>
      <c r="BB11" s="2" t="str" cm="1">
        <f t="array" ref="BB11">IF('NILAI CPL'!$B11&lt;&gt;"",IFERROR(_xlfn.IFS(AE11&gt;='NILAI CPL'!$B$3,4,AE11&gt;='NILAI CPL'!$B$4,3,AE11&gt;='NILAI CPL'!$B$5,2,AE11&gt;'NILAI CPL'!$B$6,1),0),"")</f>
        <v/>
      </c>
      <c r="BC11" s="2" t="str" cm="1">
        <f t="array" ref="BC11">IF('NILAI CPL'!$B11&lt;&gt;"",IFERROR(_xlfn.IFS(AF11&gt;='NILAI CPL'!$B$3,4,AF11&gt;='NILAI CPL'!$B$4,3,AF11&gt;='NILAI CPL'!$B$5,2,AF11&gt;'NILAI CPL'!$B$6,1),0),"")</f>
        <v/>
      </c>
      <c r="BD11" s="2" t="str" cm="1">
        <f t="array" ref="BD11">IF('NILAI CPL'!$B11&lt;&gt;"",IFERROR(_xlfn.IFS(AG11&gt;='NILAI CPL'!$B$3,4,AG11&gt;='NILAI CPL'!$B$4,3,AG11&gt;='NILAI CPL'!$B$5,2,AG11&gt;'NILAI CPL'!$B$6,1),0),"")</f>
        <v/>
      </c>
      <c r="BE11" s="2" t="str" cm="1">
        <f t="array" ref="BE11">IF('NILAI CPL'!$B11&lt;&gt;"",IFERROR(_xlfn.IFS(AH11&gt;='NILAI CPL'!$B$3,4,AH11&gt;='NILAI CPL'!$B$4,3,AH11&gt;='NILAI CPL'!$B$5,2,AH11&gt;'NILAI CPL'!$B$6,1),0),"")</f>
        <v/>
      </c>
      <c r="BF11" s="2" t="str" cm="1">
        <f t="array" ref="BF11">IF('NILAI CPL'!$B11&lt;&gt;"",IFERROR(_xlfn.IFS(AI11&gt;='NILAI CPL'!$B$3,4,AI11&gt;='NILAI CPL'!$B$4,3,AI11&gt;='NILAI CPL'!$B$5,2,AI11&gt;'NILAI CPL'!$B$6,1),0),"")</f>
        <v/>
      </c>
      <c r="BG11" s="2" t="str" cm="1">
        <f t="array" ref="BG11">IF('NILAI CPL'!$B11&lt;&gt;"",IFERROR(_xlfn.IFS(AJ11&gt;='NILAI CPL'!$B$3,4,AJ11&gt;='NILAI CPL'!$B$4,3,AJ11&gt;='NILAI CPL'!$B$5,2,AJ11&gt;'NILAI CPL'!$B$6,1),0),"")</f>
        <v/>
      </c>
      <c r="BH11" s="2" t="str" cm="1">
        <f t="array" ref="BH11">IF('NILAI CPL'!$B11&lt;&gt;"",IFERROR(_xlfn.IFS(AK11&gt;='NILAI CPL'!$B$3,4,AK11&gt;='NILAI CPL'!$B$4,3,AK11&gt;='NILAI CPL'!$B$5,2,AK11&gt;'NILAI CPL'!$B$6,1),0),"")</f>
        <v/>
      </c>
      <c r="BI11" s="2" t="str" cm="1">
        <f t="array" ref="BI11">IF('NILAI CPL'!$B11&lt;&gt;"",IFERROR(_xlfn.IFS(AL11&gt;='NILAI CPL'!$B$3,4,AL11&gt;='NILAI CPL'!$B$4,3,AL11&gt;='NILAI CPL'!$B$5,2,AL11&gt;'NILAI CPL'!$B$6,1),0),"")</f>
        <v/>
      </c>
      <c r="BJ11" s="2" t="str" cm="1">
        <f t="array" ref="BJ11">IF('NILAI CPL'!$B11&lt;&gt;"",IFERROR(_xlfn.IFS(AM11&gt;='NILAI CPL'!$B$3,4,AM11&gt;='NILAI CPL'!$B$4,3,AM11&gt;='NILAI CPL'!$B$5,2,AM11&gt;'NILAI CPL'!$B$6,1),0),"")</f>
        <v/>
      </c>
      <c r="BK11" s="2" t="str" cm="1">
        <f t="array" ref="BK11">IF('NILAI CPL'!$B11&lt;&gt;"",IFERROR(_xlfn.IFS(AN11&gt;='NILAI CPL'!$B$3,4,AN11&gt;='NILAI CPL'!$B$4,3,AN11&gt;='NILAI CPL'!$B$5,2,AN11&gt;'NILAI CPL'!$B$6,1),0),"")</f>
        <v/>
      </c>
    </row>
    <row r="12" spans="1:63" x14ac:dyDescent="0.2">
      <c r="A12" s="2">
        <v>2</v>
      </c>
      <c r="B12" s="2" t="str">
        <f>IF(LEN(SUMMARY!B12)&gt;0, SUMMARY!B12, "")</f>
        <v/>
      </c>
      <c r="C12" s="2" t="str">
        <f>IF(LEN(SUMMARY!C12)&gt;0, SUMMARY!C12, "")</f>
        <v/>
      </c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" t="str">
        <f t="shared" ref="Q12:Q75" si="2">IF(B12&lt;&gt;"",IFERROR(ROUNDUP(SUMPRODUCT($E$10:$P$10,E12:P12)/SUM($E$10:$P$10),2),0),"")</f>
        <v/>
      </c>
      <c r="S12" s="2" t="str">
        <f t="shared" ref="S12:S75" si="3">IF(B12&lt;&gt;"",IFERROR(ROUNDUP(SUMPRODUCT(E12:P12,$E$95:$P$95)/SUM($E$95:$P$95),2),0),"")</f>
        <v/>
      </c>
      <c r="T12" s="2" t="str">
        <f t="shared" ref="T12:T75" si="4">IF(B12&lt;&gt;"",IFERROR(ROUNDUP(SUMPRODUCT(E12:P12,$E$96:$P$96)/SUM($E$96:$P$96),2),0),"")</f>
        <v/>
      </c>
      <c r="U12" s="2" t="str">
        <f t="shared" ref="U12:U75" si="5">IF(B12&lt;&gt;"",IFERROR(ROUNDUP(SUMPRODUCT(E12:P12,$E$97:$P$97)/SUM($E$97:$P$97),2),0),"")</f>
        <v/>
      </c>
      <c r="V12" s="2" t="str">
        <f t="shared" ref="V12:V75" si="6">IF(B12&lt;&gt;"",IFERROR(ROUNDUP(SUMPRODUCT(E12:P12,$E$98:$P$98)/SUM($E$98:$P$98),2),0),"")</f>
        <v/>
      </c>
      <c r="W12" s="2" t="str">
        <f t="shared" ref="W12:W75" si="7">IF(B12&lt;&gt;"",IFERROR(ROUNDUP(SUMPRODUCT(E12:P12,$E$99:$P$99)/SUM($E$99:$P$99),2),0),"")</f>
        <v/>
      </c>
      <c r="X12" s="2" t="str">
        <f t="shared" ref="X12:X75" si="8">IF(B12&lt;&gt;"",IFERROR(ROUNDUP(SUMPRODUCT(E12:P12,$E$100:$P$100)/SUM($E$100:$P$100),2),0),"")</f>
        <v/>
      </c>
      <c r="Y12" s="2" t="str">
        <f t="shared" ref="Y12:Y75" si="9">IF(B12&lt;&gt;"",IFERROR(ROUNDUP(SUMPRODUCT(E12:P12,$E$101:$P$101)/SUM($E$101:$P$101),2),0),"")</f>
        <v/>
      </c>
      <c r="Z12" s="2" t="str">
        <f t="shared" ref="Z12:Z75" si="10">IF(B12&lt;&gt;"",IFERROR(ROUNDUP(SUMPRODUCT(E12:P12,$E$102:$P$102)/SUM($E$102:$P$102),2),0),"")</f>
        <v/>
      </c>
      <c r="AA12" s="2" t="str">
        <f t="shared" ref="AA12:AA75" si="11">IF(B12&lt;&gt;"",IFERROR(ROUNDUP(SUMPRODUCT(E12:P12,$E$103:$P$103)/SUM($E$103:$P$103),2),0),"")</f>
        <v/>
      </c>
      <c r="AB12" s="2" t="str">
        <f t="shared" ref="AB12:AB75" si="12">IF(B12&lt;&gt;"",IFERROR(ROUNDUP(SUMPRODUCT(E12:P12,$E$104:$P$104)/SUM($E$104:$P$104),2),0),"")</f>
        <v/>
      </c>
      <c r="AC12" s="2" t="str">
        <f t="shared" ref="AC12:AC75" si="13">IF(B12&lt;&gt;"",IFERROR(ROUNDUP(SUMPRODUCT(E12:P12,$E$105:$P$105)/SUM($E$105:$P$105),2),0),"")</f>
        <v/>
      </c>
      <c r="AD12" s="2" t="str">
        <f t="shared" ref="AD12:AD75" si="14">IF(B12&lt;&gt;"",IFERROR(ROUNDUP(SUMPRODUCT(E12:P12,$E$106:$P$106)/SUM($E$106:$P$106),2),0),"")</f>
        <v/>
      </c>
      <c r="AE12" s="2" t="str">
        <f t="shared" ref="AE12:AE75" si="15">IF(B12&lt;&gt;"",IFERROR(ROUNDUP(SUMPRODUCT(E12:P12,$E$107:$P$107)/SUM($E$107:$P$107),2),0),"")</f>
        <v/>
      </c>
      <c r="AF12" s="2" t="str">
        <f t="shared" ref="AF12:AF75" si="16">IF(B12&lt;&gt;"",IFERROR(ROUNDUP(SUMPRODUCT(E12:P12,$E$108:$P$108)/SUM($E$108:$P$108),2),0),"")</f>
        <v/>
      </c>
      <c r="AG12" s="2" t="str">
        <f t="shared" ref="AG12:AG75" si="17">IF(B12&lt;&gt;"",IFERROR(ROUNDUP(SUMPRODUCT(E12:P12,$E$109:$P$109)/SUM($E$109:$P$109),2),0),"")</f>
        <v/>
      </c>
      <c r="AH12" s="2" t="str">
        <f t="shared" ref="AH12:AH75" si="18">IF(B12&lt;&gt;"",IFERROR(ROUNDUP(SUMPRODUCT(E12:P12,$E$110:$P$110)/SUM($E$110:$P$110),2),0),"")</f>
        <v/>
      </c>
      <c r="AI12" s="2" t="str">
        <f t="shared" ref="AI12:AI75" si="19">IF(B12&lt;&gt;"",IFERROR(ROUNDUP(SUMPRODUCT(E12:P12,$E$111:$P$111)/SUM($E$111:$P$111),2),0),"")</f>
        <v/>
      </c>
      <c r="AJ12" s="2" t="str">
        <f t="shared" ref="AJ12:AJ75" si="20">IF(B12&lt;&gt;"",IFERROR(ROUNDUP(SUMPRODUCT(E12:P12,$E$112:$P$112)/SUM($E$112:$P$112),2),0),"")</f>
        <v/>
      </c>
      <c r="AK12" s="2" t="str">
        <f t="shared" ref="AK12:AK75" si="21">IF(B12&lt;&gt;"",IFERROR(ROUNDUP(SUMPRODUCT(E12:P12,$E$113:$P$113)/SUM($E$113:$P$113),2),0),"")</f>
        <v/>
      </c>
      <c r="AL12" s="2" t="str">
        <f t="shared" ref="AL12:AL75" si="22">IF(B12&lt;&gt;"",IFERROR(ROUNDUP(SUMPRODUCT(E12:P12,$E$114:$P$114)/SUM($E$114:$P$114),2),0),"")</f>
        <v/>
      </c>
      <c r="AM12" s="2" t="str">
        <f t="shared" ref="AM12:AM75" si="23">IF(B12&lt;&gt;"",IFERROR(ROUNDUP(SUMPRODUCT(E12:P12,$E$115:$P$115)/SUM($E$115:$P$115),2),0),"")</f>
        <v/>
      </c>
      <c r="AN12" s="2" t="str">
        <f t="shared" ref="AN12:AN75" si="24">IF(B12&lt;&gt;"",IFERROR(ROUNDUP(SUMPRODUCT(E12:P12,$E$116:$P$116)/SUM($E$116:$P$116),2),0),"")</f>
        <v/>
      </c>
      <c r="AP12" s="2" t="str" cm="1">
        <f t="array" ref="AP12">IF('NILAI CPL'!$B12&lt;&gt;"",IFERROR(_xlfn.IFS(S12&gt;='NILAI CPL'!$B$3,4,S12&gt;='NILAI CPL'!$B$4,3,S12&gt;='NILAI CPL'!$B$5,2,S12&gt;'NILAI CPL'!$B$6,1),0),"")</f>
        <v/>
      </c>
      <c r="AQ12" s="2" t="str" cm="1">
        <f t="array" ref="AQ12">IF('NILAI CPL'!$B12&lt;&gt;"",IFERROR(_xlfn.IFS(T12&gt;='NILAI CPL'!$B$3,4,T12&gt;='NILAI CPL'!$B$4,3,T12&gt;='NILAI CPL'!$B$5,2,T12&gt;'NILAI CPL'!$B$6,1),0),"")</f>
        <v/>
      </c>
      <c r="AR12" s="2" t="str" cm="1">
        <f t="array" ref="AR12">IF('NILAI CPL'!$B12&lt;&gt;"",IFERROR(_xlfn.IFS(U12&gt;='NILAI CPL'!$B$3,4,U12&gt;='NILAI CPL'!$B$4,3,U12&gt;='NILAI CPL'!$B$5,2,U12&gt;'NILAI CPL'!$B$6,1),0),"")</f>
        <v/>
      </c>
      <c r="AS12" s="2" t="str" cm="1">
        <f t="array" ref="AS12">IF('NILAI CPL'!$B12&lt;&gt;"",IFERROR(_xlfn.IFS(V12&gt;='NILAI CPL'!$B$3,4,V12&gt;='NILAI CPL'!$B$4,3,V12&gt;='NILAI CPL'!$B$5,2,V12&gt;'NILAI CPL'!$B$6,1),0),"")</f>
        <v/>
      </c>
      <c r="AT12" s="2" t="str" cm="1">
        <f t="array" ref="AT12">IF('NILAI CPL'!$B12&lt;&gt;"",IFERROR(_xlfn.IFS(W12&gt;='NILAI CPL'!$B$3,4,W12&gt;='NILAI CPL'!$B$4,3,W12&gt;='NILAI CPL'!$B$5,2,W12&gt;'NILAI CPL'!$B$6,1),0),"")</f>
        <v/>
      </c>
      <c r="AU12" s="2" t="str" cm="1">
        <f t="array" ref="AU12">IF('NILAI CPL'!$B12&lt;&gt;"",IFERROR(_xlfn.IFS(X12&gt;='NILAI CPL'!$B$3,4,X12&gt;='NILAI CPL'!$B$4,3,X12&gt;='NILAI CPL'!$B$5,2,X12&gt;'NILAI CPL'!$B$6,1),0),"")</f>
        <v/>
      </c>
      <c r="AV12" s="2" t="str" cm="1">
        <f t="array" ref="AV12">IF('NILAI CPL'!$B12&lt;&gt;"",IFERROR(_xlfn.IFS(Y12&gt;='NILAI CPL'!$B$3,4,Y12&gt;='NILAI CPL'!$B$4,3,Y12&gt;='NILAI CPL'!$B$5,2,Y12&gt;'NILAI CPL'!$B$6,1),0),"")</f>
        <v/>
      </c>
      <c r="AW12" s="2" t="str" cm="1">
        <f t="array" ref="AW12">IF('NILAI CPL'!$B12&lt;&gt;"",IFERROR(_xlfn.IFS(Z12&gt;='NILAI CPL'!$B$3,4,Z12&gt;='NILAI CPL'!$B$4,3,Z12&gt;='NILAI CPL'!$B$5,2,Z12&gt;'NILAI CPL'!$B$6,1),0),"")</f>
        <v/>
      </c>
      <c r="AX12" s="2" t="str" cm="1">
        <f t="array" ref="AX12">IF('NILAI CPL'!$B12&lt;&gt;"",IFERROR(_xlfn.IFS(AA12&gt;='NILAI CPL'!$B$3,4,AA12&gt;='NILAI CPL'!$B$4,3,AA12&gt;='NILAI CPL'!$B$5,2,AA12&gt;'NILAI CPL'!$B$6,1),0),"")</f>
        <v/>
      </c>
      <c r="AY12" s="2" t="str" cm="1">
        <f t="array" ref="AY12">IF('NILAI CPL'!$B12&lt;&gt;"",IFERROR(_xlfn.IFS(AB12&gt;='NILAI CPL'!$B$3,4,AB12&gt;='NILAI CPL'!$B$4,3,AB12&gt;='NILAI CPL'!$B$5,2,AB12&gt;'NILAI CPL'!$B$6,1),0),"")</f>
        <v/>
      </c>
      <c r="AZ12" s="2" t="str" cm="1">
        <f t="array" ref="AZ12">IF('NILAI CPL'!$B12&lt;&gt;"",IFERROR(_xlfn.IFS(AC12&gt;='NILAI CPL'!$B$3,4,AC12&gt;='NILAI CPL'!$B$4,3,AC12&gt;='NILAI CPL'!$B$5,2,AC12&gt;'NILAI CPL'!$B$6,1),0),"")</f>
        <v/>
      </c>
      <c r="BA12" s="2" t="str" cm="1">
        <f t="array" ref="BA12">IF('NILAI CPL'!$B12&lt;&gt;"",IFERROR(_xlfn.IFS(AD12&gt;='NILAI CPL'!$B$3,4,AD12&gt;='NILAI CPL'!$B$4,3,AD12&gt;='NILAI CPL'!$B$5,2,AD12&gt;'NILAI CPL'!$B$6,1),0),"")</f>
        <v/>
      </c>
      <c r="BB12" s="2" t="str" cm="1">
        <f t="array" ref="BB12">IF('NILAI CPL'!$B12&lt;&gt;"",IFERROR(_xlfn.IFS(AE12&gt;='NILAI CPL'!$B$3,4,AE12&gt;='NILAI CPL'!$B$4,3,AE12&gt;='NILAI CPL'!$B$5,2,AE12&gt;'NILAI CPL'!$B$6,1),0),"")</f>
        <v/>
      </c>
      <c r="BC12" s="2" t="str" cm="1">
        <f t="array" ref="BC12">IF('NILAI CPL'!$B12&lt;&gt;"",IFERROR(_xlfn.IFS(AF12&gt;='NILAI CPL'!$B$3,4,AF12&gt;='NILAI CPL'!$B$4,3,AF12&gt;='NILAI CPL'!$B$5,2,AF12&gt;'NILAI CPL'!$B$6,1),0),"")</f>
        <v/>
      </c>
      <c r="BD12" s="2" t="str" cm="1">
        <f t="array" ref="BD12">IF('NILAI CPL'!$B12&lt;&gt;"",IFERROR(_xlfn.IFS(AG12&gt;='NILAI CPL'!$B$3,4,AG12&gt;='NILAI CPL'!$B$4,3,AG12&gt;='NILAI CPL'!$B$5,2,AG12&gt;'NILAI CPL'!$B$6,1),0),"")</f>
        <v/>
      </c>
      <c r="BE12" s="2" t="str" cm="1">
        <f t="array" ref="BE12">IF('NILAI CPL'!$B12&lt;&gt;"",IFERROR(_xlfn.IFS(AH12&gt;='NILAI CPL'!$B$3,4,AH12&gt;='NILAI CPL'!$B$4,3,AH12&gt;='NILAI CPL'!$B$5,2,AH12&gt;'NILAI CPL'!$B$6,1),0),"")</f>
        <v/>
      </c>
      <c r="BF12" s="2" t="str" cm="1">
        <f t="array" ref="BF12">IF('NILAI CPL'!$B12&lt;&gt;"",IFERROR(_xlfn.IFS(AI12&gt;='NILAI CPL'!$B$3,4,AI12&gt;='NILAI CPL'!$B$4,3,AI12&gt;='NILAI CPL'!$B$5,2,AI12&gt;'NILAI CPL'!$B$6,1),0),"")</f>
        <v/>
      </c>
      <c r="BG12" s="2" t="str" cm="1">
        <f t="array" ref="BG12">IF('NILAI CPL'!$B12&lt;&gt;"",IFERROR(_xlfn.IFS(AJ12&gt;='NILAI CPL'!$B$3,4,AJ12&gt;='NILAI CPL'!$B$4,3,AJ12&gt;='NILAI CPL'!$B$5,2,AJ12&gt;'NILAI CPL'!$B$6,1),0),"")</f>
        <v/>
      </c>
      <c r="BH12" s="2" t="str" cm="1">
        <f t="array" ref="BH12">IF('NILAI CPL'!$B12&lt;&gt;"",IFERROR(_xlfn.IFS(AK12&gt;='NILAI CPL'!$B$3,4,AK12&gt;='NILAI CPL'!$B$4,3,AK12&gt;='NILAI CPL'!$B$5,2,AK12&gt;'NILAI CPL'!$B$6,1),0),"")</f>
        <v/>
      </c>
      <c r="BI12" s="2" t="str" cm="1">
        <f t="array" ref="BI12">IF('NILAI CPL'!$B12&lt;&gt;"",IFERROR(_xlfn.IFS(AL12&gt;='NILAI CPL'!$B$3,4,AL12&gt;='NILAI CPL'!$B$4,3,AL12&gt;='NILAI CPL'!$B$5,2,AL12&gt;'NILAI CPL'!$B$6,1),0),"")</f>
        <v/>
      </c>
      <c r="BJ12" s="2" t="str" cm="1">
        <f t="array" ref="BJ12">IF('NILAI CPL'!$B12&lt;&gt;"",IFERROR(_xlfn.IFS(AM12&gt;='NILAI CPL'!$B$3,4,AM12&gt;='NILAI CPL'!$B$4,3,AM12&gt;='NILAI CPL'!$B$5,2,AM12&gt;'NILAI CPL'!$B$6,1),0),"")</f>
        <v/>
      </c>
      <c r="BK12" s="2" t="str" cm="1">
        <f t="array" ref="BK12">IF('NILAI CPL'!$B12&lt;&gt;"",IFERROR(_xlfn.IFS(AN12&gt;='NILAI CPL'!$B$3,4,AN12&gt;='NILAI CPL'!$B$4,3,AN12&gt;='NILAI CPL'!$B$5,2,AN12&gt;'NILAI CPL'!$B$6,1),0),"")</f>
        <v/>
      </c>
    </row>
    <row r="13" spans="1:63" x14ac:dyDescent="0.2">
      <c r="A13" s="2">
        <v>3</v>
      </c>
      <c r="B13" s="2" t="str">
        <f>IF(LEN(SUMMARY!B13)&gt;0, SUMMARY!B13, "")</f>
        <v/>
      </c>
      <c r="C13" s="2" t="str">
        <f>IF(LEN(SUMMARY!C13)&gt;0, SUMMARY!C13, "")</f>
        <v/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" t="str">
        <f t="shared" si="2"/>
        <v/>
      </c>
      <c r="S13" s="2" t="str">
        <f t="shared" si="3"/>
        <v/>
      </c>
      <c r="T13" s="2" t="str">
        <f t="shared" si="4"/>
        <v/>
      </c>
      <c r="U13" s="2" t="str">
        <f t="shared" si="5"/>
        <v/>
      </c>
      <c r="V13" s="2" t="str">
        <f t="shared" si="6"/>
        <v/>
      </c>
      <c r="W13" s="2" t="str">
        <f t="shared" si="7"/>
        <v/>
      </c>
      <c r="X13" s="2" t="str">
        <f t="shared" si="8"/>
        <v/>
      </c>
      <c r="Y13" s="2" t="str">
        <f t="shared" si="9"/>
        <v/>
      </c>
      <c r="Z13" s="2" t="str">
        <f t="shared" si="10"/>
        <v/>
      </c>
      <c r="AA13" s="2" t="str">
        <f t="shared" si="11"/>
        <v/>
      </c>
      <c r="AB13" s="2" t="str">
        <f t="shared" si="12"/>
        <v/>
      </c>
      <c r="AC13" s="2" t="str">
        <f t="shared" si="13"/>
        <v/>
      </c>
      <c r="AD13" s="2" t="str">
        <f t="shared" si="14"/>
        <v/>
      </c>
      <c r="AE13" s="2" t="str">
        <f t="shared" si="15"/>
        <v/>
      </c>
      <c r="AF13" s="2" t="str">
        <f t="shared" si="16"/>
        <v/>
      </c>
      <c r="AG13" s="2" t="str">
        <f t="shared" si="17"/>
        <v/>
      </c>
      <c r="AH13" s="2" t="str">
        <f t="shared" si="18"/>
        <v/>
      </c>
      <c r="AI13" s="2" t="str">
        <f t="shared" si="19"/>
        <v/>
      </c>
      <c r="AJ13" s="2" t="str">
        <f t="shared" si="20"/>
        <v/>
      </c>
      <c r="AK13" s="2" t="str">
        <f t="shared" si="21"/>
        <v/>
      </c>
      <c r="AL13" s="2" t="str">
        <f t="shared" si="22"/>
        <v/>
      </c>
      <c r="AM13" s="2" t="str">
        <f t="shared" si="23"/>
        <v/>
      </c>
      <c r="AN13" s="2" t="str">
        <f t="shared" si="24"/>
        <v/>
      </c>
      <c r="AP13" s="2" t="str" cm="1">
        <f t="array" ref="AP13">IF('NILAI CPL'!$B13&lt;&gt;"",IFERROR(_xlfn.IFS(S13&gt;='NILAI CPL'!$B$3,4,S13&gt;='NILAI CPL'!$B$4,3,S13&gt;='NILAI CPL'!$B$5,2,S13&gt;'NILAI CPL'!$B$6,1),0),"")</f>
        <v/>
      </c>
      <c r="AQ13" s="2" t="str" cm="1">
        <f t="array" ref="AQ13">IF('NILAI CPL'!$B13&lt;&gt;"",IFERROR(_xlfn.IFS(T13&gt;='NILAI CPL'!$B$3,4,T13&gt;='NILAI CPL'!$B$4,3,T13&gt;='NILAI CPL'!$B$5,2,T13&gt;'NILAI CPL'!$B$6,1),0),"")</f>
        <v/>
      </c>
      <c r="AR13" s="2" t="str" cm="1">
        <f t="array" ref="AR13">IF('NILAI CPL'!$B13&lt;&gt;"",IFERROR(_xlfn.IFS(U13&gt;='NILAI CPL'!$B$3,4,U13&gt;='NILAI CPL'!$B$4,3,U13&gt;='NILAI CPL'!$B$5,2,U13&gt;'NILAI CPL'!$B$6,1),0),"")</f>
        <v/>
      </c>
      <c r="AS13" s="2" t="str" cm="1">
        <f t="array" ref="AS13">IF('NILAI CPL'!$B13&lt;&gt;"",IFERROR(_xlfn.IFS(V13&gt;='NILAI CPL'!$B$3,4,V13&gt;='NILAI CPL'!$B$4,3,V13&gt;='NILAI CPL'!$B$5,2,V13&gt;'NILAI CPL'!$B$6,1),0),"")</f>
        <v/>
      </c>
      <c r="AT13" s="2" t="str" cm="1">
        <f t="array" ref="AT13">IF('NILAI CPL'!$B13&lt;&gt;"",IFERROR(_xlfn.IFS(W13&gt;='NILAI CPL'!$B$3,4,W13&gt;='NILAI CPL'!$B$4,3,W13&gt;='NILAI CPL'!$B$5,2,W13&gt;'NILAI CPL'!$B$6,1),0),"")</f>
        <v/>
      </c>
      <c r="AU13" s="2" t="str" cm="1">
        <f t="array" ref="AU13">IF('NILAI CPL'!$B13&lt;&gt;"",IFERROR(_xlfn.IFS(X13&gt;='NILAI CPL'!$B$3,4,X13&gt;='NILAI CPL'!$B$4,3,X13&gt;='NILAI CPL'!$B$5,2,X13&gt;'NILAI CPL'!$B$6,1),0),"")</f>
        <v/>
      </c>
      <c r="AV13" s="2" t="str" cm="1">
        <f t="array" ref="AV13">IF('NILAI CPL'!$B13&lt;&gt;"",IFERROR(_xlfn.IFS(Y13&gt;='NILAI CPL'!$B$3,4,Y13&gt;='NILAI CPL'!$B$4,3,Y13&gt;='NILAI CPL'!$B$5,2,Y13&gt;'NILAI CPL'!$B$6,1),0),"")</f>
        <v/>
      </c>
      <c r="AW13" s="2" t="str" cm="1">
        <f t="array" ref="AW13">IF('NILAI CPL'!$B13&lt;&gt;"",IFERROR(_xlfn.IFS(Z13&gt;='NILAI CPL'!$B$3,4,Z13&gt;='NILAI CPL'!$B$4,3,Z13&gt;='NILAI CPL'!$B$5,2,Z13&gt;'NILAI CPL'!$B$6,1),0),"")</f>
        <v/>
      </c>
      <c r="AX13" s="2" t="str" cm="1">
        <f t="array" ref="AX13">IF('NILAI CPL'!$B13&lt;&gt;"",IFERROR(_xlfn.IFS(AA13&gt;='NILAI CPL'!$B$3,4,AA13&gt;='NILAI CPL'!$B$4,3,AA13&gt;='NILAI CPL'!$B$5,2,AA13&gt;'NILAI CPL'!$B$6,1),0),"")</f>
        <v/>
      </c>
      <c r="AY13" s="2" t="str" cm="1">
        <f t="array" ref="AY13">IF('NILAI CPL'!$B13&lt;&gt;"",IFERROR(_xlfn.IFS(AB13&gt;='NILAI CPL'!$B$3,4,AB13&gt;='NILAI CPL'!$B$4,3,AB13&gt;='NILAI CPL'!$B$5,2,AB13&gt;'NILAI CPL'!$B$6,1),0),"")</f>
        <v/>
      </c>
      <c r="AZ13" s="2" t="str" cm="1">
        <f t="array" ref="AZ13">IF('NILAI CPL'!$B13&lt;&gt;"",IFERROR(_xlfn.IFS(AC13&gt;='NILAI CPL'!$B$3,4,AC13&gt;='NILAI CPL'!$B$4,3,AC13&gt;='NILAI CPL'!$B$5,2,AC13&gt;'NILAI CPL'!$B$6,1),0),"")</f>
        <v/>
      </c>
      <c r="BA13" s="2" t="str" cm="1">
        <f t="array" ref="BA13">IF('NILAI CPL'!$B13&lt;&gt;"",IFERROR(_xlfn.IFS(AD13&gt;='NILAI CPL'!$B$3,4,AD13&gt;='NILAI CPL'!$B$4,3,AD13&gt;='NILAI CPL'!$B$5,2,AD13&gt;'NILAI CPL'!$B$6,1),0),"")</f>
        <v/>
      </c>
      <c r="BB13" s="2" t="str" cm="1">
        <f t="array" ref="BB13">IF('NILAI CPL'!$B13&lt;&gt;"",IFERROR(_xlfn.IFS(AE13&gt;='NILAI CPL'!$B$3,4,AE13&gt;='NILAI CPL'!$B$4,3,AE13&gt;='NILAI CPL'!$B$5,2,AE13&gt;'NILAI CPL'!$B$6,1),0),"")</f>
        <v/>
      </c>
      <c r="BC13" s="2" t="str" cm="1">
        <f t="array" ref="BC13">IF('NILAI CPL'!$B13&lt;&gt;"",IFERROR(_xlfn.IFS(AF13&gt;='NILAI CPL'!$B$3,4,AF13&gt;='NILAI CPL'!$B$4,3,AF13&gt;='NILAI CPL'!$B$5,2,AF13&gt;'NILAI CPL'!$B$6,1),0),"")</f>
        <v/>
      </c>
      <c r="BD13" s="2" t="str" cm="1">
        <f t="array" ref="BD13">IF('NILAI CPL'!$B13&lt;&gt;"",IFERROR(_xlfn.IFS(AG13&gt;='NILAI CPL'!$B$3,4,AG13&gt;='NILAI CPL'!$B$4,3,AG13&gt;='NILAI CPL'!$B$5,2,AG13&gt;'NILAI CPL'!$B$6,1),0),"")</f>
        <v/>
      </c>
      <c r="BE13" s="2" t="str" cm="1">
        <f t="array" ref="BE13">IF('NILAI CPL'!$B13&lt;&gt;"",IFERROR(_xlfn.IFS(AH13&gt;='NILAI CPL'!$B$3,4,AH13&gt;='NILAI CPL'!$B$4,3,AH13&gt;='NILAI CPL'!$B$5,2,AH13&gt;'NILAI CPL'!$B$6,1),0),"")</f>
        <v/>
      </c>
      <c r="BF13" s="2" t="str" cm="1">
        <f t="array" ref="BF13">IF('NILAI CPL'!$B13&lt;&gt;"",IFERROR(_xlfn.IFS(AI13&gt;='NILAI CPL'!$B$3,4,AI13&gt;='NILAI CPL'!$B$4,3,AI13&gt;='NILAI CPL'!$B$5,2,AI13&gt;'NILAI CPL'!$B$6,1),0),"")</f>
        <v/>
      </c>
      <c r="BG13" s="2" t="str" cm="1">
        <f t="array" ref="BG13">IF('NILAI CPL'!$B13&lt;&gt;"",IFERROR(_xlfn.IFS(AJ13&gt;='NILAI CPL'!$B$3,4,AJ13&gt;='NILAI CPL'!$B$4,3,AJ13&gt;='NILAI CPL'!$B$5,2,AJ13&gt;'NILAI CPL'!$B$6,1),0),"")</f>
        <v/>
      </c>
      <c r="BH13" s="2" t="str" cm="1">
        <f t="array" ref="BH13">IF('NILAI CPL'!$B13&lt;&gt;"",IFERROR(_xlfn.IFS(AK13&gt;='NILAI CPL'!$B$3,4,AK13&gt;='NILAI CPL'!$B$4,3,AK13&gt;='NILAI CPL'!$B$5,2,AK13&gt;'NILAI CPL'!$B$6,1),0),"")</f>
        <v/>
      </c>
      <c r="BI13" s="2" t="str" cm="1">
        <f t="array" ref="BI13">IF('NILAI CPL'!$B13&lt;&gt;"",IFERROR(_xlfn.IFS(AL13&gt;='NILAI CPL'!$B$3,4,AL13&gt;='NILAI CPL'!$B$4,3,AL13&gt;='NILAI CPL'!$B$5,2,AL13&gt;'NILAI CPL'!$B$6,1),0),"")</f>
        <v/>
      </c>
      <c r="BJ13" s="2" t="str" cm="1">
        <f t="array" ref="BJ13">IF('NILAI CPL'!$B13&lt;&gt;"",IFERROR(_xlfn.IFS(AM13&gt;='NILAI CPL'!$B$3,4,AM13&gt;='NILAI CPL'!$B$4,3,AM13&gt;='NILAI CPL'!$B$5,2,AM13&gt;'NILAI CPL'!$B$6,1),0),"")</f>
        <v/>
      </c>
      <c r="BK13" s="2" t="str" cm="1">
        <f t="array" ref="BK13">IF('NILAI CPL'!$B13&lt;&gt;"",IFERROR(_xlfn.IFS(AN13&gt;='NILAI CPL'!$B$3,4,AN13&gt;='NILAI CPL'!$B$4,3,AN13&gt;='NILAI CPL'!$B$5,2,AN13&gt;'NILAI CPL'!$B$6,1),0),"")</f>
        <v/>
      </c>
    </row>
    <row r="14" spans="1:63" x14ac:dyDescent="0.2">
      <c r="A14" s="2">
        <v>4</v>
      </c>
      <c r="B14" s="2" t="str">
        <f>IF(LEN(SUMMARY!B14)&gt;0, SUMMARY!B14, "")</f>
        <v/>
      </c>
      <c r="C14" s="2" t="str">
        <f>IF(LEN(SUMMARY!C14)&gt;0, SUMMARY!C14, "")</f>
        <v/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" t="str">
        <f t="shared" si="2"/>
        <v/>
      </c>
      <c r="S14" s="2" t="str">
        <f t="shared" si="3"/>
        <v/>
      </c>
      <c r="T14" s="2" t="str">
        <f t="shared" si="4"/>
        <v/>
      </c>
      <c r="U14" s="2" t="str">
        <f t="shared" si="5"/>
        <v/>
      </c>
      <c r="V14" s="2" t="str">
        <f t="shared" si="6"/>
        <v/>
      </c>
      <c r="W14" s="2" t="str">
        <f t="shared" si="7"/>
        <v/>
      </c>
      <c r="X14" s="2" t="str">
        <f t="shared" si="8"/>
        <v/>
      </c>
      <c r="Y14" s="2" t="str">
        <f t="shared" si="9"/>
        <v/>
      </c>
      <c r="Z14" s="2" t="str">
        <f t="shared" si="10"/>
        <v/>
      </c>
      <c r="AA14" s="2" t="str">
        <f t="shared" si="11"/>
        <v/>
      </c>
      <c r="AB14" s="2" t="str">
        <f t="shared" si="12"/>
        <v/>
      </c>
      <c r="AC14" s="2" t="str">
        <f t="shared" si="13"/>
        <v/>
      </c>
      <c r="AD14" s="2" t="str">
        <f t="shared" si="14"/>
        <v/>
      </c>
      <c r="AE14" s="2" t="str">
        <f t="shared" si="15"/>
        <v/>
      </c>
      <c r="AF14" s="2" t="str">
        <f t="shared" si="16"/>
        <v/>
      </c>
      <c r="AG14" s="2" t="str">
        <f t="shared" si="17"/>
        <v/>
      </c>
      <c r="AH14" s="2" t="str">
        <f t="shared" si="18"/>
        <v/>
      </c>
      <c r="AI14" s="2" t="str">
        <f t="shared" si="19"/>
        <v/>
      </c>
      <c r="AJ14" s="2" t="str">
        <f t="shared" si="20"/>
        <v/>
      </c>
      <c r="AK14" s="2" t="str">
        <f t="shared" si="21"/>
        <v/>
      </c>
      <c r="AL14" s="2" t="str">
        <f t="shared" si="22"/>
        <v/>
      </c>
      <c r="AM14" s="2" t="str">
        <f t="shared" si="23"/>
        <v/>
      </c>
      <c r="AN14" s="2" t="str">
        <f t="shared" si="24"/>
        <v/>
      </c>
      <c r="AP14" s="2" t="str" cm="1">
        <f t="array" ref="AP14">IF('NILAI CPL'!$B14&lt;&gt;"",IFERROR(_xlfn.IFS(S14&gt;='NILAI CPL'!$B$3,4,S14&gt;='NILAI CPL'!$B$4,3,S14&gt;='NILAI CPL'!$B$5,2,S14&gt;'NILAI CPL'!$B$6,1),0),"")</f>
        <v/>
      </c>
      <c r="AQ14" s="2" t="str" cm="1">
        <f t="array" ref="AQ14">IF('NILAI CPL'!$B14&lt;&gt;"",IFERROR(_xlfn.IFS(T14&gt;='NILAI CPL'!$B$3,4,T14&gt;='NILAI CPL'!$B$4,3,T14&gt;='NILAI CPL'!$B$5,2,T14&gt;'NILAI CPL'!$B$6,1),0),"")</f>
        <v/>
      </c>
      <c r="AR14" s="2" t="str" cm="1">
        <f t="array" ref="AR14">IF('NILAI CPL'!$B14&lt;&gt;"",IFERROR(_xlfn.IFS(U14&gt;='NILAI CPL'!$B$3,4,U14&gt;='NILAI CPL'!$B$4,3,U14&gt;='NILAI CPL'!$B$5,2,U14&gt;'NILAI CPL'!$B$6,1),0),"")</f>
        <v/>
      </c>
      <c r="AS14" s="2" t="str" cm="1">
        <f t="array" ref="AS14">IF('NILAI CPL'!$B14&lt;&gt;"",IFERROR(_xlfn.IFS(V14&gt;='NILAI CPL'!$B$3,4,V14&gt;='NILAI CPL'!$B$4,3,V14&gt;='NILAI CPL'!$B$5,2,V14&gt;'NILAI CPL'!$B$6,1),0),"")</f>
        <v/>
      </c>
      <c r="AT14" s="2" t="str" cm="1">
        <f t="array" ref="AT14">IF('NILAI CPL'!$B14&lt;&gt;"",IFERROR(_xlfn.IFS(W14&gt;='NILAI CPL'!$B$3,4,W14&gt;='NILAI CPL'!$B$4,3,W14&gt;='NILAI CPL'!$B$5,2,W14&gt;'NILAI CPL'!$B$6,1),0),"")</f>
        <v/>
      </c>
      <c r="AU14" s="2" t="str" cm="1">
        <f t="array" ref="AU14">IF('NILAI CPL'!$B14&lt;&gt;"",IFERROR(_xlfn.IFS(X14&gt;='NILAI CPL'!$B$3,4,X14&gt;='NILAI CPL'!$B$4,3,X14&gt;='NILAI CPL'!$B$5,2,X14&gt;'NILAI CPL'!$B$6,1),0),"")</f>
        <v/>
      </c>
      <c r="AV14" s="2" t="str" cm="1">
        <f t="array" ref="AV14">IF('NILAI CPL'!$B14&lt;&gt;"",IFERROR(_xlfn.IFS(Y14&gt;='NILAI CPL'!$B$3,4,Y14&gt;='NILAI CPL'!$B$4,3,Y14&gt;='NILAI CPL'!$B$5,2,Y14&gt;'NILAI CPL'!$B$6,1),0),"")</f>
        <v/>
      </c>
      <c r="AW14" s="2" t="str" cm="1">
        <f t="array" ref="AW14">IF('NILAI CPL'!$B14&lt;&gt;"",IFERROR(_xlfn.IFS(Z14&gt;='NILAI CPL'!$B$3,4,Z14&gt;='NILAI CPL'!$B$4,3,Z14&gt;='NILAI CPL'!$B$5,2,Z14&gt;'NILAI CPL'!$B$6,1),0),"")</f>
        <v/>
      </c>
      <c r="AX14" s="2" t="str" cm="1">
        <f t="array" ref="AX14">IF('NILAI CPL'!$B14&lt;&gt;"",IFERROR(_xlfn.IFS(AA14&gt;='NILAI CPL'!$B$3,4,AA14&gt;='NILAI CPL'!$B$4,3,AA14&gt;='NILAI CPL'!$B$5,2,AA14&gt;'NILAI CPL'!$B$6,1),0),"")</f>
        <v/>
      </c>
      <c r="AY14" s="2" t="str" cm="1">
        <f t="array" ref="AY14">IF('NILAI CPL'!$B14&lt;&gt;"",IFERROR(_xlfn.IFS(AB14&gt;='NILAI CPL'!$B$3,4,AB14&gt;='NILAI CPL'!$B$4,3,AB14&gt;='NILAI CPL'!$B$5,2,AB14&gt;'NILAI CPL'!$B$6,1),0),"")</f>
        <v/>
      </c>
      <c r="AZ14" s="2" t="str" cm="1">
        <f t="array" ref="AZ14">IF('NILAI CPL'!$B14&lt;&gt;"",IFERROR(_xlfn.IFS(AC14&gt;='NILAI CPL'!$B$3,4,AC14&gt;='NILAI CPL'!$B$4,3,AC14&gt;='NILAI CPL'!$B$5,2,AC14&gt;'NILAI CPL'!$B$6,1),0),"")</f>
        <v/>
      </c>
      <c r="BA14" s="2" t="str" cm="1">
        <f t="array" ref="BA14">IF('NILAI CPL'!$B14&lt;&gt;"",IFERROR(_xlfn.IFS(AD14&gt;='NILAI CPL'!$B$3,4,AD14&gt;='NILAI CPL'!$B$4,3,AD14&gt;='NILAI CPL'!$B$5,2,AD14&gt;'NILAI CPL'!$B$6,1),0),"")</f>
        <v/>
      </c>
      <c r="BB14" s="2" t="str" cm="1">
        <f t="array" ref="BB14">IF('NILAI CPL'!$B14&lt;&gt;"",IFERROR(_xlfn.IFS(AE14&gt;='NILAI CPL'!$B$3,4,AE14&gt;='NILAI CPL'!$B$4,3,AE14&gt;='NILAI CPL'!$B$5,2,AE14&gt;'NILAI CPL'!$B$6,1),0),"")</f>
        <v/>
      </c>
      <c r="BC14" s="2" t="str" cm="1">
        <f t="array" ref="BC14">IF('NILAI CPL'!$B14&lt;&gt;"",IFERROR(_xlfn.IFS(AF14&gt;='NILAI CPL'!$B$3,4,AF14&gt;='NILAI CPL'!$B$4,3,AF14&gt;='NILAI CPL'!$B$5,2,AF14&gt;'NILAI CPL'!$B$6,1),0),"")</f>
        <v/>
      </c>
      <c r="BD14" s="2" t="str" cm="1">
        <f t="array" ref="BD14">IF('NILAI CPL'!$B14&lt;&gt;"",IFERROR(_xlfn.IFS(AG14&gt;='NILAI CPL'!$B$3,4,AG14&gt;='NILAI CPL'!$B$4,3,AG14&gt;='NILAI CPL'!$B$5,2,AG14&gt;'NILAI CPL'!$B$6,1),0),"")</f>
        <v/>
      </c>
      <c r="BE14" s="2" t="str" cm="1">
        <f t="array" ref="BE14">IF('NILAI CPL'!$B14&lt;&gt;"",IFERROR(_xlfn.IFS(AH14&gt;='NILAI CPL'!$B$3,4,AH14&gt;='NILAI CPL'!$B$4,3,AH14&gt;='NILAI CPL'!$B$5,2,AH14&gt;'NILAI CPL'!$B$6,1),0),"")</f>
        <v/>
      </c>
      <c r="BF14" s="2" t="str" cm="1">
        <f t="array" ref="BF14">IF('NILAI CPL'!$B14&lt;&gt;"",IFERROR(_xlfn.IFS(AI14&gt;='NILAI CPL'!$B$3,4,AI14&gt;='NILAI CPL'!$B$4,3,AI14&gt;='NILAI CPL'!$B$5,2,AI14&gt;'NILAI CPL'!$B$6,1),0),"")</f>
        <v/>
      </c>
      <c r="BG14" s="2" t="str" cm="1">
        <f t="array" ref="BG14">IF('NILAI CPL'!$B14&lt;&gt;"",IFERROR(_xlfn.IFS(AJ14&gt;='NILAI CPL'!$B$3,4,AJ14&gt;='NILAI CPL'!$B$4,3,AJ14&gt;='NILAI CPL'!$B$5,2,AJ14&gt;'NILAI CPL'!$B$6,1),0),"")</f>
        <v/>
      </c>
      <c r="BH14" s="2" t="str" cm="1">
        <f t="array" ref="BH14">IF('NILAI CPL'!$B14&lt;&gt;"",IFERROR(_xlfn.IFS(AK14&gt;='NILAI CPL'!$B$3,4,AK14&gt;='NILAI CPL'!$B$4,3,AK14&gt;='NILAI CPL'!$B$5,2,AK14&gt;'NILAI CPL'!$B$6,1),0),"")</f>
        <v/>
      </c>
      <c r="BI14" s="2" t="str" cm="1">
        <f t="array" ref="BI14">IF('NILAI CPL'!$B14&lt;&gt;"",IFERROR(_xlfn.IFS(AL14&gt;='NILAI CPL'!$B$3,4,AL14&gt;='NILAI CPL'!$B$4,3,AL14&gt;='NILAI CPL'!$B$5,2,AL14&gt;'NILAI CPL'!$B$6,1),0),"")</f>
        <v/>
      </c>
      <c r="BJ14" s="2" t="str" cm="1">
        <f t="array" ref="BJ14">IF('NILAI CPL'!$B14&lt;&gt;"",IFERROR(_xlfn.IFS(AM14&gt;='NILAI CPL'!$B$3,4,AM14&gt;='NILAI CPL'!$B$4,3,AM14&gt;='NILAI CPL'!$B$5,2,AM14&gt;'NILAI CPL'!$B$6,1),0),"")</f>
        <v/>
      </c>
      <c r="BK14" s="2" t="str" cm="1">
        <f t="array" ref="BK14">IF('NILAI CPL'!$B14&lt;&gt;"",IFERROR(_xlfn.IFS(AN14&gt;='NILAI CPL'!$B$3,4,AN14&gt;='NILAI CPL'!$B$4,3,AN14&gt;='NILAI CPL'!$B$5,2,AN14&gt;'NILAI CPL'!$B$6,1),0),"")</f>
        <v/>
      </c>
    </row>
    <row r="15" spans="1:63" x14ac:dyDescent="0.2">
      <c r="A15" s="2">
        <v>5</v>
      </c>
      <c r="B15" s="2" t="str">
        <f>IF(LEN(SUMMARY!B15)&gt;0, SUMMARY!B15, "")</f>
        <v/>
      </c>
      <c r="C15" s="2" t="str">
        <f>IF(LEN(SUMMARY!C15)&gt;0, SUMMARY!C15, "")</f>
        <v/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" t="str">
        <f t="shared" si="2"/>
        <v/>
      </c>
      <c r="S15" s="2" t="str">
        <f t="shared" si="3"/>
        <v/>
      </c>
      <c r="T15" s="2" t="str">
        <f t="shared" si="4"/>
        <v/>
      </c>
      <c r="U15" s="2" t="str">
        <f t="shared" si="5"/>
        <v/>
      </c>
      <c r="V15" s="2" t="str">
        <f t="shared" si="6"/>
        <v/>
      </c>
      <c r="W15" s="2" t="str">
        <f t="shared" si="7"/>
        <v/>
      </c>
      <c r="X15" s="2" t="str">
        <f t="shared" si="8"/>
        <v/>
      </c>
      <c r="Y15" s="2" t="str">
        <f t="shared" si="9"/>
        <v/>
      </c>
      <c r="Z15" s="2" t="str">
        <f t="shared" si="10"/>
        <v/>
      </c>
      <c r="AA15" s="2" t="str">
        <f t="shared" si="11"/>
        <v/>
      </c>
      <c r="AB15" s="2" t="str">
        <f t="shared" si="12"/>
        <v/>
      </c>
      <c r="AC15" s="2" t="str">
        <f t="shared" si="13"/>
        <v/>
      </c>
      <c r="AD15" s="2" t="str">
        <f t="shared" si="14"/>
        <v/>
      </c>
      <c r="AE15" s="2" t="str">
        <f t="shared" si="15"/>
        <v/>
      </c>
      <c r="AF15" s="2" t="str">
        <f t="shared" si="16"/>
        <v/>
      </c>
      <c r="AG15" s="2" t="str">
        <f t="shared" si="17"/>
        <v/>
      </c>
      <c r="AH15" s="2" t="str">
        <f t="shared" si="18"/>
        <v/>
      </c>
      <c r="AI15" s="2" t="str">
        <f t="shared" si="19"/>
        <v/>
      </c>
      <c r="AJ15" s="2" t="str">
        <f t="shared" si="20"/>
        <v/>
      </c>
      <c r="AK15" s="2" t="str">
        <f t="shared" si="21"/>
        <v/>
      </c>
      <c r="AL15" s="2" t="str">
        <f t="shared" si="22"/>
        <v/>
      </c>
      <c r="AM15" s="2" t="str">
        <f t="shared" si="23"/>
        <v/>
      </c>
      <c r="AN15" s="2" t="str">
        <f t="shared" si="24"/>
        <v/>
      </c>
      <c r="AP15" s="2" t="str" cm="1">
        <f t="array" ref="AP15">IF('NILAI CPL'!$B15&lt;&gt;"",IFERROR(_xlfn.IFS(S15&gt;='NILAI CPL'!$B$3,4,S15&gt;='NILAI CPL'!$B$4,3,S15&gt;='NILAI CPL'!$B$5,2,S15&gt;'NILAI CPL'!$B$6,1),0),"")</f>
        <v/>
      </c>
      <c r="AQ15" s="2" t="str" cm="1">
        <f t="array" ref="AQ15">IF('NILAI CPL'!$B15&lt;&gt;"",IFERROR(_xlfn.IFS(T15&gt;='NILAI CPL'!$B$3,4,T15&gt;='NILAI CPL'!$B$4,3,T15&gt;='NILAI CPL'!$B$5,2,T15&gt;'NILAI CPL'!$B$6,1),0),"")</f>
        <v/>
      </c>
      <c r="AR15" s="2" t="str" cm="1">
        <f t="array" ref="AR15">IF('NILAI CPL'!$B15&lt;&gt;"",IFERROR(_xlfn.IFS(U15&gt;='NILAI CPL'!$B$3,4,U15&gt;='NILAI CPL'!$B$4,3,U15&gt;='NILAI CPL'!$B$5,2,U15&gt;'NILAI CPL'!$B$6,1),0),"")</f>
        <v/>
      </c>
      <c r="AS15" s="2" t="str" cm="1">
        <f t="array" ref="AS15">IF('NILAI CPL'!$B15&lt;&gt;"",IFERROR(_xlfn.IFS(V15&gt;='NILAI CPL'!$B$3,4,V15&gt;='NILAI CPL'!$B$4,3,V15&gt;='NILAI CPL'!$B$5,2,V15&gt;'NILAI CPL'!$B$6,1),0),"")</f>
        <v/>
      </c>
      <c r="AT15" s="2" t="str" cm="1">
        <f t="array" ref="AT15">IF('NILAI CPL'!$B15&lt;&gt;"",IFERROR(_xlfn.IFS(W15&gt;='NILAI CPL'!$B$3,4,W15&gt;='NILAI CPL'!$B$4,3,W15&gt;='NILAI CPL'!$B$5,2,W15&gt;'NILAI CPL'!$B$6,1),0),"")</f>
        <v/>
      </c>
      <c r="AU15" s="2" t="str" cm="1">
        <f t="array" ref="AU15">IF('NILAI CPL'!$B15&lt;&gt;"",IFERROR(_xlfn.IFS(X15&gt;='NILAI CPL'!$B$3,4,X15&gt;='NILAI CPL'!$B$4,3,X15&gt;='NILAI CPL'!$B$5,2,X15&gt;'NILAI CPL'!$B$6,1),0),"")</f>
        <v/>
      </c>
      <c r="AV15" s="2" t="str" cm="1">
        <f t="array" ref="AV15">IF('NILAI CPL'!$B15&lt;&gt;"",IFERROR(_xlfn.IFS(Y15&gt;='NILAI CPL'!$B$3,4,Y15&gt;='NILAI CPL'!$B$4,3,Y15&gt;='NILAI CPL'!$B$5,2,Y15&gt;'NILAI CPL'!$B$6,1),0),"")</f>
        <v/>
      </c>
      <c r="AW15" s="2" t="str" cm="1">
        <f t="array" ref="AW15">IF('NILAI CPL'!$B15&lt;&gt;"",IFERROR(_xlfn.IFS(Z15&gt;='NILAI CPL'!$B$3,4,Z15&gt;='NILAI CPL'!$B$4,3,Z15&gt;='NILAI CPL'!$B$5,2,Z15&gt;'NILAI CPL'!$B$6,1),0),"")</f>
        <v/>
      </c>
      <c r="AX15" s="2" t="str" cm="1">
        <f t="array" ref="AX15">IF('NILAI CPL'!$B15&lt;&gt;"",IFERROR(_xlfn.IFS(AA15&gt;='NILAI CPL'!$B$3,4,AA15&gt;='NILAI CPL'!$B$4,3,AA15&gt;='NILAI CPL'!$B$5,2,AA15&gt;'NILAI CPL'!$B$6,1),0),"")</f>
        <v/>
      </c>
      <c r="AY15" s="2" t="str" cm="1">
        <f t="array" ref="AY15">IF('NILAI CPL'!$B15&lt;&gt;"",IFERROR(_xlfn.IFS(AB15&gt;='NILAI CPL'!$B$3,4,AB15&gt;='NILAI CPL'!$B$4,3,AB15&gt;='NILAI CPL'!$B$5,2,AB15&gt;'NILAI CPL'!$B$6,1),0),"")</f>
        <v/>
      </c>
      <c r="AZ15" s="2" t="str" cm="1">
        <f t="array" ref="AZ15">IF('NILAI CPL'!$B15&lt;&gt;"",IFERROR(_xlfn.IFS(AC15&gt;='NILAI CPL'!$B$3,4,AC15&gt;='NILAI CPL'!$B$4,3,AC15&gt;='NILAI CPL'!$B$5,2,AC15&gt;'NILAI CPL'!$B$6,1),0),"")</f>
        <v/>
      </c>
      <c r="BA15" s="2" t="str" cm="1">
        <f t="array" ref="BA15">IF('NILAI CPL'!$B15&lt;&gt;"",IFERROR(_xlfn.IFS(AD15&gt;='NILAI CPL'!$B$3,4,AD15&gt;='NILAI CPL'!$B$4,3,AD15&gt;='NILAI CPL'!$B$5,2,AD15&gt;'NILAI CPL'!$B$6,1),0),"")</f>
        <v/>
      </c>
      <c r="BB15" s="2" t="str" cm="1">
        <f t="array" ref="BB15">IF('NILAI CPL'!$B15&lt;&gt;"",IFERROR(_xlfn.IFS(AE15&gt;='NILAI CPL'!$B$3,4,AE15&gt;='NILAI CPL'!$B$4,3,AE15&gt;='NILAI CPL'!$B$5,2,AE15&gt;'NILAI CPL'!$B$6,1),0),"")</f>
        <v/>
      </c>
      <c r="BC15" s="2" t="str" cm="1">
        <f t="array" ref="BC15">IF('NILAI CPL'!$B15&lt;&gt;"",IFERROR(_xlfn.IFS(AF15&gt;='NILAI CPL'!$B$3,4,AF15&gt;='NILAI CPL'!$B$4,3,AF15&gt;='NILAI CPL'!$B$5,2,AF15&gt;'NILAI CPL'!$B$6,1),0),"")</f>
        <v/>
      </c>
      <c r="BD15" s="2" t="str" cm="1">
        <f t="array" ref="BD15">IF('NILAI CPL'!$B15&lt;&gt;"",IFERROR(_xlfn.IFS(AG15&gt;='NILAI CPL'!$B$3,4,AG15&gt;='NILAI CPL'!$B$4,3,AG15&gt;='NILAI CPL'!$B$5,2,AG15&gt;'NILAI CPL'!$B$6,1),0),"")</f>
        <v/>
      </c>
      <c r="BE15" s="2" t="str" cm="1">
        <f t="array" ref="BE15">IF('NILAI CPL'!$B15&lt;&gt;"",IFERROR(_xlfn.IFS(AH15&gt;='NILAI CPL'!$B$3,4,AH15&gt;='NILAI CPL'!$B$4,3,AH15&gt;='NILAI CPL'!$B$5,2,AH15&gt;'NILAI CPL'!$B$6,1),0),"")</f>
        <v/>
      </c>
      <c r="BF15" s="2" t="str" cm="1">
        <f t="array" ref="BF15">IF('NILAI CPL'!$B15&lt;&gt;"",IFERROR(_xlfn.IFS(AI15&gt;='NILAI CPL'!$B$3,4,AI15&gt;='NILAI CPL'!$B$4,3,AI15&gt;='NILAI CPL'!$B$5,2,AI15&gt;'NILAI CPL'!$B$6,1),0),"")</f>
        <v/>
      </c>
      <c r="BG15" s="2" t="str" cm="1">
        <f t="array" ref="BG15">IF('NILAI CPL'!$B15&lt;&gt;"",IFERROR(_xlfn.IFS(AJ15&gt;='NILAI CPL'!$B$3,4,AJ15&gt;='NILAI CPL'!$B$4,3,AJ15&gt;='NILAI CPL'!$B$5,2,AJ15&gt;'NILAI CPL'!$B$6,1),0),"")</f>
        <v/>
      </c>
      <c r="BH15" s="2" t="str" cm="1">
        <f t="array" ref="BH15">IF('NILAI CPL'!$B15&lt;&gt;"",IFERROR(_xlfn.IFS(AK15&gt;='NILAI CPL'!$B$3,4,AK15&gt;='NILAI CPL'!$B$4,3,AK15&gt;='NILAI CPL'!$B$5,2,AK15&gt;'NILAI CPL'!$B$6,1),0),"")</f>
        <v/>
      </c>
      <c r="BI15" s="2" t="str" cm="1">
        <f t="array" ref="BI15">IF('NILAI CPL'!$B15&lt;&gt;"",IFERROR(_xlfn.IFS(AL15&gt;='NILAI CPL'!$B$3,4,AL15&gt;='NILAI CPL'!$B$4,3,AL15&gt;='NILAI CPL'!$B$5,2,AL15&gt;'NILAI CPL'!$B$6,1),0),"")</f>
        <v/>
      </c>
      <c r="BJ15" s="2" t="str" cm="1">
        <f t="array" ref="BJ15">IF('NILAI CPL'!$B15&lt;&gt;"",IFERROR(_xlfn.IFS(AM15&gt;='NILAI CPL'!$B$3,4,AM15&gt;='NILAI CPL'!$B$4,3,AM15&gt;='NILAI CPL'!$B$5,2,AM15&gt;'NILAI CPL'!$B$6,1),0),"")</f>
        <v/>
      </c>
      <c r="BK15" s="2" t="str" cm="1">
        <f t="array" ref="BK15">IF('NILAI CPL'!$B15&lt;&gt;"",IFERROR(_xlfn.IFS(AN15&gt;='NILAI CPL'!$B$3,4,AN15&gt;='NILAI CPL'!$B$4,3,AN15&gt;='NILAI CPL'!$B$5,2,AN15&gt;'NILAI CPL'!$B$6,1),0),"")</f>
        <v/>
      </c>
    </row>
    <row r="16" spans="1:63" x14ac:dyDescent="0.2">
      <c r="A16" s="2">
        <v>6</v>
      </c>
      <c r="B16" s="2" t="str">
        <f>IF(LEN(SUMMARY!B16)&gt;0, SUMMARY!B16, "")</f>
        <v/>
      </c>
      <c r="C16" s="2" t="str">
        <f>IF(LEN(SUMMARY!C16)&gt;0, SUMMARY!C16, "")</f>
        <v/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" t="str">
        <f t="shared" si="2"/>
        <v/>
      </c>
      <c r="S16" s="2" t="str">
        <f t="shared" si="3"/>
        <v/>
      </c>
      <c r="T16" s="2" t="str">
        <f t="shared" si="4"/>
        <v/>
      </c>
      <c r="U16" s="2" t="str">
        <f t="shared" si="5"/>
        <v/>
      </c>
      <c r="V16" s="2" t="str">
        <f t="shared" si="6"/>
        <v/>
      </c>
      <c r="W16" s="2" t="str">
        <f t="shared" si="7"/>
        <v/>
      </c>
      <c r="X16" s="2" t="str">
        <f t="shared" si="8"/>
        <v/>
      </c>
      <c r="Y16" s="2" t="str">
        <f t="shared" si="9"/>
        <v/>
      </c>
      <c r="Z16" s="2" t="str">
        <f t="shared" si="10"/>
        <v/>
      </c>
      <c r="AA16" s="2" t="str">
        <f t="shared" si="11"/>
        <v/>
      </c>
      <c r="AB16" s="2" t="str">
        <f t="shared" si="12"/>
        <v/>
      </c>
      <c r="AC16" s="2" t="str">
        <f t="shared" si="13"/>
        <v/>
      </c>
      <c r="AD16" s="2" t="str">
        <f t="shared" si="14"/>
        <v/>
      </c>
      <c r="AE16" s="2" t="str">
        <f t="shared" si="15"/>
        <v/>
      </c>
      <c r="AF16" s="2" t="str">
        <f t="shared" si="16"/>
        <v/>
      </c>
      <c r="AG16" s="2" t="str">
        <f t="shared" si="17"/>
        <v/>
      </c>
      <c r="AH16" s="2" t="str">
        <f t="shared" si="18"/>
        <v/>
      </c>
      <c r="AI16" s="2" t="str">
        <f t="shared" si="19"/>
        <v/>
      </c>
      <c r="AJ16" s="2" t="str">
        <f t="shared" si="20"/>
        <v/>
      </c>
      <c r="AK16" s="2" t="str">
        <f t="shared" si="21"/>
        <v/>
      </c>
      <c r="AL16" s="2" t="str">
        <f t="shared" si="22"/>
        <v/>
      </c>
      <c r="AM16" s="2" t="str">
        <f t="shared" si="23"/>
        <v/>
      </c>
      <c r="AN16" s="2" t="str">
        <f t="shared" si="24"/>
        <v/>
      </c>
      <c r="AP16" s="2" t="str" cm="1">
        <f t="array" ref="AP16">IF('NILAI CPL'!$B16&lt;&gt;"",IFERROR(_xlfn.IFS(S16&gt;='NILAI CPL'!$B$3,4,S16&gt;='NILAI CPL'!$B$4,3,S16&gt;='NILAI CPL'!$B$5,2,S16&gt;'NILAI CPL'!$B$6,1),0),"")</f>
        <v/>
      </c>
      <c r="AQ16" s="2" t="str" cm="1">
        <f t="array" ref="AQ16">IF('NILAI CPL'!$B16&lt;&gt;"",IFERROR(_xlfn.IFS(T16&gt;='NILAI CPL'!$B$3,4,T16&gt;='NILAI CPL'!$B$4,3,T16&gt;='NILAI CPL'!$B$5,2,T16&gt;'NILAI CPL'!$B$6,1),0),"")</f>
        <v/>
      </c>
      <c r="AR16" s="2" t="str" cm="1">
        <f t="array" ref="AR16">IF('NILAI CPL'!$B16&lt;&gt;"",IFERROR(_xlfn.IFS(U16&gt;='NILAI CPL'!$B$3,4,U16&gt;='NILAI CPL'!$B$4,3,U16&gt;='NILAI CPL'!$B$5,2,U16&gt;'NILAI CPL'!$B$6,1),0),"")</f>
        <v/>
      </c>
      <c r="AS16" s="2" t="str" cm="1">
        <f t="array" ref="AS16">IF('NILAI CPL'!$B16&lt;&gt;"",IFERROR(_xlfn.IFS(V16&gt;='NILAI CPL'!$B$3,4,V16&gt;='NILAI CPL'!$B$4,3,V16&gt;='NILAI CPL'!$B$5,2,V16&gt;'NILAI CPL'!$B$6,1),0),"")</f>
        <v/>
      </c>
      <c r="AT16" s="2" t="str" cm="1">
        <f t="array" ref="AT16">IF('NILAI CPL'!$B16&lt;&gt;"",IFERROR(_xlfn.IFS(W16&gt;='NILAI CPL'!$B$3,4,W16&gt;='NILAI CPL'!$B$4,3,W16&gt;='NILAI CPL'!$B$5,2,W16&gt;'NILAI CPL'!$B$6,1),0),"")</f>
        <v/>
      </c>
      <c r="AU16" s="2" t="str" cm="1">
        <f t="array" ref="AU16">IF('NILAI CPL'!$B16&lt;&gt;"",IFERROR(_xlfn.IFS(X16&gt;='NILAI CPL'!$B$3,4,X16&gt;='NILAI CPL'!$B$4,3,X16&gt;='NILAI CPL'!$B$5,2,X16&gt;'NILAI CPL'!$B$6,1),0),"")</f>
        <v/>
      </c>
      <c r="AV16" s="2" t="str" cm="1">
        <f t="array" ref="AV16">IF('NILAI CPL'!$B16&lt;&gt;"",IFERROR(_xlfn.IFS(Y16&gt;='NILAI CPL'!$B$3,4,Y16&gt;='NILAI CPL'!$B$4,3,Y16&gt;='NILAI CPL'!$B$5,2,Y16&gt;'NILAI CPL'!$B$6,1),0),"")</f>
        <v/>
      </c>
      <c r="AW16" s="2" t="str" cm="1">
        <f t="array" ref="AW16">IF('NILAI CPL'!$B16&lt;&gt;"",IFERROR(_xlfn.IFS(Z16&gt;='NILAI CPL'!$B$3,4,Z16&gt;='NILAI CPL'!$B$4,3,Z16&gt;='NILAI CPL'!$B$5,2,Z16&gt;'NILAI CPL'!$B$6,1),0),"")</f>
        <v/>
      </c>
      <c r="AX16" s="2" t="str" cm="1">
        <f t="array" ref="AX16">IF('NILAI CPL'!$B16&lt;&gt;"",IFERROR(_xlfn.IFS(AA16&gt;='NILAI CPL'!$B$3,4,AA16&gt;='NILAI CPL'!$B$4,3,AA16&gt;='NILAI CPL'!$B$5,2,AA16&gt;'NILAI CPL'!$B$6,1),0),"")</f>
        <v/>
      </c>
      <c r="AY16" s="2" t="str" cm="1">
        <f t="array" ref="AY16">IF('NILAI CPL'!$B16&lt;&gt;"",IFERROR(_xlfn.IFS(AB16&gt;='NILAI CPL'!$B$3,4,AB16&gt;='NILAI CPL'!$B$4,3,AB16&gt;='NILAI CPL'!$B$5,2,AB16&gt;'NILAI CPL'!$B$6,1),0),"")</f>
        <v/>
      </c>
      <c r="AZ16" s="2" t="str" cm="1">
        <f t="array" ref="AZ16">IF('NILAI CPL'!$B16&lt;&gt;"",IFERROR(_xlfn.IFS(AC16&gt;='NILAI CPL'!$B$3,4,AC16&gt;='NILAI CPL'!$B$4,3,AC16&gt;='NILAI CPL'!$B$5,2,AC16&gt;'NILAI CPL'!$B$6,1),0),"")</f>
        <v/>
      </c>
      <c r="BA16" s="2" t="str" cm="1">
        <f t="array" ref="BA16">IF('NILAI CPL'!$B16&lt;&gt;"",IFERROR(_xlfn.IFS(AD16&gt;='NILAI CPL'!$B$3,4,AD16&gt;='NILAI CPL'!$B$4,3,AD16&gt;='NILAI CPL'!$B$5,2,AD16&gt;'NILAI CPL'!$B$6,1),0),"")</f>
        <v/>
      </c>
      <c r="BB16" s="2" t="str" cm="1">
        <f t="array" ref="BB16">IF('NILAI CPL'!$B16&lt;&gt;"",IFERROR(_xlfn.IFS(AE16&gt;='NILAI CPL'!$B$3,4,AE16&gt;='NILAI CPL'!$B$4,3,AE16&gt;='NILAI CPL'!$B$5,2,AE16&gt;'NILAI CPL'!$B$6,1),0),"")</f>
        <v/>
      </c>
      <c r="BC16" s="2" t="str" cm="1">
        <f t="array" ref="BC16">IF('NILAI CPL'!$B16&lt;&gt;"",IFERROR(_xlfn.IFS(AF16&gt;='NILAI CPL'!$B$3,4,AF16&gt;='NILAI CPL'!$B$4,3,AF16&gt;='NILAI CPL'!$B$5,2,AF16&gt;'NILAI CPL'!$B$6,1),0),"")</f>
        <v/>
      </c>
      <c r="BD16" s="2" t="str" cm="1">
        <f t="array" ref="BD16">IF('NILAI CPL'!$B16&lt;&gt;"",IFERROR(_xlfn.IFS(AG16&gt;='NILAI CPL'!$B$3,4,AG16&gt;='NILAI CPL'!$B$4,3,AG16&gt;='NILAI CPL'!$B$5,2,AG16&gt;'NILAI CPL'!$B$6,1),0),"")</f>
        <v/>
      </c>
      <c r="BE16" s="2" t="str" cm="1">
        <f t="array" ref="BE16">IF('NILAI CPL'!$B16&lt;&gt;"",IFERROR(_xlfn.IFS(AH16&gt;='NILAI CPL'!$B$3,4,AH16&gt;='NILAI CPL'!$B$4,3,AH16&gt;='NILAI CPL'!$B$5,2,AH16&gt;'NILAI CPL'!$B$6,1),0),"")</f>
        <v/>
      </c>
      <c r="BF16" s="2" t="str" cm="1">
        <f t="array" ref="BF16">IF('NILAI CPL'!$B16&lt;&gt;"",IFERROR(_xlfn.IFS(AI16&gt;='NILAI CPL'!$B$3,4,AI16&gt;='NILAI CPL'!$B$4,3,AI16&gt;='NILAI CPL'!$B$5,2,AI16&gt;'NILAI CPL'!$B$6,1),0),"")</f>
        <v/>
      </c>
      <c r="BG16" s="2" t="str" cm="1">
        <f t="array" ref="BG16">IF('NILAI CPL'!$B16&lt;&gt;"",IFERROR(_xlfn.IFS(AJ16&gt;='NILAI CPL'!$B$3,4,AJ16&gt;='NILAI CPL'!$B$4,3,AJ16&gt;='NILAI CPL'!$B$5,2,AJ16&gt;'NILAI CPL'!$B$6,1),0),"")</f>
        <v/>
      </c>
      <c r="BH16" s="2" t="str" cm="1">
        <f t="array" ref="BH16">IF('NILAI CPL'!$B16&lt;&gt;"",IFERROR(_xlfn.IFS(AK16&gt;='NILAI CPL'!$B$3,4,AK16&gt;='NILAI CPL'!$B$4,3,AK16&gt;='NILAI CPL'!$B$5,2,AK16&gt;'NILAI CPL'!$B$6,1),0),"")</f>
        <v/>
      </c>
      <c r="BI16" s="2" t="str" cm="1">
        <f t="array" ref="BI16">IF('NILAI CPL'!$B16&lt;&gt;"",IFERROR(_xlfn.IFS(AL16&gt;='NILAI CPL'!$B$3,4,AL16&gt;='NILAI CPL'!$B$4,3,AL16&gt;='NILAI CPL'!$B$5,2,AL16&gt;'NILAI CPL'!$B$6,1),0),"")</f>
        <v/>
      </c>
      <c r="BJ16" s="2" t="str" cm="1">
        <f t="array" ref="BJ16">IF('NILAI CPL'!$B16&lt;&gt;"",IFERROR(_xlfn.IFS(AM16&gt;='NILAI CPL'!$B$3,4,AM16&gt;='NILAI CPL'!$B$4,3,AM16&gt;='NILAI CPL'!$B$5,2,AM16&gt;'NILAI CPL'!$B$6,1),0),"")</f>
        <v/>
      </c>
      <c r="BK16" s="2" t="str" cm="1">
        <f t="array" ref="BK16">IF('NILAI CPL'!$B16&lt;&gt;"",IFERROR(_xlfn.IFS(AN16&gt;='NILAI CPL'!$B$3,4,AN16&gt;='NILAI CPL'!$B$4,3,AN16&gt;='NILAI CPL'!$B$5,2,AN16&gt;'NILAI CPL'!$B$6,1),0),"")</f>
        <v/>
      </c>
    </row>
    <row r="17" spans="1:63" x14ac:dyDescent="0.2">
      <c r="A17" s="2">
        <v>7</v>
      </c>
      <c r="B17" s="2" t="str">
        <f>IF(LEN(SUMMARY!B17)&gt;0, SUMMARY!B17, "")</f>
        <v/>
      </c>
      <c r="C17" s="2" t="str">
        <f>IF(LEN(SUMMARY!C17)&gt;0, SUMMARY!C17, "")</f>
        <v/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" t="str">
        <f t="shared" si="2"/>
        <v/>
      </c>
      <c r="S17" s="2" t="str">
        <f t="shared" si="3"/>
        <v/>
      </c>
      <c r="T17" s="2" t="str">
        <f t="shared" si="4"/>
        <v/>
      </c>
      <c r="U17" s="2" t="str">
        <f t="shared" si="5"/>
        <v/>
      </c>
      <c r="V17" s="2" t="str">
        <f t="shared" si="6"/>
        <v/>
      </c>
      <c r="W17" s="2" t="str">
        <f t="shared" si="7"/>
        <v/>
      </c>
      <c r="X17" s="2" t="str">
        <f t="shared" si="8"/>
        <v/>
      </c>
      <c r="Y17" s="2" t="str">
        <f t="shared" si="9"/>
        <v/>
      </c>
      <c r="Z17" s="2" t="str">
        <f t="shared" si="10"/>
        <v/>
      </c>
      <c r="AA17" s="2" t="str">
        <f t="shared" si="11"/>
        <v/>
      </c>
      <c r="AB17" s="2" t="str">
        <f t="shared" si="12"/>
        <v/>
      </c>
      <c r="AC17" s="2" t="str">
        <f t="shared" si="13"/>
        <v/>
      </c>
      <c r="AD17" s="2" t="str">
        <f t="shared" si="14"/>
        <v/>
      </c>
      <c r="AE17" s="2" t="str">
        <f t="shared" si="15"/>
        <v/>
      </c>
      <c r="AF17" s="2" t="str">
        <f t="shared" si="16"/>
        <v/>
      </c>
      <c r="AG17" s="2" t="str">
        <f t="shared" si="17"/>
        <v/>
      </c>
      <c r="AH17" s="2" t="str">
        <f t="shared" si="18"/>
        <v/>
      </c>
      <c r="AI17" s="2" t="str">
        <f t="shared" si="19"/>
        <v/>
      </c>
      <c r="AJ17" s="2" t="str">
        <f t="shared" si="20"/>
        <v/>
      </c>
      <c r="AK17" s="2" t="str">
        <f t="shared" si="21"/>
        <v/>
      </c>
      <c r="AL17" s="2" t="str">
        <f t="shared" si="22"/>
        <v/>
      </c>
      <c r="AM17" s="2" t="str">
        <f t="shared" si="23"/>
        <v/>
      </c>
      <c r="AN17" s="2" t="str">
        <f t="shared" si="24"/>
        <v/>
      </c>
      <c r="AP17" s="2" t="str" cm="1">
        <f t="array" ref="AP17">IF('NILAI CPL'!$B17&lt;&gt;"",IFERROR(_xlfn.IFS(S17&gt;='NILAI CPL'!$B$3,4,S17&gt;='NILAI CPL'!$B$4,3,S17&gt;='NILAI CPL'!$B$5,2,S17&gt;'NILAI CPL'!$B$6,1),0),"")</f>
        <v/>
      </c>
      <c r="AQ17" s="2" t="str" cm="1">
        <f t="array" ref="AQ17">IF('NILAI CPL'!$B17&lt;&gt;"",IFERROR(_xlfn.IFS(T17&gt;='NILAI CPL'!$B$3,4,T17&gt;='NILAI CPL'!$B$4,3,T17&gt;='NILAI CPL'!$B$5,2,T17&gt;'NILAI CPL'!$B$6,1),0),"")</f>
        <v/>
      </c>
      <c r="AR17" s="2" t="str" cm="1">
        <f t="array" ref="AR17">IF('NILAI CPL'!$B17&lt;&gt;"",IFERROR(_xlfn.IFS(U17&gt;='NILAI CPL'!$B$3,4,U17&gt;='NILAI CPL'!$B$4,3,U17&gt;='NILAI CPL'!$B$5,2,U17&gt;'NILAI CPL'!$B$6,1),0),"")</f>
        <v/>
      </c>
      <c r="AS17" s="2" t="str" cm="1">
        <f t="array" ref="AS17">IF('NILAI CPL'!$B17&lt;&gt;"",IFERROR(_xlfn.IFS(V17&gt;='NILAI CPL'!$B$3,4,V17&gt;='NILAI CPL'!$B$4,3,V17&gt;='NILAI CPL'!$B$5,2,V17&gt;'NILAI CPL'!$B$6,1),0),"")</f>
        <v/>
      </c>
      <c r="AT17" s="2" t="str" cm="1">
        <f t="array" ref="AT17">IF('NILAI CPL'!$B17&lt;&gt;"",IFERROR(_xlfn.IFS(W17&gt;='NILAI CPL'!$B$3,4,W17&gt;='NILAI CPL'!$B$4,3,W17&gt;='NILAI CPL'!$B$5,2,W17&gt;'NILAI CPL'!$B$6,1),0),"")</f>
        <v/>
      </c>
      <c r="AU17" s="2" t="str" cm="1">
        <f t="array" ref="AU17">IF('NILAI CPL'!$B17&lt;&gt;"",IFERROR(_xlfn.IFS(X17&gt;='NILAI CPL'!$B$3,4,X17&gt;='NILAI CPL'!$B$4,3,X17&gt;='NILAI CPL'!$B$5,2,X17&gt;'NILAI CPL'!$B$6,1),0),"")</f>
        <v/>
      </c>
      <c r="AV17" s="2" t="str" cm="1">
        <f t="array" ref="AV17">IF('NILAI CPL'!$B17&lt;&gt;"",IFERROR(_xlfn.IFS(Y17&gt;='NILAI CPL'!$B$3,4,Y17&gt;='NILAI CPL'!$B$4,3,Y17&gt;='NILAI CPL'!$B$5,2,Y17&gt;'NILAI CPL'!$B$6,1),0),"")</f>
        <v/>
      </c>
      <c r="AW17" s="2" t="str" cm="1">
        <f t="array" ref="AW17">IF('NILAI CPL'!$B17&lt;&gt;"",IFERROR(_xlfn.IFS(Z17&gt;='NILAI CPL'!$B$3,4,Z17&gt;='NILAI CPL'!$B$4,3,Z17&gt;='NILAI CPL'!$B$5,2,Z17&gt;'NILAI CPL'!$B$6,1),0),"")</f>
        <v/>
      </c>
      <c r="AX17" s="2" t="str" cm="1">
        <f t="array" ref="AX17">IF('NILAI CPL'!$B17&lt;&gt;"",IFERROR(_xlfn.IFS(AA17&gt;='NILAI CPL'!$B$3,4,AA17&gt;='NILAI CPL'!$B$4,3,AA17&gt;='NILAI CPL'!$B$5,2,AA17&gt;'NILAI CPL'!$B$6,1),0),"")</f>
        <v/>
      </c>
      <c r="AY17" s="2" t="str" cm="1">
        <f t="array" ref="AY17">IF('NILAI CPL'!$B17&lt;&gt;"",IFERROR(_xlfn.IFS(AB17&gt;='NILAI CPL'!$B$3,4,AB17&gt;='NILAI CPL'!$B$4,3,AB17&gt;='NILAI CPL'!$B$5,2,AB17&gt;'NILAI CPL'!$B$6,1),0),"")</f>
        <v/>
      </c>
      <c r="AZ17" s="2" t="str" cm="1">
        <f t="array" ref="AZ17">IF('NILAI CPL'!$B17&lt;&gt;"",IFERROR(_xlfn.IFS(AC17&gt;='NILAI CPL'!$B$3,4,AC17&gt;='NILAI CPL'!$B$4,3,AC17&gt;='NILAI CPL'!$B$5,2,AC17&gt;'NILAI CPL'!$B$6,1),0),"")</f>
        <v/>
      </c>
      <c r="BA17" s="2" t="str" cm="1">
        <f t="array" ref="BA17">IF('NILAI CPL'!$B17&lt;&gt;"",IFERROR(_xlfn.IFS(AD17&gt;='NILAI CPL'!$B$3,4,AD17&gt;='NILAI CPL'!$B$4,3,AD17&gt;='NILAI CPL'!$B$5,2,AD17&gt;'NILAI CPL'!$B$6,1),0),"")</f>
        <v/>
      </c>
      <c r="BB17" s="2" t="str" cm="1">
        <f t="array" ref="BB17">IF('NILAI CPL'!$B17&lt;&gt;"",IFERROR(_xlfn.IFS(AE17&gt;='NILAI CPL'!$B$3,4,AE17&gt;='NILAI CPL'!$B$4,3,AE17&gt;='NILAI CPL'!$B$5,2,AE17&gt;'NILAI CPL'!$B$6,1),0),"")</f>
        <v/>
      </c>
      <c r="BC17" s="2" t="str" cm="1">
        <f t="array" ref="BC17">IF('NILAI CPL'!$B17&lt;&gt;"",IFERROR(_xlfn.IFS(AF17&gt;='NILAI CPL'!$B$3,4,AF17&gt;='NILAI CPL'!$B$4,3,AF17&gt;='NILAI CPL'!$B$5,2,AF17&gt;'NILAI CPL'!$B$6,1),0),"")</f>
        <v/>
      </c>
      <c r="BD17" s="2" t="str" cm="1">
        <f t="array" ref="BD17">IF('NILAI CPL'!$B17&lt;&gt;"",IFERROR(_xlfn.IFS(AG17&gt;='NILAI CPL'!$B$3,4,AG17&gt;='NILAI CPL'!$B$4,3,AG17&gt;='NILAI CPL'!$B$5,2,AG17&gt;'NILAI CPL'!$B$6,1),0),"")</f>
        <v/>
      </c>
      <c r="BE17" s="2" t="str" cm="1">
        <f t="array" ref="BE17">IF('NILAI CPL'!$B17&lt;&gt;"",IFERROR(_xlfn.IFS(AH17&gt;='NILAI CPL'!$B$3,4,AH17&gt;='NILAI CPL'!$B$4,3,AH17&gt;='NILAI CPL'!$B$5,2,AH17&gt;'NILAI CPL'!$B$6,1),0),"")</f>
        <v/>
      </c>
      <c r="BF17" s="2" t="str" cm="1">
        <f t="array" ref="BF17">IF('NILAI CPL'!$B17&lt;&gt;"",IFERROR(_xlfn.IFS(AI17&gt;='NILAI CPL'!$B$3,4,AI17&gt;='NILAI CPL'!$B$4,3,AI17&gt;='NILAI CPL'!$B$5,2,AI17&gt;'NILAI CPL'!$B$6,1),0),"")</f>
        <v/>
      </c>
      <c r="BG17" s="2" t="str" cm="1">
        <f t="array" ref="BG17">IF('NILAI CPL'!$B17&lt;&gt;"",IFERROR(_xlfn.IFS(AJ17&gt;='NILAI CPL'!$B$3,4,AJ17&gt;='NILAI CPL'!$B$4,3,AJ17&gt;='NILAI CPL'!$B$5,2,AJ17&gt;'NILAI CPL'!$B$6,1),0),"")</f>
        <v/>
      </c>
      <c r="BH17" s="2" t="str" cm="1">
        <f t="array" ref="BH17">IF('NILAI CPL'!$B17&lt;&gt;"",IFERROR(_xlfn.IFS(AK17&gt;='NILAI CPL'!$B$3,4,AK17&gt;='NILAI CPL'!$B$4,3,AK17&gt;='NILAI CPL'!$B$5,2,AK17&gt;'NILAI CPL'!$B$6,1),0),"")</f>
        <v/>
      </c>
      <c r="BI17" s="2" t="str" cm="1">
        <f t="array" ref="BI17">IF('NILAI CPL'!$B17&lt;&gt;"",IFERROR(_xlfn.IFS(AL17&gt;='NILAI CPL'!$B$3,4,AL17&gt;='NILAI CPL'!$B$4,3,AL17&gt;='NILAI CPL'!$B$5,2,AL17&gt;'NILAI CPL'!$B$6,1),0),"")</f>
        <v/>
      </c>
      <c r="BJ17" s="2" t="str" cm="1">
        <f t="array" ref="BJ17">IF('NILAI CPL'!$B17&lt;&gt;"",IFERROR(_xlfn.IFS(AM17&gt;='NILAI CPL'!$B$3,4,AM17&gt;='NILAI CPL'!$B$4,3,AM17&gt;='NILAI CPL'!$B$5,2,AM17&gt;'NILAI CPL'!$B$6,1),0),"")</f>
        <v/>
      </c>
      <c r="BK17" s="2" t="str" cm="1">
        <f t="array" ref="BK17">IF('NILAI CPL'!$B17&lt;&gt;"",IFERROR(_xlfn.IFS(AN17&gt;='NILAI CPL'!$B$3,4,AN17&gt;='NILAI CPL'!$B$4,3,AN17&gt;='NILAI CPL'!$B$5,2,AN17&gt;'NILAI CPL'!$B$6,1),0),"")</f>
        <v/>
      </c>
    </row>
    <row r="18" spans="1:63" x14ac:dyDescent="0.2">
      <c r="A18" s="2">
        <v>8</v>
      </c>
      <c r="B18" s="2" t="str">
        <f>IF(LEN(SUMMARY!B18)&gt;0, SUMMARY!B18, "")</f>
        <v/>
      </c>
      <c r="C18" s="2" t="str">
        <f>IF(LEN(SUMMARY!C18)&gt;0, SUMMARY!C18, "")</f>
        <v/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" t="str">
        <f t="shared" si="2"/>
        <v/>
      </c>
      <c r="S18" s="2" t="str">
        <f t="shared" si="3"/>
        <v/>
      </c>
      <c r="T18" s="2" t="str">
        <f t="shared" si="4"/>
        <v/>
      </c>
      <c r="U18" s="2" t="str">
        <f t="shared" si="5"/>
        <v/>
      </c>
      <c r="V18" s="2" t="str">
        <f t="shared" si="6"/>
        <v/>
      </c>
      <c r="W18" s="2" t="str">
        <f t="shared" si="7"/>
        <v/>
      </c>
      <c r="X18" s="2" t="str">
        <f t="shared" si="8"/>
        <v/>
      </c>
      <c r="Y18" s="2" t="str">
        <f t="shared" si="9"/>
        <v/>
      </c>
      <c r="Z18" s="2" t="str">
        <f t="shared" si="10"/>
        <v/>
      </c>
      <c r="AA18" s="2" t="str">
        <f t="shared" si="11"/>
        <v/>
      </c>
      <c r="AB18" s="2" t="str">
        <f t="shared" si="12"/>
        <v/>
      </c>
      <c r="AC18" s="2" t="str">
        <f t="shared" si="13"/>
        <v/>
      </c>
      <c r="AD18" s="2" t="str">
        <f t="shared" si="14"/>
        <v/>
      </c>
      <c r="AE18" s="2" t="str">
        <f t="shared" si="15"/>
        <v/>
      </c>
      <c r="AF18" s="2" t="str">
        <f t="shared" si="16"/>
        <v/>
      </c>
      <c r="AG18" s="2" t="str">
        <f t="shared" si="17"/>
        <v/>
      </c>
      <c r="AH18" s="2" t="str">
        <f t="shared" si="18"/>
        <v/>
      </c>
      <c r="AI18" s="2" t="str">
        <f t="shared" si="19"/>
        <v/>
      </c>
      <c r="AJ18" s="2" t="str">
        <f t="shared" si="20"/>
        <v/>
      </c>
      <c r="AK18" s="2" t="str">
        <f t="shared" si="21"/>
        <v/>
      </c>
      <c r="AL18" s="2" t="str">
        <f t="shared" si="22"/>
        <v/>
      </c>
      <c r="AM18" s="2" t="str">
        <f t="shared" si="23"/>
        <v/>
      </c>
      <c r="AN18" s="2" t="str">
        <f t="shared" si="24"/>
        <v/>
      </c>
      <c r="AP18" s="2" t="str" cm="1">
        <f t="array" ref="AP18">IF('NILAI CPL'!$B18&lt;&gt;"",IFERROR(_xlfn.IFS(S18&gt;='NILAI CPL'!$B$3,4,S18&gt;='NILAI CPL'!$B$4,3,S18&gt;='NILAI CPL'!$B$5,2,S18&gt;'NILAI CPL'!$B$6,1),0),"")</f>
        <v/>
      </c>
      <c r="AQ18" s="2" t="str" cm="1">
        <f t="array" ref="AQ18">IF('NILAI CPL'!$B18&lt;&gt;"",IFERROR(_xlfn.IFS(T18&gt;='NILAI CPL'!$B$3,4,T18&gt;='NILAI CPL'!$B$4,3,T18&gt;='NILAI CPL'!$B$5,2,T18&gt;'NILAI CPL'!$B$6,1),0),"")</f>
        <v/>
      </c>
      <c r="AR18" s="2" t="str" cm="1">
        <f t="array" ref="AR18">IF('NILAI CPL'!$B18&lt;&gt;"",IFERROR(_xlfn.IFS(U18&gt;='NILAI CPL'!$B$3,4,U18&gt;='NILAI CPL'!$B$4,3,U18&gt;='NILAI CPL'!$B$5,2,U18&gt;'NILAI CPL'!$B$6,1),0),"")</f>
        <v/>
      </c>
      <c r="AS18" s="2" t="str" cm="1">
        <f t="array" ref="AS18">IF('NILAI CPL'!$B18&lt;&gt;"",IFERROR(_xlfn.IFS(V18&gt;='NILAI CPL'!$B$3,4,V18&gt;='NILAI CPL'!$B$4,3,V18&gt;='NILAI CPL'!$B$5,2,V18&gt;'NILAI CPL'!$B$6,1),0),"")</f>
        <v/>
      </c>
      <c r="AT18" s="2" t="str" cm="1">
        <f t="array" ref="AT18">IF('NILAI CPL'!$B18&lt;&gt;"",IFERROR(_xlfn.IFS(W18&gt;='NILAI CPL'!$B$3,4,W18&gt;='NILAI CPL'!$B$4,3,W18&gt;='NILAI CPL'!$B$5,2,W18&gt;'NILAI CPL'!$B$6,1),0),"")</f>
        <v/>
      </c>
      <c r="AU18" s="2" t="str" cm="1">
        <f t="array" ref="AU18">IF('NILAI CPL'!$B18&lt;&gt;"",IFERROR(_xlfn.IFS(X18&gt;='NILAI CPL'!$B$3,4,X18&gt;='NILAI CPL'!$B$4,3,X18&gt;='NILAI CPL'!$B$5,2,X18&gt;'NILAI CPL'!$B$6,1),0),"")</f>
        <v/>
      </c>
      <c r="AV18" s="2" t="str" cm="1">
        <f t="array" ref="AV18">IF('NILAI CPL'!$B18&lt;&gt;"",IFERROR(_xlfn.IFS(Y18&gt;='NILAI CPL'!$B$3,4,Y18&gt;='NILAI CPL'!$B$4,3,Y18&gt;='NILAI CPL'!$B$5,2,Y18&gt;'NILAI CPL'!$B$6,1),0),"")</f>
        <v/>
      </c>
      <c r="AW18" s="2" t="str" cm="1">
        <f t="array" ref="AW18">IF('NILAI CPL'!$B18&lt;&gt;"",IFERROR(_xlfn.IFS(Z18&gt;='NILAI CPL'!$B$3,4,Z18&gt;='NILAI CPL'!$B$4,3,Z18&gt;='NILAI CPL'!$B$5,2,Z18&gt;'NILAI CPL'!$B$6,1),0),"")</f>
        <v/>
      </c>
      <c r="AX18" s="2" t="str" cm="1">
        <f t="array" ref="AX18">IF('NILAI CPL'!$B18&lt;&gt;"",IFERROR(_xlfn.IFS(AA18&gt;='NILAI CPL'!$B$3,4,AA18&gt;='NILAI CPL'!$B$4,3,AA18&gt;='NILAI CPL'!$B$5,2,AA18&gt;'NILAI CPL'!$B$6,1),0),"")</f>
        <v/>
      </c>
      <c r="AY18" s="2" t="str" cm="1">
        <f t="array" ref="AY18">IF('NILAI CPL'!$B18&lt;&gt;"",IFERROR(_xlfn.IFS(AB18&gt;='NILAI CPL'!$B$3,4,AB18&gt;='NILAI CPL'!$B$4,3,AB18&gt;='NILAI CPL'!$B$5,2,AB18&gt;'NILAI CPL'!$B$6,1),0),"")</f>
        <v/>
      </c>
      <c r="AZ18" s="2" t="str" cm="1">
        <f t="array" ref="AZ18">IF('NILAI CPL'!$B18&lt;&gt;"",IFERROR(_xlfn.IFS(AC18&gt;='NILAI CPL'!$B$3,4,AC18&gt;='NILAI CPL'!$B$4,3,AC18&gt;='NILAI CPL'!$B$5,2,AC18&gt;'NILAI CPL'!$B$6,1),0),"")</f>
        <v/>
      </c>
      <c r="BA18" s="2" t="str" cm="1">
        <f t="array" ref="BA18">IF('NILAI CPL'!$B18&lt;&gt;"",IFERROR(_xlfn.IFS(AD18&gt;='NILAI CPL'!$B$3,4,AD18&gt;='NILAI CPL'!$B$4,3,AD18&gt;='NILAI CPL'!$B$5,2,AD18&gt;'NILAI CPL'!$B$6,1),0),"")</f>
        <v/>
      </c>
      <c r="BB18" s="2" t="str" cm="1">
        <f t="array" ref="BB18">IF('NILAI CPL'!$B18&lt;&gt;"",IFERROR(_xlfn.IFS(AE18&gt;='NILAI CPL'!$B$3,4,AE18&gt;='NILAI CPL'!$B$4,3,AE18&gt;='NILAI CPL'!$B$5,2,AE18&gt;'NILAI CPL'!$B$6,1),0),"")</f>
        <v/>
      </c>
      <c r="BC18" s="2" t="str" cm="1">
        <f t="array" ref="BC18">IF('NILAI CPL'!$B18&lt;&gt;"",IFERROR(_xlfn.IFS(AF18&gt;='NILAI CPL'!$B$3,4,AF18&gt;='NILAI CPL'!$B$4,3,AF18&gt;='NILAI CPL'!$B$5,2,AF18&gt;'NILAI CPL'!$B$6,1),0),"")</f>
        <v/>
      </c>
      <c r="BD18" s="2" t="str" cm="1">
        <f t="array" ref="BD18">IF('NILAI CPL'!$B18&lt;&gt;"",IFERROR(_xlfn.IFS(AG18&gt;='NILAI CPL'!$B$3,4,AG18&gt;='NILAI CPL'!$B$4,3,AG18&gt;='NILAI CPL'!$B$5,2,AG18&gt;'NILAI CPL'!$B$6,1),0),"")</f>
        <v/>
      </c>
      <c r="BE18" s="2" t="str" cm="1">
        <f t="array" ref="BE18">IF('NILAI CPL'!$B18&lt;&gt;"",IFERROR(_xlfn.IFS(AH18&gt;='NILAI CPL'!$B$3,4,AH18&gt;='NILAI CPL'!$B$4,3,AH18&gt;='NILAI CPL'!$B$5,2,AH18&gt;'NILAI CPL'!$B$6,1),0),"")</f>
        <v/>
      </c>
      <c r="BF18" s="2" t="str" cm="1">
        <f t="array" ref="BF18">IF('NILAI CPL'!$B18&lt;&gt;"",IFERROR(_xlfn.IFS(AI18&gt;='NILAI CPL'!$B$3,4,AI18&gt;='NILAI CPL'!$B$4,3,AI18&gt;='NILAI CPL'!$B$5,2,AI18&gt;'NILAI CPL'!$B$6,1),0),"")</f>
        <v/>
      </c>
      <c r="BG18" s="2" t="str" cm="1">
        <f t="array" ref="BG18">IF('NILAI CPL'!$B18&lt;&gt;"",IFERROR(_xlfn.IFS(AJ18&gt;='NILAI CPL'!$B$3,4,AJ18&gt;='NILAI CPL'!$B$4,3,AJ18&gt;='NILAI CPL'!$B$5,2,AJ18&gt;'NILAI CPL'!$B$6,1),0),"")</f>
        <v/>
      </c>
      <c r="BH18" s="2" t="str" cm="1">
        <f t="array" ref="BH18">IF('NILAI CPL'!$B18&lt;&gt;"",IFERROR(_xlfn.IFS(AK18&gt;='NILAI CPL'!$B$3,4,AK18&gt;='NILAI CPL'!$B$4,3,AK18&gt;='NILAI CPL'!$B$5,2,AK18&gt;'NILAI CPL'!$B$6,1),0),"")</f>
        <v/>
      </c>
      <c r="BI18" s="2" t="str" cm="1">
        <f t="array" ref="BI18">IF('NILAI CPL'!$B18&lt;&gt;"",IFERROR(_xlfn.IFS(AL18&gt;='NILAI CPL'!$B$3,4,AL18&gt;='NILAI CPL'!$B$4,3,AL18&gt;='NILAI CPL'!$B$5,2,AL18&gt;'NILAI CPL'!$B$6,1),0),"")</f>
        <v/>
      </c>
      <c r="BJ18" s="2" t="str" cm="1">
        <f t="array" ref="BJ18">IF('NILAI CPL'!$B18&lt;&gt;"",IFERROR(_xlfn.IFS(AM18&gt;='NILAI CPL'!$B$3,4,AM18&gt;='NILAI CPL'!$B$4,3,AM18&gt;='NILAI CPL'!$B$5,2,AM18&gt;'NILAI CPL'!$B$6,1),0),"")</f>
        <v/>
      </c>
      <c r="BK18" s="2" t="str" cm="1">
        <f t="array" ref="BK18">IF('NILAI CPL'!$B18&lt;&gt;"",IFERROR(_xlfn.IFS(AN18&gt;='NILAI CPL'!$B$3,4,AN18&gt;='NILAI CPL'!$B$4,3,AN18&gt;='NILAI CPL'!$B$5,2,AN18&gt;'NILAI CPL'!$B$6,1),0),"")</f>
        <v/>
      </c>
    </row>
    <row r="19" spans="1:63" x14ac:dyDescent="0.2">
      <c r="A19" s="2">
        <v>9</v>
      </c>
      <c r="B19" s="2" t="str">
        <f>IF(LEN(SUMMARY!B19)&gt;0, SUMMARY!B19, "")</f>
        <v/>
      </c>
      <c r="C19" s="2" t="str">
        <f>IF(LEN(SUMMARY!C19)&gt;0, SUMMARY!C19, "")</f>
        <v/>
      </c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" t="str">
        <f t="shared" si="2"/>
        <v/>
      </c>
      <c r="S19" s="2" t="str">
        <f t="shared" si="3"/>
        <v/>
      </c>
      <c r="T19" s="2" t="str">
        <f t="shared" si="4"/>
        <v/>
      </c>
      <c r="U19" s="2" t="str">
        <f t="shared" si="5"/>
        <v/>
      </c>
      <c r="V19" s="2" t="str">
        <f t="shared" si="6"/>
        <v/>
      </c>
      <c r="W19" s="2" t="str">
        <f t="shared" si="7"/>
        <v/>
      </c>
      <c r="X19" s="2" t="str">
        <f t="shared" si="8"/>
        <v/>
      </c>
      <c r="Y19" s="2" t="str">
        <f t="shared" si="9"/>
        <v/>
      </c>
      <c r="Z19" s="2" t="str">
        <f t="shared" si="10"/>
        <v/>
      </c>
      <c r="AA19" s="2" t="str">
        <f t="shared" si="11"/>
        <v/>
      </c>
      <c r="AB19" s="2" t="str">
        <f t="shared" si="12"/>
        <v/>
      </c>
      <c r="AC19" s="2" t="str">
        <f t="shared" si="13"/>
        <v/>
      </c>
      <c r="AD19" s="2" t="str">
        <f t="shared" si="14"/>
        <v/>
      </c>
      <c r="AE19" s="2" t="str">
        <f t="shared" si="15"/>
        <v/>
      </c>
      <c r="AF19" s="2" t="str">
        <f t="shared" si="16"/>
        <v/>
      </c>
      <c r="AG19" s="2" t="str">
        <f t="shared" si="17"/>
        <v/>
      </c>
      <c r="AH19" s="2" t="str">
        <f t="shared" si="18"/>
        <v/>
      </c>
      <c r="AI19" s="2" t="str">
        <f t="shared" si="19"/>
        <v/>
      </c>
      <c r="AJ19" s="2" t="str">
        <f t="shared" si="20"/>
        <v/>
      </c>
      <c r="AK19" s="2" t="str">
        <f t="shared" si="21"/>
        <v/>
      </c>
      <c r="AL19" s="2" t="str">
        <f t="shared" si="22"/>
        <v/>
      </c>
      <c r="AM19" s="2" t="str">
        <f t="shared" si="23"/>
        <v/>
      </c>
      <c r="AN19" s="2" t="str">
        <f t="shared" si="24"/>
        <v/>
      </c>
      <c r="AP19" s="2" t="str" cm="1">
        <f t="array" ref="AP19">IF('NILAI CPL'!$B19&lt;&gt;"",IFERROR(_xlfn.IFS(S19&gt;='NILAI CPL'!$B$3,4,S19&gt;='NILAI CPL'!$B$4,3,S19&gt;='NILAI CPL'!$B$5,2,S19&gt;'NILAI CPL'!$B$6,1),0),"")</f>
        <v/>
      </c>
      <c r="AQ19" s="2" t="str" cm="1">
        <f t="array" ref="AQ19">IF('NILAI CPL'!$B19&lt;&gt;"",IFERROR(_xlfn.IFS(T19&gt;='NILAI CPL'!$B$3,4,T19&gt;='NILAI CPL'!$B$4,3,T19&gt;='NILAI CPL'!$B$5,2,T19&gt;'NILAI CPL'!$B$6,1),0),"")</f>
        <v/>
      </c>
      <c r="AR19" s="2" t="str" cm="1">
        <f t="array" ref="AR19">IF('NILAI CPL'!$B19&lt;&gt;"",IFERROR(_xlfn.IFS(U19&gt;='NILAI CPL'!$B$3,4,U19&gt;='NILAI CPL'!$B$4,3,U19&gt;='NILAI CPL'!$B$5,2,U19&gt;'NILAI CPL'!$B$6,1),0),"")</f>
        <v/>
      </c>
      <c r="AS19" s="2" t="str" cm="1">
        <f t="array" ref="AS19">IF('NILAI CPL'!$B19&lt;&gt;"",IFERROR(_xlfn.IFS(V19&gt;='NILAI CPL'!$B$3,4,V19&gt;='NILAI CPL'!$B$4,3,V19&gt;='NILAI CPL'!$B$5,2,V19&gt;'NILAI CPL'!$B$6,1),0),"")</f>
        <v/>
      </c>
      <c r="AT19" s="2" t="str" cm="1">
        <f t="array" ref="AT19">IF('NILAI CPL'!$B19&lt;&gt;"",IFERROR(_xlfn.IFS(W19&gt;='NILAI CPL'!$B$3,4,W19&gt;='NILAI CPL'!$B$4,3,W19&gt;='NILAI CPL'!$B$5,2,W19&gt;'NILAI CPL'!$B$6,1),0),"")</f>
        <v/>
      </c>
      <c r="AU19" s="2" t="str" cm="1">
        <f t="array" ref="AU19">IF('NILAI CPL'!$B19&lt;&gt;"",IFERROR(_xlfn.IFS(X19&gt;='NILAI CPL'!$B$3,4,X19&gt;='NILAI CPL'!$B$4,3,X19&gt;='NILAI CPL'!$B$5,2,X19&gt;'NILAI CPL'!$B$6,1),0),"")</f>
        <v/>
      </c>
      <c r="AV19" s="2" t="str" cm="1">
        <f t="array" ref="AV19">IF('NILAI CPL'!$B19&lt;&gt;"",IFERROR(_xlfn.IFS(Y19&gt;='NILAI CPL'!$B$3,4,Y19&gt;='NILAI CPL'!$B$4,3,Y19&gt;='NILAI CPL'!$B$5,2,Y19&gt;'NILAI CPL'!$B$6,1),0),"")</f>
        <v/>
      </c>
      <c r="AW19" s="2" t="str" cm="1">
        <f t="array" ref="AW19">IF('NILAI CPL'!$B19&lt;&gt;"",IFERROR(_xlfn.IFS(Z19&gt;='NILAI CPL'!$B$3,4,Z19&gt;='NILAI CPL'!$B$4,3,Z19&gt;='NILAI CPL'!$B$5,2,Z19&gt;'NILAI CPL'!$B$6,1),0),"")</f>
        <v/>
      </c>
      <c r="AX19" s="2" t="str" cm="1">
        <f t="array" ref="AX19">IF('NILAI CPL'!$B19&lt;&gt;"",IFERROR(_xlfn.IFS(AA19&gt;='NILAI CPL'!$B$3,4,AA19&gt;='NILAI CPL'!$B$4,3,AA19&gt;='NILAI CPL'!$B$5,2,AA19&gt;'NILAI CPL'!$B$6,1),0),"")</f>
        <v/>
      </c>
      <c r="AY19" s="2" t="str" cm="1">
        <f t="array" ref="AY19">IF('NILAI CPL'!$B19&lt;&gt;"",IFERROR(_xlfn.IFS(AB19&gt;='NILAI CPL'!$B$3,4,AB19&gt;='NILAI CPL'!$B$4,3,AB19&gt;='NILAI CPL'!$B$5,2,AB19&gt;'NILAI CPL'!$B$6,1),0),"")</f>
        <v/>
      </c>
      <c r="AZ19" s="2" t="str" cm="1">
        <f t="array" ref="AZ19">IF('NILAI CPL'!$B19&lt;&gt;"",IFERROR(_xlfn.IFS(AC19&gt;='NILAI CPL'!$B$3,4,AC19&gt;='NILAI CPL'!$B$4,3,AC19&gt;='NILAI CPL'!$B$5,2,AC19&gt;'NILAI CPL'!$B$6,1),0),"")</f>
        <v/>
      </c>
      <c r="BA19" s="2" t="str" cm="1">
        <f t="array" ref="BA19">IF('NILAI CPL'!$B19&lt;&gt;"",IFERROR(_xlfn.IFS(AD19&gt;='NILAI CPL'!$B$3,4,AD19&gt;='NILAI CPL'!$B$4,3,AD19&gt;='NILAI CPL'!$B$5,2,AD19&gt;'NILAI CPL'!$B$6,1),0),"")</f>
        <v/>
      </c>
      <c r="BB19" s="2" t="str" cm="1">
        <f t="array" ref="BB19">IF('NILAI CPL'!$B19&lt;&gt;"",IFERROR(_xlfn.IFS(AE19&gt;='NILAI CPL'!$B$3,4,AE19&gt;='NILAI CPL'!$B$4,3,AE19&gt;='NILAI CPL'!$B$5,2,AE19&gt;'NILAI CPL'!$B$6,1),0),"")</f>
        <v/>
      </c>
      <c r="BC19" s="2" t="str" cm="1">
        <f t="array" ref="BC19">IF('NILAI CPL'!$B19&lt;&gt;"",IFERROR(_xlfn.IFS(AF19&gt;='NILAI CPL'!$B$3,4,AF19&gt;='NILAI CPL'!$B$4,3,AF19&gt;='NILAI CPL'!$B$5,2,AF19&gt;'NILAI CPL'!$B$6,1),0),"")</f>
        <v/>
      </c>
      <c r="BD19" s="2" t="str" cm="1">
        <f t="array" ref="BD19">IF('NILAI CPL'!$B19&lt;&gt;"",IFERROR(_xlfn.IFS(AG19&gt;='NILAI CPL'!$B$3,4,AG19&gt;='NILAI CPL'!$B$4,3,AG19&gt;='NILAI CPL'!$B$5,2,AG19&gt;'NILAI CPL'!$B$6,1),0),"")</f>
        <v/>
      </c>
      <c r="BE19" s="2" t="str" cm="1">
        <f t="array" ref="BE19">IF('NILAI CPL'!$B19&lt;&gt;"",IFERROR(_xlfn.IFS(AH19&gt;='NILAI CPL'!$B$3,4,AH19&gt;='NILAI CPL'!$B$4,3,AH19&gt;='NILAI CPL'!$B$5,2,AH19&gt;'NILAI CPL'!$B$6,1),0),"")</f>
        <v/>
      </c>
      <c r="BF19" s="2" t="str" cm="1">
        <f t="array" ref="BF19">IF('NILAI CPL'!$B19&lt;&gt;"",IFERROR(_xlfn.IFS(AI19&gt;='NILAI CPL'!$B$3,4,AI19&gt;='NILAI CPL'!$B$4,3,AI19&gt;='NILAI CPL'!$B$5,2,AI19&gt;'NILAI CPL'!$B$6,1),0),"")</f>
        <v/>
      </c>
      <c r="BG19" s="2" t="str" cm="1">
        <f t="array" ref="BG19">IF('NILAI CPL'!$B19&lt;&gt;"",IFERROR(_xlfn.IFS(AJ19&gt;='NILAI CPL'!$B$3,4,AJ19&gt;='NILAI CPL'!$B$4,3,AJ19&gt;='NILAI CPL'!$B$5,2,AJ19&gt;'NILAI CPL'!$B$6,1),0),"")</f>
        <v/>
      </c>
      <c r="BH19" s="2" t="str" cm="1">
        <f t="array" ref="BH19">IF('NILAI CPL'!$B19&lt;&gt;"",IFERROR(_xlfn.IFS(AK19&gt;='NILAI CPL'!$B$3,4,AK19&gt;='NILAI CPL'!$B$4,3,AK19&gt;='NILAI CPL'!$B$5,2,AK19&gt;'NILAI CPL'!$B$6,1),0),"")</f>
        <v/>
      </c>
      <c r="BI19" s="2" t="str" cm="1">
        <f t="array" ref="BI19">IF('NILAI CPL'!$B19&lt;&gt;"",IFERROR(_xlfn.IFS(AL19&gt;='NILAI CPL'!$B$3,4,AL19&gt;='NILAI CPL'!$B$4,3,AL19&gt;='NILAI CPL'!$B$5,2,AL19&gt;'NILAI CPL'!$B$6,1),0),"")</f>
        <v/>
      </c>
      <c r="BJ19" s="2" t="str" cm="1">
        <f t="array" ref="BJ19">IF('NILAI CPL'!$B19&lt;&gt;"",IFERROR(_xlfn.IFS(AM19&gt;='NILAI CPL'!$B$3,4,AM19&gt;='NILAI CPL'!$B$4,3,AM19&gt;='NILAI CPL'!$B$5,2,AM19&gt;'NILAI CPL'!$B$6,1),0),"")</f>
        <v/>
      </c>
      <c r="BK19" s="2" t="str" cm="1">
        <f t="array" ref="BK19">IF('NILAI CPL'!$B19&lt;&gt;"",IFERROR(_xlfn.IFS(AN19&gt;='NILAI CPL'!$B$3,4,AN19&gt;='NILAI CPL'!$B$4,3,AN19&gt;='NILAI CPL'!$B$5,2,AN19&gt;'NILAI CPL'!$B$6,1),0),"")</f>
        <v/>
      </c>
    </row>
    <row r="20" spans="1:63" x14ac:dyDescent="0.2">
      <c r="A20" s="2">
        <v>10</v>
      </c>
      <c r="B20" s="2" t="str">
        <f>IF(LEN(SUMMARY!B20)&gt;0, SUMMARY!B20, "")</f>
        <v/>
      </c>
      <c r="C20" s="2" t="str">
        <f>IF(LEN(SUMMARY!C20)&gt;0, SUMMARY!C20, "")</f>
        <v/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" t="str">
        <f t="shared" si="2"/>
        <v/>
      </c>
      <c r="S20" s="2" t="str">
        <f t="shared" si="3"/>
        <v/>
      </c>
      <c r="T20" s="2" t="str">
        <f t="shared" si="4"/>
        <v/>
      </c>
      <c r="U20" s="2" t="str">
        <f t="shared" si="5"/>
        <v/>
      </c>
      <c r="V20" s="2" t="str">
        <f t="shared" si="6"/>
        <v/>
      </c>
      <c r="W20" s="2" t="str">
        <f t="shared" si="7"/>
        <v/>
      </c>
      <c r="X20" s="2" t="str">
        <f t="shared" si="8"/>
        <v/>
      </c>
      <c r="Y20" s="2" t="str">
        <f t="shared" si="9"/>
        <v/>
      </c>
      <c r="Z20" s="2" t="str">
        <f t="shared" si="10"/>
        <v/>
      </c>
      <c r="AA20" s="2" t="str">
        <f t="shared" si="11"/>
        <v/>
      </c>
      <c r="AB20" s="2" t="str">
        <f t="shared" si="12"/>
        <v/>
      </c>
      <c r="AC20" s="2" t="str">
        <f t="shared" si="13"/>
        <v/>
      </c>
      <c r="AD20" s="2" t="str">
        <f t="shared" si="14"/>
        <v/>
      </c>
      <c r="AE20" s="2" t="str">
        <f t="shared" si="15"/>
        <v/>
      </c>
      <c r="AF20" s="2" t="str">
        <f t="shared" si="16"/>
        <v/>
      </c>
      <c r="AG20" s="2" t="str">
        <f t="shared" si="17"/>
        <v/>
      </c>
      <c r="AH20" s="2" t="str">
        <f t="shared" si="18"/>
        <v/>
      </c>
      <c r="AI20" s="2" t="str">
        <f t="shared" si="19"/>
        <v/>
      </c>
      <c r="AJ20" s="2" t="str">
        <f t="shared" si="20"/>
        <v/>
      </c>
      <c r="AK20" s="2" t="str">
        <f t="shared" si="21"/>
        <v/>
      </c>
      <c r="AL20" s="2" t="str">
        <f t="shared" si="22"/>
        <v/>
      </c>
      <c r="AM20" s="2" t="str">
        <f t="shared" si="23"/>
        <v/>
      </c>
      <c r="AN20" s="2" t="str">
        <f t="shared" si="24"/>
        <v/>
      </c>
      <c r="AP20" s="2" t="str" cm="1">
        <f t="array" ref="AP20">IF('NILAI CPL'!$B20&lt;&gt;"",IFERROR(_xlfn.IFS(S20&gt;='NILAI CPL'!$B$3,4,S20&gt;='NILAI CPL'!$B$4,3,S20&gt;='NILAI CPL'!$B$5,2,S20&gt;'NILAI CPL'!$B$6,1),0),"")</f>
        <v/>
      </c>
      <c r="AQ20" s="2" t="str" cm="1">
        <f t="array" ref="AQ20">IF('NILAI CPL'!$B20&lt;&gt;"",IFERROR(_xlfn.IFS(T20&gt;='NILAI CPL'!$B$3,4,T20&gt;='NILAI CPL'!$B$4,3,T20&gt;='NILAI CPL'!$B$5,2,T20&gt;'NILAI CPL'!$B$6,1),0),"")</f>
        <v/>
      </c>
      <c r="AR20" s="2" t="str" cm="1">
        <f t="array" ref="AR20">IF('NILAI CPL'!$B20&lt;&gt;"",IFERROR(_xlfn.IFS(U20&gt;='NILAI CPL'!$B$3,4,U20&gt;='NILAI CPL'!$B$4,3,U20&gt;='NILAI CPL'!$B$5,2,U20&gt;'NILAI CPL'!$B$6,1),0),"")</f>
        <v/>
      </c>
      <c r="AS20" s="2" t="str" cm="1">
        <f t="array" ref="AS20">IF('NILAI CPL'!$B20&lt;&gt;"",IFERROR(_xlfn.IFS(V20&gt;='NILAI CPL'!$B$3,4,V20&gt;='NILAI CPL'!$B$4,3,V20&gt;='NILAI CPL'!$B$5,2,V20&gt;'NILAI CPL'!$B$6,1),0),"")</f>
        <v/>
      </c>
      <c r="AT20" s="2" t="str" cm="1">
        <f t="array" ref="AT20">IF('NILAI CPL'!$B20&lt;&gt;"",IFERROR(_xlfn.IFS(W20&gt;='NILAI CPL'!$B$3,4,W20&gt;='NILAI CPL'!$B$4,3,W20&gt;='NILAI CPL'!$B$5,2,W20&gt;'NILAI CPL'!$B$6,1),0),"")</f>
        <v/>
      </c>
      <c r="AU20" s="2" t="str" cm="1">
        <f t="array" ref="AU20">IF('NILAI CPL'!$B20&lt;&gt;"",IFERROR(_xlfn.IFS(X20&gt;='NILAI CPL'!$B$3,4,X20&gt;='NILAI CPL'!$B$4,3,X20&gt;='NILAI CPL'!$B$5,2,X20&gt;'NILAI CPL'!$B$6,1),0),"")</f>
        <v/>
      </c>
      <c r="AV20" s="2" t="str" cm="1">
        <f t="array" ref="AV20">IF('NILAI CPL'!$B20&lt;&gt;"",IFERROR(_xlfn.IFS(Y20&gt;='NILAI CPL'!$B$3,4,Y20&gt;='NILAI CPL'!$B$4,3,Y20&gt;='NILAI CPL'!$B$5,2,Y20&gt;'NILAI CPL'!$B$6,1),0),"")</f>
        <v/>
      </c>
      <c r="AW20" s="2" t="str" cm="1">
        <f t="array" ref="AW20">IF('NILAI CPL'!$B20&lt;&gt;"",IFERROR(_xlfn.IFS(Z20&gt;='NILAI CPL'!$B$3,4,Z20&gt;='NILAI CPL'!$B$4,3,Z20&gt;='NILAI CPL'!$B$5,2,Z20&gt;'NILAI CPL'!$B$6,1),0),"")</f>
        <v/>
      </c>
      <c r="AX20" s="2" t="str" cm="1">
        <f t="array" ref="AX20">IF('NILAI CPL'!$B20&lt;&gt;"",IFERROR(_xlfn.IFS(AA20&gt;='NILAI CPL'!$B$3,4,AA20&gt;='NILAI CPL'!$B$4,3,AA20&gt;='NILAI CPL'!$B$5,2,AA20&gt;'NILAI CPL'!$B$6,1),0),"")</f>
        <v/>
      </c>
      <c r="AY20" s="2" t="str" cm="1">
        <f t="array" ref="AY20">IF('NILAI CPL'!$B20&lt;&gt;"",IFERROR(_xlfn.IFS(AB20&gt;='NILAI CPL'!$B$3,4,AB20&gt;='NILAI CPL'!$B$4,3,AB20&gt;='NILAI CPL'!$B$5,2,AB20&gt;'NILAI CPL'!$B$6,1),0),"")</f>
        <v/>
      </c>
      <c r="AZ20" s="2" t="str" cm="1">
        <f t="array" ref="AZ20">IF('NILAI CPL'!$B20&lt;&gt;"",IFERROR(_xlfn.IFS(AC20&gt;='NILAI CPL'!$B$3,4,AC20&gt;='NILAI CPL'!$B$4,3,AC20&gt;='NILAI CPL'!$B$5,2,AC20&gt;'NILAI CPL'!$B$6,1),0),"")</f>
        <v/>
      </c>
      <c r="BA20" s="2" t="str" cm="1">
        <f t="array" ref="BA20">IF('NILAI CPL'!$B20&lt;&gt;"",IFERROR(_xlfn.IFS(AD20&gt;='NILAI CPL'!$B$3,4,AD20&gt;='NILAI CPL'!$B$4,3,AD20&gt;='NILAI CPL'!$B$5,2,AD20&gt;'NILAI CPL'!$B$6,1),0),"")</f>
        <v/>
      </c>
      <c r="BB20" s="2" t="str" cm="1">
        <f t="array" ref="BB20">IF('NILAI CPL'!$B20&lt;&gt;"",IFERROR(_xlfn.IFS(AE20&gt;='NILAI CPL'!$B$3,4,AE20&gt;='NILAI CPL'!$B$4,3,AE20&gt;='NILAI CPL'!$B$5,2,AE20&gt;'NILAI CPL'!$B$6,1),0),"")</f>
        <v/>
      </c>
      <c r="BC20" s="2" t="str" cm="1">
        <f t="array" ref="BC20">IF('NILAI CPL'!$B20&lt;&gt;"",IFERROR(_xlfn.IFS(AF20&gt;='NILAI CPL'!$B$3,4,AF20&gt;='NILAI CPL'!$B$4,3,AF20&gt;='NILAI CPL'!$B$5,2,AF20&gt;'NILAI CPL'!$B$6,1),0),"")</f>
        <v/>
      </c>
      <c r="BD20" s="2" t="str" cm="1">
        <f t="array" ref="BD20">IF('NILAI CPL'!$B20&lt;&gt;"",IFERROR(_xlfn.IFS(AG20&gt;='NILAI CPL'!$B$3,4,AG20&gt;='NILAI CPL'!$B$4,3,AG20&gt;='NILAI CPL'!$B$5,2,AG20&gt;'NILAI CPL'!$B$6,1),0),"")</f>
        <v/>
      </c>
      <c r="BE20" s="2" t="str" cm="1">
        <f t="array" ref="BE20">IF('NILAI CPL'!$B20&lt;&gt;"",IFERROR(_xlfn.IFS(AH20&gt;='NILAI CPL'!$B$3,4,AH20&gt;='NILAI CPL'!$B$4,3,AH20&gt;='NILAI CPL'!$B$5,2,AH20&gt;'NILAI CPL'!$B$6,1),0),"")</f>
        <v/>
      </c>
      <c r="BF20" s="2" t="str" cm="1">
        <f t="array" ref="BF20">IF('NILAI CPL'!$B20&lt;&gt;"",IFERROR(_xlfn.IFS(AI20&gt;='NILAI CPL'!$B$3,4,AI20&gt;='NILAI CPL'!$B$4,3,AI20&gt;='NILAI CPL'!$B$5,2,AI20&gt;'NILAI CPL'!$B$6,1),0),"")</f>
        <v/>
      </c>
      <c r="BG20" s="2" t="str" cm="1">
        <f t="array" ref="BG20">IF('NILAI CPL'!$B20&lt;&gt;"",IFERROR(_xlfn.IFS(AJ20&gt;='NILAI CPL'!$B$3,4,AJ20&gt;='NILAI CPL'!$B$4,3,AJ20&gt;='NILAI CPL'!$B$5,2,AJ20&gt;'NILAI CPL'!$B$6,1),0),"")</f>
        <v/>
      </c>
      <c r="BH20" s="2" t="str" cm="1">
        <f t="array" ref="BH20">IF('NILAI CPL'!$B20&lt;&gt;"",IFERROR(_xlfn.IFS(AK20&gt;='NILAI CPL'!$B$3,4,AK20&gt;='NILAI CPL'!$B$4,3,AK20&gt;='NILAI CPL'!$B$5,2,AK20&gt;'NILAI CPL'!$B$6,1),0),"")</f>
        <v/>
      </c>
      <c r="BI20" s="2" t="str" cm="1">
        <f t="array" ref="BI20">IF('NILAI CPL'!$B20&lt;&gt;"",IFERROR(_xlfn.IFS(AL20&gt;='NILAI CPL'!$B$3,4,AL20&gt;='NILAI CPL'!$B$4,3,AL20&gt;='NILAI CPL'!$B$5,2,AL20&gt;'NILAI CPL'!$B$6,1),0),"")</f>
        <v/>
      </c>
      <c r="BJ20" s="2" t="str" cm="1">
        <f t="array" ref="BJ20">IF('NILAI CPL'!$B20&lt;&gt;"",IFERROR(_xlfn.IFS(AM20&gt;='NILAI CPL'!$B$3,4,AM20&gt;='NILAI CPL'!$B$4,3,AM20&gt;='NILAI CPL'!$B$5,2,AM20&gt;'NILAI CPL'!$B$6,1),0),"")</f>
        <v/>
      </c>
      <c r="BK20" s="2" t="str" cm="1">
        <f t="array" ref="BK20">IF('NILAI CPL'!$B20&lt;&gt;"",IFERROR(_xlfn.IFS(AN20&gt;='NILAI CPL'!$B$3,4,AN20&gt;='NILAI CPL'!$B$4,3,AN20&gt;='NILAI CPL'!$B$5,2,AN20&gt;'NILAI CPL'!$B$6,1),0),"")</f>
        <v/>
      </c>
    </row>
    <row r="21" spans="1:63" x14ac:dyDescent="0.2">
      <c r="A21" s="2">
        <v>11</v>
      </c>
      <c r="B21" s="2" t="str">
        <f>IF(LEN(SUMMARY!B21)&gt;0, SUMMARY!B21, "")</f>
        <v/>
      </c>
      <c r="C21" s="2" t="str">
        <f>IF(LEN(SUMMARY!C21)&gt;0, SUMMARY!C21, "")</f>
        <v/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" t="str">
        <f t="shared" si="2"/>
        <v/>
      </c>
      <c r="S21" s="2" t="str">
        <f t="shared" si="3"/>
        <v/>
      </c>
      <c r="T21" s="2" t="str">
        <f t="shared" si="4"/>
        <v/>
      </c>
      <c r="U21" s="2" t="str">
        <f t="shared" si="5"/>
        <v/>
      </c>
      <c r="V21" s="2" t="str">
        <f t="shared" si="6"/>
        <v/>
      </c>
      <c r="W21" s="2" t="str">
        <f t="shared" si="7"/>
        <v/>
      </c>
      <c r="X21" s="2" t="str">
        <f t="shared" si="8"/>
        <v/>
      </c>
      <c r="Y21" s="2" t="str">
        <f t="shared" si="9"/>
        <v/>
      </c>
      <c r="Z21" s="2" t="str">
        <f t="shared" si="10"/>
        <v/>
      </c>
      <c r="AA21" s="2" t="str">
        <f t="shared" si="11"/>
        <v/>
      </c>
      <c r="AB21" s="2" t="str">
        <f t="shared" si="12"/>
        <v/>
      </c>
      <c r="AC21" s="2" t="str">
        <f t="shared" si="13"/>
        <v/>
      </c>
      <c r="AD21" s="2" t="str">
        <f t="shared" si="14"/>
        <v/>
      </c>
      <c r="AE21" s="2" t="str">
        <f t="shared" si="15"/>
        <v/>
      </c>
      <c r="AF21" s="2" t="str">
        <f t="shared" si="16"/>
        <v/>
      </c>
      <c r="AG21" s="2" t="str">
        <f t="shared" si="17"/>
        <v/>
      </c>
      <c r="AH21" s="2" t="str">
        <f t="shared" si="18"/>
        <v/>
      </c>
      <c r="AI21" s="2" t="str">
        <f t="shared" si="19"/>
        <v/>
      </c>
      <c r="AJ21" s="2" t="str">
        <f t="shared" si="20"/>
        <v/>
      </c>
      <c r="AK21" s="2" t="str">
        <f t="shared" si="21"/>
        <v/>
      </c>
      <c r="AL21" s="2" t="str">
        <f t="shared" si="22"/>
        <v/>
      </c>
      <c r="AM21" s="2" t="str">
        <f t="shared" si="23"/>
        <v/>
      </c>
      <c r="AN21" s="2" t="str">
        <f t="shared" si="24"/>
        <v/>
      </c>
      <c r="AP21" s="2" t="str" cm="1">
        <f t="array" ref="AP21">IF('NILAI CPL'!$B21&lt;&gt;"",IFERROR(_xlfn.IFS(S21&gt;='NILAI CPL'!$B$3,4,S21&gt;='NILAI CPL'!$B$4,3,S21&gt;='NILAI CPL'!$B$5,2,S21&gt;'NILAI CPL'!$B$6,1),0),"")</f>
        <v/>
      </c>
      <c r="AQ21" s="2" t="str" cm="1">
        <f t="array" ref="AQ21">IF('NILAI CPL'!$B21&lt;&gt;"",IFERROR(_xlfn.IFS(T21&gt;='NILAI CPL'!$B$3,4,T21&gt;='NILAI CPL'!$B$4,3,T21&gt;='NILAI CPL'!$B$5,2,T21&gt;'NILAI CPL'!$B$6,1),0),"")</f>
        <v/>
      </c>
      <c r="AR21" s="2" t="str" cm="1">
        <f t="array" ref="AR21">IF('NILAI CPL'!$B21&lt;&gt;"",IFERROR(_xlfn.IFS(U21&gt;='NILAI CPL'!$B$3,4,U21&gt;='NILAI CPL'!$B$4,3,U21&gt;='NILAI CPL'!$B$5,2,U21&gt;'NILAI CPL'!$B$6,1),0),"")</f>
        <v/>
      </c>
      <c r="AS21" s="2" t="str" cm="1">
        <f t="array" ref="AS21">IF('NILAI CPL'!$B21&lt;&gt;"",IFERROR(_xlfn.IFS(V21&gt;='NILAI CPL'!$B$3,4,V21&gt;='NILAI CPL'!$B$4,3,V21&gt;='NILAI CPL'!$B$5,2,V21&gt;'NILAI CPL'!$B$6,1),0),"")</f>
        <v/>
      </c>
      <c r="AT21" s="2" t="str" cm="1">
        <f t="array" ref="AT21">IF('NILAI CPL'!$B21&lt;&gt;"",IFERROR(_xlfn.IFS(W21&gt;='NILAI CPL'!$B$3,4,W21&gt;='NILAI CPL'!$B$4,3,W21&gt;='NILAI CPL'!$B$5,2,W21&gt;'NILAI CPL'!$B$6,1),0),"")</f>
        <v/>
      </c>
      <c r="AU21" s="2" t="str" cm="1">
        <f t="array" ref="AU21">IF('NILAI CPL'!$B21&lt;&gt;"",IFERROR(_xlfn.IFS(X21&gt;='NILAI CPL'!$B$3,4,X21&gt;='NILAI CPL'!$B$4,3,X21&gt;='NILAI CPL'!$B$5,2,X21&gt;'NILAI CPL'!$B$6,1),0),"")</f>
        <v/>
      </c>
      <c r="AV21" s="2" t="str" cm="1">
        <f t="array" ref="AV21">IF('NILAI CPL'!$B21&lt;&gt;"",IFERROR(_xlfn.IFS(Y21&gt;='NILAI CPL'!$B$3,4,Y21&gt;='NILAI CPL'!$B$4,3,Y21&gt;='NILAI CPL'!$B$5,2,Y21&gt;'NILAI CPL'!$B$6,1),0),"")</f>
        <v/>
      </c>
      <c r="AW21" s="2" t="str" cm="1">
        <f t="array" ref="AW21">IF('NILAI CPL'!$B21&lt;&gt;"",IFERROR(_xlfn.IFS(Z21&gt;='NILAI CPL'!$B$3,4,Z21&gt;='NILAI CPL'!$B$4,3,Z21&gt;='NILAI CPL'!$B$5,2,Z21&gt;'NILAI CPL'!$B$6,1),0),"")</f>
        <v/>
      </c>
      <c r="AX21" s="2" t="str" cm="1">
        <f t="array" ref="AX21">IF('NILAI CPL'!$B21&lt;&gt;"",IFERROR(_xlfn.IFS(AA21&gt;='NILAI CPL'!$B$3,4,AA21&gt;='NILAI CPL'!$B$4,3,AA21&gt;='NILAI CPL'!$B$5,2,AA21&gt;'NILAI CPL'!$B$6,1),0),"")</f>
        <v/>
      </c>
      <c r="AY21" s="2" t="str" cm="1">
        <f t="array" ref="AY21">IF('NILAI CPL'!$B21&lt;&gt;"",IFERROR(_xlfn.IFS(AB21&gt;='NILAI CPL'!$B$3,4,AB21&gt;='NILAI CPL'!$B$4,3,AB21&gt;='NILAI CPL'!$B$5,2,AB21&gt;'NILAI CPL'!$B$6,1),0),"")</f>
        <v/>
      </c>
      <c r="AZ21" s="2" t="str" cm="1">
        <f t="array" ref="AZ21">IF('NILAI CPL'!$B21&lt;&gt;"",IFERROR(_xlfn.IFS(AC21&gt;='NILAI CPL'!$B$3,4,AC21&gt;='NILAI CPL'!$B$4,3,AC21&gt;='NILAI CPL'!$B$5,2,AC21&gt;'NILAI CPL'!$B$6,1),0),"")</f>
        <v/>
      </c>
      <c r="BA21" s="2" t="str" cm="1">
        <f t="array" ref="BA21">IF('NILAI CPL'!$B21&lt;&gt;"",IFERROR(_xlfn.IFS(AD21&gt;='NILAI CPL'!$B$3,4,AD21&gt;='NILAI CPL'!$B$4,3,AD21&gt;='NILAI CPL'!$B$5,2,AD21&gt;'NILAI CPL'!$B$6,1),0),"")</f>
        <v/>
      </c>
      <c r="BB21" s="2" t="str" cm="1">
        <f t="array" ref="BB21">IF('NILAI CPL'!$B21&lt;&gt;"",IFERROR(_xlfn.IFS(AE21&gt;='NILAI CPL'!$B$3,4,AE21&gt;='NILAI CPL'!$B$4,3,AE21&gt;='NILAI CPL'!$B$5,2,AE21&gt;'NILAI CPL'!$B$6,1),0),"")</f>
        <v/>
      </c>
      <c r="BC21" s="2" t="str" cm="1">
        <f t="array" ref="BC21">IF('NILAI CPL'!$B21&lt;&gt;"",IFERROR(_xlfn.IFS(AF21&gt;='NILAI CPL'!$B$3,4,AF21&gt;='NILAI CPL'!$B$4,3,AF21&gt;='NILAI CPL'!$B$5,2,AF21&gt;'NILAI CPL'!$B$6,1),0),"")</f>
        <v/>
      </c>
      <c r="BD21" s="2" t="str" cm="1">
        <f t="array" ref="BD21">IF('NILAI CPL'!$B21&lt;&gt;"",IFERROR(_xlfn.IFS(AG21&gt;='NILAI CPL'!$B$3,4,AG21&gt;='NILAI CPL'!$B$4,3,AG21&gt;='NILAI CPL'!$B$5,2,AG21&gt;'NILAI CPL'!$B$6,1),0),"")</f>
        <v/>
      </c>
      <c r="BE21" s="2" t="str" cm="1">
        <f t="array" ref="BE21">IF('NILAI CPL'!$B21&lt;&gt;"",IFERROR(_xlfn.IFS(AH21&gt;='NILAI CPL'!$B$3,4,AH21&gt;='NILAI CPL'!$B$4,3,AH21&gt;='NILAI CPL'!$B$5,2,AH21&gt;'NILAI CPL'!$B$6,1),0),"")</f>
        <v/>
      </c>
      <c r="BF21" s="2" t="str" cm="1">
        <f t="array" ref="BF21">IF('NILAI CPL'!$B21&lt;&gt;"",IFERROR(_xlfn.IFS(AI21&gt;='NILAI CPL'!$B$3,4,AI21&gt;='NILAI CPL'!$B$4,3,AI21&gt;='NILAI CPL'!$B$5,2,AI21&gt;'NILAI CPL'!$B$6,1),0),"")</f>
        <v/>
      </c>
      <c r="BG21" s="2" t="str" cm="1">
        <f t="array" ref="BG21">IF('NILAI CPL'!$B21&lt;&gt;"",IFERROR(_xlfn.IFS(AJ21&gt;='NILAI CPL'!$B$3,4,AJ21&gt;='NILAI CPL'!$B$4,3,AJ21&gt;='NILAI CPL'!$B$5,2,AJ21&gt;'NILAI CPL'!$B$6,1),0),"")</f>
        <v/>
      </c>
      <c r="BH21" s="2" t="str" cm="1">
        <f t="array" ref="BH21">IF('NILAI CPL'!$B21&lt;&gt;"",IFERROR(_xlfn.IFS(AK21&gt;='NILAI CPL'!$B$3,4,AK21&gt;='NILAI CPL'!$B$4,3,AK21&gt;='NILAI CPL'!$B$5,2,AK21&gt;'NILAI CPL'!$B$6,1),0),"")</f>
        <v/>
      </c>
      <c r="BI21" s="2" t="str" cm="1">
        <f t="array" ref="BI21">IF('NILAI CPL'!$B21&lt;&gt;"",IFERROR(_xlfn.IFS(AL21&gt;='NILAI CPL'!$B$3,4,AL21&gt;='NILAI CPL'!$B$4,3,AL21&gt;='NILAI CPL'!$B$5,2,AL21&gt;'NILAI CPL'!$B$6,1),0),"")</f>
        <v/>
      </c>
      <c r="BJ21" s="2" t="str" cm="1">
        <f t="array" ref="BJ21">IF('NILAI CPL'!$B21&lt;&gt;"",IFERROR(_xlfn.IFS(AM21&gt;='NILAI CPL'!$B$3,4,AM21&gt;='NILAI CPL'!$B$4,3,AM21&gt;='NILAI CPL'!$B$5,2,AM21&gt;'NILAI CPL'!$B$6,1),0),"")</f>
        <v/>
      </c>
      <c r="BK21" s="2" t="str" cm="1">
        <f t="array" ref="BK21">IF('NILAI CPL'!$B21&lt;&gt;"",IFERROR(_xlfn.IFS(AN21&gt;='NILAI CPL'!$B$3,4,AN21&gt;='NILAI CPL'!$B$4,3,AN21&gt;='NILAI CPL'!$B$5,2,AN21&gt;'NILAI CPL'!$B$6,1),0),"")</f>
        <v/>
      </c>
    </row>
    <row r="22" spans="1:63" x14ac:dyDescent="0.2">
      <c r="A22" s="2">
        <v>12</v>
      </c>
      <c r="B22" s="2" t="str">
        <f>IF(LEN(SUMMARY!B22)&gt;0, SUMMARY!B22, "")</f>
        <v/>
      </c>
      <c r="C22" s="2" t="str">
        <f>IF(LEN(SUMMARY!C22)&gt;0, SUMMARY!C22, "")</f>
        <v/>
      </c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" t="str">
        <f t="shared" si="2"/>
        <v/>
      </c>
      <c r="S22" s="2" t="str">
        <f t="shared" si="3"/>
        <v/>
      </c>
      <c r="T22" s="2" t="str">
        <f t="shared" si="4"/>
        <v/>
      </c>
      <c r="U22" s="2" t="str">
        <f t="shared" si="5"/>
        <v/>
      </c>
      <c r="V22" s="2" t="str">
        <f t="shared" si="6"/>
        <v/>
      </c>
      <c r="W22" s="2" t="str">
        <f t="shared" si="7"/>
        <v/>
      </c>
      <c r="X22" s="2" t="str">
        <f t="shared" si="8"/>
        <v/>
      </c>
      <c r="Y22" s="2" t="str">
        <f t="shared" si="9"/>
        <v/>
      </c>
      <c r="Z22" s="2" t="str">
        <f t="shared" si="10"/>
        <v/>
      </c>
      <c r="AA22" s="2" t="str">
        <f t="shared" si="11"/>
        <v/>
      </c>
      <c r="AB22" s="2" t="str">
        <f t="shared" si="12"/>
        <v/>
      </c>
      <c r="AC22" s="2" t="str">
        <f t="shared" si="13"/>
        <v/>
      </c>
      <c r="AD22" s="2" t="str">
        <f t="shared" si="14"/>
        <v/>
      </c>
      <c r="AE22" s="2" t="str">
        <f t="shared" si="15"/>
        <v/>
      </c>
      <c r="AF22" s="2" t="str">
        <f t="shared" si="16"/>
        <v/>
      </c>
      <c r="AG22" s="2" t="str">
        <f t="shared" si="17"/>
        <v/>
      </c>
      <c r="AH22" s="2" t="str">
        <f t="shared" si="18"/>
        <v/>
      </c>
      <c r="AI22" s="2" t="str">
        <f t="shared" si="19"/>
        <v/>
      </c>
      <c r="AJ22" s="2" t="str">
        <f t="shared" si="20"/>
        <v/>
      </c>
      <c r="AK22" s="2" t="str">
        <f t="shared" si="21"/>
        <v/>
      </c>
      <c r="AL22" s="2" t="str">
        <f t="shared" si="22"/>
        <v/>
      </c>
      <c r="AM22" s="2" t="str">
        <f t="shared" si="23"/>
        <v/>
      </c>
      <c r="AN22" s="2" t="str">
        <f t="shared" si="24"/>
        <v/>
      </c>
      <c r="AP22" s="2" t="str" cm="1">
        <f t="array" ref="AP22">IF('NILAI CPL'!$B22&lt;&gt;"",IFERROR(_xlfn.IFS(S22&gt;='NILAI CPL'!$B$3,4,S22&gt;='NILAI CPL'!$B$4,3,S22&gt;='NILAI CPL'!$B$5,2,S22&gt;'NILAI CPL'!$B$6,1),0),"")</f>
        <v/>
      </c>
      <c r="AQ22" s="2" t="str" cm="1">
        <f t="array" ref="AQ22">IF('NILAI CPL'!$B22&lt;&gt;"",IFERROR(_xlfn.IFS(T22&gt;='NILAI CPL'!$B$3,4,T22&gt;='NILAI CPL'!$B$4,3,T22&gt;='NILAI CPL'!$B$5,2,T22&gt;'NILAI CPL'!$B$6,1),0),"")</f>
        <v/>
      </c>
      <c r="AR22" s="2" t="str" cm="1">
        <f t="array" ref="AR22">IF('NILAI CPL'!$B22&lt;&gt;"",IFERROR(_xlfn.IFS(U22&gt;='NILAI CPL'!$B$3,4,U22&gt;='NILAI CPL'!$B$4,3,U22&gt;='NILAI CPL'!$B$5,2,U22&gt;'NILAI CPL'!$B$6,1),0),"")</f>
        <v/>
      </c>
      <c r="AS22" s="2" t="str" cm="1">
        <f t="array" ref="AS22">IF('NILAI CPL'!$B22&lt;&gt;"",IFERROR(_xlfn.IFS(V22&gt;='NILAI CPL'!$B$3,4,V22&gt;='NILAI CPL'!$B$4,3,V22&gt;='NILAI CPL'!$B$5,2,V22&gt;'NILAI CPL'!$B$6,1),0),"")</f>
        <v/>
      </c>
      <c r="AT22" s="2" t="str" cm="1">
        <f t="array" ref="AT22">IF('NILAI CPL'!$B22&lt;&gt;"",IFERROR(_xlfn.IFS(W22&gt;='NILAI CPL'!$B$3,4,W22&gt;='NILAI CPL'!$B$4,3,W22&gt;='NILAI CPL'!$B$5,2,W22&gt;'NILAI CPL'!$B$6,1),0),"")</f>
        <v/>
      </c>
      <c r="AU22" s="2" t="str" cm="1">
        <f t="array" ref="AU22">IF('NILAI CPL'!$B22&lt;&gt;"",IFERROR(_xlfn.IFS(X22&gt;='NILAI CPL'!$B$3,4,X22&gt;='NILAI CPL'!$B$4,3,X22&gt;='NILAI CPL'!$B$5,2,X22&gt;'NILAI CPL'!$B$6,1),0),"")</f>
        <v/>
      </c>
      <c r="AV22" s="2" t="str" cm="1">
        <f t="array" ref="AV22">IF('NILAI CPL'!$B22&lt;&gt;"",IFERROR(_xlfn.IFS(Y22&gt;='NILAI CPL'!$B$3,4,Y22&gt;='NILAI CPL'!$B$4,3,Y22&gt;='NILAI CPL'!$B$5,2,Y22&gt;'NILAI CPL'!$B$6,1),0),"")</f>
        <v/>
      </c>
      <c r="AW22" s="2" t="str" cm="1">
        <f t="array" ref="AW22">IF('NILAI CPL'!$B22&lt;&gt;"",IFERROR(_xlfn.IFS(Z22&gt;='NILAI CPL'!$B$3,4,Z22&gt;='NILAI CPL'!$B$4,3,Z22&gt;='NILAI CPL'!$B$5,2,Z22&gt;'NILAI CPL'!$B$6,1),0),"")</f>
        <v/>
      </c>
      <c r="AX22" s="2" t="str" cm="1">
        <f t="array" ref="AX22">IF('NILAI CPL'!$B22&lt;&gt;"",IFERROR(_xlfn.IFS(AA22&gt;='NILAI CPL'!$B$3,4,AA22&gt;='NILAI CPL'!$B$4,3,AA22&gt;='NILAI CPL'!$B$5,2,AA22&gt;'NILAI CPL'!$B$6,1),0),"")</f>
        <v/>
      </c>
      <c r="AY22" s="2" t="str" cm="1">
        <f t="array" ref="AY22">IF('NILAI CPL'!$B22&lt;&gt;"",IFERROR(_xlfn.IFS(AB22&gt;='NILAI CPL'!$B$3,4,AB22&gt;='NILAI CPL'!$B$4,3,AB22&gt;='NILAI CPL'!$B$5,2,AB22&gt;'NILAI CPL'!$B$6,1),0),"")</f>
        <v/>
      </c>
      <c r="AZ22" s="2" t="str" cm="1">
        <f t="array" ref="AZ22">IF('NILAI CPL'!$B22&lt;&gt;"",IFERROR(_xlfn.IFS(AC22&gt;='NILAI CPL'!$B$3,4,AC22&gt;='NILAI CPL'!$B$4,3,AC22&gt;='NILAI CPL'!$B$5,2,AC22&gt;'NILAI CPL'!$B$6,1),0),"")</f>
        <v/>
      </c>
      <c r="BA22" s="2" t="str" cm="1">
        <f t="array" ref="BA22">IF('NILAI CPL'!$B22&lt;&gt;"",IFERROR(_xlfn.IFS(AD22&gt;='NILAI CPL'!$B$3,4,AD22&gt;='NILAI CPL'!$B$4,3,AD22&gt;='NILAI CPL'!$B$5,2,AD22&gt;'NILAI CPL'!$B$6,1),0),"")</f>
        <v/>
      </c>
      <c r="BB22" s="2" t="str" cm="1">
        <f t="array" ref="BB22">IF('NILAI CPL'!$B22&lt;&gt;"",IFERROR(_xlfn.IFS(AE22&gt;='NILAI CPL'!$B$3,4,AE22&gt;='NILAI CPL'!$B$4,3,AE22&gt;='NILAI CPL'!$B$5,2,AE22&gt;'NILAI CPL'!$B$6,1),0),"")</f>
        <v/>
      </c>
      <c r="BC22" s="2" t="str" cm="1">
        <f t="array" ref="BC22">IF('NILAI CPL'!$B22&lt;&gt;"",IFERROR(_xlfn.IFS(AF22&gt;='NILAI CPL'!$B$3,4,AF22&gt;='NILAI CPL'!$B$4,3,AF22&gt;='NILAI CPL'!$B$5,2,AF22&gt;'NILAI CPL'!$B$6,1),0),"")</f>
        <v/>
      </c>
      <c r="BD22" s="2" t="str" cm="1">
        <f t="array" ref="BD22">IF('NILAI CPL'!$B22&lt;&gt;"",IFERROR(_xlfn.IFS(AG22&gt;='NILAI CPL'!$B$3,4,AG22&gt;='NILAI CPL'!$B$4,3,AG22&gt;='NILAI CPL'!$B$5,2,AG22&gt;'NILAI CPL'!$B$6,1),0),"")</f>
        <v/>
      </c>
      <c r="BE22" s="2" t="str" cm="1">
        <f t="array" ref="BE22">IF('NILAI CPL'!$B22&lt;&gt;"",IFERROR(_xlfn.IFS(AH22&gt;='NILAI CPL'!$B$3,4,AH22&gt;='NILAI CPL'!$B$4,3,AH22&gt;='NILAI CPL'!$B$5,2,AH22&gt;'NILAI CPL'!$B$6,1),0),"")</f>
        <v/>
      </c>
      <c r="BF22" s="2" t="str" cm="1">
        <f t="array" ref="BF22">IF('NILAI CPL'!$B22&lt;&gt;"",IFERROR(_xlfn.IFS(AI22&gt;='NILAI CPL'!$B$3,4,AI22&gt;='NILAI CPL'!$B$4,3,AI22&gt;='NILAI CPL'!$B$5,2,AI22&gt;'NILAI CPL'!$B$6,1),0),"")</f>
        <v/>
      </c>
      <c r="BG22" s="2" t="str" cm="1">
        <f t="array" ref="BG22">IF('NILAI CPL'!$B22&lt;&gt;"",IFERROR(_xlfn.IFS(AJ22&gt;='NILAI CPL'!$B$3,4,AJ22&gt;='NILAI CPL'!$B$4,3,AJ22&gt;='NILAI CPL'!$B$5,2,AJ22&gt;'NILAI CPL'!$B$6,1),0),"")</f>
        <v/>
      </c>
      <c r="BH22" s="2" t="str" cm="1">
        <f t="array" ref="BH22">IF('NILAI CPL'!$B22&lt;&gt;"",IFERROR(_xlfn.IFS(AK22&gt;='NILAI CPL'!$B$3,4,AK22&gt;='NILAI CPL'!$B$4,3,AK22&gt;='NILAI CPL'!$B$5,2,AK22&gt;'NILAI CPL'!$B$6,1),0),"")</f>
        <v/>
      </c>
      <c r="BI22" s="2" t="str" cm="1">
        <f t="array" ref="BI22">IF('NILAI CPL'!$B22&lt;&gt;"",IFERROR(_xlfn.IFS(AL22&gt;='NILAI CPL'!$B$3,4,AL22&gt;='NILAI CPL'!$B$4,3,AL22&gt;='NILAI CPL'!$B$5,2,AL22&gt;'NILAI CPL'!$B$6,1),0),"")</f>
        <v/>
      </c>
      <c r="BJ22" s="2" t="str" cm="1">
        <f t="array" ref="BJ22">IF('NILAI CPL'!$B22&lt;&gt;"",IFERROR(_xlfn.IFS(AM22&gt;='NILAI CPL'!$B$3,4,AM22&gt;='NILAI CPL'!$B$4,3,AM22&gt;='NILAI CPL'!$B$5,2,AM22&gt;'NILAI CPL'!$B$6,1),0),"")</f>
        <v/>
      </c>
      <c r="BK22" s="2" t="str" cm="1">
        <f t="array" ref="BK22">IF('NILAI CPL'!$B22&lt;&gt;"",IFERROR(_xlfn.IFS(AN22&gt;='NILAI CPL'!$B$3,4,AN22&gt;='NILAI CPL'!$B$4,3,AN22&gt;='NILAI CPL'!$B$5,2,AN22&gt;'NILAI CPL'!$B$6,1),0),"")</f>
        <v/>
      </c>
    </row>
    <row r="23" spans="1:63" x14ac:dyDescent="0.2">
      <c r="A23" s="2">
        <v>13</v>
      </c>
      <c r="B23" s="2" t="str">
        <f>IF(LEN(SUMMARY!B23)&gt;0, SUMMARY!B23, "")</f>
        <v/>
      </c>
      <c r="C23" s="2" t="str">
        <f>IF(LEN(SUMMARY!C23)&gt;0, SUMMARY!C23, "")</f>
        <v/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" t="str">
        <f t="shared" si="2"/>
        <v/>
      </c>
      <c r="S23" s="2" t="str">
        <f t="shared" si="3"/>
        <v/>
      </c>
      <c r="T23" s="2" t="str">
        <f t="shared" si="4"/>
        <v/>
      </c>
      <c r="U23" s="2" t="str">
        <f t="shared" si="5"/>
        <v/>
      </c>
      <c r="V23" s="2" t="str">
        <f t="shared" si="6"/>
        <v/>
      </c>
      <c r="W23" s="2" t="str">
        <f t="shared" si="7"/>
        <v/>
      </c>
      <c r="X23" s="2" t="str">
        <f t="shared" si="8"/>
        <v/>
      </c>
      <c r="Y23" s="2" t="str">
        <f t="shared" si="9"/>
        <v/>
      </c>
      <c r="Z23" s="2" t="str">
        <f t="shared" si="10"/>
        <v/>
      </c>
      <c r="AA23" s="2" t="str">
        <f t="shared" si="11"/>
        <v/>
      </c>
      <c r="AB23" s="2" t="str">
        <f t="shared" si="12"/>
        <v/>
      </c>
      <c r="AC23" s="2" t="str">
        <f t="shared" si="13"/>
        <v/>
      </c>
      <c r="AD23" s="2" t="str">
        <f t="shared" si="14"/>
        <v/>
      </c>
      <c r="AE23" s="2" t="str">
        <f t="shared" si="15"/>
        <v/>
      </c>
      <c r="AF23" s="2" t="str">
        <f t="shared" si="16"/>
        <v/>
      </c>
      <c r="AG23" s="2" t="str">
        <f t="shared" si="17"/>
        <v/>
      </c>
      <c r="AH23" s="2" t="str">
        <f t="shared" si="18"/>
        <v/>
      </c>
      <c r="AI23" s="2" t="str">
        <f t="shared" si="19"/>
        <v/>
      </c>
      <c r="AJ23" s="2" t="str">
        <f t="shared" si="20"/>
        <v/>
      </c>
      <c r="AK23" s="2" t="str">
        <f t="shared" si="21"/>
        <v/>
      </c>
      <c r="AL23" s="2" t="str">
        <f t="shared" si="22"/>
        <v/>
      </c>
      <c r="AM23" s="2" t="str">
        <f t="shared" si="23"/>
        <v/>
      </c>
      <c r="AN23" s="2" t="str">
        <f t="shared" si="24"/>
        <v/>
      </c>
      <c r="AP23" s="2" t="str" cm="1">
        <f t="array" ref="AP23">IF('NILAI CPL'!$B23&lt;&gt;"",IFERROR(_xlfn.IFS(S23&gt;='NILAI CPL'!$B$3,4,S23&gt;='NILAI CPL'!$B$4,3,S23&gt;='NILAI CPL'!$B$5,2,S23&gt;'NILAI CPL'!$B$6,1),0),"")</f>
        <v/>
      </c>
      <c r="AQ23" s="2" t="str" cm="1">
        <f t="array" ref="AQ23">IF('NILAI CPL'!$B23&lt;&gt;"",IFERROR(_xlfn.IFS(T23&gt;='NILAI CPL'!$B$3,4,T23&gt;='NILAI CPL'!$B$4,3,T23&gt;='NILAI CPL'!$B$5,2,T23&gt;'NILAI CPL'!$B$6,1),0),"")</f>
        <v/>
      </c>
      <c r="AR23" s="2" t="str" cm="1">
        <f t="array" ref="AR23">IF('NILAI CPL'!$B23&lt;&gt;"",IFERROR(_xlfn.IFS(U23&gt;='NILAI CPL'!$B$3,4,U23&gt;='NILAI CPL'!$B$4,3,U23&gt;='NILAI CPL'!$B$5,2,U23&gt;'NILAI CPL'!$B$6,1),0),"")</f>
        <v/>
      </c>
      <c r="AS23" s="2" t="str" cm="1">
        <f t="array" ref="AS23">IF('NILAI CPL'!$B23&lt;&gt;"",IFERROR(_xlfn.IFS(V23&gt;='NILAI CPL'!$B$3,4,V23&gt;='NILAI CPL'!$B$4,3,V23&gt;='NILAI CPL'!$B$5,2,V23&gt;'NILAI CPL'!$B$6,1),0),"")</f>
        <v/>
      </c>
      <c r="AT23" s="2" t="str" cm="1">
        <f t="array" ref="AT23">IF('NILAI CPL'!$B23&lt;&gt;"",IFERROR(_xlfn.IFS(W23&gt;='NILAI CPL'!$B$3,4,W23&gt;='NILAI CPL'!$B$4,3,W23&gt;='NILAI CPL'!$B$5,2,W23&gt;'NILAI CPL'!$B$6,1),0),"")</f>
        <v/>
      </c>
      <c r="AU23" s="2" t="str" cm="1">
        <f t="array" ref="AU23">IF('NILAI CPL'!$B23&lt;&gt;"",IFERROR(_xlfn.IFS(X23&gt;='NILAI CPL'!$B$3,4,X23&gt;='NILAI CPL'!$B$4,3,X23&gt;='NILAI CPL'!$B$5,2,X23&gt;'NILAI CPL'!$B$6,1),0),"")</f>
        <v/>
      </c>
      <c r="AV23" s="2" t="str" cm="1">
        <f t="array" ref="AV23">IF('NILAI CPL'!$B23&lt;&gt;"",IFERROR(_xlfn.IFS(Y23&gt;='NILAI CPL'!$B$3,4,Y23&gt;='NILAI CPL'!$B$4,3,Y23&gt;='NILAI CPL'!$B$5,2,Y23&gt;'NILAI CPL'!$B$6,1),0),"")</f>
        <v/>
      </c>
      <c r="AW23" s="2" t="str" cm="1">
        <f t="array" ref="AW23">IF('NILAI CPL'!$B23&lt;&gt;"",IFERROR(_xlfn.IFS(Z23&gt;='NILAI CPL'!$B$3,4,Z23&gt;='NILAI CPL'!$B$4,3,Z23&gt;='NILAI CPL'!$B$5,2,Z23&gt;'NILAI CPL'!$B$6,1),0),"")</f>
        <v/>
      </c>
      <c r="AX23" s="2" t="str" cm="1">
        <f t="array" ref="AX23">IF('NILAI CPL'!$B23&lt;&gt;"",IFERROR(_xlfn.IFS(AA23&gt;='NILAI CPL'!$B$3,4,AA23&gt;='NILAI CPL'!$B$4,3,AA23&gt;='NILAI CPL'!$B$5,2,AA23&gt;'NILAI CPL'!$B$6,1),0),"")</f>
        <v/>
      </c>
      <c r="AY23" s="2" t="str" cm="1">
        <f t="array" ref="AY23">IF('NILAI CPL'!$B23&lt;&gt;"",IFERROR(_xlfn.IFS(AB23&gt;='NILAI CPL'!$B$3,4,AB23&gt;='NILAI CPL'!$B$4,3,AB23&gt;='NILAI CPL'!$B$5,2,AB23&gt;'NILAI CPL'!$B$6,1),0),"")</f>
        <v/>
      </c>
      <c r="AZ23" s="2" t="str" cm="1">
        <f t="array" ref="AZ23">IF('NILAI CPL'!$B23&lt;&gt;"",IFERROR(_xlfn.IFS(AC23&gt;='NILAI CPL'!$B$3,4,AC23&gt;='NILAI CPL'!$B$4,3,AC23&gt;='NILAI CPL'!$B$5,2,AC23&gt;'NILAI CPL'!$B$6,1),0),"")</f>
        <v/>
      </c>
      <c r="BA23" s="2" t="str" cm="1">
        <f t="array" ref="BA23">IF('NILAI CPL'!$B23&lt;&gt;"",IFERROR(_xlfn.IFS(AD23&gt;='NILAI CPL'!$B$3,4,AD23&gt;='NILAI CPL'!$B$4,3,AD23&gt;='NILAI CPL'!$B$5,2,AD23&gt;'NILAI CPL'!$B$6,1),0),"")</f>
        <v/>
      </c>
      <c r="BB23" s="2" t="str" cm="1">
        <f t="array" ref="BB23">IF('NILAI CPL'!$B23&lt;&gt;"",IFERROR(_xlfn.IFS(AE23&gt;='NILAI CPL'!$B$3,4,AE23&gt;='NILAI CPL'!$B$4,3,AE23&gt;='NILAI CPL'!$B$5,2,AE23&gt;'NILAI CPL'!$B$6,1),0),"")</f>
        <v/>
      </c>
      <c r="BC23" s="2" t="str" cm="1">
        <f t="array" ref="BC23">IF('NILAI CPL'!$B23&lt;&gt;"",IFERROR(_xlfn.IFS(AF23&gt;='NILAI CPL'!$B$3,4,AF23&gt;='NILAI CPL'!$B$4,3,AF23&gt;='NILAI CPL'!$B$5,2,AF23&gt;'NILAI CPL'!$B$6,1),0),"")</f>
        <v/>
      </c>
      <c r="BD23" s="2" t="str" cm="1">
        <f t="array" ref="BD23">IF('NILAI CPL'!$B23&lt;&gt;"",IFERROR(_xlfn.IFS(AG23&gt;='NILAI CPL'!$B$3,4,AG23&gt;='NILAI CPL'!$B$4,3,AG23&gt;='NILAI CPL'!$B$5,2,AG23&gt;'NILAI CPL'!$B$6,1),0),"")</f>
        <v/>
      </c>
      <c r="BE23" s="2" t="str" cm="1">
        <f t="array" ref="BE23">IF('NILAI CPL'!$B23&lt;&gt;"",IFERROR(_xlfn.IFS(AH23&gt;='NILAI CPL'!$B$3,4,AH23&gt;='NILAI CPL'!$B$4,3,AH23&gt;='NILAI CPL'!$B$5,2,AH23&gt;'NILAI CPL'!$B$6,1),0),"")</f>
        <v/>
      </c>
      <c r="BF23" s="2" t="str" cm="1">
        <f t="array" ref="BF23">IF('NILAI CPL'!$B23&lt;&gt;"",IFERROR(_xlfn.IFS(AI23&gt;='NILAI CPL'!$B$3,4,AI23&gt;='NILAI CPL'!$B$4,3,AI23&gt;='NILAI CPL'!$B$5,2,AI23&gt;'NILAI CPL'!$B$6,1),0),"")</f>
        <v/>
      </c>
      <c r="BG23" s="2" t="str" cm="1">
        <f t="array" ref="BG23">IF('NILAI CPL'!$B23&lt;&gt;"",IFERROR(_xlfn.IFS(AJ23&gt;='NILAI CPL'!$B$3,4,AJ23&gt;='NILAI CPL'!$B$4,3,AJ23&gt;='NILAI CPL'!$B$5,2,AJ23&gt;'NILAI CPL'!$B$6,1),0),"")</f>
        <v/>
      </c>
      <c r="BH23" s="2" t="str" cm="1">
        <f t="array" ref="BH23">IF('NILAI CPL'!$B23&lt;&gt;"",IFERROR(_xlfn.IFS(AK23&gt;='NILAI CPL'!$B$3,4,AK23&gt;='NILAI CPL'!$B$4,3,AK23&gt;='NILAI CPL'!$B$5,2,AK23&gt;'NILAI CPL'!$B$6,1),0),"")</f>
        <v/>
      </c>
      <c r="BI23" s="2" t="str" cm="1">
        <f t="array" ref="BI23">IF('NILAI CPL'!$B23&lt;&gt;"",IFERROR(_xlfn.IFS(AL23&gt;='NILAI CPL'!$B$3,4,AL23&gt;='NILAI CPL'!$B$4,3,AL23&gt;='NILAI CPL'!$B$5,2,AL23&gt;'NILAI CPL'!$B$6,1),0),"")</f>
        <v/>
      </c>
      <c r="BJ23" s="2" t="str" cm="1">
        <f t="array" ref="BJ23">IF('NILAI CPL'!$B23&lt;&gt;"",IFERROR(_xlfn.IFS(AM23&gt;='NILAI CPL'!$B$3,4,AM23&gt;='NILAI CPL'!$B$4,3,AM23&gt;='NILAI CPL'!$B$5,2,AM23&gt;'NILAI CPL'!$B$6,1),0),"")</f>
        <v/>
      </c>
      <c r="BK23" s="2" t="str" cm="1">
        <f t="array" ref="BK23">IF('NILAI CPL'!$B23&lt;&gt;"",IFERROR(_xlfn.IFS(AN23&gt;='NILAI CPL'!$B$3,4,AN23&gt;='NILAI CPL'!$B$4,3,AN23&gt;='NILAI CPL'!$B$5,2,AN23&gt;'NILAI CPL'!$B$6,1),0),"")</f>
        <v/>
      </c>
    </row>
    <row r="24" spans="1:63" x14ac:dyDescent="0.2">
      <c r="A24" s="2">
        <v>14</v>
      </c>
      <c r="B24" s="2" t="str">
        <f>IF(LEN(SUMMARY!B24)&gt;0, SUMMARY!B24, "")</f>
        <v/>
      </c>
      <c r="C24" s="2" t="str">
        <f>IF(LEN(SUMMARY!C24)&gt;0, SUMMARY!C24, "")</f>
        <v/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" t="str">
        <f t="shared" si="2"/>
        <v/>
      </c>
      <c r="S24" s="2" t="str">
        <f t="shared" si="3"/>
        <v/>
      </c>
      <c r="T24" s="2" t="str">
        <f t="shared" si="4"/>
        <v/>
      </c>
      <c r="U24" s="2" t="str">
        <f t="shared" si="5"/>
        <v/>
      </c>
      <c r="V24" s="2" t="str">
        <f t="shared" si="6"/>
        <v/>
      </c>
      <c r="W24" s="2" t="str">
        <f t="shared" si="7"/>
        <v/>
      </c>
      <c r="X24" s="2" t="str">
        <f t="shared" si="8"/>
        <v/>
      </c>
      <c r="Y24" s="2" t="str">
        <f t="shared" si="9"/>
        <v/>
      </c>
      <c r="Z24" s="2" t="str">
        <f t="shared" si="10"/>
        <v/>
      </c>
      <c r="AA24" s="2" t="str">
        <f t="shared" si="11"/>
        <v/>
      </c>
      <c r="AB24" s="2" t="str">
        <f t="shared" si="12"/>
        <v/>
      </c>
      <c r="AC24" s="2" t="str">
        <f t="shared" si="13"/>
        <v/>
      </c>
      <c r="AD24" s="2" t="str">
        <f t="shared" si="14"/>
        <v/>
      </c>
      <c r="AE24" s="2" t="str">
        <f t="shared" si="15"/>
        <v/>
      </c>
      <c r="AF24" s="2" t="str">
        <f t="shared" si="16"/>
        <v/>
      </c>
      <c r="AG24" s="2" t="str">
        <f t="shared" si="17"/>
        <v/>
      </c>
      <c r="AH24" s="2" t="str">
        <f t="shared" si="18"/>
        <v/>
      </c>
      <c r="AI24" s="2" t="str">
        <f t="shared" si="19"/>
        <v/>
      </c>
      <c r="AJ24" s="2" t="str">
        <f t="shared" si="20"/>
        <v/>
      </c>
      <c r="AK24" s="2" t="str">
        <f t="shared" si="21"/>
        <v/>
      </c>
      <c r="AL24" s="2" t="str">
        <f t="shared" si="22"/>
        <v/>
      </c>
      <c r="AM24" s="2" t="str">
        <f t="shared" si="23"/>
        <v/>
      </c>
      <c r="AN24" s="2" t="str">
        <f t="shared" si="24"/>
        <v/>
      </c>
      <c r="AP24" s="2" t="str" cm="1">
        <f t="array" ref="AP24">IF('NILAI CPL'!$B24&lt;&gt;"",IFERROR(_xlfn.IFS(S24&gt;='NILAI CPL'!$B$3,4,S24&gt;='NILAI CPL'!$B$4,3,S24&gt;='NILAI CPL'!$B$5,2,S24&gt;'NILAI CPL'!$B$6,1),0),"")</f>
        <v/>
      </c>
      <c r="AQ24" s="2" t="str" cm="1">
        <f t="array" ref="AQ24">IF('NILAI CPL'!$B24&lt;&gt;"",IFERROR(_xlfn.IFS(T24&gt;='NILAI CPL'!$B$3,4,T24&gt;='NILAI CPL'!$B$4,3,T24&gt;='NILAI CPL'!$B$5,2,T24&gt;'NILAI CPL'!$B$6,1),0),"")</f>
        <v/>
      </c>
      <c r="AR24" s="2" t="str" cm="1">
        <f t="array" ref="AR24">IF('NILAI CPL'!$B24&lt;&gt;"",IFERROR(_xlfn.IFS(U24&gt;='NILAI CPL'!$B$3,4,U24&gt;='NILAI CPL'!$B$4,3,U24&gt;='NILAI CPL'!$B$5,2,U24&gt;'NILAI CPL'!$B$6,1),0),"")</f>
        <v/>
      </c>
      <c r="AS24" s="2" t="str" cm="1">
        <f t="array" ref="AS24">IF('NILAI CPL'!$B24&lt;&gt;"",IFERROR(_xlfn.IFS(V24&gt;='NILAI CPL'!$B$3,4,V24&gt;='NILAI CPL'!$B$4,3,V24&gt;='NILAI CPL'!$B$5,2,V24&gt;'NILAI CPL'!$B$6,1),0),"")</f>
        <v/>
      </c>
      <c r="AT24" s="2" t="str" cm="1">
        <f t="array" ref="AT24">IF('NILAI CPL'!$B24&lt;&gt;"",IFERROR(_xlfn.IFS(W24&gt;='NILAI CPL'!$B$3,4,W24&gt;='NILAI CPL'!$B$4,3,W24&gt;='NILAI CPL'!$B$5,2,W24&gt;'NILAI CPL'!$B$6,1),0),"")</f>
        <v/>
      </c>
      <c r="AU24" s="2" t="str" cm="1">
        <f t="array" ref="AU24">IF('NILAI CPL'!$B24&lt;&gt;"",IFERROR(_xlfn.IFS(X24&gt;='NILAI CPL'!$B$3,4,X24&gt;='NILAI CPL'!$B$4,3,X24&gt;='NILAI CPL'!$B$5,2,X24&gt;'NILAI CPL'!$B$6,1),0),"")</f>
        <v/>
      </c>
      <c r="AV24" s="2" t="str" cm="1">
        <f t="array" ref="AV24">IF('NILAI CPL'!$B24&lt;&gt;"",IFERROR(_xlfn.IFS(Y24&gt;='NILAI CPL'!$B$3,4,Y24&gt;='NILAI CPL'!$B$4,3,Y24&gt;='NILAI CPL'!$B$5,2,Y24&gt;'NILAI CPL'!$B$6,1),0),"")</f>
        <v/>
      </c>
      <c r="AW24" s="2" t="str" cm="1">
        <f t="array" ref="AW24">IF('NILAI CPL'!$B24&lt;&gt;"",IFERROR(_xlfn.IFS(Z24&gt;='NILAI CPL'!$B$3,4,Z24&gt;='NILAI CPL'!$B$4,3,Z24&gt;='NILAI CPL'!$B$5,2,Z24&gt;'NILAI CPL'!$B$6,1),0),"")</f>
        <v/>
      </c>
      <c r="AX24" s="2" t="str" cm="1">
        <f t="array" ref="AX24">IF('NILAI CPL'!$B24&lt;&gt;"",IFERROR(_xlfn.IFS(AA24&gt;='NILAI CPL'!$B$3,4,AA24&gt;='NILAI CPL'!$B$4,3,AA24&gt;='NILAI CPL'!$B$5,2,AA24&gt;'NILAI CPL'!$B$6,1),0),"")</f>
        <v/>
      </c>
      <c r="AY24" s="2" t="str" cm="1">
        <f t="array" ref="AY24">IF('NILAI CPL'!$B24&lt;&gt;"",IFERROR(_xlfn.IFS(AB24&gt;='NILAI CPL'!$B$3,4,AB24&gt;='NILAI CPL'!$B$4,3,AB24&gt;='NILAI CPL'!$B$5,2,AB24&gt;'NILAI CPL'!$B$6,1),0),"")</f>
        <v/>
      </c>
      <c r="AZ24" s="2" t="str" cm="1">
        <f t="array" ref="AZ24">IF('NILAI CPL'!$B24&lt;&gt;"",IFERROR(_xlfn.IFS(AC24&gt;='NILAI CPL'!$B$3,4,AC24&gt;='NILAI CPL'!$B$4,3,AC24&gt;='NILAI CPL'!$B$5,2,AC24&gt;'NILAI CPL'!$B$6,1),0),"")</f>
        <v/>
      </c>
      <c r="BA24" s="2" t="str" cm="1">
        <f t="array" ref="BA24">IF('NILAI CPL'!$B24&lt;&gt;"",IFERROR(_xlfn.IFS(AD24&gt;='NILAI CPL'!$B$3,4,AD24&gt;='NILAI CPL'!$B$4,3,AD24&gt;='NILAI CPL'!$B$5,2,AD24&gt;'NILAI CPL'!$B$6,1),0),"")</f>
        <v/>
      </c>
      <c r="BB24" s="2" t="str" cm="1">
        <f t="array" ref="BB24">IF('NILAI CPL'!$B24&lt;&gt;"",IFERROR(_xlfn.IFS(AE24&gt;='NILAI CPL'!$B$3,4,AE24&gt;='NILAI CPL'!$B$4,3,AE24&gt;='NILAI CPL'!$B$5,2,AE24&gt;'NILAI CPL'!$B$6,1),0),"")</f>
        <v/>
      </c>
      <c r="BC24" s="2" t="str" cm="1">
        <f t="array" ref="BC24">IF('NILAI CPL'!$B24&lt;&gt;"",IFERROR(_xlfn.IFS(AF24&gt;='NILAI CPL'!$B$3,4,AF24&gt;='NILAI CPL'!$B$4,3,AF24&gt;='NILAI CPL'!$B$5,2,AF24&gt;'NILAI CPL'!$B$6,1),0),"")</f>
        <v/>
      </c>
      <c r="BD24" s="2" t="str" cm="1">
        <f t="array" ref="BD24">IF('NILAI CPL'!$B24&lt;&gt;"",IFERROR(_xlfn.IFS(AG24&gt;='NILAI CPL'!$B$3,4,AG24&gt;='NILAI CPL'!$B$4,3,AG24&gt;='NILAI CPL'!$B$5,2,AG24&gt;'NILAI CPL'!$B$6,1),0),"")</f>
        <v/>
      </c>
      <c r="BE24" s="2" t="str" cm="1">
        <f t="array" ref="BE24">IF('NILAI CPL'!$B24&lt;&gt;"",IFERROR(_xlfn.IFS(AH24&gt;='NILAI CPL'!$B$3,4,AH24&gt;='NILAI CPL'!$B$4,3,AH24&gt;='NILAI CPL'!$B$5,2,AH24&gt;'NILAI CPL'!$B$6,1),0),"")</f>
        <v/>
      </c>
      <c r="BF24" s="2" t="str" cm="1">
        <f t="array" ref="BF24">IF('NILAI CPL'!$B24&lt;&gt;"",IFERROR(_xlfn.IFS(AI24&gt;='NILAI CPL'!$B$3,4,AI24&gt;='NILAI CPL'!$B$4,3,AI24&gt;='NILAI CPL'!$B$5,2,AI24&gt;'NILAI CPL'!$B$6,1),0),"")</f>
        <v/>
      </c>
      <c r="BG24" s="2" t="str" cm="1">
        <f t="array" ref="BG24">IF('NILAI CPL'!$B24&lt;&gt;"",IFERROR(_xlfn.IFS(AJ24&gt;='NILAI CPL'!$B$3,4,AJ24&gt;='NILAI CPL'!$B$4,3,AJ24&gt;='NILAI CPL'!$B$5,2,AJ24&gt;'NILAI CPL'!$B$6,1),0),"")</f>
        <v/>
      </c>
      <c r="BH24" s="2" t="str" cm="1">
        <f t="array" ref="BH24">IF('NILAI CPL'!$B24&lt;&gt;"",IFERROR(_xlfn.IFS(AK24&gt;='NILAI CPL'!$B$3,4,AK24&gt;='NILAI CPL'!$B$4,3,AK24&gt;='NILAI CPL'!$B$5,2,AK24&gt;'NILAI CPL'!$B$6,1),0),"")</f>
        <v/>
      </c>
      <c r="BI24" s="2" t="str" cm="1">
        <f t="array" ref="BI24">IF('NILAI CPL'!$B24&lt;&gt;"",IFERROR(_xlfn.IFS(AL24&gt;='NILAI CPL'!$B$3,4,AL24&gt;='NILAI CPL'!$B$4,3,AL24&gt;='NILAI CPL'!$B$5,2,AL24&gt;'NILAI CPL'!$B$6,1),0),"")</f>
        <v/>
      </c>
      <c r="BJ24" s="2" t="str" cm="1">
        <f t="array" ref="BJ24">IF('NILAI CPL'!$B24&lt;&gt;"",IFERROR(_xlfn.IFS(AM24&gt;='NILAI CPL'!$B$3,4,AM24&gt;='NILAI CPL'!$B$4,3,AM24&gt;='NILAI CPL'!$B$5,2,AM24&gt;'NILAI CPL'!$B$6,1),0),"")</f>
        <v/>
      </c>
      <c r="BK24" s="2" t="str" cm="1">
        <f t="array" ref="BK24">IF('NILAI CPL'!$B24&lt;&gt;"",IFERROR(_xlfn.IFS(AN24&gt;='NILAI CPL'!$B$3,4,AN24&gt;='NILAI CPL'!$B$4,3,AN24&gt;='NILAI CPL'!$B$5,2,AN24&gt;'NILAI CPL'!$B$6,1),0),"")</f>
        <v/>
      </c>
    </row>
    <row r="25" spans="1:63" x14ac:dyDescent="0.2">
      <c r="A25" s="2">
        <v>15</v>
      </c>
      <c r="B25" s="2" t="str">
        <f>IF(LEN(SUMMARY!B25)&gt;0, SUMMARY!B25, "")</f>
        <v/>
      </c>
      <c r="C25" s="2" t="str">
        <f>IF(LEN(SUMMARY!C25)&gt;0, SUMMARY!C25, "")</f>
        <v/>
      </c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" t="str">
        <f t="shared" si="2"/>
        <v/>
      </c>
      <c r="S25" s="2" t="str">
        <f t="shared" si="3"/>
        <v/>
      </c>
      <c r="T25" s="2" t="str">
        <f t="shared" si="4"/>
        <v/>
      </c>
      <c r="U25" s="2" t="str">
        <f t="shared" si="5"/>
        <v/>
      </c>
      <c r="V25" s="2" t="str">
        <f t="shared" si="6"/>
        <v/>
      </c>
      <c r="W25" s="2" t="str">
        <f t="shared" si="7"/>
        <v/>
      </c>
      <c r="X25" s="2" t="str">
        <f t="shared" si="8"/>
        <v/>
      </c>
      <c r="Y25" s="2" t="str">
        <f t="shared" si="9"/>
        <v/>
      </c>
      <c r="Z25" s="2" t="str">
        <f t="shared" si="10"/>
        <v/>
      </c>
      <c r="AA25" s="2" t="str">
        <f t="shared" si="11"/>
        <v/>
      </c>
      <c r="AB25" s="2" t="str">
        <f t="shared" si="12"/>
        <v/>
      </c>
      <c r="AC25" s="2" t="str">
        <f t="shared" si="13"/>
        <v/>
      </c>
      <c r="AD25" s="2" t="str">
        <f t="shared" si="14"/>
        <v/>
      </c>
      <c r="AE25" s="2" t="str">
        <f t="shared" si="15"/>
        <v/>
      </c>
      <c r="AF25" s="2" t="str">
        <f t="shared" si="16"/>
        <v/>
      </c>
      <c r="AG25" s="2" t="str">
        <f t="shared" si="17"/>
        <v/>
      </c>
      <c r="AH25" s="2" t="str">
        <f t="shared" si="18"/>
        <v/>
      </c>
      <c r="AI25" s="2" t="str">
        <f t="shared" si="19"/>
        <v/>
      </c>
      <c r="AJ25" s="2" t="str">
        <f t="shared" si="20"/>
        <v/>
      </c>
      <c r="AK25" s="2" t="str">
        <f t="shared" si="21"/>
        <v/>
      </c>
      <c r="AL25" s="2" t="str">
        <f t="shared" si="22"/>
        <v/>
      </c>
      <c r="AM25" s="2" t="str">
        <f t="shared" si="23"/>
        <v/>
      </c>
      <c r="AN25" s="2" t="str">
        <f t="shared" si="24"/>
        <v/>
      </c>
      <c r="AP25" s="2" t="str" cm="1">
        <f t="array" ref="AP25">IF('NILAI CPL'!$B25&lt;&gt;"",IFERROR(_xlfn.IFS(S25&gt;='NILAI CPL'!$B$3,4,S25&gt;='NILAI CPL'!$B$4,3,S25&gt;='NILAI CPL'!$B$5,2,S25&gt;'NILAI CPL'!$B$6,1),0),"")</f>
        <v/>
      </c>
      <c r="AQ25" s="2" t="str" cm="1">
        <f t="array" ref="AQ25">IF('NILAI CPL'!$B25&lt;&gt;"",IFERROR(_xlfn.IFS(T25&gt;='NILAI CPL'!$B$3,4,T25&gt;='NILAI CPL'!$B$4,3,T25&gt;='NILAI CPL'!$B$5,2,T25&gt;'NILAI CPL'!$B$6,1),0),"")</f>
        <v/>
      </c>
      <c r="AR25" s="2" t="str" cm="1">
        <f t="array" ref="AR25">IF('NILAI CPL'!$B25&lt;&gt;"",IFERROR(_xlfn.IFS(U25&gt;='NILAI CPL'!$B$3,4,U25&gt;='NILAI CPL'!$B$4,3,U25&gt;='NILAI CPL'!$B$5,2,U25&gt;'NILAI CPL'!$B$6,1),0),"")</f>
        <v/>
      </c>
      <c r="AS25" s="2" t="str" cm="1">
        <f t="array" ref="AS25">IF('NILAI CPL'!$B25&lt;&gt;"",IFERROR(_xlfn.IFS(V25&gt;='NILAI CPL'!$B$3,4,V25&gt;='NILAI CPL'!$B$4,3,V25&gt;='NILAI CPL'!$B$5,2,V25&gt;'NILAI CPL'!$B$6,1),0),"")</f>
        <v/>
      </c>
      <c r="AT25" s="2" t="str" cm="1">
        <f t="array" ref="AT25">IF('NILAI CPL'!$B25&lt;&gt;"",IFERROR(_xlfn.IFS(W25&gt;='NILAI CPL'!$B$3,4,W25&gt;='NILAI CPL'!$B$4,3,W25&gt;='NILAI CPL'!$B$5,2,W25&gt;'NILAI CPL'!$B$6,1),0),"")</f>
        <v/>
      </c>
      <c r="AU25" s="2" t="str" cm="1">
        <f t="array" ref="AU25">IF('NILAI CPL'!$B25&lt;&gt;"",IFERROR(_xlfn.IFS(X25&gt;='NILAI CPL'!$B$3,4,X25&gt;='NILAI CPL'!$B$4,3,X25&gt;='NILAI CPL'!$B$5,2,X25&gt;'NILAI CPL'!$B$6,1),0),"")</f>
        <v/>
      </c>
      <c r="AV25" s="2" t="str" cm="1">
        <f t="array" ref="AV25">IF('NILAI CPL'!$B25&lt;&gt;"",IFERROR(_xlfn.IFS(Y25&gt;='NILAI CPL'!$B$3,4,Y25&gt;='NILAI CPL'!$B$4,3,Y25&gt;='NILAI CPL'!$B$5,2,Y25&gt;'NILAI CPL'!$B$6,1),0),"")</f>
        <v/>
      </c>
      <c r="AW25" s="2" t="str" cm="1">
        <f t="array" ref="AW25">IF('NILAI CPL'!$B25&lt;&gt;"",IFERROR(_xlfn.IFS(Z25&gt;='NILAI CPL'!$B$3,4,Z25&gt;='NILAI CPL'!$B$4,3,Z25&gt;='NILAI CPL'!$B$5,2,Z25&gt;'NILAI CPL'!$B$6,1),0),"")</f>
        <v/>
      </c>
      <c r="AX25" s="2" t="str" cm="1">
        <f t="array" ref="AX25">IF('NILAI CPL'!$B25&lt;&gt;"",IFERROR(_xlfn.IFS(AA25&gt;='NILAI CPL'!$B$3,4,AA25&gt;='NILAI CPL'!$B$4,3,AA25&gt;='NILAI CPL'!$B$5,2,AA25&gt;'NILAI CPL'!$B$6,1),0),"")</f>
        <v/>
      </c>
      <c r="AY25" s="2" t="str" cm="1">
        <f t="array" ref="AY25">IF('NILAI CPL'!$B25&lt;&gt;"",IFERROR(_xlfn.IFS(AB25&gt;='NILAI CPL'!$B$3,4,AB25&gt;='NILAI CPL'!$B$4,3,AB25&gt;='NILAI CPL'!$B$5,2,AB25&gt;'NILAI CPL'!$B$6,1),0),"")</f>
        <v/>
      </c>
      <c r="AZ25" s="2" t="str" cm="1">
        <f t="array" ref="AZ25">IF('NILAI CPL'!$B25&lt;&gt;"",IFERROR(_xlfn.IFS(AC25&gt;='NILAI CPL'!$B$3,4,AC25&gt;='NILAI CPL'!$B$4,3,AC25&gt;='NILAI CPL'!$B$5,2,AC25&gt;'NILAI CPL'!$B$6,1),0),"")</f>
        <v/>
      </c>
      <c r="BA25" s="2" t="str" cm="1">
        <f t="array" ref="BA25">IF('NILAI CPL'!$B25&lt;&gt;"",IFERROR(_xlfn.IFS(AD25&gt;='NILAI CPL'!$B$3,4,AD25&gt;='NILAI CPL'!$B$4,3,AD25&gt;='NILAI CPL'!$B$5,2,AD25&gt;'NILAI CPL'!$B$6,1),0),"")</f>
        <v/>
      </c>
      <c r="BB25" s="2" t="str" cm="1">
        <f t="array" ref="BB25">IF('NILAI CPL'!$B25&lt;&gt;"",IFERROR(_xlfn.IFS(AE25&gt;='NILAI CPL'!$B$3,4,AE25&gt;='NILAI CPL'!$B$4,3,AE25&gt;='NILAI CPL'!$B$5,2,AE25&gt;'NILAI CPL'!$B$6,1),0),"")</f>
        <v/>
      </c>
      <c r="BC25" s="2" t="str" cm="1">
        <f t="array" ref="BC25">IF('NILAI CPL'!$B25&lt;&gt;"",IFERROR(_xlfn.IFS(AF25&gt;='NILAI CPL'!$B$3,4,AF25&gt;='NILAI CPL'!$B$4,3,AF25&gt;='NILAI CPL'!$B$5,2,AF25&gt;'NILAI CPL'!$B$6,1),0),"")</f>
        <v/>
      </c>
      <c r="BD25" s="2" t="str" cm="1">
        <f t="array" ref="BD25">IF('NILAI CPL'!$B25&lt;&gt;"",IFERROR(_xlfn.IFS(AG25&gt;='NILAI CPL'!$B$3,4,AG25&gt;='NILAI CPL'!$B$4,3,AG25&gt;='NILAI CPL'!$B$5,2,AG25&gt;'NILAI CPL'!$B$6,1),0),"")</f>
        <v/>
      </c>
      <c r="BE25" s="2" t="str" cm="1">
        <f t="array" ref="BE25">IF('NILAI CPL'!$B25&lt;&gt;"",IFERROR(_xlfn.IFS(AH25&gt;='NILAI CPL'!$B$3,4,AH25&gt;='NILAI CPL'!$B$4,3,AH25&gt;='NILAI CPL'!$B$5,2,AH25&gt;'NILAI CPL'!$B$6,1),0),"")</f>
        <v/>
      </c>
      <c r="BF25" s="2" t="str" cm="1">
        <f t="array" ref="BF25">IF('NILAI CPL'!$B25&lt;&gt;"",IFERROR(_xlfn.IFS(AI25&gt;='NILAI CPL'!$B$3,4,AI25&gt;='NILAI CPL'!$B$4,3,AI25&gt;='NILAI CPL'!$B$5,2,AI25&gt;'NILAI CPL'!$B$6,1),0),"")</f>
        <v/>
      </c>
      <c r="BG25" s="2" t="str" cm="1">
        <f t="array" ref="BG25">IF('NILAI CPL'!$B25&lt;&gt;"",IFERROR(_xlfn.IFS(AJ25&gt;='NILAI CPL'!$B$3,4,AJ25&gt;='NILAI CPL'!$B$4,3,AJ25&gt;='NILAI CPL'!$B$5,2,AJ25&gt;'NILAI CPL'!$B$6,1),0),"")</f>
        <v/>
      </c>
      <c r="BH25" s="2" t="str" cm="1">
        <f t="array" ref="BH25">IF('NILAI CPL'!$B25&lt;&gt;"",IFERROR(_xlfn.IFS(AK25&gt;='NILAI CPL'!$B$3,4,AK25&gt;='NILAI CPL'!$B$4,3,AK25&gt;='NILAI CPL'!$B$5,2,AK25&gt;'NILAI CPL'!$B$6,1),0),"")</f>
        <v/>
      </c>
      <c r="BI25" s="2" t="str" cm="1">
        <f t="array" ref="BI25">IF('NILAI CPL'!$B25&lt;&gt;"",IFERROR(_xlfn.IFS(AL25&gt;='NILAI CPL'!$B$3,4,AL25&gt;='NILAI CPL'!$B$4,3,AL25&gt;='NILAI CPL'!$B$5,2,AL25&gt;'NILAI CPL'!$B$6,1),0),"")</f>
        <v/>
      </c>
      <c r="BJ25" s="2" t="str" cm="1">
        <f t="array" ref="BJ25">IF('NILAI CPL'!$B25&lt;&gt;"",IFERROR(_xlfn.IFS(AM25&gt;='NILAI CPL'!$B$3,4,AM25&gt;='NILAI CPL'!$B$4,3,AM25&gt;='NILAI CPL'!$B$5,2,AM25&gt;'NILAI CPL'!$B$6,1),0),"")</f>
        <v/>
      </c>
      <c r="BK25" s="2" t="str" cm="1">
        <f t="array" ref="BK25">IF('NILAI CPL'!$B25&lt;&gt;"",IFERROR(_xlfn.IFS(AN25&gt;='NILAI CPL'!$B$3,4,AN25&gt;='NILAI CPL'!$B$4,3,AN25&gt;='NILAI CPL'!$B$5,2,AN25&gt;'NILAI CPL'!$B$6,1),0),"")</f>
        <v/>
      </c>
    </row>
    <row r="26" spans="1:63" x14ac:dyDescent="0.2">
      <c r="A26" s="2">
        <v>16</v>
      </c>
      <c r="B26" s="2" t="str">
        <f>IF(LEN(SUMMARY!B26)&gt;0, SUMMARY!B26, "")</f>
        <v/>
      </c>
      <c r="C26" s="2" t="str">
        <f>IF(LEN(SUMMARY!C26)&gt;0, SUMMARY!C26, "")</f>
        <v/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" t="str">
        <f t="shared" si="2"/>
        <v/>
      </c>
      <c r="S26" s="2" t="str">
        <f t="shared" si="3"/>
        <v/>
      </c>
      <c r="T26" s="2" t="str">
        <f t="shared" si="4"/>
        <v/>
      </c>
      <c r="U26" s="2" t="str">
        <f t="shared" si="5"/>
        <v/>
      </c>
      <c r="V26" s="2" t="str">
        <f t="shared" si="6"/>
        <v/>
      </c>
      <c r="W26" s="2" t="str">
        <f t="shared" si="7"/>
        <v/>
      </c>
      <c r="X26" s="2" t="str">
        <f t="shared" si="8"/>
        <v/>
      </c>
      <c r="Y26" s="2" t="str">
        <f t="shared" si="9"/>
        <v/>
      </c>
      <c r="Z26" s="2" t="str">
        <f t="shared" si="10"/>
        <v/>
      </c>
      <c r="AA26" s="2" t="str">
        <f t="shared" si="11"/>
        <v/>
      </c>
      <c r="AB26" s="2" t="str">
        <f t="shared" si="12"/>
        <v/>
      </c>
      <c r="AC26" s="2" t="str">
        <f t="shared" si="13"/>
        <v/>
      </c>
      <c r="AD26" s="2" t="str">
        <f t="shared" si="14"/>
        <v/>
      </c>
      <c r="AE26" s="2" t="str">
        <f t="shared" si="15"/>
        <v/>
      </c>
      <c r="AF26" s="2" t="str">
        <f t="shared" si="16"/>
        <v/>
      </c>
      <c r="AG26" s="2" t="str">
        <f t="shared" si="17"/>
        <v/>
      </c>
      <c r="AH26" s="2" t="str">
        <f t="shared" si="18"/>
        <v/>
      </c>
      <c r="AI26" s="2" t="str">
        <f t="shared" si="19"/>
        <v/>
      </c>
      <c r="AJ26" s="2" t="str">
        <f t="shared" si="20"/>
        <v/>
      </c>
      <c r="AK26" s="2" t="str">
        <f t="shared" si="21"/>
        <v/>
      </c>
      <c r="AL26" s="2" t="str">
        <f t="shared" si="22"/>
        <v/>
      </c>
      <c r="AM26" s="2" t="str">
        <f t="shared" si="23"/>
        <v/>
      </c>
      <c r="AN26" s="2" t="str">
        <f t="shared" si="24"/>
        <v/>
      </c>
      <c r="AP26" s="2" t="str" cm="1">
        <f t="array" ref="AP26">IF('NILAI CPL'!$B26&lt;&gt;"",IFERROR(_xlfn.IFS(S26&gt;='NILAI CPL'!$B$3,4,S26&gt;='NILAI CPL'!$B$4,3,S26&gt;='NILAI CPL'!$B$5,2,S26&gt;'NILAI CPL'!$B$6,1),0),"")</f>
        <v/>
      </c>
      <c r="AQ26" s="2" t="str" cm="1">
        <f t="array" ref="AQ26">IF('NILAI CPL'!$B26&lt;&gt;"",IFERROR(_xlfn.IFS(T26&gt;='NILAI CPL'!$B$3,4,T26&gt;='NILAI CPL'!$B$4,3,T26&gt;='NILAI CPL'!$B$5,2,T26&gt;'NILAI CPL'!$B$6,1),0),"")</f>
        <v/>
      </c>
      <c r="AR26" s="2" t="str" cm="1">
        <f t="array" ref="AR26">IF('NILAI CPL'!$B26&lt;&gt;"",IFERROR(_xlfn.IFS(U26&gt;='NILAI CPL'!$B$3,4,U26&gt;='NILAI CPL'!$B$4,3,U26&gt;='NILAI CPL'!$B$5,2,U26&gt;'NILAI CPL'!$B$6,1),0),"")</f>
        <v/>
      </c>
      <c r="AS26" s="2" t="str" cm="1">
        <f t="array" ref="AS26">IF('NILAI CPL'!$B26&lt;&gt;"",IFERROR(_xlfn.IFS(V26&gt;='NILAI CPL'!$B$3,4,V26&gt;='NILAI CPL'!$B$4,3,V26&gt;='NILAI CPL'!$B$5,2,V26&gt;'NILAI CPL'!$B$6,1),0),"")</f>
        <v/>
      </c>
      <c r="AT26" s="2" t="str" cm="1">
        <f t="array" ref="AT26">IF('NILAI CPL'!$B26&lt;&gt;"",IFERROR(_xlfn.IFS(W26&gt;='NILAI CPL'!$B$3,4,W26&gt;='NILAI CPL'!$B$4,3,W26&gt;='NILAI CPL'!$B$5,2,W26&gt;'NILAI CPL'!$B$6,1),0),"")</f>
        <v/>
      </c>
      <c r="AU26" s="2" t="str" cm="1">
        <f t="array" ref="AU26">IF('NILAI CPL'!$B26&lt;&gt;"",IFERROR(_xlfn.IFS(X26&gt;='NILAI CPL'!$B$3,4,X26&gt;='NILAI CPL'!$B$4,3,X26&gt;='NILAI CPL'!$B$5,2,X26&gt;'NILAI CPL'!$B$6,1),0),"")</f>
        <v/>
      </c>
      <c r="AV26" s="2" t="str" cm="1">
        <f t="array" ref="AV26">IF('NILAI CPL'!$B26&lt;&gt;"",IFERROR(_xlfn.IFS(Y26&gt;='NILAI CPL'!$B$3,4,Y26&gt;='NILAI CPL'!$B$4,3,Y26&gt;='NILAI CPL'!$B$5,2,Y26&gt;'NILAI CPL'!$B$6,1),0),"")</f>
        <v/>
      </c>
      <c r="AW26" s="2" t="str" cm="1">
        <f t="array" ref="AW26">IF('NILAI CPL'!$B26&lt;&gt;"",IFERROR(_xlfn.IFS(Z26&gt;='NILAI CPL'!$B$3,4,Z26&gt;='NILAI CPL'!$B$4,3,Z26&gt;='NILAI CPL'!$B$5,2,Z26&gt;'NILAI CPL'!$B$6,1),0),"")</f>
        <v/>
      </c>
      <c r="AX26" s="2" t="str" cm="1">
        <f t="array" ref="AX26">IF('NILAI CPL'!$B26&lt;&gt;"",IFERROR(_xlfn.IFS(AA26&gt;='NILAI CPL'!$B$3,4,AA26&gt;='NILAI CPL'!$B$4,3,AA26&gt;='NILAI CPL'!$B$5,2,AA26&gt;'NILAI CPL'!$B$6,1),0),"")</f>
        <v/>
      </c>
      <c r="AY26" s="2" t="str" cm="1">
        <f t="array" ref="AY26">IF('NILAI CPL'!$B26&lt;&gt;"",IFERROR(_xlfn.IFS(AB26&gt;='NILAI CPL'!$B$3,4,AB26&gt;='NILAI CPL'!$B$4,3,AB26&gt;='NILAI CPL'!$B$5,2,AB26&gt;'NILAI CPL'!$B$6,1),0),"")</f>
        <v/>
      </c>
      <c r="AZ26" s="2" t="str" cm="1">
        <f t="array" ref="AZ26">IF('NILAI CPL'!$B26&lt;&gt;"",IFERROR(_xlfn.IFS(AC26&gt;='NILAI CPL'!$B$3,4,AC26&gt;='NILAI CPL'!$B$4,3,AC26&gt;='NILAI CPL'!$B$5,2,AC26&gt;'NILAI CPL'!$B$6,1),0),"")</f>
        <v/>
      </c>
      <c r="BA26" s="2" t="str" cm="1">
        <f t="array" ref="BA26">IF('NILAI CPL'!$B26&lt;&gt;"",IFERROR(_xlfn.IFS(AD26&gt;='NILAI CPL'!$B$3,4,AD26&gt;='NILAI CPL'!$B$4,3,AD26&gt;='NILAI CPL'!$B$5,2,AD26&gt;'NILAI CPL'!$B$6,1),0),"")</f>
        <v/>
      </c>
      <c r="BB26" s="2" t="str" cm="1">
        <f t="array" ref="BB26">IF('NILAI CPL'!$B26&lt;&gt;"",IFERROR(_xlfn.IFS(AE26&gt;='NILAI CPL'!$B$3,4,AE26&gt;='NILAI CPL'!$B$4,3,AE26&gt;='NILAI CPL'!$B$5,2,AE26&gt;'NILAI CPL'!$B$6,1),0),"")</f>
        <v/>
      </c>
      <c r="BC26" s="2" t="str" cm="1">
        <f t="array" ref="BC26">IF('NILAI CPL'!$B26&lt;&gt;"",IFERROR(_xlfn.IFS(AF26&gt;='NILAI CPL'!$B$3,4,AF26&gt;='NILAI CPL'!$B$4,3,AF26&gt;='NILAI CPL'!$B$5,2,AF26&gt;'NILAI CPL'!$B$6,1),0),"")</f>
        <v/>
      </c>
      <c r="BD26" s="2" t="str" cm="1">
        <f t="array" ref="BD26">IF('NILAI CPL'!$B26&lt;&gt;"",IFERROR(_xlfn.IFS(AG26&gt;='NILAI CPL'!$B$3,4,AG26&gt;='NILAI CPL'!$B$4,3,AG26&gt;='NILAI CPL'!$B$5,2,AG26&gt;'NILAI CPL'!$B$6,1),0),"")</f>
        <v/>
      </c>
      <c r="BE26" s="2" t="str" cm="1">
        <f t="array" ref="BE26">IF('NILAI CPL'!$B26&lt;&gt;"",IFERROR(_xlfn.IFS(AH26&gt;='NILAI CPL'!$B$3,4,AH26&gt;='NILAI CPL'!$B$4,3,AH26&gt;='NILAI CPL'!$B$5,2,AH26&gt;'NILAI CPL'!$B$6,1),0),"")</f>
        <v/>
      </c>
      <c r="BF26" s="2" t="str" cm="1">
        <f t="array" ref="BF26">IF('NILAI CPL'!$B26&lt;&gt;"",IFERROR(_xlfn.IFS(AI26&gt;='NILAI CPL'!$B$3,4,AI26&gt;='NILAI CPL'!$B$4,3,AI26&gt;='NILAI CPL'!$B$5,2,AI26&gt;'NILAI CPL'!$B$6,1),0),"")</f>
        <v/>
      </c>
      <c r="BG26" s="2" t="str" cm="1">
        <f t="array" ref="BG26">IF('NILAI CPL'!$B26&lt;&gt;"",IFERROR(_xlfn.IFS(AJ26&gt;='NILAI CPL'!$B$3,4,AJ26&gt;='NILAI CPL'!$B$4,3,AJ26&gt;='NILAI CPL'!$B$5,2,AJ26&gt;'NILAI CPL'!$B$6,1),0),"")</f>
        <v/>
      </c>
      <c r="BH26" s="2" t="str" cm="1">
        <f t="array" ref="BH26">IF('NILAI CPL'!$B26&lt;&gt;"",IFERROR(_xlfn.IFS(AK26&gt;='NILAI CPL'!$B$3,4,AK26&gt;='NILAI CPL'!$B$4,3,AK26&gt;='NILAI CPL'!$B$5,2,AK26&gt;'NILAI CPL'!$B$6,1),0),"")</f>
        <v/>
      </c>
      <c r="BI26" s="2" t="str" cm="1">
        <f t="array" ref="BI26">IF('NILAI CPL'!$B26&lt;&gt;"",IFERROR(_xlfn.IFS(AL26&gt;='NILAI CPL'!$B$3,4,AL26&gt;='NILAI CPL'!$B$4,3,AL26&gt;='NILAI CPL'!$B$5,2,AL26&gt;'NILAI CPL'!$B$6,1),0),"")</f>
        <v/>
      </c>
      <c r="BJ26" s="2" t="str" cm="1">
        <f t="array" ref="BJ26">IF('NILAI CPL'!$B26&lt;&gt;"",IFERROR(_xlfn.IFS(AM26&gt;='NILAI CPL'!$B$3,4,AM26&gt;='NILAI CPL'!$B$4,3,AM26&gt;='NILAI CPL'!$B$5,2,AM26&gt;'NILAI CPL'!$B$6,1),0),"")</f>
        <v/>
      </c>
      <c r="BK26" s="2" t="str" cm="1">
        <f t="array" ref="BK26">IF('NILAI CPL'!$B26&lt;&gt;"",IFERROR(_xlfn.IFS(AN26&gt;='NILAI CPL'!$B$3,4,AN26&gt;='NILAI CPL'!$B$4,3,AN26&gt;='NILAI CPL'!$B$5,2,AN26&gt;'NILAI CPL'!$B$6,1),0),"")</f>
        <v/>
      </c>
    </row>
    <row r="27" spans="1:63" x14ac:dyDescent="0.2">
      <c r="A27" s="2">
        <v>17</v>
      </c>
      <c r="B27" s="2" t="str">
        <f>IF(LEN(SUMMARY!B27)&gt;0, SUMMARY!B27, "")</f>
        <v/>
      </c>
      <c r="C27" s="2" t="str">
        <f>IF(LEN(SUMMARY!C27)&gt;0, SUMMARY!C27, "")</f>
        <v/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" t="str">
        <f t="shared" si="2"/>
        <v/>
      </c>
      <c r="S27" s="2" t="str">
        <f t="shared" si="3"/>
        <v/>
      </c>
      <c r="T27" s="2" t="str">
        <f t="shared" si="4"/>
        <v/>
      </c>
      <c r="U27" s="2" t="str">
        <f t="shared" si="5"/>
        <v/>
      </c>
      <c r="V27" s="2" t="str">
        <f t="shared" si="6"/>
        <v/>
      </c>
      <c r="W27" s="2" t="str">
        <f t="shared" si="7"/>
        <v/>
      </c>
      <c r="X27" s="2" t="str">
        <f t="shared" si="8"/>
        <v/>
      </c>
      <c r="Y27" s="2" t="str">
        <f t="shared" si="9"/>
        <v/>
      </c>
      <c r="Z27" s="2" t="str">
        <f t="shared" si="10"/>
        <v/>
      </c>
      <c r="AA27" s="2" t="str">
        <f t="shared" si="11"/>
        <v/>
      </c>
      <c r="AB27" s="2" t="str">
        <f t="shared" si="12"/>
        <v/>
      </c>
      <c r="AC27" s="2" t="str">
        <f t="shared" si="13"/>
        <v/>
      </c>
      <c r="AD27" s="2" t="str">
        <f t="shared" si="14"/>
        <v/>
      </c>
      <c r="AE27" s="2" t="str">
        <f t="shared" si="15"/>
        <v/>
      </c>
      <c r="AF27" s="2" t="str">
        <f t="shared" si="16"/>
        <v/>
      </c>
      <c r="AG27" s="2" t="str">
        <f t="shared" si="17"/>
        <v/>
      </c>
      <c r="AH27" s="2" t="str">
        <f t="shared" si="18"/>
        <v/>
      </c>
      <c r="AI27" s="2" t="str">
        <f t="shared" si="19"/>
        <v/>
      </c>
      <c r="AJ27" s="2" t="str">
        <f t="shared" si="20"/>
        <v/>
      </c>
      <c r="AK27" s="2" t="str">
        <f t="shared" si="21"/>
        <v/>
      </c>
      <c r="AL27" s="2" t="str">
        <f t="shared" si="22"/>
        <v/>
      </c>
      <c r="AM27" s="2" t="str">
        <f t="shared" si="23"/>
        <v/>
      </c>
      <c r="AN27" s="2" t="str">
        <f t="shared" si="24"/>
        <v/>
      </c>
      <c r="AP27" s="2" t="str" cm="1">
        <f t="array" ref="AP27">IF('NILAI CPL'!$B27&lt;&gt;"",IFERROR(_xlfn.IFS(S27&gt;='NILAI CPL'!$B$3,4,S27&gt;='NILAI CPL'!$B$4,3,S27&gt;='NILAI CPL'!$B$5,2,S27&gt;'NILAI CPL'!$B$6,1),0),"")</f>
        <v/>
      </c>
      <c r="AQ27" s="2" t="str" cm="1">
        <f t="array" ref="AQ27">IF('NILAI CPL'!$B27&lt;&gt;"",IFERROR(_xlfn.IFS(T27&gt;='NILAI CPL'!$B$3,4,T27&gt;='NILAI CPL'!$B$4,3,T27&gt;='NILAI CPL'!$B$5,2,T27&gt;'NILAI CPL'!$B$6,1),0),"")</f>
        <v/>
      </c>
      <c r="AR27" s="2" t="str" cm="1">
        <f t="array" ref="AR27">IF('NILAI CPL'!$B27&lt;&gt;"",IFERROR(_xlfn.IFS(U27&gt;='NILAI CPL'!$B$3,4,U27&gt;='NILAI CPL'!$B$4,3,U27&gt;='NILAI CPL'!$B$5,2,U27&gt;'NILAI CPL'!$B$6,1),0),"")</f>
        <v/>
      </c>
      <c r="AS27" s="2" t="str" cm="1">
        <f t="array" ref="AS27">IF('NILAI CPL'!$B27&lt;&gt;"",IFERROR(_xlfn.IFS(V27&gt;='NILAI CPL'!$B$3,4,V27&gt;='NILAI CPL'!$B$4,3,V27&gt;='NILAI CPL'!$B$5,2,V27&gt;'NILAI CPL'!$B$6,1),0),"")</f>
        <v/>
      </c>
      <c r="AT27" s="2" t="str" cm="1">
        <f t="array" ref="AT27">IF('NILAI CPL'!$B27&lt;&gt;"",IFERROR(_xlfn.IFS(W27&gt;='NILAI CPL'!$B$3,4,W27&gt;='NILAI CPL'!$B$4,3,W27&gt;='NILAI CPL'!$B$5,2,W27&gt;'NILAI CPL'!$B$6,1),0),"")</f>
        <v/>
      </c>
      <c r="AU27" s="2" t="str" cm="1">
        <f t="array" ref="AU27">IF('NILAI CPL'!$B27&lt;&gt;"",IFERROR(_xlfn.IFS(X27&gt;='NILAI CPL'!$B$3,4,X27&gt;='NILAI CPL'!$B$4,3,X27&gt;='NILAI CPL'!$B$5,2,X27&gt;'NILAI CPL'!$B$6,1),0),"")</f>
        <v/>
      </c>
      <c r="AV27" s="2" t="str" cm="1">
        <f t="array" ref="AV27">IF('NILAI CPL'!$B27&lt;&gt;"",IFERROR(_xlfn.IFS(Y27&gt;='NILAI CPL'!$B$3,4,Y27&gt;='NILAI CPL'!$B$4,3,Y27&gt;='NILAI CPL'!$B$5,2,Y27&gt;'NILAI CPL'!$B$6,1),0),"")</f>
        <v/>
      </c>
      <c r="AW27" s="2" t="str" cm="1">
        <f t="array" ref="AW27">IF('NILAI CPL'!$B27&lt;&gt;"",IFERROR(_xlfn.IFS(Z27&gt;='NILAI CPL'!$B$3,4,Z27&gt;='NILAI CPL'!$B$4,3,Z27&gt;='NILAI CPL'!$B$5,2,Z27&gt;'NILAI CPL'!$B$6,1),0),"")</f>
        <v/>
      </c>
      <c r="AX27" s="2" t="str" cm="1">
        <f t="array" ref="AX27">IF('NILAI CPL'!$B27&lt;&gt;"",IFERROR(_xlfn.IFS(AA27&gt;='NILAI CPL'!$B$3,4,AA27&gt;='NILAI CPL'!$B$4,3,AA27&gt;='NILAI CPL'!$B$5,2,AA27&gt;'NILAI CPL'!$B$6,1),0),"")</f>
        <v/>
      </c>
      <c r="AY27" s="2" t="str" cm="1">
        <f t="array" ref="AY27">IF('NILAI CPL'!$B27&lt;&gt;"",IFERROR(_xlfn.IFS(AB27&gt;='NILAI CPL'!$B$3,4,AB27&gt;='NILAI CPL'!$B$4,3,AB27&gt;='NILAI CPL'!$B$5,2,AB27&gt;'NILAI CPL'!$B$6,1),0),"")</f>
        <v/>
      </c>
      <c r="AZ27" s="2" t="str" cm="1">
        <f t="array" ref="AZ27">IF('NILAI CPL'!$B27&lt;&gt;"",IFERROR(_xlfn.IFS(AC27&gt;='NILAI CPL'!$B$3,4,AC27&gt;='NILAI CPL'!$B$4,3,AC27&gt;='NILAI CPL'!$B$5,2,AC27&gt;'NILAI CPL'!$B$6,1),0),"")</f>
        <v/>
      </c>
      <c r="BA27" s="2" t="str" cm="1">
        <f t="array" ref="BA27">IF('NILAI CPL'!$B27&lt;&gt;"",IFERROR(_xlfn.IFS(AD27&gt;='NILAI CPL'!$B$3,4,AD27&gt;='NILAI CPL'!$B$4,3,AD27&gt;='NILAI CPL'!$B$5,2,AD27&gt;'NILAI CPL'!$B$6,1),0),"")</f>
        <v/>
      </c>
      <c r="BB27" s="2" t="str" cm="1">
        <f t="array" ref="BB27">IF('NILAI CPL'!$B27&lt;&gt;"",IFERROR(_xlfn.IFS(AE27&gt;='NILAI CPL'!$B$3,4,AE27&gt;='NILAI CPL'!$B$4,3,AE27&gt;='NILAI CPL'!$B$5,2,AE27&gt;'NILAI CPL'!$B$6,1),0),"")</f>
        <v/>
      </c>
      <c r="BC27" s="2" t="str" cm="1">
        <f t="array" ref="BC27">IF('NILAI CPL'!$B27&lt;&gt;"",IFERROR(_xlfn.IFS(AF27&gt;='NILAI CPL'!$B$3,4,AF27&gt;='NILAI CPL'!$B$4,3,AF27&gt;='NILAI CPL'!$B$5,2,AF27&gt;'NILAI CPL'!$B$6,1),0),"")</f>
        <v/>
      </c>
      <c r="BD27" s="2" t="str" cm="1">
        <f t="array" ref="BD27">IF('NILAI CPL'!$B27&lt;&gt;"",IFERROR(_xlfn.IFS(AG27&gt;='NILAI CPL'!$B$3,4,AG27&gt;='NILAI CPL'!$B$4,3,AG27&gt;='NILAI CPL'!$B$5,2,AG27&gt;'NILAI CPL'!$B$6,1),0),"")</f>
        <v/>
      </c>
      <c r="BE27" s="2" t="str" cm="1">
        <f t="array" ref="BE27">IF('NILAI CPL'!$B27&lt;&gt;"",IFERROR(_xlfn.IFS(AH27&gt;='NILAI CPL'!$B$3,4,AH27&gt;='NILAI CPL'!$B$4,3,AH27&gt;='NILAI CPL'!$B$5,2,AH27&gt;'NILAI CPL'!$B$6,1),0),"")</f>
        <v/>
      </c>
      <c r="BF27" s="2" t="str" cm="1">
        <f t="array" ref="BF27">IF('NILAI CPL'!$B27&lt;&gt;"",IFERROR(_xlfn.IFS(AI27&gt;='NILAI CPL'!$B$3,4,AI27&gt;='NILAI CPL'!$B$4,3,AI27&gt;='NILAI CPL'!$B$5,2,AI27&gt;'NILAI CPL'!$B$6,1),0),"")</f>
        <v/>
      </c>
      <c r="BG27" s="2" t="str" cm="1">
        <f t="array" ref="BG27">IF('NILAI CPL'!$B27&lt;&gt;"",IFERROR(_xlfn.IFS(AJ27&gt;='NILAI CPL'!$B$3,4,AJ27&gt;='NILAI CPL'!$B$4,3,AJ27&gt;='NILAI CPL'!$B$5,2,AJ27&gt;'NILAI CPL'!$B$6,1),0),"")</f>
        <v/>
      </c>
      <c r="BH27" s="2" t="str" cm="1">
        <f t="array" ref="BH27">IF('NILAI CPL'!$B27&lt;&gt;"",IFERROR(_xlfn.IFS(AK27&gt;='NILAI CPL'!$B$3,4,AK27&gt;='NILAI CPL'!$B$4,3,AK27&gt;='NILAI CPL'!$B$5,2,AK27&gt;'NILAI CPL'!$B$6,1),0),"")</f>
        <v/>
      </c>
      <c r="BI27" s="2" t="str" cm="1">
        <f t="array" ref="BI27">IF('NILAI CPL'!$B27&lt;&gt;"",IFERROR(_xlfn.IFS(AL27&gt;='NILAI CPL'!$B$3,4,AL27&gt;='NILAI CPL'!$B$4,3,AL27&gt;='NILAI CPL'!$B$5,2,AL27&gt;'NILAI CPL'!$B$6,1),0),"")</f>
        <v/>
      </c>
      <c r="BJ27" s="2" t="str" cm="1">
        <f t="array" ref="BJ27">IF('NILAI CPL'!$B27&lt;&gt;"",IFERROR(_xlfn.IFS(AM27&gt;='NILAI CPL'!$B$3,4,AM27&gt;='NILAI CPL'!$B$4,3,AM27&gt;='NILAI CPL'!$B$5,2,AM27&gt;'NILAI CPL'!$B$6,1),0),"")</f>
        <v/>
      </c>
      <c r="BK27" s="2" t="str" cm="1">
        <f t="array" ref="BK27">IF('NILAI CPL'!$B27&lt;&gt;"",IFERROR(_xlfn.IFS(AN27&gt;='NILAI CPL'!$B$3,4,AN27&gt;='NILAI CPL'!$B$4,3,AN27&gt;='NILAI CPL'!$B$5,2,AN27&gt;'NILAI CPL'!$B$6,1),0),"")</f>
        <v/>
      </c>
    </row>
    <row r="28" spans="1:63" x14ac:dyDescent="0.2">
      <c r="A28" s="2">
        <v>18</v>
      </c>
      <c r="B28" s="2" t="str">
        <f>IF(LEN(SUMMARY!B28)&gt;0, SUMMARY!B28, "")</f>
        <v/>
      </c>
      <c r="C28" s="2" t="str">
        <f>IF(LEN(SUMMARY!C28)&gt;0, SUMMARY!C28, "")</f>
        <v/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" t="str">
        <f t="shared" si="2"/>
        <v/>
      </c>
      <c r="S28" s="2" t="str">
        <f t="shared" si="3"/>
        <v/>
      </c>
      <c r="T28" s="2" t="str">
        <f t="shared" si="4"/>
        <v/>
      </c>
      <c r="U28" s="2" t="str">
        <f t="shared" si="5"/>
        <v/>
      </c>
      <c r="V28" s="2" t="str">
        <f t="shared" si="6"/>
        <v/>
      </c>
      <c r="W28" s="2" t="str">
        <f t="shared" si="7"/>
        <v/>
      </c>
      <c r="X28" s="2" t="str">
        <f t="shared" si="8"/>
        <v/>
      </c>
      <c r="Y28" s="2" t="str">
        <f t="shared" si="9"/>
        <v/>
      </c>
      <c r="Z28" s="2" t="str">
        <f t="shared" si="10"/>
        <v/>
      </c>
      <c r="AA28" s="2" t="str">
        <f t="shared" si="11"/>
        <v/>
      </c>
      <c r="AB28" s="2" t="str">
        <f t="shared" si="12"/>
        <v/>
      </c>
      <c r="AC28" s="2" t="str">
        <f t="shared" si="13"/>
        <v/>
      </c>
      <c r="AD28" s="2" t="str">
        <f t="shared" si="14"/>
        <v/>
      </c>
      <c r="AE28" s="2" t="str">
        <f t="shared" si="15"/>
        <v/>
      </c>
      <c r="AF28" s="2" t="str">
        <f t="shared" si="16"/>
        <v/>
      </c>
      <c r="AG28" s="2" t="str">
        <f t="shared" si="17"/>
        <v/>
      </c>
      <c r="AH28" s="2" t="str">
        <f t="shared" si="18"/>
        <v/>
      </c>
      <c r="AI28" s="2" t="str">
        <f t="shared" si="19"/>
        <v/>
      </c>
      <c r="AJ28" s="2" t="str">
        <f t="shared" si="20"/>
        <v/>
      </c>
      <c r="AK28" s="2" t="str">
        <f t="shared" si="21"/>
        <v/>
      </c>
      <c r="AL28" s="2" t="str">
        <f t="shared" si="22"/>
        <v/>
      </c>
      <c r="AM28" s="2" t="str">
        <f t="shared" si="23"/>
        <v/>
      </c>
      <c r="AN28" s="2" t="str">
        <f t="shared" si="24"/>
        <v/>
      </c>
      <c r="AP28" s="2" t="str" cm="1">
        <f t="array" ref="AP28">IF('NILAI CPL'!$B28&lt;&gt;"",IFERROR(_xlfn.IFS(S28&gt;='NILAI CPL'!$B$3,4,S28&gt;='NILAI CPL'!$B$4,3,S28&gt;='NILAI CPL'!$B$5,2,S28&gt;'NILAI CPL'!$B$6,1),0),"")</f>
        <v/>
      </c>
      <c r="AQ28" s="2" t="str" cm="1">
        <f t="array" ref="AQ28">IF('NILAI CPL'!$B28&lt;&gt;"",IFERROR(_xlfn.IFS(T28&gt;='NILAI CPL'!$B$3,4,T28&gt;='NILAI CPL'!$B$4,3,T28&gt;='NILAI CPL'!$B$5,2,T28&gt;'NILAI CPL'!$B$6,1),0),"")</f>
        <v/>
      </c>
      <c r="AR28" s="2" t="str" cm="1">
        <f t="array" ref="AR28">IF('NILAI CPL'!$B28&lt;&gt;"",IFERROR(_xlfn.IFS(U28&gt;='NILAI CPL'!$B$3,4,U28&gt;='NILAI CPL'!$B$4,3,U28&gt;='NILAI CPL'!$B$5,2,U28&gt;'NILAI CPL'!$B$6,1),0),"")</f>
        <v/>
      </c>
      <c r="AS28" s="2" t="str" cm="1">
        <f t="array" ref="AS28">IF('NILAI CPL'!$B28&lt;&gt;"",IFERROR(_xlfn.IFS(V28&gt;='NILAI CPL'!$B$3,4,V28&gt;='NILAI CPL'!$B$4,3,V28&gt;='NILAI CPL'!$B$5,2,V28&gt;'NILAI CPL'!$B$6,1),0),"")</f>
        <v/>
      </c>
      <c r="AT28" s="2" t="str" cm="1">
        <f t="array" ref="AT28">IF('NILAI CPL'!$B28&lt;&gt;"",IFERROR(_xlfn.IFS(W28&gt;='NILAI CPL'!$B$3,4,W28&gt;='NILAI CPL'!$B$4,3,W28&gt;='NILAI CPL'!$B$5,2,W28&gt;'NILAI CPL'!$B$6,1),0),"")</f>
        <v/>
      </c>
      <c r="AU28" s="2" t="str" cm="1">
        <f t="array" ref="AU28">IF('NILAI CPL'!$B28&lt;&gt;"",IFERROR(_xlfn.IFS(X28&gt;='NILAI CPL'!$B$3,4,X28&gt;='NILAI CPL'!$B$4,3,X28&gt;='NILAI CPL'!$B$5,2,X28&gt;'NILAI CPL'!$B$6,1),0),"")</f>
        <v/>
      </c>
      <c r="AV28" s="2" t="str" cm="1">
        <f t="array" ref="AV28">IF('NILAI CPL'!$B28&lt;&gt;"",IFERROR(_xlfn.IFS(Y28&gt;='NILAI CPL'!$B$3,4,Y28&gt;='NILAI CPL'!$B$4,3,Y28&gt;='NILAI CPL'!$B$5,2,Y28&gt;'NILAI CPL'!$B$6,1),0),"")</f>
        <v/>
      </c>
      <c r="AW28" s="2" t="str" cm="1">
        <f t="array" ref="AW28">IF('NILAI CPL'!$B28&lt;&gt;"",IFERROR(_xlfn.IFS(Z28&gt;='NILAI CPL'!$B$3,4,Z28&gt;='NILAI CPL'!$B$4,3,Z28&gt;='NILAI CPL'!$B$5,2,Z28&gt;'NILAI CPL'!$B$6,1),0),"")</f>
        <v/>
      </c>
      <c r="AX28" s="2" t="str" cm="1">
        <f t="array" ref="AX28">IF('NILAI CPL'!$B28&lt;&gt;"",IFERROR(_xlfn.IFS(AA28&gt;='NILAI CPL'!$B$3,4,AA28&gt;='NILAI CPL'!$B$4,3,AA28&gt;='NILAI CPL'!$B$5,2,AA28&gt;'NILAI CPL'!$B$6,1),0),"")</f>
        <v/>
      </c>
      <c r="AY28" s="2" t="str" cm="1">
        <f t="array" ref="AY28">IF('NILAI CPL'!$B28&lt;&gt;"",IFERROR(_xlfn.IFS(AB28&gt;='NILAI CPL'!$B$3,4,AB28&gt;='NILAI CPL'!$B$4,3,AB28&gt;='NILAI CPL'!$B$5,2,AB28&gt;'NILAI CPL'!$B$6,1),0),"")</f>
        <v/>
      </c>
      <c r="AZ28" s="2" t="str" cm="1">
        <f t="array" ref="AZ28">IF('NILAI CPL'!$B28&lt;&gt;"",IFERROR(_xlfn.IFS(AC28&gt;='NILAI CPL'!$B$3,4,AC28&gt;='NILAI CPL'!$B$4,3,AC28&gt;='NILAI CPL'!$B$5,2,AC28&gt;'NILAI CPL'!$B$6,1),0),"")</f>
        <v/>
      </c>
      <c r="BA28" s="2" t="str" cm="1">
        <f t="array" ref="BA28">IF('NILAI CPL'!$B28&lt;&gt;"",IFERROR(_xlfn.IFS(AD28&gt;='NILAI CPL'!$B$3,4,AD28&gt;='NILAI CPL'!$B$4,3,AD28&gt;='NILAI CPL'!$B$5,2,AD28&gt;'NILAI CPL'!$B$6,1),0),"")</f>
        <v/>
      </c>
      <c r="BB28" s="2" t="str" cm="1">
        <f t="array" ref="BB28">IF('NILAI CPL'!$B28&lt;&gt;"",IFERROR(_xlfn.IFS(AE28&gt;='NILAI CPL'!$B$3,4,AE28&gt;='NILAI CPL'!$B$4,3,AE28&gt;='NILAI CPL'!$B$5,2,AE28&gt;'NILAI CPL'!$B$6,1),0),"")</f>
        <v/>
      </c>
      <c r="BC28" s="2" t="str" cm="1">
        <f t="array" ref="BC28">IF('NILAI CPL'!$B28&lt;&gt;"",IFERROR(_xlfn.IFS(AF28&gt;='NILAI CPL'!$B$3,4,AF28&gt;='NILAI CPL'!$B$4,3,AF28&gt;='NILAI CPL'!$B$5,2,AF28&gt;'NILAI CPL'!$B$6,1),0),"")</f>
        <v/>
      </c>
      <c r="BD28" s="2" t="str" cm="1">
        <f t="array" ref="BD28">IF('NILAI CPL'!$B28&lt;&gt;"",IFERROR(_xlfn.IFS(AG28&gt;='NILAI CPL'!$B$3,4,AG28&gt;='NILAI CPL'!$B$4,3,AG28&gt;='NILAI CPL'!$B$5,2,AG28&gt;'NILAI CPL'!$B$6,1),0),"")</f>
        <v/>
      </c>
      <c r="BE28" s="2" t="str" cm="1">
        <f t="array" ref="BE28">IF('NILAI CPL'!$B28&lt;&gt;"",IFERROR(_xlfn.IFS(AH28&gt;='NILAI CPL'!$B$3,4,AH28&gt;='NILAI CPL'!$B$4,3,AH28&gt;='NILAI CPL'!$B$5,2,AH28&gt;'NILAI CPL'!$B$6,1),0),"")</f>
        <v/>
      </c>
      <c r="BF28" s="2" t="str" cm="1">
        <f t="array" ref="BF28">IF('NILAI CPL'!$B28&lt;&gt;"",IFERROR(_xlfn.IFS(AI28&gt;='NILAI CPL'!$B$3,4,AI28&gt;='NILAI CPL'!$B$4,3,AI28&gt;='NILAI CPL'!$B$5,2,AI28&gt;'NILAI CPL'!$B$6,1),0),"")</f>
        <v/>
      </c>
      <c r="BG28" s="2" t="str" cm="1">
        <f t="array" ref="BG28">IF('NILAI CPL'!$B28&lt;&gt;"",IFERROR(_xlfn.IFS(AJ28&gt;='NILAI CPL'!$B$3,4,AJ28&gt;='NILAI CPL'!$B$4,3,AJ28&gt;='NILAI CPL'!$B$5,2,AJ28&gt;'NILAI CPL'!$B$6,1),0),"")</f>
        <v/>
      </c>
      <c r="BH28" s="2" t="str" cm="1">
        <f t="array" ref="BH28">IF('NILAI CPL'!$B28&lt;&gt;"",IFERROR(_xlfn.IFS(AK28&gt;='NILAI CPL'!$B$3,4,AK28&gt;='NILAI CPL'!$B$4,3,AK28&gt;='NILAI CPL'!$B$5,2,AK28&gt;'NILAI CPL'!$B$6,1),0),"")</f>
        <v/>
      </c>
      <c r="BI28" s="2" t="str" cm="1">
        <f t="array" ref="BI28">IF('NILAI CPL'!$B28&lt;&gt;"",IFERROR(_xlfn.IFS(AL28&gt;='NILAI CPL'!$B$3,4,AL28&gt;='NILAI CPL'!$B$4,3,AL28&gt;='NILAI CPL'!$B$5,2,AL28&gt;'NILAI CPL'!$B$6,1),0),"")</f>
        <v/>
      </c>
      <c r="BJ28" s="2" t="str" cm="1">
        <f t="array" ref="BJ28">IF('NILAI CPL'!$B28&lt;&gt;"",IFERROR(_xlfn.IFS(AM28&gt;='NILAI CPL'!$B$3,4,AM28&gt;='NILAI CPL'!$B$4,3,AM28&gt;='NILAI CPL'!$B$5,2,AM28&gt;'NILAI CPL'!$B$6,1),0),"")</f>
        <v/>
      </c>
      <c r="BK28" s="2" t="str" cm="1">
        <f t="array" ref="BK28">IF('NILAI CPL'!$B28&lt;&gt;"",IFERROR(_xlfn.IFS(AN28&gt;='NILAI CPL'!$B$3,4,AN28&gt;='NILAI CPL'!$B$4,3,AN28&gt;='NILAI CPL'!$B$5,2,AN28&gt;'NILAI CPL'!$B$6,1),0),"")</f>
        <v/>
      </c>
    </row>
    <row r="29" spans="1:63" x14ac:dyDescent="0.2">
      <c r="A29" s="2">
        <v>19</v>
      </c>
      <c r="B29" s="2" t="str">
        <f>IF(LEN(SUMMARY!B29)&gt;0, SUMMARY!B29, "")</f>
        <v/>
      </c>
      <c r="C29" s="2" t="str">
        <f>IF(LEN(SUMMARY!C29)&gt;0, SUMMARY!C29, "")</f>
        <v/>
      </c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" t="str">
        <f t="shared" si="2"/>
        <v/>
      </c>
      <c r="S29" s="2" t="str">
        <f t="shared" si="3"/>
        <v/>
      </c>
      <c r="T29" s="2" t="str">
        <f t="shared" si="4"/>
        <v/>
      </c>
      <c r="U29" s="2" t="str">
        <f t="shared" si="5"/>
        <v/>
      </c>
      <c r="V29" s="2" t="str">
        <f t="shared" si="6"/>
        <v/>
      </c>
      <c r="W29" s="2" t="str">
        <f t="shared" si="7"/>
        <v/>
      </c>
      <c r="X29" s="2" t="str">
        <f t="shared" si="8"/>
        <v/>
      </c>
      <c r="Y29" s="2" t="str">
        <f t="shared" si="9"/>
        <v/>
      </c>
      <c r="Z29" s="2" t="str">
        <f t="shared" si="10"/>
        <v/>
      </c>
      <c r="AA29" s="2" t="str">
        <f t="shared" si="11"/>
        <v/>
      </c>
      <c r="AB29" s="2" t="str">
        <f t="shared" si="12"/>
        <v/>
      </c>
      <c r="AC29" s="2" t="str">
        <f t="shared" si="13"/>
        <v/>
      </c>
      <c r="AD29" s="2" t="str">
        <f t="shared" si="14"/>
        <v/>
      </c>
      <c r="AE29" s="2" t="str">
        <f t="shared" si="15"/>
        <v/>
      </c>
      <c r="AF29" s="2" t="str">
        <f t="shared" si="16"/>
        <v/>
      </c>
      <c r="AG29" s="2" t="str">
        <f t="shared" si="17"/>
        <v/>
      </c>
      <c r="AH29" s="2" t="str">
        <f t="shared" si="18"/>
        <v/>
      </c>
      <c r="AI29" s="2" t="str">
        <f t="shared" si="19"/>
        <v/>
      </c>
      <c r="AJ29" s="2" t="str">
        <f t="shared" si="20"/>
        <v/>
      </c>
      <c r="AK29" s="2" t="str">
        <f t="shared" si="21"/>
        <v/>
      </c>
      <c r="AL29" s="2" t="str">
        <f t="shared" si="22"/>
        <v/>
      </c>
      <c r="AM29" s="2" t="str">
        <f t="shared" si="23"/>
        <v/>
      </c>
      <c r="AN29" s="2" t="str">
        <f t="shared" si="24"/>
        <v/>
      </c>
      <c r="AP29" s="2" t="str" cm="1">
        <f t="array" ref="AP29">IF('NILAI CPL'!$B29&lt;&gt;"",IFERROR(_xlfn.IFS(S29&gt;='NILAI CPL'!$B$3,4,S29&gt;='NILAI CPL'!$B$4,3,S29&gt;='NILAI CPL'!$B$5,2,S29&gt;'NILAI CPL'!$B$6,1),0),"")</f>
        <v/>
      </c>
      <c r="AQ29" s="2" t="str" cm="1">
        <f t="array" ref="AQ29">IF('NILAI CPL'!$B29&lt;&gt;"",IFERROR(_xlfn.IFS(T29&gt;='NILAI CPL'!$B$3,4,T29&gt;='NILAI CPL'!$B$4,3,T29&gt;='NILAI CPL'!$B$5,2,T29&gt;'NILAI CPL'!$B$6,1),0),"")</f>
        <v/>
      </c>
      <c r="AR29" s="2" t="str" cm="1">
        <f t="array" ref="AR29">IF('NILAI CPL'!$B29&lt;&gt;"",IFERROR(_xlfn.IFS(U29&gt;='NILAI CPL'!$B$3,4,U29&gt;='NILAI CPL'!$B$4,3,U29&gt;='NILAI CPL'!$B$5,2,U29&gt;'NILAI CPL'!$B$6,1),0),"")</f>
        <v/>
      </c>
      <c r="AS29" s="2" t="str" cm="1">
        <f t="array" ref="AS29">IF('NILAI CPL'!$B29&lt;&gt;"",IFERROR(_xlfn.IFS(V29&gt;='NILAI CPL'!$B$3,4,V29&gt;='NILAI CPL'!$B$4,3,V29&gt;='NILAI CPL'!$B$5,2,V29&gt;'NILAI CPL'!$B$6,1),0),"")</f>
        <v/>
      </c>
      <c r="AT29" s="2" t="str" cm="1">
        <f t="array" ref="AT29">IF('NILAI CPL'!$B29&lt;&gt;"",IFERROR(_xlfn.IFS(W29&gt;='NILAI CPL'!$B$3,4,W29&gt;='NILAI CPL'!$B$4,3,W29&gt;='NILAI CPL'!$B$5,2,W29&gt;'NILAI CPL'!$B$6,1),0),"")</f>
        <v/>
      </c>
      <c r="AU29" s="2" t="str" cm="1">
        <f t="array" ref="AU29">IF('NILAI CPL'!$B29&lt;&gt;"",IFERROR(_xlfn.IFS(X29&gt;='NILAI CPL'!$B$3,4,X29&gt;='NILAI CPL'!$B$4,3,X29&gt;='NILAI CPL'!$B$5,2,X29&gt;'NILAI CPL'!$B$6,1),0),"")</f>
        <v/>
      </c>
      <c r="AV29" s="2" t="str" cm="1">
        <f t="array" ref="AV29">IF('NILAI CPL'!$B29&lt;&gt;"",IFERROR(_xlfn.IFS(Y29&gt;='NILAI CPL'!$B$3,4,Y29&gt;='NILAI CPL'!$B$4,3,Y29&gt;='NILAI CPL'!$B$5,2,Y29&gt;'NILAI CPL'!$B$6,1),0),"")</f>
        <v/>
      </c>
      <c r="AW29" s="2" t="str" cm="1">
        <f t="array" ref="AW29">IF('NILAI CPL'!$B29&lt;&gt;"",IFERROR(_xlfn.IFS(Z29&gt;='NILAI CPL'!$B$3,4,Z29&gt;='NILAI CPL'!$B$4,3,Z29&gt;='NILAI CPL'!$B$5,2,Z29&gt;'NILAI CPL'!$B$6,1),0),"")</f>
        <v/>
      </c>
      <c r="AX29" s="2" t="str" cm="1">
        <f t="array" ref="AX29">IF('NILAI CPL'!$B29&lt;&gt;"",IFERROR(_xlfn.IFS(AA29&gt;='NILAI CPL'!$B$3,4,AA29&gt;='NILAI CPL'!$B$4,3,AA29&gt;='NILAI CPL'!$B$5,2,AA29&gt;'NILAI CPL'!$B$6,1),0),"")</f>
        <v/>
      </c>
      <c r="AY29" s="2" t="str" cm="1">
        <f t="array" ref="AY29">IF('NILAI CPL'!$B29&lt;&gt;"",IFERROR(_xlfn.IFS(AB29&gt;='NILAI CPL'!$B$3,4,AB29&gt;='NILAI CPL'!$B$4,3,AB29&gt;='NILAI CPL'!$B$5,2,AB29&gt;'NILAI CPL'!$B$6,1),0),"")</f>
        <v/>
      </c>
      <c r="AZ29" s="2" t="str" cm="1">
        <f t="array" ref="AZ29">IF('NILAI CPL'!$B29&lt;&gt;"",IFERROR(_xlfn.IFS(AC29&gt;='NILAI CPL'!$B$3,4,AC29&gt;='NILAI CPL'!$B$4,3,AC29&gt;='NILAI CPL'!$B$5,2,AC29&gt;'NILAI CPL'!$B$6,1),0),"")</f>
        <v/>
      </c>
      <c r="BA29" s="2" t="str" cm="1">
        <f t="array" ref="BA29">IF('NILAI CPL'!$B29&lt;&gt;"",IFERROR(_xlfn.IFS(AD29&gt;='NILAI CPL'!$B$3,4,AD29&gt;='NILAI CPL'!$B$4,3,AD29&gt;='NILAI CPL'!$B$5,2,AD29&gt;'NILAI CPL'!$B$6,1),0),"")</f>
        <v/>
      </c>
      <c r="BB29" s="2" t="str" cm="1">
        <f t="array" ref="BB29">IF('NILAI CPL'!$B29&lt;&gt;"",IFERROR(_xlfn.IFS(AE29&gt;='NILAI CPL'!$B$3,4,AE29&gt;='NILAI CPL'!$B$4,3,AE29&gt;='NILAI CPL'!$B$5,2,AE29&gt;'NILAI CPL'!$B$6,1),0),"")</f>
        <v/>
      </c>
      <c r="BC29" s="2" t="str" cm="1">
        <f t="array" ref="BC29">IF('NILAI CPL'!$B29&lt;&gt;"",IFERROR(_xlfn.IFS(AF29&gt;='NILAI CPL'!$B$3,4,AF29&gt;='NILAI CPL'!$B$4,3,AF29&gt;='NILAI CPL'!$B$5,2,AF29&gt;'NILAI CPL'!$B$6,1),0),"")</f>
        <v/>
      </c>
      <c r="BD29" s="2" t="str" cm="1">
        <f t="array" ref="BD29">IF('NILAI CPL'!$B29&lt;&gt;"",IFERROR(_xlfn.IFS(AG29&gt;='NILAI CPL'!$B$3,4,AG29&gt;='NILAI CPL'!$B$4,3,AG29&gt;='NILAI CPL'!$B$5,2,AG29&gt;'NILAI CPL'!$B$6,1),0),"")</f>
        <v/>
      </c>
      <c r="BE29" s="2" t="str" cm="1">
        <f t="array" ref="BE29">IF('NILAI CPL'!$B29&lt;&gt;"",IFERROR(_xlfn.IFS(AH29&gt;='NILAI CPL'!$B$3,4,AH29&gt;='NILAI CPL'!$B$4,3,AH29&gt;='NILAI CPL'!$B$5,2,AH29&gt;'NILAI CPL'!$B$6,1),0),"")</f>
        <v/>
      </c>
      <c r="BF29" s="2" t="str" cm="1">
        <f t="array" ref="BF29">IF('NILAI CPL'!$B29&lt;&gt;"",IFERROR(_xlfn.IFS(AI29&gt;='NILAI CPL'!$B$3,4,AI29&gt;='NILAI CPL'!$B$4,3,AI29&gt;='NILAI CPL'!$B$5,2,AI29&gt;'NILAI CPL'!$B$6,1),0),"")</f>
        <v/>
      </c>
      <c r="BG29" s="2" t="str" cm="1">
        <f t="array" ref="BG29">IF('NILAI CPL'!$B29&lt;&gt;"",IFERROR(_xlfn.IFS(AJ29&gt;='NILAI CPL'!$B$3,4,AJ29&gt;='NILAI CPL'!$B$4,3,AJ29&gt;='NILAI CPL'!$B$5,2,AJ29&gt;'NILAI CPL'!$B$6,1),0),"")</f>
        <v/>
      </c>
      <c r="BH29" s="2" t="str" cm="1">
        <f t="array" ref="BH29">IF('NILAI CPL'!$B29&lt;&gt;"",IFERROR(_xlfn.IFS(AK29&gt;='NILAI CPL'!$B$3,4,AK29&gt;='NILAI CPL'!$B$4,3,AK29&gt;='NILAI CPL'!$B$5,2,AK29&gt;'NILAI CPL'!$B$6,1),0),"")</f>
        <v/>
      </c>
      <c r="BI29" s="2" t="str" cm="1">
        <f t="array" ref="BI29">IF('NILAI CPL'!$B29&lt;&gt;"",IFERROR(_xlfn.IFS(AL29&gt;='NILAI CPL'!$B$3,4,AL29&gt;='NILAI CPL'!$B$4,3,AL29&gt;='NILAI CPL'!$B$5,2,AL29&gt;'NILAI CPL'!$B$6,1),0),"")</f>
        <v/>
      </c>
      <c r="BJ29" s="2" t="str" cm="1">
        <f t="array" ref="BJ29">IF('NILAI CPL'!$B29&lt;&gt;"",IFERROR(_xlfn.IFS(AM29&gt;='NILAI CPL'!$B$3,4,AM29&gt;='NILAI CPL'!$B$4,3,AM29&gt;='NILAI CPL'!$B$5,2,AM29&gt;'NILAI CPL'!$B$6,1),0),"")</f>
        <v/>
      </c>
      <c r="BK29" s="2" t="str" cm="1">
        <f t="array" ref="BK29">IF('NILAI CPL'!$B29&lt;&gt;"",IFERROR(_xlfn.IFS(AN29&gt;='NILAI CPL'!$B$3,4,AN29&gt;='NILAI CPL'!$B$4,3,AN29&gt;='NILAI CPL'!$B$5,2,AN29&gt;'NILAI CPL'!$B$6,1),0),"")</f>
        <v/>
      </c>
    </row>
    <row r="30" spans="1:63" x14ac:dyDescent="0.2">
      <c r="A30" s="2">
        <v>20</v>
      </c>
      <c r="B30" s="2" t="str">
        <f>IF(LEN(SUMMARY!B30)&gt;0, SUMMARY!B30, "")</f>
        <v/>
      </c>
      <c r="C30" s="2" t="str">
        <f>IF(LEN(SUMMARY!C30)&gt;0, SUMMARY!C30, "")</f>
        <v/>
      </c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" t="str">
        <f t="shared" si="2"/>
        <v/>
      </c>
      <c r="S30" s="2" t="str">
        <f t="shared" si="3"/>
        <v/>
      </c>
      <c r="T30" s="2" t="str">
        <f t="shared" si="4"/>
        <v/>
      </c>
      <c r="U30" s="2" t="str">
        <f t="shared" si="5"/>
        <v/>
      </c>
      <c r="V30" s="2" t="str">
        <f t="shared" si="6"/>
        <v/>
      </c>
      <c r="W30" s="2" t="str">
        <f t="shared" si="7"/>
        <v/>
      </c>
      <c r="X30" s="2" t="str">
        <f t="shared" si="8"/>
        <v/>
      </c>
      <c r="Y30" s="2" t="str">
        <f t="shared" si="9"/>
        <v/>
      </c>
      <c r="Z30" s="2" t="str">
        <f t="shared" si="10"/>
        <v/>
      </c>
      <c r="AA30" s="2" t="str">
        <f t="shared" si="11"/>
        <v/>
      </c>
      <c r="AB30" s="2" t="str">
        <f t="shared" si="12"/>
        <v/>
      </c>
      <c r="AC30" s="2" t="str">
        <f t="shared" si="13"/>
        <v/>
      </c>
      <c r="AD30" s="2" t="str">
        <f t="shared" si="14"/>
        <v/>
      </c>
      <c r="AE30" s="2" t="str">
        <f t="shared" si="15"/>
        <v/>
      </c>
      <c r="AF30" s="2" t="str">
        <f t="shared" si="16"/>
        <v/>
      </c>
      <c r="AG30" s="2" t="str">
        <f t="shared" si="17"/>
        <v/>
      </c>
      <c r="AH30" s="2" t="str">
        <f t="shared" si="18"/>
        <v/>
      </c>
      <c r="AI30" s="2" t="str">
        <f t="shared" si="19"/>
        <v/>
      </c>
      <c r="AJ30" s="2" t="str">
        <f t="shared" si="20"/>
        <v/>
      </c>
      <c r="AK30" s="2" t="str">
        <f t="shared" si="21"/>
        <v/>
      </c>
      <c r="AL30" s="2" t="str">
        <f t="shared" si="22"/>
        <v/>
      </c>
      <c r="AM30" s="2" t="str">
        <f t="shared" si="23"/>
        <v/>
      </c>
      <c r="AN30" s="2" t="str">
        <f t="shared" si="24"/>
        <v/>
      </c>
      <c r="AP30" s="2" t="str" cm="1">
        <f t="array" ref="AP30">IF('NILAI CPL'!$B30&lt;&gt;"",IFERROR(_xlfn.IFS(S30&gt;='NILAI CPL'!$B$3,4,S30&gt;='NILAI CPL'!$B$4,3,S30&gt;='NILAI CPL'!$B$5,2,S30&gt;'NILAI CPL'!$B$6,1),0),"")</f>
        <v/>
      </c>
      <c r="AQ30" s="2" t="str" cm="1">
        <f t="array" ref="AQ30">IF('NILAI CPL'!$B30&lt;&gt;"",IFERROR(_xlfn.IFS(T30&gt;='NILAI CPL'!$B$3,4,T30&gt;='NILAI CPL'!$B$4,3,T30&gt;='NILAI CPL'!$B$5,2,T30&gt;'NILAI CPL'!$B$6,1),0),"")</f>
        <v/>
      </c>
      <c r="AR30" s="2" t="str" cm="1">
        <f t="array" ref="AR30">IF('NILAI CPL'!$B30&lt;&gt;"",IFERROR(_xlfn.IFS(U30&gt;='NILAI CPL'!$B$3,4,U30&gt;='NILAI CPL'!$B$4,3,U30&gt;='NILAI CPL'!$B$5,2,U30&gt;'NILAI CPL'!$B$6,1),0),"")</f>
        <v/>
      </c>
      <c r="AS30" s="2" t="str" cm="1">
        <f t="array" ref="AS30">IF('NILAI CPL'!$B30&lt;&gt;"",IFERROR(_xlfn.IFS(V30&gt;='NILAI CPL'!$B$3,4,V30&gt;='NILAI CPL'!$B$4,3,V30&gt;='NILAI CPL'!$B$5,2,V30&gt;'NILAI CPL'!$B$6,1),0),"")</f>
        <v/>
      </c>
      <c r="AT30" s="2" t="str" cm="1">
        <f t="array" ref="AT30">IF('NILAI CPL'!$B30&lt;&gt;"",IFERROR(_xlfn.IFS(W30&gt;='NILAI CPL'!$B$3,4,W30&gt;='NILAI CPL'!$B$4,3,W30&gt;='NILAI CPL'!$B$5,2,W30&gt;'NILAI CPL'!$B$6,1),0),"")</f>
        <v/>
      </c>
      <c r="AU30" s="2" t="str" cm="1">
        <f t="array" ref="AU30">IF('NILAI CPL'!$B30&lt;&gt;"",IFERROR(_xlfn.IFS(X30&gt;='NILAI CPL'!$B$3,4,X30&gt;='NILAI CPL'!$B$4,3,X30&gt;='NILAI CPL'!$B$5,2,X30&gt;'NILAI CPL'!$B$6,1),0),"")</f>
        <v/>
      </c>
      <c r="AV30" s="2" t="str" cm="1">
        <f t="array" ref="AV30">IF('NILAI CPL'!$B30&lt;&gt;"",IFERROR(_xlfn.IFS(Y30&gt;='NILAI CPL'!$B$3,4,Y30&gt;='NILAI CPL'!$B$4,3,Y30&gt;='NILAI CPL'!$B$5,2,Y30&gt;'NILAI CPL'!$B$6,1),0),"")</f>
        <v/>
      </c>
      <c r="AW30" s="2" t="str" cm="1">
        <f t="array" ref="AW30">IF('NILAI CPL'!$B30&lt;&gt;"",IFERROR(_xlfn.IFS(Z30&gt;='NILAI CPL'!$B$3,4,Z30&gt;='NILAI CPL'!$B$4,3,Z30&gt;='NILAI CPL'!$B$5,2,Z30&gt;'NILAI CPL'!$B$6,1),0),"")</f>
        <v/>
      </c>
      <c r="AX30" s="2" t="str" cm="1">
        <f t="array" ref="AX30">IF('NILAI CPL'!$B30&lt;&gt;"",IFERROR(_xlfn.IFS(AA30&gt;='NILAI CPL'!$B$3,4,AA30&gt;='NILAI CPL'!$B$4,3,AA30&gt;='NILAI CPL'!$B$5,2,AA30&gt;'NILAI CPL'!$B$6,1),0),"")</f>
        <v/>
      </c>
      <c r="AY30" s="2" t="str" cm="1">
        <f t="array" ref="AY30">IF('NILAI CPL'!$B30&lt;&gt;"",IFERROR(_xlfn.IFS(AB30&gt;='NILAI CPL'!$B$3,4,AB30&gt;='NILAI CPL'!$B$4,3,AB30&gt;='NILAI CPL'!$B$5,2,AB30&gt;'NILAI CPL'!$B$6,1),0),"")</f>
        <v/>
      </c>
      <c r="AZ30" s="2" t="str" cm="1">
        <f t="array" ref="AZ30">IF('NILAI CPL'!$B30&lt;&gt;"",IFERROR(_xlfn.IFS(AC30&gt;='NILAI CPL'!$B$3,4,AC30&gt;='NILAI CPL'!$B$4,3,AC30&gt;='NILAI CPL'!$B$5,2,AC30&gt;'NILAI CPL'!$B$6,1),0),"")</f>
        <v/>
      </c>
      <c r="BA30" s="2" t="str" cm="1">
        <f t="array" ref="BA30">IF('NILAI CPL'!$B30&lt;&gt;"",IFERROR(_xlfn.IFS(AD30&gt;='NILAI CPL'!$B$3,4,AD30&gt;='NILAI CPL'!$B$4,3,AD30&gt;='NILAI CPL'!$B$5,2,AD30&gt;'NILAI CPL'!$B$6,1),0),"")</f>
        <v/>
      </c>
      <c r="BB30" s="2" t="str" cm="1">
        <f t="array" ref="BB30">IF('NILAI CPL'!$B30&lt;&gt;"",IFERROR(_xlfn.IFS(AE30&gt;='NILAI CPL'!$B$3,4,AE30&gt;='NILAI CPL'!$B$4,3,AE30&gt;='NILAI CPL'!$B$5,2,AE30&gt;'NILAI CPL'!$B$6,1),0),"")</f>
        <v/>
      </c>
      <c r="BC30" s="2" t="str" cm="1">
        <f t="array" ref="BC30">IF('NILAI CPL'!$B30&lt;&gt;"",IFERROR(_xlfn.IFS(AF30&gt;='NILAI CPL'!$B$3,4,AF30&gt;='NILAI CPL'!$B$4,3,AF30&gt;='NILAI CPL'!$B$5,2,AF30&gt;'NILAI CPL'!$B$6,1),0),"")</f>
        <v/>
      </c>
      <c r="BD30" s="2" t="str" cm="1">
        <f t="array" ref="BD30">IF('NILAI CPL'!$B30&lt;&gt;"",IFERROR(_xlfn.IFS(AG30&gt;='NILAI CPL'!$B$3,4,AG30&gt;='NILAI CPL'!$B$4,3,AG30&gt;='NILAI CPL'!$B$5,2,AG30&gt;'NILAI CPL'!$B$6,1),0),"")</f>
        <v/>
      </c>
      <c r="BE30" s="2" t="str" cm="1">
        <f t="array" ref="BE30">IF('NILAI CPL'!$B30&lt;&gt;"",IFERROR(_xlfn.IFS(AH30&gt;='NILAI CPL'!$B$3,4,AH30&gt;='NILAI CPL'!$B$4,3,AH30&gt;='NILAI CPL'!$B$5,2,AH30&gt;'NILAI CPL'!$B$6,1),0),"")</f>
        <v/>
      </c>
      <c r="BF30" s="2" t="str" cm="1">
        <f t="array" ref="BF30">IF('NILAI CPL'!$B30&lt;&gt;"",IFERROR(_xlfn.IFS(AI30&gt;='NILAI CPL'!$B$3,4,AI30&gt;='NILAI CPL'!$B$4,3,AI30&gt;='NILAI CPL'!$B$5,2,AI30&gt;'NILAI CPL'!$B$6,1),0),"")</f>
        <v/>
      </c>
      <c r="BG30" s="2" t="str" cm="1">
        <f t="array" ref="BG30">IF('NILAI CPL'!$B30&lt;&gt;"",IFERROR(_xlfn.IFS(AJ30&gt;='NILAI CPL'!$B$3,4,AJ30&gt;='NILAI CPL'!$B$4,3,AJ30&gt;='NILAI CPL'!$B$5,2,AJ30&gt;'NILAI CPL'!$B$6,1),0),"")</f>
        <v/>
      </c>
      <c r="BH30" s="2" t="str" cm="1">
        <f t="array" ref="BH30">IF('NILAI CPL'!$B30&lt;&gt;"",IFERROR(_xlfn.IFS(AK30&gt;='NILAI CPL'!$B$3,4,AK30&gt;='NILAI CPL'!$B$4,3,AK30&gt;='NILAI CPL'!$B$5,2,AK30&gt;'NILAI CPL'!$B$6,1),0),"")</f>
        <v/>
      </c>
      <c r="BI30" s="2" t="str" cm="1">
        <f t="array" ref="BI30">IF('NILAI CPL'!$B30&lt;&gt;"",IFERROR(_xlfn.IFS(AL30&gt;='NILAI CPL'!$B$3,4,AL30&gt;='NILAI CPL'!$B$4,3,AL30&gt;='NILAI CPL'!$B$5,2,AL30&gt;'NILAI CPL'!$B$6,1),0),"")</f>
        <v/>
      </c>
      <c r="BJ30" s="2" t="str" cm="1">
        <f t="array" ref="BJ30">IF('NILAI CPL'!$B30&lt;&gt;"",IFERROR(_xlfn.IFS(AM30&gt;='NILAI CPL'!$B$3,4,AM30&gt;='NILAI CPL'!$B$4,3,AM30&gt;='NILAI CPL'!$B$5,2,AM30&gt;'NILAI CPL'!$B$6,1),0),"")</f>
        <v/>
      </c>
      <c r="BK30" s="2" t="str" cm="1">
        <f t="array" ref="BK30">IF('NILAI CPL'!$B30&lt;&gt;"",IFERROR(_xlfn.IFS(AN30&gt;='NILAI CPL'!$B$3,4,AN30&gt;='NILAI CPL'!$B$4,3,AN30&gt;='NILAI CPL'!$B$5,2,AN30&gt;'NILAI CPL'!$B$6,1),0),"")</f>
        <v/>
      </c>
    </row>
    <row r="31" spans="1:63" x14ac:dyDescent="0.2">
      <c r="A31" s="2">
        <v>21</v>
      </c>
      <c r="B31" s="2" t="str">
        <f>IF(LEN(SUMMARY!B31)&gt;0, SUMMARY!B31, "")</f>
        <v/>
      </c>
      <c r="C31" s="2" t="str">
        <f>IF(LEN(SUMMARY!C31)&gt;0, SUMMARY!C31, "")</f>
        <v/>
      </c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" t="str">
        <f t="shared" si="2"/>
        <v/>
      </c>
      <c r="S31" s="2" t="str">
        <f t="shared" si="3"/>
        <v/>
      </c>
      <c r="T31" s="2" t="str">
        <f t="shared" si="4"/>
        <v/>
      </c>
      <c r="U31" s="2" t="str">
        <f t="shared" si="5"/>
        <v/>
      </c>
      <c r="V31" s="2" t="str">
        <f t="shared" si="6"/>
        <v/>
      </c>
      <c r="W31" s="2" t="str">
        <f t="shared" si="7"/>
        <v/>
      </c>
      <c r="X31" s="2" t="str">
        <f t="shared" si="8"/>
        <v/>
      </c>
      <c r="Y31" s="2" t="str">
        <f t="shared" si="9"/>
        <v/>
      </c>
      <c r="Z31" s="2" t="str">
        <f t="shared" si="10"/>
        <v/>
      </c>
      <c r="AA31" s="2" t="str">
        <f t="shared" si="11"/>
        <v/>
      </c>
      <c r="AB31" s="2" t="str">
        <f t="shared" si="12"/>
        <v/>
      </c>
      <c r="AC31" s="2" t="str">
        <f t="shared" si="13"/>
        <v/>
      </c>
      <c r="AD31" s="2" t="str">
        <f t="shared" si="14"/>
        <v/>
      </c>
      <c r="AE31" s="2" t="str">
        <f t="shared" si="15"/>
        <v/>
      </c>
      <c r="AF31" s="2" t="str">
        <f t="shared" si="16"/>
        <v/>
      </c>
      <c r="AG31" s="2" t="str">
        <f t="shared" si="17"/>
        <v/>
      </c>
      <c r="AH31" s="2" t="str">
        <f t="shared" si="18"/>
        <v/>
      </c>
      <c r="AI31" s="2" t="str">
        <f t="shared" si="19"/>
        <v/>
      </c>
      <c r="AJ31" s="2" t="str">
        <f t="shared" si="20"/>
        <v/>
      </c>
      <c r="AK31" s="2" t="str">
        <f t="shared" si="21"/>
        <v/>
      </c>
      <c r="AL31" s="2" t="str">
        <f t="shared" si="22"/>
        <v/>
      </c>
      <c r="AM31" s="2" t="str">
        <f t="shared" si="23"/>
        <v/>
      </c>
      <c r="AN31" s="2" t="str">
        <f t="shared" si="24"/>
        <v/>
      </c>
      <c r="AP31" s="2" t="str" cm="1">
        <f t="array" ref="AP31">IF('NILAI CPL'!$B31&lt;&gt;"",IFERROR(_xlfn.IFS(S31&gt;='NILAI CPL'!$B$3,4,S31&gt;='NILAI CPL'!$B$4,3,S31&gt;='NILAI CPL'!$B$5,2,S31&gt;'NILAI CPL'!$B$6,1),0),"")</f>
        <v/>
      </c>
      <c r="AQ31" s="2" t="str" cm="1">
        <f t="array" ref="AQ31">IF('NILAI CPL'!$B31&lt;&gt;"",IFERROR(_xlfn.IFS(T31&gt;='NILAI CPL'!$B$3,4,T31&gt;='NILAI CPL'!$B$4,3,T31&gt;='NILAI CPL'!$B$5,2,T31&gt;'NILAI CPL'!$B$6,1),0),"")</f>
        <v/>
      </c>
      <c r="AR31" s="2" t="str" cm="1">
        <f t="array" ref="AR31">IF('NILAI CPL'!$B31&lt;&gt;"",IFERROR(_xlfn.IFS(U31&gt;='NILAI CPL'!$B$3,4,U31&gt;='NILAI CPL'!$B$4,3,U31&gt;='NILAI CPL'!$B$5,2,U31&gt;'NILAI CPL'!$B$6,1),0),"")</f>
        <v/>
      </c>
      <c r="AS31" s="2" t="str" cm="1">
        <f t="array" ref="AS31">IF('NILAI CPL'!$B31&lt;&gt;"",IFERROR(_xlfn.IFS(V31&gt;='NILAI CPL'!$B$3,4,V31&gt;='NILAI CPL'!$B$4,3,V31&gt;='NILAI CPL'!$B$5,2,V31&gt;'NILAI CPL'!$B$6,1),0),"")</f>
        <v/>
      </c>
      <c r="AT31" s="2" t="str" cm="1">
        <f t="array" ref="AT31">IF('NILAI CPL'!$B31&lt;&gt;"",IFERROR(_xlfn.IFS(W31&gt;='NILAI CPL'!$B$3,4,W31&gt;='NILAI CPL'!$B$4,3,W31&gt;='NILAI CPL'!$B$5,2,W31&gt;'NILAI CPL'!$B$6,1),0),"")</f>
        <v/>
      </c>
      <c r="AU31" s="2" t="str" cm="1">
        <f t="array" ref="AU31">IF('NILAI CPL'!$B31&lt;&gt;"",IFERROR(_xlfn.IFS(X31&gt;='NILAI CPL'!$B$3,4,X31&gt;='NILAI CPL'!$B$4,3,X31&gt;='NILAI CPL'!$B$5,2,X31&gt;'NILAI CPL'!$B$6,1),0),"")</f>
        <v/>
      </c>
      <c r="AV31" s="2" t="str" cm="1">
        <f t="array" ref="AV31">IF('NILAI CPL'!$B31&lt;&gt;"",IFERROR(_xlfn.IFS(Y31&gt;='NILAI CPL'!$B$3,4,Y31&gt;='NILAI CPL'!$B$4,3,Y31&gt;='NILAI CPL'!$B$5,2,Y31&gt;'NILAI CPL'!$B$6,1),0),"")</f>
        <v/>
      </c>
      <c r="AW31" s="2" t="str" cm="1">
        <f t="array" ref="AW31">IF('NILAI CPL'!$B31&lt;&gt;"",IFERROR(_xlfn.IFS(Z31&gt;='NILAI CPL'!$B$3,4,Z31&gt;='NILAI CPL'!$B$4,3,Z31&gt;='NILAI CPL'!$B$5,2,Z31&gt;'NILAI CPL'!$B$6,1),0),"")</f>
        <v/>
      </c>
      <c r="AX31" s="2" t="str" cm="1">
        <f t="array" ref="AX31">IF('NILAI CPL'!$B31&lt;&gt;"",IFERROR(_xlfn.IFS(AA31&gt;='NILAI CPL'!$B$3,4,AA31&gt;='NILAI CPL'!$B$4,3,AA31&gt;='NILAI CPL'!$B$5,2,AA31&gt;'NILAI CPL'!$B$6,1),0),"")</f>
        <v/>
      </c>
      <c r="AY31" s="2" t="str" cm="1">
        <f t="array" ref="AY31">IF('NILAI CPL'!$B31&lt;&gt;"",IFERROR(_xlfn.IFS(AB31&gt;='NILAI CPL'!$B$3,4,AB31&gt;='NILAI CPL'!$B$4,3,AB31&gt;='NILAI CPL'!$B$5,2,AB31&gt;'NILAI CPL'!$B$6,1),0),"")</f>
        <v/>
      </c>
      <c r="AZ31" s="2" t="str" cm="1">
        <f t="array" ref="AZ31">IF('NILAI CPL'!$B31&lt;&gt;"",IFERROR(_xlfn.IFS(AC31&gt;='NILAI CPL'!$B$3,4,AC31&gt;='NILAI CPL'!$B$4,3,AC31&gt;='NILAI CPL'!$B$5,2,AC31&gt;'NILAI CPL'!$B$6,1),0),"")</f>
        <v/>
      </c>
      <c r="BA31" s="2" t="str" cm="1">
        <f t="array" ref="BA31">IF('NILAI CPL'!$B31&lt;&gt;"",IFERROR(_xlfn.IFS(AD31&gt;='NILAI CPL'!$B$3,4,AD31&gt;='NILAI CPL'!$B$4,3,AD31&gt;='NILAI CPL'!$B$5,2,AD31&gt;'NILAI CPL'!$B$6,1),0),"")</f>
        <v/>
      </c>
      <c r="BB31" s="2" t="str" cm="1">
        <f t="array" ref="BB31">IF('NILAI CPL'!$B31&lt;&gt;"",IFERROR(_xlfn.IFS(AE31&gt;='NILAI CPL'!$B$3,4,AE31&gt;='NILAI CPL'!$B$4,3,AE31&gt;='NILAI CPL'!$B$5,2,AE31&gt;'NILAI CPL'!$B$6,1),0),"")</f>
        <v/>
      </c>
      <c r="BC31" s="2" t="str" cm="1">
        <f t="array" ref="BC31">IF('NILAI CPL'!$B31&lt;&gt;"",IFERROR(_xlfn.IFS(AF31&gt;='NILAI CPL'!$B$3,4,AF31&gt;='NILAI CPL'!$B$4,3,AF31&gt;='NILAI CPL'!$B$5,2,AF31&gt;'NILAI CPL'!$B$6,1),0),"")</f>
        <v/>
      </c>
      <c r="BD31" s="2" t="str" cm="1">
        <f t="array" ref="BD31">IF('NILAI CPL'!$B31&lt;&gt;"",IFERROR(_xlfn.IFS(AG31&gt;='NILAI CPL'!$B$3,4,AG31&gt;='NILAI CPL'!$B$4,3,AG31&gt;='NILAI CPL'!$B$5,2,AG31&gt;'NILAI CPL'!$B$6,1),0),"")</f>
        <v/>
      </c>
      <c r="BE31" s="2" t="str" cm="1">
        <f t="array" ref="BE31">IF('NILAI CPL'!$B31&lt;&gt;"",IFERROR(_xlfn.IFS(AH31&gt;='NILAI CPL'!$B$3,4,AH31&gt;='NILAI CPL'!$B$4,3,AH31&gt;='NILAI CPL'!$B$5,2,AH31&gt;'NILAI CPL'!$B$6,1),0),"")</f>
        <v/>
      </c>
      <c r="BF31" s="2" t="str" cm="1">
        <f t="array" ref="BF31">IF('NILAI CPL'!$B31&lt;&gt;"",IFERROR(_xlfn.IFS(AI31&gt;='NILAI CPL'!$B$3,4,AI31&gt;='NILAI CPL'!$B$4,3,AI31&gt;='NILAI CPL'!$B$5,2,AI31&gt;'NILAI CPL'!$B$6,1),0),"")</f>
        <v/>
      </c>
      <c r="BG31" s="2" t="str" cm="1">
        <f t="array" ref="BG31">IF('NILAI CPL'!$B31&lt;&gt;"",IFERROR(_xlfn.IFS(AJ31&gt;='NILAI CPL'!$B$3,4,AJ31&gt;='NILAI CPL'!$B$4,3,AJ31&gt;='NILAI CPL'!$B$5,2,AJ31&gt;'NILAI CPL'!$B$6,1),0),"")</f>
        <v/>
      </c>
      <c r="BH31" s="2" t="str" cm="1">
        <f t="array" ref="BH31">IF('NILAI CPL'!$B31&lt;&gt;"",IFERROR(_xlfn.IFS(AK31&gt;='NILAI CPL'!$B$3,4,AK31&gt;='NILAI CPL'!$B$4,3,AK31&gt;='NILAI CPL'!$B$5,2,AK31&gt;'NILAI CPL'!$B$6,1),0),"")</f>
        <v/>
      </c>
      <c r="BI31" s="2" t="str" cm="1">
        <f t="array" ref="BI31">IF('NILAI CPL'!$B31&lt;&gt;"",IFERROR(_xlfn.IFS(AL31&gt;='NILAI CPL'!$B$3,4,AL31&gt;='NILAI CPL'!$B$4,3,AL31&gt;='NILAI CPL'!$B$5,2,AL31&gt;'NILAI CPL'!$B$6,1),0),"")</f>
        <v/>
      </c>
      <c r="BJ31" s="2" t="str" cm="1">
        <f t="array" ref="BJ31">IF('NILAI CPL'!$B31&lt;&gt;"",IFERROR(_xlfn.IFS(AM31&gt;='NILAI CPL'!$B$3,4,AM31&gt;='NILAI CPL'!$B$4,3,AM31&gt;='NILAI CPL'!$B$5,2,AM31&gt;'NILAI CPL'!$B$6,1),0),"")</f>
        <v/>
      </c>
      <c r="BK31" s="2" t="str" cm="1">
        <f t="array" ref="BK31">IF('NILAI CPL'!$B31&lt;&gt;"",IFERROR(_xlfn.IFS(AN31&gt;='NILAI CPL'!$B$3,4,AN31&gt;='NILAI CPL'!$B$4,3,AN31&gt;='NILAI CPL'!$B$5,2,AN31&gt;'NILAI CPL'!$B$6,1),0),"")</f>
        <v/>
      </c>
    </row>
    <row r="32" spans="1:63" x14ac:dyDescent="0.2">
      <c r="A32" s="2">
        <v>22</v>
      </c>
      <c r="B32" s="2" t="str">
        <f>IF(LEN(SUMMARY!B32)&gt;0, SUMMARY!B32, "")</f>
        <v/>
      </c>
      <c r="C32" s="2" t="str">
        <f>IF(LEN(SUMMARY!C32)&gt;0, SUMMARY!C32, "")</f>
        <v/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" t="str">
        <f t="shared" si="2"/>
        <v/>
      </c>
      <c r="S32" s="2" t="str">
        <f t="shared" si="3"/>
        <v/>
      </c>
      <c r="T32" s="2" t="str">
        <f t="shared" si="4"/>
        <v/>
      </c>
      <c r="U32" s="2" t="str">
        <f t="shared" si="5"/>
        <v/>
      </c>
      <c r="V32" s="2" t="str">
        <f t="shared" si="6"/>
        <v/>
      </c>
      <c r="W32" s="2" t="str">
        <f t="shared" si="7"/>
        <v/>
      </c>
      <c r="X32" s="2" t="str">
        <f t="shared" si="8"/>
        <v/>
      </c>
      <c r="Y32" s="2" t="str">
        <f t="shared" si="9"/>
        <v/>
      </c>
      <c r="Z32" s="2" t="str">
        <f t="shared" si="10"/>
        <v/>
      </c>
      <c r="AA32" s="2" t="str">
        <f t="shared" si="11"/>
        <v/>
      </c>
      <c r="AB32" s="2" t="str">
        <f t="shared" si="12"/>
        <v/>
      </c>
      <c r="AC32" s="2" t="str">
        <f t="shared" si="13"/>
        <v/>
      </c>
      <c r="AD32" s="2" t="str">
        <f t="shared" si="14"/>
        <v/>
      </c>
      <c r="AE32" s="2" t="str">
        <f t="shared" si="15"/>
        <v/>
      </c>
      <c r="AF32" s="2" t="str">
        <f t="shared" si="16"/>
        <v/>
      </c>
      <c r="AG32" s="2" t="str">
        <f t="shared" si="17"/>
        <v/>
      </c>
      <c r="AH32" s="2" t="str">
        <f t="shared" si="18"/>
        <v/>
      </c>
      <c r="AI32" s="2" t="str">
        <f t="shared" si="19"/>
        <v/>
      </c>
      <c r="AJ32" s="2" t="str">
        <f t="shared" si="20"/>
        <v/>
      </c>
      <c r="AK32" s="2" t="str">
        <f t="shared" si="21"/>
        <v/>
      </c>
      <c r="AL32" s="2" t="str">
        <f t="shared" si="22"/>
        <v/>
      </c>
      <c r="AM32" s="2" t="str">
        <f t="shared" si="23"/>
        <v/>
      </c>
      <c r="AN32" s="2" t="str">
        <f t="shared" si="24"/>
        <v/>
      </c>
      <c r="AP32" s="2" t="str" cm="1">
        <f t="array" ref="AP32">IF('NILAI CPL'!$B32&lt;&gt;"",IFERROR(_xlfn.IFS(S32&gt;='NILAI CPL'!$B$3,4,S32&gt;='NILAI CPL'!$B$4,3,S32&gt;='NILAI CPL'!$B$5,2,S32&gt;'NILAI CPL'!$B$6,1),0),"")</f>
        <v/>
      </c>
      <c r="AQ32" s="2" t="str" cm="1">
        <f t="array" ref="AQ32">IF('NILAI CPL'!$B32&lt;&gt;"",IFERROR(_xlfn.IFS(T32&gt;='NILAI CPL'!$B$3,4,T32&gt;='NILAI CPL'!$B$4,3,T32&gt;='NILAI CPL'!$B$5,2,T32&gt;'NILAI CPL'!$B$6,1),0),"")</f>
        <v/>
      </c>
      <c r="AR32" s="2" t="str" cm="1">
        <f t="array" ref="AR32">IF('NILAI CPL'!$B32&lt;&gt;"",IFERROR(_xlfn.IFS(U32&gt;='NILAI CPL'!$B$3,4,U32&gt;='NILAI CPL'!$B$4,3,U32&gt;='NILAI CPL'!$B$5,2,U32&gt;'NILAI CPL'!$B$6,1),0),"")</f>
        <v/>
      </c>
      <c r="AS32" s="2" t="str" cm="1">
        <f t="array" ref="AS32">IF('NILAI CPL'!$B32&lt;&gt;"",IFERROR(_xlfn.IFS(V32&gt;='NILAI CPL'!$B$3,4,V32&gt;='NILAI CPL'!$B$4,3,V32&gt;='NILAI CPL'!$B$5,2,V32&gt;'NILAI CPL'!$B$6,1),0),"")</f>
        <v/>
      </c>
      <c r="AT32" s="2" t="str" cm="1">
        <f t="array" ref="AT32">IF('NILAI CPL'!$B32&lt;&gt;"",IFERROR(_xlfn.IFS(W32&gt;='NILAI CPL'!$B$3,4,W32&gt;='NILAI CPL'!$B$4,3,W32&gt;='NILAI CPL'!$B$5,2,W32&gt;'NILAI CPL'!$B$6,1),0),"")</f>
        <v/>
      </c>
      <c r="AU32" s="2" t="str" cm="1">
        <f t="array" ref="AU32">IF('NILAI CPL'!$B32&lt;&gt;"",IFERROR(_xlfn.IFS(X32&gt;='NILAI CPL'!$B$3,4,X32&gt;='NILAI CPL'!$B$4,3,X32&gt;='NILAI CPL'!$B$5,2,X32&gt;'NILAI CPL'!$B$6,1),0),"")</f>
        <v/>
      </c>
      <c r="AV32" s="2" t="str" cm="1">
        <f t="array" ref="AV32">IF('NILAI CPL'!$B32&lt;&gt;"",IFERROR(_xlfn.IFS(Y32&gt;='NILAI CPL'!$B$3,4,Y32&gt;='NILAI CPL'!$B$4,3,Y32&gt;='NILAI CPL'!$B$5,2,Y32&gt;'NILAI CPL'!$B$6,1),0),"")</f>
        <v/>
      </c>
      <c r="AW32" s="2" t="str" cm="1">
        <f t="array" ref="AW32">IF('NILAI CPL'!$B32&lt;&gt;"",IFERROR(_xlfn.IFS(Z32&gt;='NILAI CPL'!$B$3,4,Z32&gt;='NILAI CPL'!$B$4,3,Z32&gt;='NILAI CPL'!$B$5,2,Z32&gt;'NILAI CPL'!$B$6,1),0),"")</f>
        <v/>
      </c>
      <c r="AX32" s="2" t="str" cm="1">
        <f t="array" ref="AX32">IF('NILAI CPL'!$B32&lt;&gt;"",IFERROR(_xlfn.IFS(AA32&gt;='NILAI CPL'!$B$3,4,AA32&gt;='NILAI CPL'!$B$4,3,AA32&gt;='NILAI CPL'!$B$5,2,AA32&gt;'NILAI CPL'!$B$6,1),0),"")</f>
        <v/>
      </c>
      <c r="AY32" s="2" t="str" cm="1">
        <f t="array" ref="AY32">IF('NILAI CPL'!$B32&lt;&gt;"",IFERROR(_xlfn.IFS(AB32&gt;='NILAI CPL'!$B$3,4,AB32&gt;='NILAI CPL'!$B$4,3,AB32&gt;='NILAI CPL'!$B$5,2,AB32&gt;'NILAI CPL'!$B$6,1),0),"")</f>
        <v/>
      </c>
      <c r="AZ32" s="2" t="str" cm="1">
        <f t="array" ref="AZ32">IF('NILAI CPL'!$B32&lt;&gt;"",IFERROR(_xlfn.IFS(AC32&gt;='NILAI CPL'!$B$3,4,AC32&gt;='NILAI CPL'!$B$4,3,AC32&gt;='NILAI CPL'!$B$5,2,AC32&gt;'NILAI CPL'!$B$6,1),0),"")</f>
        <v/>
      </c>
      <c r="BA32" s="2" t="str" cm="1">
        <f t="array" ref="BA32">IF('NILAI CPL'!$B32&lt;&gt;"",IFERROR(_xlfn.IFS(AD32&gt;='NILAI CPL'!$B$3,4,AD32&gt;='NILAI CPL'!$B$4,3,AD32&gt;='NILAI CPL'!$B$5,2,AD32&gt;'NILAI CPL'!$B$6,1),0),"")</f>
        <v/>
      </c>
      <c r="BB32" s="2" t="str" cm="1">
        <f t="array" ref="BB32">IF('NILAI CPL'!$B32&lt;&gt;"",IFERROR(_xlfn.IFS(AE32&gt;='NILAI CPL'!$B$3,4,AE32&gt;='NILAI CPL'!$B$4,3,AE32&gt;='NILAI CPL'!$B$5,2,AE32&gt;'NILAI CPL'!$B$6,1),0),"")</f>
        <v/>
      </c>
      <c r="BC32" s="2" t="str" cm="1">
        <f t="array" ref="BC32">IF('NILAI CPL'!$B32&lt;&gt;"",IFERROR(_xlfn.IFS(AF32&gt;='NILAI CPL'!$B$3,4,AF32&gt;='NILAI CPL'!$B$4,3,AF32&gt;='NILAI CPL'!$B$5,2,AF32&gt;'NILAI CPL'!$B$6,1),0),"")</f>
        <v/>
      </c>
      <c r="BD32" s="2" t="str" cm="1">
        <f t="array" ref="BD32">IF('NILAI CPL'!$B32&lt;&gt;"",IFERROR(_xlfn.IFS(AG32&gt;='NILAI CPL'!$B$3,4,AG32&gt;='NILAI CPL'!$B$4,3,AG32&gt;='NILAI CPL'!$B$5,2,AG32&gt;'NILAI CPL'!$B$6,1),0),"")</f>
        <v/>
      </c>
      <c r="BE32" s="2" t="str" cm="1">
        <f t="array" ref="BE32">IF('NILAI CPL'!$B32&lt;&gt;"",IFERROR(_xlfn.IFS(AH32&gt;='NILAI CPL'!$B$3,4,AH32&gt;='NILAI CPL'!$B$4,3,AH32&gt;='NILAI CPL'!$B$5,2,AH32&gt;'NILAI CPL'!$B$6,1),0),"")</f>
        <v/>
      </c>
      <c r="BF32" s="2" t="str" cm="1">
        <f t="array" ref="BF32">IF('NILAI CPL'!$B32&lt;&gt;"",IFERROR(_xlfn.IFS(AI32&gt;='NILAI CPL'!$B$3,4,AI32&gt;='NILAI CPL'!$B$4,3,AI32&gt;='NILAI CPL'!$B$5,2,AI32&gt;'NILAI CPL'!$B$6,1),0),"")</f>
        <v/>
      </c>
      <c r="BG32" s="2" t="str" cm="1">
        <f t="array" ref="BG32">IF('NILAI CPL'!$B32&lt;&gt;"",IFERROR(_xlfn.IFS(AJ32&gt;='NILAI CPL'!$B$3,4,AJ32&gt;='NILAI CPL'!$B$4,3,AJ32&gt;='NILAI CPL'!$B$5,2,AJ32&gt;'NILAI CPL'!$B$6,1),0),"")</f>
        <v/>
      </c>
      <c r="BH32" s="2" t="str" cm="1">
        <f t="array" ref="BH32">IF('NILAI CPL'!$B32&lt;&gt;"",IFERROR(_xlfn.IFS(AK32&gt;='NILAI CPL'!$B$3,4,AK32&gt;='NILAI CPL'!$B$4,3,AK32&gt;='NILAI CPL'!$B$5,2,AK32&gt;'NILAI CPL'!$B$6,1),0),"")</f>
        <v/>
      </c>
      <c r="BI32" s="2" t="str" cm="1">
        <f t="array" ref="BI32">IF('NILAI CPL'!$B32&lt;&gt;"",IFERROR(_xlfn.IFS(AL32&gt;='NILAI CPL'!$B$3,4,AL32&gt;='NILAI CPL'!$B$4,3,AL32&gt;='NILAI CPL'!$B$5,2,AL32&gt;'NILAI CPL'!$B$6,1),0),"")</f>
        <v/>
      </c>
      <c r="BJ32" s="2" t="str" cm="1">
        <f t="array" ref="BJ32">IF('NILAI CPL'!$B32&lt;&gt;"",IFERROR(_xlfn.IFS(AM32&gt;='NILAI CPL'!$B$3,4,AM32&gt;='NILAI CPL'!$B$4,3,AM32&gt;='NILAI CPL'!$B$5,2,AM32&gt;'NILAI CPL'!$B$6,1),0),"")</f>
        <v/>
      </c>
      <c r="BK32" s="2" t="str" cm="1">
        <f t="array" ref="BK32">IF('NILAI CPL'!$B32&lt;&gt;"",IFERROR(_xlfn.IFS(AN32&gt;='NILAI CPL'!$B$3,4,AN32&gt;='NILAI CPL'!$B$4,3,AN32&gt;='NILAI CPL'!$B$5,2,AN32&gt;'NILAI CPL'!$B$6,1),0),"")</f>
        <v/>
      </c>
    </row>
    <row r="33" spans="1:63" x14ac:dyDescent="0.2">
      <c r="A33" s="2">
        <v>23</v>
      </c>
      <c r="B33" s="2" t="str">
        <f>IF(LEN(SUMMARY!B33)&gt;0, SUMMARY!B33, "")</f>
        <v/>
      </c>
      <c r="C33" s="2" t="str">
        <f>IF(LEN(SUMMARY!C33)&gt;0, SUMMARY!C33, "")</f>
        <v/>
      </c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" t="str">
        <f t="shared" si="2"/>
        <v/>
      </c>
      <c r="S33" s="2" t="str">
        <f t="shared" si="3"/>
        <v/>
      </c>
      <c r="T33" s="2" t="str">
        <f t="shared" si="4"/>
        <v/>
      </c>
      <c r="U33" s="2" t="str">
        <f t="shared" si="5"/>
        <v/>
      </c>
      <c r="V33" s="2" t="str">
        <f t="shared" si="6"/>
        <v/>
      </c>
      <c r="W33" s="2" t="str">
        <f t="shared" si="7"/>
        <v/>
      </c>
      <c r="X33" s="2" t="str">
        <f t="shared" si="8"/>
        <v/>
      </c>
      <c r="Y33" s="2" t="str">
        <f t="shared" si="9"/>
        <v/>
      </c>
      <c r="Z33" s="2" t="str">
        <f t="shared" si="10"/>
        <v/>
      </c>
      <c r="AA33" s="2" t="str">
        <f t="shared" si="11"/>
        <v/>
      </c>
      <c r="AB33" s="2" t="str">
        <f t="shared" si="12"/>
        <v/>
      </c>
      <c r="AC33" s="2" t="str">
        <f t="shared" si="13"/>
        <v/>
      </c>
      <c r="AD33" s="2" t="str">
        <f t="shared" si="14"/>
        <v/>
      </c>
      <c r="AE33" s="2" t="str">
        <f t="shared" si="15"/>
        <v/>
      </c>
      <c r="AF33" s="2" t="str">
        <f t="shared" si="16"/>
        <v/>
      </c>
      <c r="AG33" s="2" t="str">
        <f t="shared" si="17"/>
        <v/>
      </c>
      <c r="AH33" s="2" t="str">
        <f t="shared" si="18"/>
        <v/>
      </c>
      <c r="AI33" s="2" t="str">
        <f t="shared" si="19"/>
        <v/>
      </c>
      <c r="AJ33" s="2" t="str">
        <f t="shared" si="20"/>
        <v/>
      </c>
      <c r="AK33" s="2" t="str">
        <f t="shared" si="21"/>
        <v/>
      </c>
      <c r="AL33" s="2" t="str">
        <f t="shared" si="22"/>
        <v/>
      </c>
      <c r="AM33" s="2" t="str">
        <f t="shared" si="23"/>
        <v/>
      </c>
      <c r="AN33" s="2" t="str">
        <f t="shared" si="24"/>
        <v/>
      </c>
      <c r="AP33" s="2" t="str" cm="1">
        <f t="array" ref="AP33">IF('NILAI CPL'!$B33&lt;&gt;"",IFERROR(_xlfn.IFS(S33&gt;='NILAI CPL'!$B$3,4,S33&gt;='NILAI CPL'!$B$4,3,S33&gt;='NILAI CPL'!$B$5,2,S33&gt;'NILAI CPL'!$B$6,1),0),"")</f>
        <v/>
      </c>
      <c r="AQ33" s="2" t="str" cm="1">
        <f t="array" ref="AQ33">IF('NILAI CPL'!$B33&lt;&gt;"",IFERROR(_xlfn.IFS(T33&gt;='NILAI CPL'!$B$3,4,T33&gt;='NILAI CPL'!$B$4,3,T33&gt;='NILAI CPL'!$B$5,2,T33&gt;'NILAI CPL'!$B$6,1),0),"")</f>
        <v/>
      </c>
      <c r="AR33" s="2" t="str" cm="1">
        <f t="array" ref="AR33">IF('NILAI CPL'!$B33&lt;&gt;"",IFERROR(_xlfn.IFS(U33&gt;='NILAI CPL'!$B$3,4,U33&gt;='NILAI CPL'!$B$4,3,U33&gt;='NILAI CPL'!$B$5,2,U33&gt;'NILAI CPL'!$B$6,1),0),"")</f>
        <v/>
      </c>
      <c r="AS33" s="2" t="str" cm="1">
        <f t="array" ref="AS33">IF('NILAI CPL'!$B33&lt;&gt;"",IFERROR(_xlfn.IFS(V33&gt;='NILAI CPL'!$B$3,4,V33&gt;='NILAI CPL'!$B$4,3,V33&gt;='NILAI CPL'!$B$5,2,V33&gt;'NILAI CPL'!$B$6,1),0),"")</f>
        <v/>
      </c>
      <c r="AT33" s="2" t="str" cm="1">
        <f t="array" ref="AT33">IF('NILAI CPL'!$B33&lt;&gt;"",IFERROR(_xlfn.IFS(W33&gt;='NILAI CPL'!$B$3,4,W33&gt;='NILAI CPL'!$B$4,3,W33&gt;='NILAI CPL'!$B$5,2,W33&gt;'NILAI CPL'!$B$6,1),0),"")</f>
        <v/>
      </c>
      <c r="AU33" s="2" t="str" cm="1">
        <f t="array" ref="AU33">IF('NILAI CPL'!$B33&lt;&gt;"",IFERROR(_xlfn.IFS(X33&gt;='NILAI CPL'!$B$3,4,X33&gt;='NILAI CPL'!$B$4,3,X33&gt;='NILAI CPL'!$B$5,2,X33&gt;'NILAI CPL'!$B$6,1),0),"")</f>
        <v/>
      </c>
      <c r="AV33" s="2" t="str" cm="1">
        <f t="array" ref="AV33">IF('NILAI CPL'!$B33&lt;&gt;"",IFERROR(_xlfn.IFS(Y33&gt;='NILAI CPL'!$B$3,4,Y33&gt;='NILAI CPL'!$B$4,3,Y33&gt;='NILAI CPL'!$B$5,2,Y33&gt;'NILAI CPL'!$B$6,1),0),"")</f>
        <v/>
      </c>
      <c r="AW33" s="2" t="str" cm="1">
        <f t="array" ref="AW33">IF('NILAI CPL'!$B33&lt;&gt;"",IFERROR(_xlfn.IFS(Z33&gt;='NILAI CPL'!$B$3,4,Z33&gt;='NILAI CPL'!$B$4,3,Z33&gt;='NILAI CPL'!$B$5,2,Z33&gt;'NILAI CPL'!$B$6,1),0),"")</f>
        <v/>
      </c>
      <c r="AX33" s="2" t="str" cm="1">
        <f t="array" ref="AX33">IF('NILAI CPL'!$B33&lt;&gt;"",IFERROR(_xlfn.IFS(AA33&gt;='NILAI CPL'!$B$3,4,AA33&gt;='NILAI CPL'!$B$4,3,AA33&gt;='NILAI CPL'!$B$5,2,AA33&gt;'NILAI CPL'!$B$6,1),0),"")</f>
        <v/>
      </c>
      <c r="AY33" s="2" t="str" cm="1">
        <f t="array" ref="AY33">IF('NILAI CPL'!$B33&lt;&gt;"",IFERROR(_xlfn.IFS(AB33&gt;='NILAI CPL'!$B$3,4,AB33&gt;='NILAI CPL'!$B$4,3,AB33&gt;='NILAI CPL'!$B$5,2,AB33&gt;'NILAI CPL'!$B$6,1),0),"")</f>
        <v/>
      </c>
      <c r="AZ33" s="2" t="str" cm="1">
        <f t="array" ref="AZ33">IF('NILAI CPL'!$B33&lt;&gt;"",IFERROR(_xlfn.IFS(AC33&gt;='NILAI CPL'!$B$3,4,AC33&gt;='NILAI CPL'!$B$4,3,AC33&gt;='NILAI CPL'!$B$5,2,AC33&gt;'NILAI CPL'!$B$6,1),0),"")</f>
        <v/>
      </c>
      <c r="BA33" s="2" t="str" cm="1">
        <f t="array" ref="BA33">IF('NILAI CPL'!$B33&lt;&gt;"",IFERROR(_xlfn.IFS(AD33&gt;='NILAI CPL'!$B$3,4,AD33&gt;='NILAI CPL'!$B$4,3,AD33&gt;='NILAI CPL'!$B$5,2,AD33&gt;'NILAI CPL'!$B$6,1),0),"")</f>
        <v/>
      </c>
      <c r="BB33" s="2" t="str" cm="1">
        <f t="array" ref="BB33">IF('NILAI CPL'!$B33&lt;&gt;"",IFERROR(_xlfn.IFS(AE33&gt;='NILAI CPL'!$B$3,4,AE33&gt;='NILAI CPL'!$B$4,3,AE33&gt;='NILAI CPL'!$B$5,2,AE33&gt;'NILAI CPL'!$B$6,1),0),"")</f>
        <v/>
      </c>
      <c r="BC33" s="2" t="str" cm="1">
        <f t="array" ref="BC33">IF('NILAI CPL'!$B33&lt;&gt;"",IFERROR(_xlfn.IFS(AF33&gt;='NILAI CPL'!$B$3,4,AF33&gt;='NILAI CPL'!$B$4,3,AF33&gt;='NILAI CPL'!$B$5,2,AF33&gt;'NILAI CPL'!$B$6,1),0),"")</f>
        <v/>
      </c>
      <c r="BD33" s="2" t="str" cm="1">
        <f t="array" ref="BD33">IF('NILAI CPL'!$B33&lt;&gt;"",IFERROR(_xlfn.IFS(AG33&gt;='NILAI CPL'!$B$3,4,AG33&gt;='NILAI CPL'!$B$4,3,AG33&gt;='NILAI CPL'!$B$5,2,AG33&gt;'NILAI CPL'!$B$6,1),0),"")</f>
        <v/>
      </c>
      <c r="BE33" s="2" t="str" cm="1">
        <f t="array" ref="BE33">IF('NILAI CPL'!$B33&lt;&gt;"",IFERROR(_xlfn.IFS(AH33&gt;='NILAI CPL'!$B$3,4,AH33&gt;='NILAI CPL'!$B$4,3,AH33&gt;='NILAI CPL'!$B$5,2,AH33&gt;'NILAI CPL'!$B$6,1),0),"")</f>
        <v/>
      </c>
      <c r="BF33" s="2" t="str" cm="1">
        <f t="array" ref="BF33">IF('NILAI CPL'!$B33&lt;&gt;"",IFERROR(_xlfn.IFS(AI33&gt;='NILAI CPL'!$B$3,4,AI33&gt;='NILAI CPL'!$B$4,3,AI33&gt;='NILAI CPL'!$B$5,2,AI33&gt;'NILAI CPL'!$B$6,1),0),"")</f>
        <v/>
      </c>
      <c r="BG33" s="2" t="str" cm="1">
        <f t="array" ref="BG33">IF('NILAI CPL'!$B33&lt;&gt;"",IFERROR(_xlfn.IFS(AJ33&gt;='NILAI CPL'!$B$3,4,AJ33&gt;='NILAI CPL'!$B$4,3,AJ33&gt;='NILAI CPL'!$B$5,2,AJ33&gt;'NILAI CPL'!$B$6,1),0),"")</f>
        <v/>
      </c>
      <c r="BH33" s="2" t="str" cm="1">
        <f t="array" ref="BH33">IF('NILAI CPL'!$B33&lt;&gt;"",IFERROR(_xlfn.IFS(AK33&gt;='NILAI CPL'!$B$3,4,AK33&gt;='NILAI CPL'!$B$4,3,AK33&gt;='NILAI CPL'!$B$5,2,AK33&gt;'NILAI CPL'!$B$6,1),0),"")</f>
        <v/>
      </c>
      <c r="BI33" s="2" t="str" cm="1">
        <f t="array" ref="BI33">IF('NILAI CPL'!$B33&lt;&gt;"",IFERROR(_xlfn.IFS(AL33&gt;='NILAI CPL'!$B$3,4,AL33&gt;='NILAI CPL'!$B$4,3,AL33&gt;='NILAI CPL'!$B$5,2,AL33&gt;'NILAI CPL'!$B$6,1),0),"")</f>
        <v/>
      </c>
      <c r="BJ33" s="2" t="str" cm="1">
        <f t="array" ref="BJ33">IF('NILAI CPL'!$B33&lt;&gt;"",IFERROR(_xlfn.IFS(AM33&gt;='NILAI CPL'!$B$3,4,AM33&gt;='NILAI CPL'!$B$4,3,AM33&gt;='NILAI CPL'!$B$5,2,AM33&gt;'NILAI CPL'!$B$6,1),0),"")</f>
        <v/>
      </c>
      <c r="BK33" s="2" t="str" cm="1">
        <f t="array" ref="BK33">IF('NILAI CPL'!$B33&lt;&gt;"",IFERROR(_xlfn.IFS(AN33&gt;='NILAI CPL'!$B$3,4,AN33&gt;='NILAI CPL'!$B$4,3,AN33&gt;='NILAI CPL'!$B$5,2,AN33&gt;'NILAI CPL'!$B$6,1),0),"")</f>
        <v/>
      </c>
    </row>
    <row r="34" spans="1:63" x14ac:dyDescent="0.2">
      <c r="A34" s="2">
        <v>24</v>
      </c>
      <c r="B34" s="2" t="str">
        <f>IF(LEN(SUMMARY!B34)&gt;0, SUMMARY!B34, "")</f>
        <v/>
      </c>
      <c r="C34" s="2" t="str">
        <f>IF(LEN(SUMMARY!C34)&gt;0, SUMMARY!C34, "")</f>
        <v/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" t="str">
        <f t="shared" si="2"/>
        <v/>
      </c>
      <c r="S34" s="2" t="str">
        <f t="shared" si="3"/>
        <v/>
      </c>
      <c r="T34" s="2" t="str">
        <f t="shared" si="4"/>
        <v/>
      </c>
      <c r="U34" s="2" t="str">
        <f t="shared" si="5"/>
        <v/>
      </c>
      <c r="V34" s="2" t="str">
        <f t="shared" si="6"/>
        <v/>
      </c>
      <c r="W34" s="2" t="str">
        <f t="shared" si="7"/>
        <v/>
      </c>
      <c r="X34" s="2" t="str">
        <f t="shared" si="8"/>
        <v/>
      </c>
      <c r="Y34" s="2" t="str">
        <f t="shared" si="9"/>
        <v/>
      </c>
      <c r="Z34" s="2" t="str">
        <f t="shared" si="10"/>
        <v/>
      </c>
      <c r="AA34" s="2" t="str">
        <f t="shared" si="11"/>
        <v/>
      </c>
      <c r="AB34" s="2" t="str">
        <f t="shared" si="12"/>
        <v/>
      </c>
      <c r="AC34" s="2" t="str">
        <f t="shared" si="13"/>
        <v/>
      </c>
      <c r="AD34" s="2" t="str">
        <f t="shared" si="14"/>
        <v/>
      </c>
      <c r="AE34" s="2" t="str">
        <f t="shared" si="15"/>
        <v/>
      </c>
      <c r="AF34" s="2" t="str">
        <f t="shared" si="16"/>
        <v/>
      </c>
      <c r="AG34" s="2" t="str">
        <f t="shared" si="17"/>
        <v/>
      </c>
      <c r="AH34" s="2" t="str">
        <f t="shared" si="18"/>
        <v/>
      </c>
      <c r="AI34" s="2" t="str">
        <f t="shared" si="19"/>
        <v/>
      </c>
      <c r="AJ34" s="2" t="str">
        <f t="shared" si="20"/>
        <v/>
      </c>
      <c r="AK34" s="2" t="str">
        <f t="shared" si="21"/>
        <v/>
      </c>
      <c r="AL34" s="2" t="str">
        <f t="shared" si="22"/>
        <v/>
      </c>
      <c r="AM34" s="2" t="str">
        <f t="shared" si="23"/>
        <v/>
      </c>
      <c r="AN34" s="2" t="str">
        <f t="shared" si="24"/>
        <v/>
      </c>
      <c r="AP34" s="2" t="str" cm="1">
        <f t="array" ref="AP34">IF('NILAI CPL'!$B34&lt;&gt;"",IFERROR(_xlfn.IFS(S34&gt;='NILAI CPL'!$B$3,4,S34&gt;='NILAI CPL'!$B$4,3,S34&gt;='NILAI CPL'!$B$5,2,S34&gt;'NILAI CPL'!$B$6,1),0),"")</f>
        <v/>
      </c>
      <c r="AQ34" s="2" t="str" cm="1">
        <f t="array" ref="AQ34">IF('NILAI CPL'!$B34&lt;&gt;"",IFERROR(_xlfn.IFS(T34&gt;='NILAI CPL'!$B$3,4,T34&gt;='NILAI CPL'!$B$4,3,T34&gt;='NILAI CPL'!$B$5,2,T34&gt;'NILAI CPL'!$B$6,1),0),"")</f>
        <v/>
      </c>
      <c r="AR34" s="2" t="str" cm="1">
        <f t="array" ref="AR34">IF('NILAI CPL'!$B34&lt;&gt;"",IFERROR(_xlfn.IFS(U34&gt;='NILAI CPL'!$B$3,4,U34&gt;='NILAI CPL'!$B$4,3,U34&gt;='NILAI CPL'!$B$5,2,U34&gt;'NILAI CPL'!$B$6,1),0),"")</f>
        <v/>
      </c>
      <c r="AS34" s="2" t="str" cm="1">
        <f t="array" ref="AS34">IF('NILAI CPL'!$B34&lt;&gt;"",IFERROR(_xlfn.IFS(V34&gt;='NILAI CPL'!$B$3,4,V34&gt;='NILAI CPL'!$B$4,3,V34&gt;='NILAI CPL'!$B$5,2,V34&gt;'NILAI CPL'!$B$6,1),0),"")</f>
        <v/>
      </c>
      <c r="AT34" s="2" t="str" cm="1">
        <f t="array" ref="AT34">IF('NILAI CPL'!$B34&lt;&gt;"",IFERROR(_xlfn.IFS(W34&gt;='NILAI CPL'!$B$3,4,W34&gt;='NILAI CPL'!$B$4,3,W34&gt;='NILAI CPL'!$B$5,2,W34&gt;'NILAI CPL'!$B$6,1),0),"")</f>
        <v/>
      </c>
      <c r="AU34" s="2" t="str" cm="1">
        <f t="array" ref="AU34">IF('NILAI CPL'!$B34&lt;&gt;"",IFERROR(_xlfn.IFS(X34&gt;='NILAI CPL'!$B$3,4,X34&gt;='NILAI CPL'!$B$4,3,X34&gt;='NILAI CPL'!$B$5,2,X34&gt;'NILAI CPL'!$B$6,1),0),"")</f>
        <v/>
      </c>
      <c r="AV34" s="2" t="str" cm="1">
        <f t="array" ref="AV34">IF('NILAI CPL'!$B34&lt;&gt;"",IFERROR(_xlfn.IFS(Y34&gt;='NILAI CPL'!$B$3,4,Y34&gt;='NILAI CPL'!$B$4,3,Y34&gt;='NILAI CPL'!$B$5,2,Y34&gt;'NILAI CPL'!$B$6,1),0),"")</f>
        <v/>
      </c>
      <c r="AW34" s="2" t="str" cm="1">
        <f t="array" ref="AW34">IF('NILAI CPL'!$B34&lt;&gt;"",IFERROR(_xlfn.IFS(Z34&gt;='NILAI CPL'!$B$3,4,Z34&gt;='NILAI CPL'!$B$4,3,Z34&gt;='NILAI CPL'!$B$5,2,Z34&gt;'NILAI CPL'!$B$6,1),0),"")</f>
        <v/>
      </c>
      <c r="AX34" s="2" t="str" cm="1">
        <f t="array" ref="AX34">IF('NILAI CPL'!$B34&lt;&gt;"",IFERROR(_xlfn.IFS(AA34&gt;='NILAI CPL'!$B$3,4,AA34&gt;='NILAI CPL'!$B$4,3,AA34&gt;='NILAI CPL'!$B$5,2,AA34&gt;'NILAI CPL'!$B$6,1),0),"")</f>
        <v/>
      </c>
      <c r="AY34" s="2" t="str" cm="1">
        <f t="array" ref="AY34">IF('NILAI CPL'!$B34&lt;&gt;"",IFERROR(_xlfn.IFS(AB34&gt;='NILAI CPL'!$B$3,4,AB34&gt;='NILAI CPL'!$B$4,3,AB34&gt;='NILAI CPL'!$B$5,2,AB34&gt;'NILAI CPL'!$B$6,1),0),"")</f>
        <v/>
      </c>
      <c r="AZ34" s="2" t="str" cm="1">
        <f t="array" ref="AZ34">IF('NILAI CPL'!$B34&lt;&gt;"",IFERROR(_xlfn.IFS(AC34&gt;='NILAI CPL'!$B$3,4,AC34&gt;='NILAI CPL'!$B$4,3,AC34&gt;='NILAI CPL'!$B$5,2,AC34&gt;'NILAI CPL'!$B$6,1),0),"")</f>
        <v/>
      </c>
      <c r="BA34" s="2" t="str" cm="1">
        <f t="array" ref="BA34">IF('NILAI CPL'!$B34&lt;&gt;"",IFERROR(_xlfn.IFS(AD34&gt;='NILAI CPL'!$B$3,4,AD34&gt;='NILAI CPL'!$B$4,3,AD34&gt;='NILAI CPL'!$B$5,2,AD34&gt;'NILAI CPL'!$B$6,1),0),"")</f>
        <v/>
      </c>
      <c r="BB34" s="2" t="str" cm="1">
        <f t="array" ref="BB34">IF('NILAI CPL'!$B34&lt;&gt;"",IFERROR(_xlfn.IFS(AE34&gt;='NILAI CPL'!$B$3,4,AE34&gt;='NILAI CPL'!$B$4,3,AE34&gt;='NILAI CPL'!$B$5,2,AE34&gt;'NILAI CPL'!$B$6,1),0),"")</f>
        <v/>
      </c>
      <c r="BC34" s="2" t="str" cm="1">
        <f t="array" ref="BC34">IF('NILAI CPL'!$B34&lt;&gt;"",IFERROR(_xlfn.IFS(AF34&gt;='NILAI CPL'!$B$3,4,AF34&gt;='NILAI CPL'!$B$4,3,AF34&gt;='NILAI CPL'!$B$5,2,AF34&gt;'NILAI CPL'!$B$6,1),0),"")</f>
        <v/>
      </c>
      <c r="BD34" s="2" t="str" cm="1">
        <f t="array" ref="BD34">IF('NILAI CPL'!$B34&lt;&gt;"",IFERROR(_xlfn.IFS(AG34&gt;='NILAI CPL'!$B$3,4,AG34&gt;='NILAI CPL'!$B$4,3,AG34&gt;='NILAI CPL'!$B$5,2,AG34&gt;'NILAI CPL'!$B$6,1),0),"")</f>
        <v/>
      </c>
      <c r="BE34" s="2" t="str" cm="1">
        <f t="array" ref="BE34">IF('NILAI CPL'!$B34&lt;&gt;"",IFERROR(_xlfn.IFS(AH34&gt;='NILAI CPL'!$B$3,4,AH34&gt;='NILAI CPL'!$B$4,3,AH34&gt;='NILAI CPL'!$B$5,2,AH34&gt;'NILAI CPL'!$B$6,1),0),"")</f>
        <v/>
      </c>
      <c r="BF34" s="2" t="str" cm="1">
        <f t="array" ref="BF34">IF('NILAI CPL'!$B34&lt;&gt;"",IFERROR(_xlfn.IFS(AI34&gt;='NILAI CPL'!$B$3,4,AI34&gt;='NILAI CPL'!$B$4,3,AI34&gt;='NILAI CPL'!$B$5,2,AI34&gt;'NILAI CPL'!$B$6,1),0),"")</f>
        <v/>
      </c>
      <c r="BG34" s="2" t="str" cm="1">
        <f t="array" ref="BG34">IF('NILAI CPL'!$B34&lt;&gt;"",IFERROR(_xlfn.IFS(AJ34&gt;='NILAI CPL'!$B$3,4,AJ34&gt;='NILAI CPL'!$B$4,3,AJ34&gt;='NILAI CPL'!$B$5,2,AJ34&gt;'NILAI CPL'!$B$6,1),0),"")</f>
        <v/>
      </c>
      <c r="BH34" s="2" t="str" cm="1">
        <f t="array" ref="BH34">IF('NILAI CPL'!$B34&lt;&gt;"",IFERROR(_xlfn.IFS(AK34&gt;='NILAI CPL'!$B$3,4,AK34&gt;='NILAI CPL'!$B$4,3,AK34&gt;='NILAI CPL'!$B$5,2,AK34&gt;'NILAI CPL'!$B$6,1),0),"")</f>
        <v/>
      </c>
      <c r="BI34" s="2" t="str" cm="1">
        <f t="array" ref="BI34">IF('NILAI CPL'!$B34&lt;&gt;"",IFERROR(_xlfn.IFS(AL34&gt;='NILAI CPL'!$B$3,4,AL34&gt;='NILAI CPL'!$B$4,3,AL34&gt;='NILAI CPL'!$B$5,2,AL34&gt;'NILAI CPL'!$B$6,1),0),"")</f>
        <v/>
      </c>
      <c r="BJ34" s="2" t="str" cm="1">
        <f t="array" ref="BJ34">IF('NILAI CPL'!$B34&lt;&gt;"",IFERROR(_xlfn.IFS(AM34&gt;='NILAI CPL'!$B$3,4,AM34&gt;='NILAI CPL'!$B$4,3,AM34&gt;='NILAI CPL'!$B$5,2,AM34&gt;'NILAI CPL'!$B$6,1),0),"")</f>
        <v/>
      </c>
      <c r="BK34" s="2" t="str" cm="1">
        <f t="array" ref="BK34">IF('NILAI CPL'!$B34&lt;&gt;"",IFERROR(_xlfn.IFS(AN34&gt;='NILAI CPL'!$B$3,4,AN34&gt;='NILAI CPL'!$B$4,3,AN34&gt;='NILAI CPL'!$B$5,2,AN34&gt;'NILAI CPL'!$B$6,1),0),"")</f>
        <v/>
      </c>
    </row>
    <row r="35" spans="1:63" x14ac:dyDescent="0.2">
      <c r="A35" s="2">
        <v>25</v>
      </c>
      <c r="B35" s="2" t="str">
        <f>IF(LEN(SUMMARY!B35)&gt;0, SUMMARY!B35, "")</f>
        <v/>
      </c>
      <c r="C35" s="2" t="str">
        <f>IF(LEN(SUMMARY!C35)&gt;0, SUMMARY!C35, "")</f>
        <v/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" t="str">
        <f t="shared" si="2"/>
        <v/>
      </c>
      <c r="S35" s="2" t="str">
        <f t="shared" si="3"/>
        <v/>
      </c>
      <c r="T35" s="2" t="str">
        <f t="shared" si="4"/>
        <v/>
      </c>
      <c r="U35" s="2" t="str">
        <f t="shared" si="5"/>
        <v/>
      </c>
      <c r="V35" s="2" t="str">
        <f t="shared" si="6"/>
        <v/>
      </c>
      <c r="W35" s="2" t="str">
        <f t="shared" si="7"/>
        <v/>
      </c>
      <c r="X35" s="2" t="str">
        <f t="shared" si="8"/>
        <v/>
      </c>
      <c r="Y35" s="2" t="str">
        <f t="shared" si="9"/>
        <v/>
      </c>
      <c r="Z35" s="2" t="str">
        <f t="shared" si="10"/>
        <v/>
      </c>
      <c r="AA35" s="2" t="str">
        <f t="shared" si="11"/>
        <v/>
      </c>
      <c r="AB35" s="2" t="str">
        <f t="shared" si="12"/>
        <v/>
      </c>
      <c r="AC35" s="2" t="str">
        <f t="shared" si="13"/>
        <v/>
      </c>
      <c r="AD35" s="2" t="str">
        <f t="shared" si="14"/>
        <v/>
      </c>
      <c r="AE35" s="2" t="str">
        <f t="shared" si="15"/>
        <v/>
      </c>
      <c r="AF35" s="2" t="str">
        <f t="shared" si="16"/>
        <v/>
      </c>
      <c r="AG35" s="2" t="str">
        <f t="shared" si="17"/>
        <v/>
      </c>
      <c r="AH35" s="2" t="str">
        <f t="shared" si="18"/>
        <v/>
      </c>
      <c r="AI35" s="2" t="str">
        <f t="shared" si="19"/>
        <v/>
      </c>
      <c r="AJ35" s="2" t="str">
        <f t="shared" si="20"/>
        <v/>
      </c>
      <c r="AK35" s="2" t="str">
        <f t="shared" si="21"/>
        <v/>
      </c>
      <c r="AL35" s="2" t="str">
        <f t="shared" si="22"/>
        <v/>
      </c>
      <c r="AM35" s="2" t="str">
        <f t="shared" si="23"/>
        <v/>
      </c>
      <c r="AN35" s="2" t="str">
        <f t="shared" si="24"/>
        <v/>
      </c>
      <c r="AP35" s="2" t="str" cm="1">
        <f t="array" ref="AP35">IF('NILAI CPL'!$B35&lt;&gt;"",IFERROR(_xlfn.IFS(S35&gt;='NILAI CPL'!$B$3,4,S35&gt;='NILAI CPL'!$B$4,3,S35&gt;='NILAI CPL'!$B$5,2,S35&gt;'NILAI CPL'!$B$6,1),0),"")</f>
        <v/>
      </c>
      <c r="AQ35" s="2" t="str" cm="1">
        <f t="array" ref="AQ35">IF('NILAI CPL'!$B35&lt;&gt;"",IFERROR(_xlfn.IFS(T35&gt;='NILAI CPL'!$B$3,4,T35&gt;='NILAI CPL'!$B$4,3,T35&gt;='NILAI CPL'!$B$5,2,T35&gt;'NILAI CPL'!$B$6,1),0),"")</f>
        <v/>
      </c>
      <c r="AR35" s="2" t="str" cm="1">
        <f t="array" ref="AR35">IF('NILAI CPL'!$B35&lt;&gt;"",IFERROR(_xlfn.IFS(U35&gt;='NILAI CPL'!$B$3,4,U35&gt;='NILAI CPL'!$B$4,3,U35&gt;='NILAI CPL'!$B$5,2,U35&gt;'NILAI CPL'!$B$6,1),0),"")</f>
        <v/>
      </c>
      <c r="AS35" s="2" t="str" cm="1">
        <f t="array" ref="AS35">IF('NILAI CPL'!$B35&lt;&gt;"",IFERROR(_xlfn.IFS(V35&gt;='NILAI CPL'!$B$3,4,V35&gt;='NILAI CPL'!$B$4,3,V35&gt;='NILAI CPL'!$B$5,2,V35&gt;'NILAI CPL'!$B$6,1),0),"")</f>
        <v/>
      </c>
      <c r="AT35" s="2" t="str" cm="1">
        <f t="array" ref="AT35">IF('NILAI CPL'!$B35&lt;&gt;"",IFERROR(_xlfn.IFS(W35&gt;='NILAI CPL'!$B$3,4,W35&gt;='NILAI CPL'!$B$4,3,W35&gt;='NILAI CPL'!$B$5,2,W35&gt;'NILAI CPL'!$B$6,1),0),"")</f>
        <v/>
      </c>
      <c r="AU35" s="2" t="str" cm="1">
        <f t="array" ref="AU35">IF('NILAI CPL'!$B35&lt;&gt;"",IFERROR(_xlfn.IFS(X35&gt;='NILAI CPL'!$B$3,4,X35&gt;='NILAI CPL'!$B$4,3,X35&gt;='NILAI CPL'!$B$5,2,X35&gt;'NILAI CPL'!$B$6,1),0),"")</f>
        <v/>
      </c>
      <c r="AV35" s="2" t="str" cm="1">
        <f t="array" ref="AV35">IF('NILAI CPL'!$B35&lt;&gt;"",IFERROR(_xlfn.IFS(Y35&gt;='NILAI CPL'!$B$3,4,Y35&gt;='NILAI CPL'!$B$4,3,Y35&gt;='NILAI CPL'!$B$5,2,Y35&gt;'NILAI CPL'!$B$6,1),0),"")</f>
        <v/>
      </c>
      <c r="AW35" s="2" t="str" cm="1">
        <f t="array" ref="AW35">IF('NILAI CPL'!$B35&lt;&gt;"",IFERROR(_xlfn.IFS(Z35&gt;='NILAI CPL'!$B$3,4,Z35&gt;='NILAI CPL'!$B$4,3,Z35&gt;='NILAI CPL'!$B$5,2,Z35&gt;'NILAI CPL'!$B$6,1),0),"")</f>
        <v/>
      </c>
      <c r="AX35" s="2" t="str" cm="1">
        <f t="array" ref="AX35">IF('NILAI CPL'!$B35&lt;&gt;"",IFERROR(_xlfn.IFS(AA35&gt;='NILAI CPL'!$B$3,4,AA35&gt;='NILAI CPL'!$B$4,3,AA35&gt;='NILAI CPL'!$B$5,2,AA35&gt;'NILAI CPL'!$B$6,1),0),"")</f>
        <v/>
      </c>
      <c r="AY35" s="2" t="str" cm="1">
        <f t="array" ref="AY35">IF('NILAI CPL'!$B35&lt;&gt;"",IFERROR(_xlfn.IFS(AB35&gt;='NILAI CPL'!$B$3,4,AB35&gt;='NILAI CPL'!$B$4,3,AB35&gt;='NILAI CPL'!$B$5,2,AB35&gt;'NILAI CPL'!$B$6,1),0),"")</f>
        <v/>
      </c>
      <c r="AZ35" s="2" t="str" cm="1">
        <f t="array" ref="AZ35">IF('NILAI CPL'!$B35&lt;&gt;"",IFERROR(_xlfn.IFS(AC35&gt;='NILAI CPL'!$B$3,4,AC35&gt;='NILAI CPL'!$B$4,3,AC35&gt;='NILAI CPL'!$B$5,2,AC35&gt;'NILAI CPL'!$B$6,1),0),"")</f>
        <v/>
      </c>
      <c r="BA35" s="2" t="str" cm="1">
        <f t="array" ref="BA35">IF('NILAI CPL'!$B35&lt;&gt;"",IFERROR(_xlfn.IFS(AD35&gt;='NILAI CPL'!$B$3,4,AD35&gt;='NILAI CPL'!$B$4,3,AD35&gt;='NILAI CPL'!$B$5,2,AD35&gt;'NILAI CPL'!$B$6,1),0),"")</f>
        <v/>
      </c>
      <c r="BB35" s="2" t="str" cm="1">
        <f t="array" ref="BB35">IF('NILAI CPL'!$B35&lt;&gt;"",IFERROR(_xlfn.IFS(AE35&gt;='NILAI CPL'!$B$3,4,AE35&gt;='NILAI CPL'!$B$4,3,AE35&gt;='NILAI CPL'!$B$5,2,AE35&gt;'NILAI CPL'!$B$6,1),0),"")</f>
        <v/>
      </c>
      <c r="BC35" s="2" t="str" cm="1">
        <f t="array" ref="BC35">IF('NILAI CPL'!$B35&lt;&gt;"",IFERROR(_xlfn.IFS(AF35&gt;='NILAI CPL'!$B$3,4,AF35&gt;='NILAI CPL'!$B$4,3,AF35&gt;='NILAI CPL'!$B$5,2,AF35&gt;'NILAI CPL'!$B$6,1),0),"")</f>
        <v/>
      </c>
      <c r="BD35" s="2" t="str" cm="1">
        <f t="array" ref="BD35">IF('NILAI CPL'!$B35&lt;&gt;"",IFERROR(_xlfn.IFS(AG35&gt;='NILAI CPL'!$B$3,4,AG35&gt;='NILAI CPL'!$B$4,3,AG35&gt;='NILAI CPL'!$B$5,2,AG35&gt;'NILAI CPL'!$B$6,1),0),"")</f>
        <v/>
      </c>
      <c r="BE35" s="2" t="str" cm="1">
        <f t="array" ref="BE35">IF('NILAI CPL'!$B35&lt;&gt;"",IFERROR(_xlfn.IFS(AH35&gt;='NILAI CPL'!$B$3,4,AH35&gt;='NILAI CPL'!$B$4,3,AH35&gt;='NILAI CPL'!$B$5,2,AH35&gt;'NILAI CPL'!$B$6,1),0),"")</f>
        <v/>
      </c>
      <c r="BF35" s="2" t="str" cm="1">
        <f t="array" ref="BF35">IF('NILAI CPL'!$B35&lt;&gt;"",IFERROR(_xlfn.IFS(AI35&gt;='NILAI CPL'!$B$3,4,AI35&gt;='NILAI CPL'!$B$4,3,AI35&gt;='NILAI CPL'!$B$5,2,AI35&gt;'NILAI CPL'!$B$6,1),0),"")</f>
        <v/>
      </c>
      <c r="BG35" s="2" t="str" cm="1">
        <f t="array" ref="BG35">IF('NILAI CPL'!$B35&lt;&gt;"",IFERROR(_xlfn.IFS(AJ35&gt;='NILAI CPL'!$B$3,4,AJ35&gt;='NILAI CPL'!$B$4,3,AJ35&gt;='NILAI CPL'!$B$5,2,AJ35&gt;'NILAI CPL'!$B$6,1),0),"")</f>
        <v/>
      </c>
      <c r="BH35" s="2" t="str" cm="1">
        <f t="array" ref="BH35">IF('NILAI CPL'!$B35&lt;&gt;"",IFERROR(_xlfn.IFS(AK35&gt;='NILAI CPL'!$B$3,4,AK35&gt;='NILAI CPL'!$B$4,3,AK35&gt;='NILAI CPL'!$B$5,2,AK35&gt;'NILAI CPL'!$B$6,1),0),"")</f>
        <v/>
      </c>
      <c r="BI35" s="2" t="str" cm="1">
        <f t="array" ref="BI35">IF('NILAI CPL'!$B35&lt;&gt;"",IFERROR(_xlfn.IFS(AL35&gt;='NILAI CPL'!$B$3,4,AL35&gt;='NILAI CPL'!$B$4,3,AL35&gt;='NILAI CPL'!$B$5,2,AL35&gt;'NILAI CPL'!$B$6,1),0),"")</f>
        <v/>
      </c>
      <c r="BJ35" s="2" t="str" cm="1">
        <f t="array" ref="BJ35">IF('NILAI CPL'!$B35&lt;&gt;"",IFERROR(_xlfn.IFS(AM35&gt;='NILAI CPL'!$B$3,4,AM35&gt;='NILAI CPL'!$B$4,3,AM35&gt;='NILAI CPL'!$B$5,2,AM35&gt;'NILAI CPL'!$B$6,1),0),"")</f>
        <v/>
      </c>
      <c r="BK35" s="2" t="str" cm="1">
        <f t="array" ref="BK35">IF('NILAI CPL'!$B35&lt;&gt;"",IFERROR(_xlfn.IFS(AN35&gt;='NILAI CPL'!$B$3,4,AN35&gt;='NILAI CPL'!$B$4,3,AN35&gt;='NILAI CPL'!$B$5,2,AN35&gt;'NILAI CPL'!$B$6,1),0),"")</f>
        <v/>
      </c>
    </row>
    <row r="36" spans="1:63" x14ac:dyDescent="0.2">
      <c r="A36" s="2">
        <v>26</v>
      </c>
      <c r="B36" s="2" t="str">
        <f>IF(LEN(SUMMARY!B36)&gt;0, SUMMARY!B36, "")</f>
        <v/>
      </c>
      <c r="C36" s="2" t="str">
        <f>IF(LEN(SUMMARY!C36)&gt;0, SUMMARY!C36, "")</f>
        <v/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" t="str">
        <f t="shared" si="2"/>
        <v/>
      </c>
      <c r="S36" s="2" t="str">
        <f t="shared" si="3"/>
        <v/>
      </c>
      <c r="T36" s="2" t="str">
        <f t="shared" si="4"/>
        <v/>
      </c>
      <c r="U36" s="2" t="str">
        <f t="shared" si="5"/>
        <v/>
      </c>
      <c r="V36" s="2" t="str">
        <f t="shared" si="6"/>
        <v/>
      </c>
      <c r="W36" s="2" t="str">
        <f t="shared" si="7"/>
        <v/>
      </c>
      <c r="X36" s="2" t="str">
        <f t="shared" si="8"/>
        <v/>
      </c>
      <c r="Y36" s="2" t="str">
        <f t="shared" si="9"/>
        <v/>
      </c>
      <c r="Z36" s="2" t="str">
        <f t="shared" si="10"/>
        <v/>
      </c>
      <c r="AA36" s="2" t="str">
        <f t="shared" si="11"/>
        <v/>
      </c>
      <c r="AB36" s="2" t="str">
        <f t="shared" si="12"/>
        <v/>
      </c>
      <c r="AC36" s="2" t="str">
        <f t="shared" si="13"/>
        <v/>
      </c>
      <c r="AD36" s="2" t="str">
        <f t="shared" si="14"/>
        <v/>
      </c>
      <c r="AE36" s="2" t="str">
        <f t="shared" si="15"/>
        <v/>
      </c>
      <c r="AF36" s="2" t="str">
        <f t="shared" si="16"/>
        <v/>
      </c>
      <c r="AG36" s="2" t="str">
        <f t="shared" si="17"/>
        <v/>
      </c>
      <c r="AH36" s="2" t="str">
        <f t="shared" si="18"/>
        <v/>
      </c>
      <c r="AI36" s="2" t="str">
        <f t="shared" si="19"/>
        <v/>
      </c>
      <c r="AJ36" s="2" t="str">
        <f t="shared" si="20"/>
        <v/>
      </c>
      <c r="AK36" s="2" t="str">
        <f t="shared" si="21"/>
        <v/>
      </c>
      <c r="AL36" s="2" t="str">
        <f t="shared" si="22"/>
        <v/>
      </c>
      <c r="AM36" s="2" t="str">
        <f t="shared" si="23"/>
        <v/>
      </c>
      <c r="AN36" s="2" t="str">
        <f t="shared" si="24"/>
        <v/>
      </c>
      <c r="AP36" s="2" t="str" cm="1">
        <f t="array" ref="AP36">IF('NILAI CPL'!$B36&lt;&gt;"",IFERROR(_xlfn.IFS(S36&gt;='NILAI CPL'!$B$3,4,S36&gt;='NILAI CPL'!$B$4,3,S36&gt;='NILAI CPL'!$B$5,2,S36&gt;'NILAI CPL'!$B$6,1),0),"")</f>
        <v/>
      </c>
      <c r="AQ36" s="2" t="str" cm="1">
        <f t="array" ref="AQ36">IF('NILAI CPL'!$B36&lt;&gt;"",IFERROR(_xlfn.IFS(T36&gt;='NILAI CPL'!$B$3,4,T36&gt;='NILAI CPL'!$B$4,3,T36&gt;='NILAI CPL'!$B$5,2,T36&gt;'NILAI CPL'!$B$6,1),0),"")</f>
        <v/>
      </c>
      <c r="AR36" s="2" t="str" cm="1">
        <f t="array" ref="AR36">IF('NILAI CPL'!$B36&lt;&gt;"",IFERROR(_xlfn.IFS(U36&gt;='NILAI CPL'!$B$3,4,U36&gt;='NILAI CPL'!$B$4,3,U36&gt;='NILAI CPL'!$B$5,2,U36&gt;'NILAI CPL'!$B$6,1),0),"")</f>
        <v/>
      </c>
      <c r="AS36" s="2" t="str" cm="1">
        <f t="array" ref="AS36">IF('NILAI CPL'!$B36&lt;&gt;"",IFERROR(_xlfn.IFS(V36&gt;='NILAI CPL'!$B$3,4,V36&gt;='NILAI CPL'!$B$4,3,V36&gt;='NILAI CPL'!$B$5,2,V36&gt;'NILAI CPL'!$B$6,1),0),"")</f>
        <v/>
      </c>
      <c r="AT36" s="2" t="str" cm="1">
        <f t="array" ref="AT36">IF('NILAI CPL'!$B36&lt;&gt;"",IFERROR(_xlfn.IFS(W36&gt;='NILAI CPL'!$B$3,4,W36&gt;='NILAI CPL'!$B$4,3,W36&gt;='NILAI CPL'!$B$5,2,W36&gt;'NILAI CPL'!$B$6,1),0),"")</f>
        <v/>
      </c>
      <c r="AU36" s="2" t="str" cm="1">
        <f t="array" ref="AU36">IF('NILAI CPL'!$B36&lt;&gt;"",IFERROR(_xlfn.IFS(X36&gt;='NILAI CPL'!$B$3,4,X36&gt;='NILAI CPL'!$B$4,3,X36&gt;='NILAI CPL'!$B$5,2,X36&gt;'NILAI CPL'!$B$6,1),0),"")</f>
        <v/>
      </c>
      <c r="AV36" s="2" t="str" cm="1">
        <f t="array" ref="AV36">IF('NILAI CPL'!$B36&lt;&gt;"",IFERROR(_xlfn.IFS(Y36&gt;='NILAI CPL'!$B$3,4,Y36&gt;='NILAI CPL'!$B$4,3,Y36&gt;='NILAI CPL'!$B$5,2,Y36&gt;'NILAI CPL'!$B$6,1),0),"")</f>
        <v/>
      </c>
      <c r="AW36" s="2" t="str" cm="1">
        <f t="array" ref="AW36">IF('NILAI CPL'!$B36&lt;&gt;"",IFERROR(_xlfn.IFS(Z36&gt;='NILAI CPL'!$B$3,4,Z36&gt;='NILAI CPL'!$B$4,3,Z36&gt;='NILAI CPL'!$B$5,2,Z36&gt;'NILAI CPL'!$B$6,1),0),"")</f>
        <v/>
      </c>
      <c r="AX36" s="2" t="str" cm="1">
        <f t="array" ref="AX36">IF('NILAI CPL'!$B36&lt;&gt;"",IFERROR(_xlfn.IFS(AA36&gt;='NILAI CPL'!$B$3,4,AA36&gt;='NILAI CPL'!$B$4,3,AA36&gt;='NILAI CPL'!$B$5,2,AA36&gt;'NILAI CPL'!$B$6,1),0),"")</f>
        <v/>
      </c>
      <c r="AY36" s="2" t="str" cm="1">
        <f t="array" ref="AY36">IF('NILAI CPL'!$B36&lt;&gt;"",IFERROR(_xlfn.IFS(AB36&gt;='NILAI CPL'!$B$3,4,AB36&gt;='NILAI CPL'!$B$4,3,AB36&gt;='NILAI CPL'!$B$5,2,AB36&gt;'NILAI CPL'!$B$6,1),0),"")</f>
        <v/>
      </c>
      <c r="AZ36" s="2" t="str" cm="1">
        <f t="array" ref="AZ36">IF('NILAI CPL'!$B36&lt;&gt;"",IFERROR(_xlfn.IFS(AC36&gt;='NILAI CPL'!$B$3,4,AC36&gt;='NILAI CPL'!$B$4,3,AC36&gt;='NILAI CPL'!$B$5,2,AC36&gt;'NILAI CPL'!$B$6,1),0),"")</f>
        <v/>
      </c>
      <c r="BA36" s="2" t="str" cm="1">
        <f t="array" ref="BA36">IF('NILAI CPL'!$B36&lt;&gt;"",IFERROR(_xlfn.IFS(AD36&gt;='NILAI CPL'!$B$3,4,AD36&gt;='NILAI CPL'!$B$4,3,AD36&gt;='NILAI CPL'!$B$5,2,AD36&gt;'NILAI CPL'!$B$6,1),0),"")</f>
        <v/>
      </c>
      <c r="BB36" s="2" t="str" cm="1">
        <f t="array" ref="BB36">IF('NILAI CPL'!$B36&lt;&gt;"",IFERROR(_xlfn.IFS(AE36&gt;='NILAI CPL'!$B$3,4,AE36&gt;='NILAI CPL'!$B$4,3,AE36&gt;='NILAI CPL'!$B$5,2,AE36&gt;'NILAI CPL'!$B$6,1),0),"")</f>
        <v/>
      </c>
      <c r="BC36" s="2" t="str" cm="1">
        <f t="array" ref="BC36">IF('NILAI CPL'!$B36&lt;&gt;"",IFERROR(_xlfn.IFS(AF36&gt;='NILAI CPL'!$B$3,4,AF36&gt;='NILAI CPL'!$B$4,3,AF36&gt;='NILAI CPL'!$B$5,2,AF36&gt;'NILAI CPL'!$B$6,1),0),"")</f>
        <v/>
      </c>
      <c r="BD36" s="2" t="str" cm="1">
        <f t="array" ref="BD36">IF('NILAI CPL'!$B36&lt;&gt;"",IFERROR(_xlfn.IFS(AG36&gt;='NILAI CPL'!$B$3,4,AG36&gt;='NILAI CPL'!$B$4,3,AG36&gt;='NILAI CPL'!$B$5,2,AG36&gt;'NILAI CPL'!$B$6,1),0),"")</f>
        <v/>
      </c>
      <c r="BE36" s="2" t="str" cm="1">
        <f t="array" ref="BE36">IF('NILAI CPL'!$B36&lt;&gt;"",IFERROR(_xlfn.IFS(AH36&gt;='NILAI CPL'!$B$3,4,AH36&gt;='NILAI CPL'!$B$4,3,AH36&gt;='NILAI CPL'!$B$5,2,AH36&gt;'NILAI CPL'!$B$6,1),0),"")</f>
        <v/>
      </c>
      <c r="BF36" s="2" t="str" cm="1">
        <f t="array" ref="BF36">IF('NILAI CPL'!$B36&lt;&gt;"",IFERROR(_xlfn.IFS(AI36&gt;='NILAI CPL'!$B$3,4,AI36&gt;='NILAI CPL'!$B$4,3,AI36&gt;='NILAI CPL'!$B$5,2,AI36&gt;'NILAI CPL'!$B$6,1),0),"")</f>
        <v/>
      </c>
      <c r="BG36" s="2" t="str" cm="1">
        <f t="array" ref="BG36">IF('NILAI CPL'!$B36&lt;&gt;"",IFERROR(_xlfn.IFS(AJ36&gt;='NILAI CPL'!$B$3,4,AJ36&gt;='NILAI CPL'!$B$4,3,AJ36&gt;='NILAI CPL'!$B$5,2,AJ36&gt;'NILAI CPL'!$B$6,1),0),"")</f>
        <v/>
      </c>
      <c r="BH36" s="2" t="str" cm="1">
        <f t="array" ref="BH36">IF('NILAI CPL'!$B36&lt;&gt;"",IFERROR(_xlfn.IFS(AK36&gt;='NILAI CPL'!$B$3,4,AK36&gt;='NILAI CPL'!$B$4,3,AK36&gt;='NILAI CPL'!$B$5,2,AK36&gt;'NILAI CPL'!$B$6,1),0),"")</f>
        <v/>
      </c>
      <c r="BI36" s="2" t="str" cm="1">
        <f t="array" ref="BI36">IF('NILAI CPL'!$B36&lt;&gt;"",IFERROR(_xlfn.IFS(AL36&gt;='NILAI CPL'!$B$3,4,AL36&gt;='NILAI CPL'!$B$4,3,AL36&gt;='NILAI CPL'!$B$5,2,AL36&gt;'NILAI CPL'!$B$6,1),0),"")</f>
        <v/>
      </c>
      <c r="BJ36" s="2" t="str" cm="1">
        <f t="array" ref="BJ36">IF('NILAI CPL'!$B36&lt;&gt;"",IFERROR(_xlfn.IFS(AM36&gt;='NILAI CPL'!$B$3,4,AM36&gt;='NILAI CPL'!$B$4,3,AM36&gt;='NILAI CPL'!$B$5,2,AM36&gt;'NILAI CPL'!$B$6,1),0),"")</f>
        <v/>
      </c>
      <c r="BK36" s="2" t="str" cm="1">
        <f t="array" ref="BK36">IF('NILAI CPL'!$B36&lt;&gt;"",IFERROR(_xlfn.IFS(AN36&gt;='NILAI CPL'!$B$3,4,AN36&gt;='NILAI CPL'!$B$4,3,AN36&gt;='NILAI CPL'!$B$5,2,AN36&gt;'NILAI CPL'!$B$6,1),0),"")</f>
        <v/>
      </c>
    </row>
    <row r="37" spans="1:63" x14ac:dyDescent="0.2">
      <c r="A37" s="2">
        <v>27</v>
      </c>
      <c r="B37" s="2" t="str">
        <f>IF(LEN(SUMMARY!B37)&gt;0, SUMMARY!B37, "")</f>
        <v/>
      </c>
      <c r="C37" s="2" t="str">
        <f>IF(LEN(SUMMARY!C37)&gt;0, SUMMARY!C37, "")</f>
        <v/>
      </c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" t="str">
        <f t="shared" si="2"/>
        <v/>
      </c>
      <c r="S37" s="2" t="str">
        <f t="shared" si="3"/>
        <v/>
      </c>
      <c r="T37" s="2" t="str">
        <f t="shared" si="4"/>
        <v/>
      </c>
      <c r="U37" s="2" t="str">
        <f t="shared" si="5"/>
        <v/>
      </c>
      <c r="V37" s="2" t="str">
        <f t="shared" si="6"/>
        <v/>
      </c>
      <c r="W37" s="2" t="str">
        <f t="shared" si="7"/>
        <v/>
      </c>
      <c r="X37" s="2" t="str">
        <f t="shared" si="8"/>
        <v/>
      </c>
      <c r="Y37" s="2" t="str">
        <f t="shared" si="9"/>
        <v/>
      </c>
      <c r="Z37" s="2" t="str">
        <f t="shared" si="10"/>
        <v/>
      </c>
      <c r="AA37" s="2" t="str">
        <f t="shared" si="11"/>
        <v/>
      </c>
      <c r="AB37" s="2" t="str">
        <f t="shared" si="12"/>
        <v/>
      </c>
      <c r="AC37" s="2" t="str">
        <f t="shared" si="13"/>
        <v/>
      </c>
      <c r="AD37" s="2" t="str">
        <f t="shared" si="14"/>
        <v/>
      </c>
      <c r="AE37" s="2" t="str">
        <f t="shared" si="15"/>
        <v/>
      </c>
      <c r="AF37" s="2" t="str">
        <f t="shared" si="16"/>
        <v/>
      </c>
      <c r="AG37" s="2" t="str">
        <f t="shared" si="17"/>
        <v/>
      </c>
      <c r="AH37" s="2" t="str">
        <f t="shared" si="18"/>
        <v/>
      </c>
      <c r="AI37" s="2" t="str">
        <f t="shared" si="19"/>
        <v/>
      </c>
      <c r="AJ37" s="2" t="str">
        <f t="shared" si="20"/>
        <v/>
      </c>
      <c r="AK37" s="2" t="str">
        <f t="shared" si="21"/>
        <v/>
      </c>
      <c r="AL37" s="2" t="str">
        <f t="shared" si="22"/>
        <v/>
      </c>
      <c r="AM37" s="2" t="str">
        <f t="shared" si="23"/>
        <v/>
      </c>
      <c r="AN37" s="2" t="str">
        <f t="shared" si="24"/>
        <v/>
      </c>
      <c r="AP37" s="2" t="str" cm="1">
        <f t="array" ref="AP37">IF('NILAI CPL'!$B37&lt;&gt;"",IFERROR(_xlfn.IFS(S37&gt;='NILAI CPL'!$B$3,4,S37&gt;='NILAI CPL'!$B$4,3,S37&gt;='NILAI CPL'!$B$5,2,S37&gt;'NILAI CPL'!$B$6,1),0),"")</f>
        <v/>
      </c>
      <c r="AQ37" s="2" t="str" cm="1">
        <f t="array" ref="AQ37">IF('NILAI CPL'!$B37&lt;&gt;"",IFERROR(_xlfn.IFS(T37&gt;='NILAI CPL'!$B$3,4,T37&gt;='NILAI CPL'!$B$4,3,T37&gt;='NILAI CPL'!$B$5,2,T37&gt;'NILAI CPL'!$B$6,1),0),"")</f>
        <v/>
      </c>
      <c r="AR37" s="2" t="str" cm="1">
        <f t="array" ref="AR37">IF('NILAI CPL'!$B37&lt;&gt;"",IFERROR(_xlfn.IFS(U37&gt;='NILAI CPL'!$B$3,4,U37&gt;='NILAI CPL'!$B$4,3,U37&gt;='NILAI CPL'!$B$5,2,U37&gt;'NILAI CPL'!$B$6,1),0),"")</f>
        <v/>
      </c>
      <c r="AS37" s="2" t="str" cm="1">
        <f t="array" ref="AS37">IF('NILAI CPL'!$B37&lt;&gt;"",IFERROR(_xlfn.IFS(V37&gt;='NILAI CPL'!$B$3,4,V37&gt;='NILAI CPL'!$B$4,3,V37&gt;='NILAI CPL'!$B$5,2,V37&gt;'NILAI CPL'!$B$6,1),0),"")</f>
        <v/>
      </c>
      <c r="AT37" s="2" t="str" cm="1">
        <f t="array" ref="AT37">IF('NILAI CPL'!$B37&lt;&gt;"",IFERROR(_xlfn.IFS(W37&gt;='NILAI CPL'!$B$3,4,W37&gt;='NILAI CPL'!$B$4,3,W37&gt;='NILAI CPL'!$B$5,2,W37&gt;'NILAI CPL'!$B$6,1),0),"")</f>
        <v/>
      </c>
      <c r="AU37" s="2" t="str" cm="1">
        <f t="array" ref="AU37">IF('NILAI CPL'!$B37&lt;&gt;"",IFERROR(_xlfn.IFS(X37&gt;='NILAI CPL'!$B$3,4,X37&gt;='NILAI CPL'!$B$4,3,X37&gt;='NILAI CPL'!$B$5,2,X37&gt;'NILAI CPL'!$B$6,1),0),"")</f>
        <v/>
      </c>
      <c r="AV37" s="2" t="str" cm="1">
        <f t="array" ref="AV37">IF('NILAI CPL'!$B37&lt;&gt;"",IFERROR(_xlfn.IFS(Y37&gt;='NILAI CPL'!$B$3,4,Y37&gt;='NILAI CPL'!$B$4,3,Y37&gt;='NILAI CPL'!$B$5,2,Y37&gt;'NILAI CPL'!$B$6,1),0),"")</f>
        <v/>
      </c>
      <c r="AW37" s="2" t="str" cm="1">
        <f t="array" ref="AW37">IF('NILAI CPL'!$B37&lt;&gt;"",IFERROR(_xlfn.IFS(Z37&gt;='NILAI CPL'!$B$3,4,Z37&gt;='NILAI CPL'!$B$4,3,Z37&gt;='NILAI CPL'!$B$5,2,Z37&gt;'NILAI CPL'!$B$6,1),0),"")</f>
        <v/>
      </c>
      <c r="AX37" s="2" t="str" cm="1">
        <f t="array" ref="AX37">IF('NILAI CPL'!$B37&lt;&gt;"",IFERROR(_xlfn.IFS(AA37&gt;='NILAI CPL'!$B$3,4,AA37&gt;='NILAI CPL'!$B$4,3,AA37&gt;='NILAI CPL'!$B$5,2,AA37&gt;'NILAI CPL'!$B$6,1),0),"")</f>
        <v/>
      </c>
      <c r="AY37" s="2" t="str" cm="1">
        <f t="array" ref="AY37">IF('NILAI CPL'!$B37&lt;&gt;"",IFERROR(_xlfn.IFS(AB37&gt;='NILAI CPL'!$B$3,4,AB37&gt;='NILAI CPL'!$B$4,3,AB37&gt;='NILAI CPL'!$B$5,2,AB37&gt;'NILAI CPL'!$B$6,1),0),"")</f>
        <v/>
      </c>
      <c r="AZ37" s="2" t="str" cm="1">
        <f t="array" ref="AZ37">IF('NILAI CPL'!$B37&lt;&gt;"",IFERROR(_xlfn.IFS(AC37&gt;='NILAI CPL'!$B$3,4,AC37&gt;='NILAI CPL'!$B$4,3,AC37&gt;='NILAI CPL'!$B$5,2,AC37&gt;'NILAI CPL'!$B$6,1),0),"")</f>
        <v/>
      </c>
      <c r="BA37" s="2" t="str" cm="1">
        <f t="array" ref="BA37">IF('NILAI CPL'!$B37&lt;&gt;"",IFERROR(_xlfn.IFS(AD37&gt;='NILAI CPL'!$B$3,4,AD37&gt;='NILAI CPL'!$B$4,3,AD37&gt;='NILAI CPL'!$B$5,2,AD37&gt;'NILAI CPL'!$B$6,1),0),"")</f>
        <v/>
      </c>
      <c r="BB37" s="2" t="str" cm="1">
        <f t="array" ref="BB37">IF('NILAI CPL'!$B37&lt;&gt;"",IFERROR(_xlfn.IFS(AE37&gt;='NILAI CPL'!$B$3,4,AE37&gt;='NILAI CPL'!$B$4,3,AE37&gt;='NILAI CPL'!$B$5,2,AE37&gt;'NILAI CPL'!$B$6,1),0),"")</f>
        <v/>
      </c>
      <c r="BC37" s="2" t="str" cm="1">
        <f t="array" ref="BC37">IF('NILAI CPL'!$B37&lt;&gt;"",IFERROR(_xlfn.IFS(AF37&gt;='NILAI CPL'!$B$3,4,AF37&gt;='NILAI CPL'!$B$4,3,AF37&gt;='NILAI CPL'!$B$5,2,AF37&gt;'NILAI CPL'!$B$6,1),0),"")</f>
        <v/>
      </c>
      <c r="BD37" s="2" t="str" cm="1">
        <f t="array" ref="BD37">IF('NILAI CPL'!$B37&lt;&gt;"",IFERROR(_xlfn.IFS(AG37&gt;='NILAI CPL'!$B$3,4,AG37&gt;='NILAI CPL'!$B$4,3,AG37&gt;='NILAI CPL'!$B$5,2,AG37&gt;'NILAI CPL'!$B$6,1),0),"")</f>
        <v/>
      </c>
      <c r="BE37" s="2" t="str" cm="1">
        <f t="array" ref="BE37">IF('NILAI CPL'!$B37&lt;&gt;"",IFERROR(_xlfn.IFS(AH37&gt;='NILAI CPL'!$B$3,4,AH37&gt;='NILAI CPL'!$B$4,3,AH37&gt;='NILAI CPL'!$B$5,2,AH37&gt;'NILAI CPL'!$B$6,1),0),"")</f>
        <v/>
      </c>
      <c r="BF37" s="2" t="str" cm="1">
        <f t="array" ref="BF37">IF('NILAI CPL'!$B37&lt;&gt;"",IFERROR(_xlfn.IFS(AI37&gt;='NILAI CPL'!$B$3,4,AI37&gt;='NILAI CPL'!$B$4,3,AI37&gt;='NILAI CPL'!$B$5,2,AI37&gt;'NILAI CPL'!$B$6,1),0),"")</f>
        <v/>
      </c>
      <c r="BG37" s="2" t="str" cm="1">
        <f t="array" ref="BG37">IF('NILAI CPL'!$B37&lt;&gt;"",IFERROR(_xlfn.IFS(AJ37&gt;='NILAI CPL'!$B$3,4,AJ37&gt;='NILAI CPL'!$B$4,3,AJ37&gt;='NILAI CPL'!$B$5,2,AJ37&gt;'NILAI CPL'!$B$6,1),0),"")</f>
        <v/>
      </c>
      <c r="BH37" s="2" t="str" cm="1">
        <f t="array" ref="BH37">IF('NILAI CPL'!$B37&lt;&gt;"",IFERROR(_xlfn.IFS(AK37&gt;='NILAI CPL'!$B$3,4,AK37&gt;='NILAI CPL'!$B$4,3,AK37&gt;='NILAI CPL'!$B$5,2,AK37&gt;'NILAI CPL'!$B$6,1),0),"")</f>
        <v/>
      </c>
      <c r="BI37" s="2" t="str" cm="1">
        <f t="array" ref="BI37">IF('NILAI CPL'!$B37&lt;&gt;"",IFERROR(_xlfn.IFS(AL37&gt;='NILAI CPL'!$B$3,4,AL37&gt;='NILAI CPL'!$B$4,3,AL37&gt;='NILAI CPL'!$B$5,2,AL37&gt;'NILAI CPL'!$B$6,1),0),"")</f>
        <v/>
      </c>
      <c r="BJ37" s="2" t="str" cm="1">
        <f t="array" ref="BJ37">IF('NILAI CPL'!$B37&lt;&gt;"",IFERROR(_xlfn.IFS(AM37&gt;='NILAI CPL'!$B$3,4,AM37&gt;='NILAI CPL'!$B$4,3,AM37&gt;='NILAI CPL'!$B$5,2,AM37&gt;'NILAI CPL'!$B$6,1),0),"")</f>
        <v/>
      </c>
      <c r="BK37" s="2" t="str" cm="1">
        <f t="array" ref="BK37">IF('NILAI CPL'!$B37&lt;&gt;"",IFERROR(_xlfn.IFS(AN37&gt;='NILAI CPL'!$B$3,4,AN37&gt;='NILAI CPL'!$B$4,3,AN37&gt;='NILAI CPL'!$B$5,2,AN37&gt;'NILAI CPL'!$B$6,1),0),"")</f>
        <v/>
      </c>
    </row>
    <row r="38" spans="1:63" x14ac:dyDescent="0.2">
      <c r="A38" s="2">
        <v>28</v>
      </c>
      <c r="B38" s="2" t="str">
        <f>IF(LEN(SUMMARY!B38)&gt;0, SUMMARY!B38, "")</f>
        <v/>
      </c>
      <c r="C38" s="2" t="str">
        <f>IF(LEN(SUMMARY!C38)&gt;0, SUMMARY!C38, "")</f>
        <v/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" t="str">
        <f t="shared" si="2"/>
        <v/>
      </c>
      <c r="S38" s="2" t="str">
        <f t="shared" si="3"/>
        <v/>
      </c>
      <c r="T38" s="2" t="str">
        <f t="shared" si="4"/>
        <v/>
      </c>
      <c r="U38" s="2" t="str">
        <f t="shared" si="5"/>
        <v/>
      </c>
      <c r="V38" s="2" t="str">
        <f t="shared" si="6"/>
        <v/>
      </c>
      <c r="W38" s="2" t="str">
        <f t="shared" si="7"/>
        <v/>
      </c>
      <c r="X38" s="2" t="str">
        <f t="shared" si="8"/>
        <v/>
      </c>
      <c r="Y38" s="2" t="str">
        <f t="shared" si="9"/>
        <v/>
      </c>
      <c r="Z38" s="2" t="str">
        <f t="shared" si="10"/>
        <v/>
      </c>
      <c r="AA38" s="2" t="str">
        <f t="shared" si="11"/>
        <v/>
      </c>
      <c r="AB38" s="2" t="str">
        <f t="shared" si="12"/>
        <v/>
      </c>
      <c r="AC38" s="2" t="str">
        <f t="shared" si="13"/>
        <v/>
      </c>
      <c r="AD38" s="2" t="str">
        <f t="shared" si="14"/>
        <v/>
      </c>
      <c r="AE38" s="2" t="str">
        <f t="shared" si="15"/>
        <v/>
      </c>
      <c r="AF38" s="2" t="str">
        <f t="shared" si="16"/>
        <v/>
      </c>
      <c r="AG38" s="2" t="str">
        <f t="shared" si="17"/>
        <v/>
      </c>
      <c r="AH38" s="2" t="str">
        <f t="shared" si="18"/>
        <v/>
      </c>
      <c r="AI38" s="2" t="str">
        <f t="shared" si="19"/>
        <v/>
      </c>
      <c r="AJ38" s="2" t="str">
        <f t="shared" si="20"/>
        <v/>
      </c>
      <c r="AK38" s="2" t="str">
        <f t="shared" si="21"/>
        <v/>
      </c>
      <c r="AL38" s="2" t="str">
        <f t="shared" si="22"/>
        <v/>
      </c>
      <c r="AM38" s="2" t="str">
        <f t="shared" si="23"/>
        <v/>
      </c>
      <c r="AN38" s="2" t="str">
        <f t="shared" si="24"/>
        <v/>
      </c>
      <c r="AP38" s="2" t="str" cm="1">
        <f t="array" ref="AP38">IF('NILAI CPL'!$B38&lt;&gt;"",IFERROR(_xlfn.IFS(S38&gt;='NILAI CPL'!$B$3,4,S38&gt;='NILAI CPL'!$B$4,3,S38&gt;='NILAI CPL'!$B$5,2,S38&gt;'NILAI CPL'!$B$6,1),0),"")</f>
        <v/>
      </c>
      <c r="AQ38" s="2" t="str" cm="1">
        <f t="array" ref="AQ38">IF('NILAI CPL'!$B38&lt;&gt;"",IFERROR(_xlfn.IFS(T38&gt;='NILAI CPL'!$B$3,4,T38&gt;='NILAI CPL'!$B$4,3,T38&gt;='NILAI CPL'!$B$5,2,T38&gt;'NILAI CPL'!$B$6,1),0),"")</f>
        <v/>
      </c>
      <c r="AR38" s="2" t="str" cm="1">
        <f t="array" ref="AR38">IF('NILAI CPL'!$B38&lt;&gt;"",IFERROR(_xlfn.IFS(U38&gt;='NILAI CPL'!$B$3,4,U38&gt;='NILAI CPL'!$B$4,3,U38&gt;='NILAI CPL'!$B$5,2,U38&gt;'NILAI CPL'!$B$6,1),0),"")</f>
        <v/>
      </c>
      <c r="AS38" s="2" t="str" cm="1">
        <f t="array" ref="AS38">IF('NILAI CPL'!$B38&lt;&gt;"",IFERROR(_xlfn.IFS(V38&gt;='NILAI CPL'!$B$3,4,V38&gt;='NILAI CPL'!$B$4,3,V38&gt;='NILAI CPL'!$B$5,2,V38&gt;'NILAI CPL'!$B$6,1),0),"")</f>
        <v/>
      </c>
      <c r="AT38" s="2" t="str" cm="1">
        <f t="array" ref="AT38">IF('NILAI CPL'!$B38&lt;&gt;"",IFERROR(_xlfn.IFS(W38&gt;='NILAI CPL'!$B$3,4,W38&gt;='NILAI CPL'!$B$4,3,W38&gt;='NILAI CPL'!$B$5,2,W38&gt;'NILAI CPL'!$B$6,1),0),"")</f>
        <v/>
      </c>
      <c r="AU38" s="2" t="str" cm="1">
        <f t="array" ref="AU38">IF('NILAI CPL'!$B38&lt;&gt;"",IFERROR(_xlfn.IFS(X38&gt;='NILAI CPL'!$B$3,4,X38&gt;='NILAI CPL'!$B$4,3,X38&gt;='NILAI CPL'!$B$5,2,X38&gt;'NILAI CPL'!$B$6,1),0),"")</f>
        <v/>
      </c>
      <c r="AV38" s="2" t="str" cm="1">
        <f t="array" ref="AV38">IF('NILAI CPL'!$B38&lt;&gt;"",IFERROR(_xlfn.IFS(Y38&gt;='NILAI CPL'!$B$3,4,Y38&gt;='NILAI CPL'!$B$4,3,Y38&gt;='NILAI CPL'!$B$5,2,Y38&gt;'NILAI CPL'!$B$6,1),0),"")</f>
        <v/>
      </c>
      <c r="AW38" s="2" t="str" cm="1">
        <f t="array" ref="AW38">IF('NILAI CPL'!$B38&lt;&gt;"",IFERROR(_xlfn.IFS(Z38&gt;='NILAI CPL'!$B$3,4,Z38&gt;='NILAI CPL'!$B$4,3,Z38&gt;='NILAI CPL'!$B$5,2,Z38&gt;'NILAI CPL'!$B$6,1),0),"")</f>
        <v/>
      </c>
      <c r="AX38" s="2" t="str" cm="1">
        <f t="array" ref="AX38">IF('NILAI CPL'!$B38&lt;&gt;"",IFERROR(_xlfn.IFS(AA38&gt;='NILAI CPL'!$B$3,4,AA38&gt;='NILAI CPL'!$B$4,3,AA38&gt;='NILAI CPL'!$B$5,2,AA38&gt;'NILAI CPL'!$B$6,1),0),"")</f>
        <v/>
      </c>
      <c r="AY38" s="2" t="str" cm="1">
        <f t="array" ref="AY38">IF('NILAI CPL'!$B38&lt;&gt;"",IFERROR(_xlfn.IFS(AB38&gt;='NILAI CPL'!$B$3,4,AB38&gt;='NILAI CPL'!$B$4,3,AB38&gt;='NILAI CPL'!$B$5,2,AB38&gt;'NILAI CPL'!$B$6,1),0),"")</f>
        <v/>
      </c>
      <c r="AZ38" s="2" t="str" cm="1">
        <f t="array" ref="AZ38">IF('NILAI CPL'!$B38&lt;&gt;"",IFERROR(_xlfn.IFS(AC38&gt;='NILAI CPL'!$B$3,4,AC38&gt;='NILAI CPL'!$B$4,3,AC38&gt;='NILAI CPL'!$B$5,2,AC38&gt;'NILAI CPL'!$B$6,1),0),"")</f>
        <v/>
      </c>
      <c r="BA38" s="2" t="str" cm="1">
        <f t="array" ref="BA38">IF('NILAI CPL'!$B38&lt;&gt;"",IFERROR(_xlfn.IFS(AD38&gt;='NILAI CPL'!$B$3,4,AD38&gt;='NILAI CPL'!$B$4,3,AD38&gt;='NILAI CPL'!$B$5,2,AD38&gt;'NILAI CPL'!$B$6,1),0),"")</f>
        <v/>
      </c>
      <c r="BB38" s="2" t="str" cm="1">
        <f t="array" ref="BB38">IF('NILAI CPL'!$B38&lt;&gt;"",IFERROR(_xlfn.IFS(AE38&gt;='NILAI CPL'!$B$3,4,AE38&gt;='NILAI CPL'!$B$4,3,AE38&gt;='NILAI CPL'!$B$5,2,AE38&gt;'NILAI CPL'!$B$6,1),0),"")</f>
        <v/>
      </c>
      <c r="BC38" s="2" t="str" cm="1">
        <f t="array" ref="BC38">IF('NILAI CPL'!$B38&lt;&gt;"",IFERROR(_xlfn.IFS(AF38&gt;='NILAI CPL'!$B$3,4,AF38&gt;='NILAI CPL'!$B$4,3,AF38&gt;='NILAI CPL'!$B$5,2,AF38&gt;'NILAI CPL'!$B$6,1),0),"")</f>
        <v/>
      </c>
      <c r="BD38" s="2" t="str" cm="1">
        <f t="array" ref="BD38">IF('NILAI CPL'!$B38&lt;&gt;"",IFERROR(_xlfn.IFS(AG38&gt;='NILAI CPL'!$B$3,4,AG38&gt;='NILAI CPL'!$B$4,3,AG38&gt;='NILAI CPL'!$B$5,2,AG38&gt;'NILAI CPL'!$B$6,1),0),"")</f>
        <v/>
      </c>
      <c r="BE38" s="2" t="str" cm="1">
        <f t="array" ref="BE38">IF('NILAI CPL'!$B38&lt;&gt;"",IFERROR(_xlfn.IFS(AH38&gt;='NILAI CPL'!$B$3,4,AH38&gt;='NILAI CPL'!$B$4,3,AH38&gt;='NILAI CPL'!$B$5,2,AH38&gt;'NILAI CPL'!$B$6,1),0),"")</f>
        <v/>
      </c>
      <c r="BF38" s="2" t="str" cm="1">
        <f t="array" ref="BF38">IF('NILAI CPL'!$B38&lt;&gt;"",IFERROR(_xlfn.IFS(AI38&gt;='NILAI CPL'!$B$3,4,AI38&gt;='NILAI CPL'!$B$4,3,AI38&gt;='NILAI CPL'!$B$5,2,AI38&gt;'NILAI CPL'!$B$6,1),0),"")</f>
        <v/>
      </c>
      <c r="BG38" s="2" t="str" cm="1">
        <f t="array" ref="BG38">IF('NILAI CPL'!$B38&lt;&gt;"",IFERROR(_xlfn.IFS(AJ38&gt;='NILAI CPL'!$B$3,4,AJ38&gt;='NILAI CPL'!$B$4,3,AJ38&gt;='NILAI CPL'!$B$5,2,AJ38&gt;'NILAI CPL'!$B$6,1),0),"")</f>
        <v/>
      </c>
      <c r="BH38" s="2" t="str" cm="1">
        <f t="array" ref="BH38">IF('NILAI CPL'!$B38&lt;&gt;"",IFERROR(_xlfn.IFS(AK38&gt;='NILAI CPL'!$B$3,4,AK38&gt;='NILAI CPL'!$B$4,3,AK38&gt;='NILAI CPL'!$B$5,2,AK38&gt;'NILAI CPL'!$B$6,1),0),"")</f>
        <v/>
      </c>
      <c r="BI38" s="2" t="str" cm="1">
        <f t="array" ref="BI38">IF('NILAI CPL'!$B38&lt;&gt;"",IFERROR(_xlfn.IFS(AL38&gt;='NILAI CPL'!$B$3,4,AL38&gt;='NILAI CPL'!$B$4,3,AL38&gt;='NILAI CPL'!$B$5,2,AL38&gt;'NILAI CPL'!$B$6,1),0),"")</f>
        <v/>
      </c>
      <c r="BJ38" s="2" t="str" cm="1">
        <f t="array" ref="BJ38">IF('NILAI CPL'!$B38&lt;&gt;"",IFERROR(_xlfn.IFS(AM38&gt;='NILAI CPL'!$B$3,4,AM38&gt;='NILAI CPL'!$B$4,3,AM38&gt;='NILAI CPL'!$B$5,2,AM38&gt;'NILAI CPL'!$B$6,1),0),"")</f>
        <v/>
      </c>
      <c r="BK38" s="2" t="str" cm="1">
        <f t="array" ref="BK38">IF('NILAI CPL'!$B38&lt;&gt;"",IFERROR(_xlfn.IFS(AN38&gt;='NILAI CPL'!$B$3,4,AN38&gt;='NILAI CPL'!$B$4,3,AN38&gt;='NILAI CPL'!$B$5,2,AN38&gt;'NILAI CPL'!$B$6,1),0),"")</f>
        <v/>
      </c>
    </row>
    <row r="39" spans="1:63" x14ac:dyDescent="0.2">
      <c r="A39" s="2">
        <v>29</v>
      </c>
      <c r="B39" s="2" t="str">
        <f>IF(LEN(SUMMARY!B39)&gt;0, SUMMARY!B39, "")</f>
        <v/>
      </c>
      <c r="C39" s="2" t="str">
        <f>IF(LEN(SUMMARY!C39)&gt;0, SUMMARY!C39, "")</f>
        <v/>
      </c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" t="str">
        <f t="shared" si="2"/>
        <v/>
      </c>
      <c r="S39" s="2" t="str">
        <f t="shared" si="3"/>
        <v/>
      </c>
      <c r="T39" s="2" t="str">
        <f t="shared" si="4"/>
        <v/>
      </c>
      <c r="U39" s="2" t="str">
        <f t="shared" si="5"/>
        <v/>
      </c>
      <c r="V39" s="2" t="str">
        <f t="shared" si="6"/>
        <v/>
      </c>
      <c r="W39" s="2" t="str">
        <f t="shared" si="7"/>
        <v/>
      </c>
      <c r="X39" s="2" t="str">
        <f t="shared" si="8"/>
        <v/>
      </c>
      <c r="Y39" s="2" t="str">
        <f t="shared" si="9"/>
        <v/>
      </c>
      <c r="Z39" s="2" t="str">
        <f t="shared" si="10"/>
        <v/>
      </c>
      <c r="AA39" s="2" t="str">
        <f t="shared" si="11"/>
        <v/>
      </c>
      <c r="AB39" s="2" t="str">
        <f t="shared" si="12"/>
        <v/>
      </c>
      <c r="AC39" s="2" t="str">
        <f t="shared" si="13"/>
        <v/>
      </c>
      <c r="AD39" s="2" t="str">
        <f t="shared" si="14"/>
        <v/>
      </c>
      <c r="AE39" s="2" t="str">
        <f t="shared" si="15"/>
        <v/>
      </c>
      <c r="AF39" s="2" t="str">
        <f t="shared" si="16"/>
        <v/>
      </c>
      <c r="AG39" s="2" t="str">
        <f t="shared" si="17"/>
        <v/>
      </c>
      <c r="AH39" s="2" t="str">
        <f t="shared" si="18"/>
        <v/>
      </c>
      <c r="AI39" s="2" t="str">
        <f t="shared" si="19"/>
        <v/>
      </c>
      <c r="AJ39" s="2" t="str">
        <f t="shared" si="20"/>
        <v/>
      </c>
      <c r="AK39" s="2" t="str">
        <f t="shared" si="21"/>
        <v/>
      </c>
      <c r="AL39" s="2" t="str">
        <f t="shared" si="22"/>
        <v/>
      </c>
      <c r="AM39" s="2" t="str">
        <f t="shared" si="23"/>
        <v/>
      </c>
      <c r="AN39" s="2" t="str">
        <f t="shared" si="24"/>
        <v/>
      </c>
      <c r="AP39" s="2" t="str" cm="1">
        <f t="array" ref="AP39">IF('NILAI CPL'!$B39&lt;&gt;"",IFERROR(_xlfn.IFS(S39&gt;='NILAI CPL'!$B$3,4,S39&gt;='NILAI CPL'!$B$4,3,S39&gt;='NILAI CPL'!$B$5,2,S39&gt;'NILAI CPL'!$B$6,1),0),"")</f>
        <v/>
      </c>
      <c r="AQ39" s="2" t="str" cm="1">
        <f t="array" ref="AQ39">IF('NILAI CPL'!$B39&lt;&gt;"",IFERROR(_xlfn.IFS(T39&gt;='NILAI CPL'!$B$3,4,T39&gt;='NILAI CPL'!$B$4,3,T39&gt;='NILAI CPL'!$B$5,2,T39&gt;'NILAI CPL'!$B$6,1),0),"")</f>
        <v/>
      </c>
      <c r="AR39" s="2" t="str" cm="1">
        <f t="array" ref="AR39">IF('NILAI CPL'!$B39&lt;&gt;"",IFERROR(_xlfn.IFS(U39&gt;='NILAI CPL'!$B$3,4,U39&gt;='NILAI CPL'!$B$4,3,U39&gt;='NILAI CPL'!$B$5,2,U39&gt;'NILAI CPL'!$B$6,1),0),"")</f>
        <v/>
      </c>
      <c r="AS39" s="2" t="str" cm="1">
        <f t="array" ref="AS39">IF('NILAI CPL'!$B39&lt;&gt;"",IFERROR(_xlfn.IFS(V39&gt;='NILAI CPL'!$B$3,4,V39&gt;='NILAI CPL'!$B$4,3,V39&gt;='NILAI CPL'!$B$5,2,V39&gt;'NILAI CPL'!$B$6,1),0),"")</f>
        <v/>
      </c>
      <c r="AT39" s="2" t="str" cm="1">
        <f t="array" ref="AT39">IF('NILAI CPL'!$B39&lt;&gt;"",IFERROR(_xlfn.IFS(W39&gt;='NILAI CPL'!$B$3,4,W39&gt;='NILAI CPL'!$B$4,3,W39&gt;='NILAI CPL'!$B$5,2,W39&gt;'NILAI CPL'!$B$6,1),0),"")</f>
        <v/>
      </c>
      <c r="AU39" s="2" t="str" cm="1">
        <f t="array" ref="AU39">IF('NILAI CPL'!$B39&lt;&gt;"",IFERROR(_xlfn.IFS(X39&gt;='NILAI CPL'!$B$3,4,X39&gt;='NILAI CPL'!$B$4,3,X39&gt;='NILAI CPL'!$B$5,2,X39&gt;'NILAI CPL'!$B$6,1),0),"")</f>
        <v/>
      </c>
      <c r="AV39" s="2" t="str" cm="1">
        <f t="array" ref="AV39">IF('NILAI CPL'!$B39&lt;&gt;"",IFERROR(_xlfn.IFS(Y39&gt;='NILAI CPL'!$B$3,4,Y39&gt;='NILAI CPL'!$B$4,3,Y39&gt;='NILAI CPL'!$B$5,2,Y39&gt;'NILAI CPL'!$B$6,1),0),"")</f>
        <v/>
      </c>
      <c r="AW39" s="2" t="str" cm="1">
        <f t="array" ref="AW39">IF('NILAI CPL'!$B39&lt;&gt;"",IFERROR(_xlfn.IFS(Z39&gt;='NILAI CPL'!$B$3,4,Z39&gt;='NILAI CPL'!$B$4,3,Z39&gt;='NILAI CPL'!$B$5,2,Z39&gt;'NILAI CPL'!$B$6,1),0),"")</f>
        <v/>
      </c>
      <c r="AX39" s="2" t="str" cm="1">
        <f t="array" ref="AX39">IF('NILAI CPL'!$B39&lt;&gt;"",IFERROR(_xlfn.IFS(AA39&gt;='NILAI CPL'!$B$3,4,AA39&gt;='NILAI CPL'!$B$4,3,AA39&gt;='NILAI CPL'!$B$5,2,AA39&gt;'NILAI CPL'!$B$6,1),0),"")</f>
        <v/>
      </c>
      <c r="AY39" s="2" t="str" cm="1">
        <f t="array" ref="AY39">IF('NILAI CPL'!$B39&lt;&gt;"",IFERROR(_xlfn.IFS(AB39&gt;='NILAI CPL'!$B$3,4,AB39&gt;='NILAI CPL'!$B$4,3,AB39&gt;='NILAI CPL'!$B$5,2,AB39&gt;'NILAI CPL'!$B$6,1),0),"")</f>
        <v/>
      </c>
      <c r="AZ39" s="2" t="str" cm="1">
        <f t="array" ref="AZ39">IF('NILAI CPL'!$B39&lt;&gt;"",IFERROR(_xlfn.IFS(AC39&gt;='NILAI CPL'!$B$3,4,AC39&gt;='NILAI CPL'!$B$4,3,AC39&gt;='NILAI CPL'!$B$5,2,AC39&gt;'NILAI CPL'!$B$6,1),0),"")</f>
        <v/>
      </c>
      <c r="BA39" s="2" t="str" cm="1">
        <f t="array" ref="BA39">IF('NILAI CPL'!$B39&lt;&gt;"",IFERROR(_xlfn.IFS(AD39&gt;='NILAI CPL'!$B$3,4,AD39&gt;='NILAI CPL'!$B$4,3,AD39&gt;='NILAI CPL'!$B$5,2,AD39&gt;'NILAI CPL'!$B$6,1),0),"")</f>
        <v/>
      </c>
      <c r="BB39" s="2" t="str" cm="1">
        <f t="array" ref="BB39">IF('NILAI CPL'!$B39&lt;&gt;"",IFERROR(_xlfn.IFS(AE39&gt;='NILAI CPL'!$B$3,4,AE39&gt;='NILAI CPL'!$B$4,3,AE39&gt;='NILAI CPL'!$B$5,2,AE39&gt;'NILAI CPL'!$B$6,1),0),"")</f>
        <v/>
      </c>
      <c r="BC39" s="2" t="str" cm="1">
        <f t="array" ref="BC39">IF('NILAI CPL'!$B39&lt;&gt;"",IFERROR(_xlfn.IFS(AF39&gt;='NILAI CPL'!$B$3,4,AF39&gt;='NILAI CPL'!$B$4,3,AF39&gt;='NILAI CPL'!$B$5,2,AF39&gt;'NILAI CPL'!$B$6,1),0),"")</f>
        <v/>
      </c>
      <c r="BD39" s="2" t="str" cm="1">
        <f t="array" ref="BD39">IF('NILAI CPL'!$B39&lt;&gt;"",IFERROR(_xlfn.IFS(AG39&gt;='NILAI CPL'!$B$3,4,AG39&gt;='NILAI CPL'!$B$4,3,AG39&gt;='NILAI CPL'!$B$5,2,AG39&gt;'NILAI CPL'!$B$6,1),0),"")</f>
        <v/>
      </c>
      <c r="BE39" s="2" t="str" cm="1">
        <f t="array" ref="BE39">IF('NILAI CPL'!$B39&lt;&gt;"",IFERROR(_xlfn.IFS(AH39&gt;='NILAI CPL'!$B$3,4,AH39&gt;='NILAI CPL'!$B$4,3,AH39&gt;='NILAI CPL'!$B$5,2,AH39&gt;'NILAI CPL'!$B$6,1),0),"")</f>
        <v/>
      </c>
      <c r="BF39" s="2" t="str" cm="1">
        <f t="array" ref="BF39">IF('NILAI CPL'!$B39&lt;&gt;"",IFERROR(_xlfn.IFS(AI39&gt;='NILAI CPL'!$B$3,4,AI39&gt;='NILAI CPL'!$B$4,3,AI39&gt;='NILAI CPL'!$B$5,2,AI39&gt;'NILAI CPL'!$B$6,1),0),"")</f>
        <v/>
      </c>
      <c r="BG39" s="2" t="str" cm="1">
        <f t="array" ref="BG39">IF('NILAI CPL'!$B39&lt;&gt;"",IFERROR(_xlfn.IFS(AJ39&gt;='NILAI CPL'!$B$3,4,AJ39&gt;='NILAI CPL'!$B$4,3,AJ39&gt;='NILAI CPL'!$B$5,2,AJ39&gt;'NILAI CPL'!$B$6,1),0),"")</f>
        <v/>
      </c>
      <c r="BH39" s="2" t="str" cm="1">
        <f t="array" ref="BH39">IF('NILAI CPL'!$B39&lt;&gt;"",IFERROR(_xlfn.IFS(AK39&gt;='NILAI CPL'!$B$3,4,AK39&gt;='NILAI CPL'!$B$4,3,AK39&gt;='NILAI CPL'!$B$5,2,AK39&gt;'NILAI CPL'!$B$6,1),0),"")</f>
        <v/>
      </c>
      <c r="BI39" s="2" t="str" cm="1">
        <f t="array" ref="BI39">IF('NILAI CPL'!$B39&lt;&gt;"",IFERROR(_xlfn.IFS(AL39&gt;='NILAI CPL'!$B$3,4,AL39&gt;='NILAI CPL'!$B$4,3,AL39&gt;='NILAI CPL'!$B$5,2,AL39&gt;'NILAI CPL'!$B$6,1),0),"")</f>
        <v/>
      </c>
      <c r="BJ39" s="2" t="str" cm="1">
        <f t="array" ref="BJ39">IF('NILAI CPL'!$B39&lt;&gt;"",IFERROR(_xlfn.IFS(AM39&gt;='NILAI CPL'!$B$3,4,AM39&gt;='NILAI CPL'!$B$4,3,AM39&gt;='NILAI CPL'!$B$5,2,AM39&gt;'NILAI CPL'!$B$6,1),0),"")</f>
        <v/>
      </c>
      <c r="BK39" s="2" t="str" cm="1">
        <f t="array" ref="BK39">IF('NILAI CPL'!$B39&lt;&gt;"",IFERROR(_xlfn.IFS(AN39&gt;='NILAI CPL'!$B$3,4,AN39&gt;='NILAI CPL'!$B$4,3,AN39&gt;='NILAI CPL'!$B$5,2,AN39&gt;'NILAI CPL'!$B$6,1),0),"")</f>
        <v/>
      </c>
    </row>
    <row r="40" spans="1:63" x14ac:dyDescent="0.2">
      <c r="A40" s="2">
        <v>30</v>
      </c>
      <c r="B40" s="2" t="str">
        <f>IF(LEN(SUMMARY!B40)&gt;0, SUMMARY!B40, "")</f>
        <v/>
      </c>
      <c r="C40" s="2" t="str">
        <f>IF(LEN(SUMMARY!C40)&gt;0, SUMMARY!C40, "")</f>
        <v/>
      </c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" t="str">
        <f t="shared" si="2"/>
        <v/>
      </c>
      <c r="S40" s="2" t="str">
        <f t="shared" si="3"/>
        <v/>
      </c>
      <c r="T40" s="2" t="str">
        <f t="shared" si="4"/>
        <v/>
      </c>
      <c r="U40" s="2" t="str">
        <f t="shared" si="5"/>
        <v/>
      </c>
      <c r="V40" s="2" t="str">
        <f t="shared" si="6"/>
        <v/>
      </c>
      <c r="W40" s="2" t="str">
        <f t="shared" si="7"/>
        <v/>
      </c>
      <c r="X40" s="2" t="str">
        <f t="shared" si="8"/>
        <v/>
      </c>
      <c r="Y40" s="2" t="str">
        <f t="shared" si="9"/>
        <v/>
      </c>
      <c r="Z40" s="2" t="str">
        <f t="shared" si="10"/>
        <v/>
      </c>
      <c r="AA40" s="2" t="str">
        <f t="shared" si="11"/>
        <v/>
      </c>
      <c r="AB40" s="2" t="str">
        <f t="shared" si="12"/>
        <v/>
      </c>
      <c r="AC40" s="2" t="str">
        <f t="shared" si="13"/>
        <v/>
      </c>
      <c r="AD40" s="2" t="str">
        <f t="shared" si="14"/>
        <v/>
      </c>
      <c r="AE40" s="2" t="str">
        <f t="shared" si="15"/>
        <v/>
      </c>
      <c r="AF40" s="2" t="str">
        <f t="shared" si="16"/>
        <v/>
      </c>
      <c r="AG40" s="2" t="str">
        <f t="shared" si="17"/>
        <v/>
      </c>
      <c r="AH40" s="2" t="str">
        <f t="shared" si="18"/>
        <v/>
      </c>
      <c r="AI40" s="2" t="str">
        <f t="shared" si="19"/>
        <v/>
      </c>
      <c r="AJ40" s="2" t="str">
        <f t="shared" si="20"/>
        <v/>
      </c>
      <c r="AK40" s="2" t="str">
        <f t="shared" si="21"/>
        <v/>
      </c>
      <c r="AL40" s="2" t="str">
        <f t="shared" si="22"/>
        <v/>
      </c>
      <c r="AM40" s="2" t="str">
        <f t="shared" si="23"/>
        <v/>
      </c>
      <c r="AN40" s="2" t="str">
        <f t="shared" si="24"/>
        <v/>
      </c>
      <c r="AP40" s="2" t="str" cm="1">
        <f t="array" ref="AP40">IF('NILAI CPL'!$B40&lt;&gt;"",IFERROR(_xlfn.IFS(S40&gt;='NILAI CPL'!$B$3,4,S40&gt;='NILAI CPL'!$B$4,3,S40&gt;='NILAI CPL'!$B$5,2,S40&gt;'NILAI CPL'!$B$6,1),0),"")</f>
        <v/>
      </c>
      <c r="AQ40" s="2" t="str" cm="1">
        <f t="array" ref="AQ40">IF('NILAI CPL'!$B40&lt;&gt;"",IFERROR(_xlfn.IFS(T40&gt;='NILAI CPL'!$B$3,4,T40&gt;='NILAI CPL'!$B$4,3,T40&gt;='NILAI CPL'!$B$5,2,T40&gt;'NILAI CPL'!$B$6,1),0),"")</f>
        <v/>
      </c>
      <c r="AR40" s="2" t="str" cm="1">
        <f t="array" ref="AR40">IF('NILAI CPL'!$B40&lt;&gt;"",IFERROR(_xlfn.IFS(U40&gt;='NILAI CPL'!$B$3,4,U40&gt;='NILAI CPL'!$B$4,3,U40&gt;='NILAI CPL'!$B$5,2,U40&gt;'NILAI CPL'!$B$6,1),0),"")</f>
        <v/>
      </c>
      <c r="AS40" s="2" t="str" cm="1">
        <f t="array" ref="AS40">IF('NILAI CPL'!$B40&lt;&gt;"",IFERROR(_xlfn.IFS(V40&gt;='NILAI CPL'!$B$3,4,V40&gt;='NILAI CPL'!$B$4,3,V40&gt;='NILAI CPL'!$B$5,2,V40&gt;'NILAI CPL'!$B$6,1),0),"")</f>
        <v/>
      </c>
      <c r="AT40" s="2" t="str" cm="1">
        <f t="array" ref="AT40">IF('NILAI CPL'!$B40&lt;&gt;"",IFERROR(_xlfn.IFS(W40&gt;='NILAI CPL'!$B$3,4,W40&gt;='NILAI CPL'!$B$4,3,W40&gt;='NILAI CPL'!$B$5,2,W40&gt;'NILAI CPL'!$B$6,1),0),"")</f>
        <v/>
      </c>
      <c r="AU40" s="2" t="str" cm="1">
        <f t="array" ref="AU40">IF('NILAI CPL'!$B40&lt;&gt;"",IFERROR(_xlfn.IFS(X40&gt;='NILAI CPL'!$B$3,4,X40&gt;='NILAI CPL'!$B$4,3,X40&gt;='NILAI CPL'!$B$5,2,X40&gt;'NILAI CPL'!$B$6,1),0),"")</f>
        <v/>
      </c>
      <c r="AV40" s="2" t="str" cm="1">
        <f t="array" ref="AV40">IF('NILAI CPL'!$B40&lt;&gt;"",IFERROR(_xlfn.IFS(Y40&gt;='NILAI CPL'!$B$3,4,Y40&gt;='NILAI CPL'!$B$4,3,Y40&gt;='NILAI CPL'!$B$5,2,Y40&gt;'NILAI CPL'!$B$6,1),0),"")</f>
        <v/>
      </c>
      <c r="AW40" s="2" t="str" cm="1">
        <f t="array" ref="AW40">IF('NILAI CPL'!$B40&lt;&gt;"",IFERROR(_xlfn.IFS(Z40&gt;='NILAI CPL'!$B$3,4,Z40&gt;='NILAI CPL'!$B$4,3,Z40&gt;='NILAI CPL'!$B$5,2,Z40&gt;'NILAI CPL'!$B$6,1),0),"")</f>
        <v/>
      </c>
      <c r="AX40" s="2" t="str" cm="1">
        <f t="array" ref="AX40">IF('NILAI CPL'!$B40&lt;&gt;"",IFERROR(_xlfn.IFS(AA40&gt;='NILAI CPL'!$B$3,4,AA40&gt;='NILAI CPL'!$B$4,3,AA40&gt;='NILAI CPL'!$B$5,2,AA40&gt;'NILAI CPL'!$B$6,1),0),"")</f>
        <v/>
      </c>
      <c r="AY40" s="2" t="str" cm="1">
        <f t="array" ref="AY40">IF('NILAI CPL'!$B40&lt;&gt;"",IFERROR(_xlfn.IFS(AB40&gt;='NILAI CPL'!$B$3,4,AB40&gt;='NILAI CPL'!$B$4,3,AB40&gt;='NILAI CPL'!$B$5,2,AB40&gt;'NILAI CPL'!$B$6,1),0),"")</f>
        <v/>
      </c>
      <c r="AZ40" s="2" t="str" cm="1">
        <f t="array" ref="AZ40">IF('NILAI CPL'!$B40&lt;&gt;"",IFERROR(_xlfn.IFS(AC40&gt;='NILAI CPL'!$B$3,4,AC40&gt;='NILAI CPL'!$B$4,3,AC40&gt;='NILAI CPL'!$B$5,2,AC40&gt;'NILAI CPL'!$B$6,1),0),"")</f>
        <v/>
      </c>
      <c r="BA40" s="2" t="str" cm="1">
        <f t="array" ref="BA40">IF('NILAI CPL'!$B40&lt;&gt;"",IFERROR(_xlfn.IFS(AD40&gt;='NILAI CPL'!$B$3,4,AD40&gt;='NILAI CPL'!$B$4,3,AD40&gt;='NILAI CPL'!$B$5,2,AD40&gt;'NILAI CPL'!$B$6,1),0),"")</f>
        <v/>
      </c>
      <c r="BB40" s="2" t="str" cm="1">
        <f t="array" ref="BB40">IF('NILAI CPL'!$B40&lt;&gt;"",IFERROR(_xlfn.IFS(AE40&gt;='NILAI CPL'!$B$3,4,AE40&gt;='NILAI CPL'!$B$4,3,AE40&gt;='NILAI CPL'!$B$5,2,AE40&gt;'NILAI CPL'!$B$6,1),0),"")</f>
        <v/>
      </c>
      <c r="BC40" s="2" t="str" cm="1">
        <f t="array" ref="BC40">IF('NILAI CPL'!$B40&lt;&gt;"",IFERROR(_xlfn.IFS(AF40&gt;='NILAI CPL'!$B$3,4,AF40&gt;='NILAI CPL'!$B$4,3,AF40&gt;='NILAI CPL'!$B$5,2,AF40&gt;'NILAI CPL'!$B$6,1),0),"")</f>
        <v/>
      </c>
      <c r="BD40" s="2" t="str" cm="1">
        <f t="array" ref="BD40">IF('NILAI CPL'!$B40&lt;&gt;"",IFERROR(_xlfn.IFS(AG40&gt;='NILAI CPL'!$B$3,4,AG40&gt;='NILAI CPL'!$B$4,3,AG40&gt;='NILAI CPL'!$B$5,2,AG40&gt;'NILAI CPL'!$B$6,1),0),"")</f>
        <v/>
      </c>
      <c r="BE40" s="2" t="str" cm="1">
        <f t="array" ref="BE40">IF('NILAI CPL'!$B40&lt;&gt;"",IFERROR(_xlfn.IFS(AH40&gt;='NILAI CPL'!$B$3,4,AH40&gt;='NILAI CPL'!$B$4,3,AH40&gt;='NILAI CPL'!$B$5,2,AH40&gt;'NILAI CPL'!$B$6,1),0),"")</f>
        <v/>
      </c>
      <c r="BF40" s="2" t="str" cm="1">
        <f t="array" ref="BF40">IF('NILAI CPL'!$B40&lt;&gt;"",IFERROR(_xlfn.IFS(AI40&gt;='NILAI CPL'!$B$3,4,AI40&gt;='NILAI CPL'!$B$4,3,AI40&gt;='NILAI CPL'!$B$5,2,AI40&gt;'NILAI CPL'!$B$6,1),0),"")</f>
        <v/>
      </c>
      <c r="BG40" s="2" t="str" cm="1">
        <f t="array" ref="BG40">IF('NILAI CPL'!$B40&lt;&gt;"",IFERROR(_xlfn.IFS(AJ40&gt;='NILAI CPL'!$B$3,4,AJ40&gt;='NILAI CPL'!$B$4,3,AJ40&gt;='NILAI CPL'!$B$5,2,AJ40&gt;'NILAI CPL'!$B$6,1),0),"")</f>
        <v/>
      </c>
      <c r="BH40" s="2" t="str" cm="1">
        <f t="array" ref="BH40">IF('NILAI CPL'!$B40&lt;&gt;"",IFERROR(_xlfn.IFS(AK40&gt;='NILAI CPL'!$B$3,4,AK40&gt;='NILAI CPL'!$B$4,3,AK40&gt;='NILAI CPL'!$B$5,2,AK40&gt;'NILAI CPL'!$B$6,1),0),"")</f>
        <v/>
      </c>
      <c r="BI40" s="2" t="str" cm="1">
        <f t="array" ref="BI40">IF('NILAI CPL'!$B40&lt;&gt;"",IFERROR(_xlfn.IFS(AL40&gt;='NILAI CPL'!$B$3,4,AL40&gt;='NILAI CPL'!$B$4,3,AL40&gt;='NILAI CPL'!$B$5,2,AL40&gt;'NILAI CPL'!$B$6,1),0),"")</f>
        <v/>
      </c>
      <c r="BJ40" s="2" t="str" cm="1">
        <f t="array" ref="BJ40">IF('NILAI CPL'!$B40&lt;&gt;"",IFERROR(_xlfn.IFS(AM40&gt;='NILAI CPL'!$B$3,4,AM40&gt;='NILAI CPL'!$B$4,3,AM40&gt;='NILAI CPL'!$B$5,2,AM40&gt;'NILAI CPL'!$B$6,1),0),"")</f>
        <v/>
      </c>
      <c r="BK40" s="2" t="str" cm="1">
        <f t="array" ref="BK40">IF('NILAI CPL'!$B40&lt;&gt;"",IFERROR(_xlfn.IFS(AN40&gt;='NILAI CPL'!$B$3,4,AN40&gt;='NILAI CPL'!$B$4,3,AN40&gt;='NILAI CPL'!$B$5,2,AN40&gt;'NILAI CPL'!$B$6,1),0),"")</f>
        <v/>
      </c>
    </row>
    <row r="41" spans="1:63" x14ac:dyDescent="0.2">
      <c r="A41" s="2">
        <v>31</v>
      </c>
      <c r="B41" s="2" t="str">
        <f>IF(LEN(SUMMARY!B41)&gt;0, SUMMARY!B41, "")</f>
        <v/>
      </c>
      <c r="C41" s="2" t="str">
        <f>IF(LEN(SUMMARY!C41)&gt;0, SUMMARY!C41, "")</f>
        <v/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" t="str">
        <f t="shared" si="2"/>
        <v/>
      </c>
      <c r="S41" s="2" t="str">
        <f t="shared" si="3"/>
        <v/>
      </c>
      <c r="T41" s="2" t="str">
        <f t="shared" si="4"/>
        <v/>
      </c>
      <c r="U41" s="2" t="str">
        <f t="shared" si="5"/>
        <v/>
      </c>
      <c r="V41" s="2" t="str">
        <f t="shared" si="6"/>
        <v/>
      </c>
      <c r="W41" s="2" t="str">
        <f t="shared" si="7"/>
        <v/>
      </c>
      <c r="X41" s="2" t="str">
        <f t="shared" si="8"/>
        <v/>
      </c>
      <c r="Y41" s="2" t="str">
        <f t="shared" si="9"/>
        <v/>
      </c>
      <c r="Z41" s="2" t="str">
        <f t="shared" si="10"/>
        <v/>
      </c>
      <c r="AA41" s="2" t="str">
        <f t="shared" si="11"/>
        <v/>
      </c>
      <c r="AB41" s="2" t="str">
        <f t="shared" si="12"/>
        <v/>
      </c>
      <c r="AC41" s="2" t="str">
        <f t="shared" si="13"/>
        <v/>
      </c>
      <c r="AD41" s="2" t="str">
        <f t="shared" si="14"/>
        <v/>
      </c>
      <c r="AE41" s="2" t="str">
        <f t="shared" si="15"/>
        <v/>
      </c>
      <c r="AF41" s="2" t="str">
        <f t="shared" si="16"/>
        <v/>
      </c>
      <c r="AG41" s="2" t="str">
        <f t="shared" si="17"/>
        <v/>
      </c>
      <c r="AH41" s="2" t="str">
        <f t="shared" si="18"/>
        <v/>
      </c>
      <c r="AI41" s="2" t="str">
        <f t="shared" si="19"/>
        <v/>
      </c>
      <c r="AJ41" s="2" t="str">
        <f t="shared" si="20"/>
        <v/>
      </c>
      <c r="AK41" s="2" t="str">
        <f t="shared" si="21"/>
        <v/>
      </c>
      <c r="AL41" s="2" t="str">
        <f t="shared" si="22"/>
        <v/>
      </c>
      <c r="AM41" s="2" t="str">
        <f t="shared" si="23"/>
        <v/>
      </c>
      <c r="AN41" s="2" t="str">
        <f t="shared" si="24"/>
        <v/>
      </c>
      <c r="AP41" s="2" t="str" cm="1">
        <f t="array" ref="AP41">IF('NILAI CPL'!$B41&lt;&gt;"",IFERROR(_xlfn.IFS(S41&gt;='NILAI CPL'!$B$3,4,S41&gt;='NILAI CPL'!$B$4,3,S41&gt;='NILAI CPL'!$B$5,2,S41&gt;'NILAI CPL'!$B$6,1),0),"")</f>
        <v/>
      </c>
      <c r="AQ41" s="2" t="str" cm="1">
        <f t="array" ref="AQ41">IF('NILAI CPL'!$B41&lt;&gt;"",IFERROR(_xlfn.IFS(T41&gt;='NILAI CPL'!$B$3,4,T41&gt;='NILAI CPL'!$B$4,3,T41&gt;='NILAI CPL'!$B$5,2,T41&gt;'NILAI CPL'!$B$6,1),0),"")</f>
        <v/>
      </c>
      <c r="AR41" s="2" t="str" cm="1">
        <f t="array" ref="AR41">IF('NILAI CPL'!$B41&lt;&gt;"",IFERROR(_xlfn.IFS(U41&gt;='NILAI CPL'!$B$3,4,U41&gt;='NILAI CPL'!$B$4,3,U41&gt;='NILAI CPL'!$B$5,2,U41&gt;'NILAI CPL'!$B$6,1),0),"")</f>
        <v/>
      </c>
      <c r="AS41" s="2" t="str" cm="1">
        <f t="array" ref="AS41">IF('NILAI CPL'!$B41&lt;&gt;"",IFERROR(_xlfn.IFS(V41&gt;='NILAI CPL'!$B$3,4,V41&gt;='NILAI CPL'!$B$4,3,V41&gt;='NILAI CPL'!$B$5,2,V41&gt;'NILAI CPL'!$B$6,1),0),"")</f>
        <v/>
      </c>
      <c r="AT41" s="2" t="str" cm="1">
        <f t="array" ref="AT41">IF('NILAI CPL'!$B41&lt;&gt;"",IFERROR(_xlfn.IFS(W41&gt;='NILAI CPL'!$B$3,4,W41&gt;='NILAI CPL'!$B$4,3,W41&gt;='NILAI CPL'!$B$5,2,W41&gt;'NILAI CPL'!$B$6,1),0),"")</f>
        <v/>
      </c>
      <c r="AU41" s="2" t="str" cm="1">
        <f t="array" ref="AU41">IF('NILAI CPL'!$B41&lt;&gt;"",IFERROR(_xlfn.IFS(X41&gt;='NILAI CPL'!$B$3,4,X41&gt;='NILAI CPL'!$B$4,3,X41&gt;='NILAI CPL'!$B$5,2,X41&gt;'NILAI CPL'!$B$6,1),0),"")</f>
        <v/>
      </c>
      <c r="AV41" s="2" t="str" cm="1">
        <f t="array" ref="AV41">IF('NILAI CPL'!$B41&lt;&gt;"",IFERROR(_xlfn.IFS(Y41&gt;='NILAI CPL'!$B$3,4,Y41&gt;='NILAI CPL'!$B$4,3,Y41&gt;='NILAI CPL'!$B$5,2,Y41&gt;'NILAI CPL'!$B$6,1),0),"")</f>
        <v/>
      </c>
      <c r="AW41" s="2" t="str" cm="1">
        <f t="array" ref="AW41">IF('NILAI CPL'!$B41&lt;&gt;"",IFERROR(_xlfn.IFS(Z41&gt;='NILAI CPL'!$B$3,4,Z41&gt;='NILAI CPL'!$B$4,3,Z41&gt;='NILAI CPL'!$B$5,2,Z41&gt;'NILAI CPL'!$B$6,1),0),"")</f>
        <v/>
      </c>
      <c r="AX41" s="2" t="str" cm="1">
        <f t="array" ref="AX41">IF('NILAI CPL'!$B41&lt;&gt;"",IFERROR(_xlfn.IFS(AA41&gt;='NILAI CPL'!$B$3,4,AA41&gt;='NILAI CPL'!$B$4,3,AA41&gt;='NILAI CPL'!$B$5,2,AA41&gt;'NILAI CPL'!$B$6,1),0),"")</f>
        <v/>
      </c>
      <c r="AY41" s="2" t="str" cm="1">
        <f t="array" ref="AY41">IF('NILAI CPL'!$B41&lt;&gt;"",IFERROR(_xlfn.IFS(AB41&gt;='NILAI CPL'!$B$3,4,AB41&gt;='NILAI CPL'!$B$4,3,AB41&gt;='NILAI CPL'!$B$5,2,AB41&gt;'NILAI CPL'!$B$6,1),0),"")</f>
        <v/>
      </c>
      <c r="AZ41" s="2" t="str" cm="1">
        <f t="array" ref="AZ41">IF('NILAI CPL'!$B41&lt;&gt;"",IFERROR(_xlfn.IFS(AC41&gt;='NILAI CPL'!$B$3,4,AC41&gt;='NILAI CPL'!$B$4,3,AC41&gt;='NILAI CPL'!$B$5,2,AC41&gt;'NILAI CPL'!$B$6,1),0),"")</f>
        <v/>
      </c>
      <c r="BA41" s="2" t="str" cm="1">
        <f t="array" ref="BA41">IF('NILAI CPL'!$B41&lt;&gt;"",IFERROR(_xlfn.IFS(AD41&gt;='NILAI CPL'!$B$3,4,AD41&gt;='NILAI CPL'!$B$4,3,AD41&gt;='NILAI CPL'!$B$5,2,AD41&gt;'NILAI CPL'!$B$6,1),0),"")</f>
        <v/>
      </c>
      <c r="BB41" s="2" t="str" cm="1">
        <f t="array" ref="BB41">IF('NILAI CPL'!$B41&lt;&gt;"",IFERROR(_xlfn.IFS(AE41&gt;='NILAI CPL'!$B$3,4,AE41&gt;='NILAI CPL'!$B$4,3,AE41&gt;='NILAI CPL'!$B$5,2,AE41&gt;'NILAI CPL'!$B$6,1),0),"")</f>
        <v/>
      </c>
      <c r="BC41" s="2" t="str" cm="1">
        <f t="array" ref="BC41">IF('NILAI CPL'!$B41&lt;&gt;"",IFERROR(_xlfn.IFS(AF41&gt;='NILAI CPL'!$B$3,4,AF41&gt;='NILAI CPL'!$B$4,3,AF41&gt;='NILAI CPL'!$B$5,2,AF41&gt;'NILAI CPL'!$B$6,1),0),"")</f>
        <v/>
      </c>
      <c r="BD41" s="2" t="str" cm="1">
        <f t="array" ref="BD41">IF('NILAI CPL'!$B41&lt;&gt;"",IFERROR(_xlfn.IFS(AG41&gt;='NILAI CPL'!$B$3,4,AG41&gt;='NILAI CPL'!$B$4,3,AG41&gt;='NILAI CPL'!$B$5,2,AG41&gt;'NILAI CPL'!$B$6,1),0),"")</f>
        <v/>
      </c>
      <c r="BE41" s="2" t="str" cm="1">
        <f t="array" ref="BE41">IF('NILAI CPL'!$B41&lt;&gt;"",IFERROR(_xlfn.IFS(AH41&gt;='NILAI CPL'!$B$3,4,AH41&gt;='NILAI CPL'!$B$4,3,AH41&gt;='NILAI CPL'!$B$5,2,AH41&gt;'NILAI CPL'!$B$6,1),0),"")</f>
        <v/>
      </c>
      <c r="BF41" s="2" t="str" cm="1">
        <f t="array" ref="BF41">IF('NILAI CPL'!$B41&lt;&gt;"",IFERROR(_xlfn.IFS(AI41&gt;='NILAI CPL'!$B$3,4,AI41&gt;='NILAI CPL'!$B$4,3,AI41&gt;='NILAI CPL'!$B$5,2,AI41&gt;'NILAI CPL'!$B$6,1),0),"")</f>
        <v/>
      </c>
      <c r="BG41" s="2" t="str" cm="1">
        <f t="array" ref="BG41">IF('NILAI CPL'!$B41&lt;&gt;"",IFERROR(_xlfn.IFS(AJ41&gt;='NILAI CPL'!$B$3,4,AJ41&gt;='NILAI CPL'!$B$4,3,AJ41&gt;='NILAI CPL'!$B$5,2,AJ41&gt;'NILAI CPL'!$B$6,1),0),"")</f>
        <v/>
      </c>
      <c r="BH41" s="2" t="str" cm="1">
        <f t="array" ref="BH41">IF('NILAI CPL'!$B41&lt;&gt;"",IFERROR(_xlfn.IFS(AK41&gt;='NILAI CPL'!$B$3,4,AK41&gt;='NILAI CPL'!$B$4,3,AK41&gt;='NILAI CPL'!$B$5,2,AK41&gt;'NILAI CPL'!$B$6,1),0),"")</f>
        <v/>
      </c>
      <c r="BI41" s="2" t="str" cm="1">
        <f t="array" ref="BI41">IF('NILAI CPL'!$B41&lt;&gt;"",IFERROR(_xlfn.IFS(AL41&gt;='NILAI CPL'!$B$3,4,AL41&gt;='NILAI CPL'!$B$4,3,AL41&gt;='NILAI CPL'!$B$5,2,AL41&gt;'NILAI CPL'!$B$6,1),0),"")</f>
        <v/>
      </c>
      <c r="BJ41" s="2" t="str" cm="1">
        <f t="array" ref="BJ41">IF('NILAI CPL'!$B41&lt;&gt;"",IFERROR(_xlfn.IFS(AM41&gt;='NILAI CPL'!$B$3,4,AM41&gt;='NILAI CPL'!$B$4,3,AM41&gt;='NILAI CPL'!$B$5,2,AM41&gt;'NILAI CPL'!$B$6,1),0),"")</f>
        <v/>
      </c>
      <c r="BK41" s="2" t="str" cm="1">
        <f t="array" ref="BK41">IF('NILAI CPL'!$B41&lt;&gt;"",IFERROR(_xlfn.IFS(AN41&gt;='NILAI CPL'!$B$3,4,AN41&gt;='NILAI CPL'!$B$4,3,AN41&gt;='NILAI CPL'!$B$5,2,AN41&gt;'NILAI CPL'!$B$6,1),0),"")</f>
        <v/>
      </c>
    </row>
    <row r="42" spans="1:63" x14ac:dyDescent="0.2">
      <c r="A42" s="2">
        <v>32</v>
      </c>
      <c r="B42" s="2" t="str">
        <f>IF(LEN(SUMMARY!B42)&gt;0, SUMMARY!B42, "")</f>
        <v/>
      </c>
      <c r="C42" s="2" t="str">
        <f>IF(LEN(SUMMARY!C42)&gt;0, SUMMARY!C42, "")</f>
        <v/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" t="str">
        <f t="shared" si="2"/>
        <v/>
      </c>
      <c r="S42" s="2" t="str">
        <f t="shared" si="3"/>
        <v/>
      </c>
      <c r="T42" s="2" t="str">
        <f t="shared" si="4"/>
        <v/>
      </c>
      <c r="U42" s="2" t="str">
        <f t="shared" si="5"/>
        <v/>
      </c>
      <c r="V42" s="2" t="str">
        <f t="shared" si="6"/>
        <v/>
      </c>
      <c r="W42" s="2" t="str">
        <f t="shared" si="7"/>
        <v/>
      </c>
      <c r="X42" s="2" t="str">
        <f t="shared" si="8"/>
        <v/>
      </c>
      <c r="Y42" s="2" t="str">
        <f t="shared" si="9"/>
        <v/>
      </c>
      <c r="Z42" s="2" t="str">
        <f t="shared" si="10"/>
        <v/>
      </c>
      <c r="AA42" s="2" t="str">
        <f t="shared" si="11"/>
        <v/>
      </c>
      <c r="AB42" s="2" t="str">
        <f t="shared" si="12"/>
        <v/>
      </c>
      <c r="AC42" s="2" t="str">
        <f t="shared" si="13"/>
        <v/>
      </c>
      <c r="AD42" s="2" t="str">
        <f t="shared" si="14"/>
        <v/>
      </c>
      <c r="AE42" s="2" t="str">
        <f t="shared" si="15"/>
        <v/>
      </c>
      <c r="AF42" s="2" t="str">
        <f t="shared" si="16"/>
        <v/>
      </c>
      <c r="AG42" s="2" t="str">
        <f t="shared" si="17"/>
        <v/>
      </c>
      <c r="AH42" s="2" t="str">
        <f t="shared" si="18"/>
        <v/>
      </c>
      <c r="AI42" s="2" t="str">
        <f t="shared" si="19"/>
        <v/>
      </c>
      <c r="AJ42" s="2" t="str">
        <f t="shared" si="20"/>
        <v/>
      </c>
      <c r="AK42" s="2" t="str">
        <f t="shared" si="21"/>
        <v/>
      </c>
      <c r="AL42" s="2" t="str">
        <f t="shared" si="22"/>
        <v/>
      </c>
      <c r="AM42" s="2" t="str">
        <f t="shared" si="23"/>
        <v/>
      </c>
      <c r="AN42" s="2" t="str">
        <f t="shared" si="24"/>
        <v/>
      </c>
      <c r="AP42" s="2" t="str" cm="1">
        <f t="array" ref="AP42">IF('NILAI CPL'!$B42&lt;&gt;"",IFERROR(_xlfn.IFS(S42&gt;='NILAI CPL'!$B$3,4,S42&gt;='NILAI CPL'!$B$4,3,S42&gt;='NILAI CPL'!$B$5,2,S42&gt;'NILAI CPL'!$B$6,1),0),"")</f>
        <v/>
      </c>
      <c r="AQ42" s="2" t="str" cm="1">
        <f t="array" ref="AQ42">IF('NILAI CPL'!$B42&lt;&gt;"",IFERROR(_xlfn.IFS(T42&gt;='NILAI CPL'!$B$3,4,T42&gt;='NILAI CPL'!$B$4,3,T42&gt;='NILAI CPL'!$B$5,2,T42&gt;'NILAI CPL'!$B$6,1),0),"")</f>
        <v/>
      </c>
      <c r="AR42" s="2" t="str" cm="1">
        <f t="array" ref="AR42">IF('NILAI CPL'!$B42&lt;&gt;"",IFERROR(_xlfn.IFS(U42&gt;='NILAI CPL'!$B$3,4,U42&gt;='NILAI CPL'!$B$4,3,U42&gt;='NILAI CPL'!$B$5,2,U42&gt;'NILAI CPL'!$B$6,1),0),"")</f>
        <v/>
      </c>
      <c r="AS42" s="2" t="str" cm="1">
        <f t="array" ref="AS42">IF('NILAI CPL'!$B42&lt;&gt;"",IFERROR(_xlfn.IFS(V42&gt;='NILAI CPL'!$B$3,4,V42&gt;='NILAI CPL'!$B$4,3,V42&gt;='NILAI CPL'!$B$5,2,V42&gt;'NILAI CPL'!$B$6,1),0),"")</f>
        <v/>
      </c>
      <c r="AT42" s="2" t="str" cm="1">
        <f t="array" ref="AT42">IF('NILAI CPL'!$B42&lt;&gt;"",IFERROR(_xlfn.IFS(W42&gt;='NILAI CPL'!$B$3,4,W42&gt;='NILAI CPL'!$B$4,3,W42&gt;='NILAI CPL'!$B$5,2,W42&gt;'NILAI CPL'!$B$6,1),0),"")</f>
        <v/>
      </c>
      <c r="AU42" s="2" t="str" cm="1">
        <f t="array" ref="AU42">IF('NILAI CPL'!$B42&lt;&gt;"",IFERROR(_xlfn.IFS(X42&gt;='NILAI CPL'!$B$3,4,X42&gt;='NILAI CPL'!$B$4,3,X42&gt;='NILAI CPL'!$B$5,2,X42&gt;'NILAI CPL'!$B$6,1),0),"")</f>
        <v/>
      </c>
      <c r="AV42" s="2" t="str" cm="1">
        <f t="array" ref="AV42">IF('NILAI CPL'!$B42&lt;&gt;"",IFERROR(_xlfn.IFS(Y42&gt;='NILAI CPL'!$B$3,4,Y42&gt;='NILAI CPL'!$B$4,3,Y42&gt;='NILAI CPL'!$B$5,2,Y42&gt;'NILAI CPL'!$B$6,1),0),"")</f>
        <v/>
      </c>
      <c r="AW42" s="2" t="str" cm="1">
        <f t="array" ref="AW42">IF('NILAI CPL'!$B42&lt;&gt;"",IFERROR(_xlfn.IFS(Z42&gt;='NILAI CPL'!$B$3,4,Z42&gt;='NILAI CPL'!$B$4,3,Z42&gt;='NILAI CPL'!$B$5,2,Z42&gt;'NILAI CPL'!$B$6,1),0),"")</f>
        <v/>
      </c>
      <c r="AX42" s="2" t="str" cm="1">
        <f t="array" ref="AX42">IF('NILAI CPL'!$B42&lt;&gt;"",IFERROR(_xlfn.IFS(AA42&gt;='NILAI CPL'!$B$3,4,AA42&gt;='NILAI CPL'!$B$4,3,AA42&gt;='NILAI CPL'!$B$5,2,AA42&gt;'NILAI CPL'!$B$6,1),0),"")</f>
        <v/>
      </c>
      <c r="AY42" s="2" t="str" cm="1">
        <f t="array" ref="AY42">IF('NILAI CPL'!$B42&lt;&gt;"",IFERROR(_xlfn.IFS(AB42&gt;='NILAI CPL'!$B$3,4,AB42&gt;='NILAI CPL'!$B$4,3,AB42&gt;='NILAI CPL'!$B$5,2,AB42&gt;'NILAI CPL'!$B$6,1),0),"")</f>
        <v/>
      </c>
      <c r="AZ42" s="2" t="str" cm="1">
        <f t="array" ref="AZ42">IF('NILAI CPL'!$B42&lt;&gt;"",IFERROR(_xlfn.IFS(AC42&gt;='NILAI CPL'!$B$3,4,AC42&gt;='NILAI CPL'!$B$4,3,AC42&gt;='NILAI CPL'!$B$5,2,AC42&gt;'NILAI CPL'!$B$6,1),0),"")</f>
        <v/>
      </c>
      <c r="BA42" s="2" t="str" cm="1">
        <f t="array" ref="BA42">IF('NILAI CPL'!$B42&lt;&gt;"",IFERROR(_xlfn.IFS(AD42&gt;='NILAI CPL'!$B$3,4,AD42&gt;='NILAI CPL'!$B$4,3,AD42&gt;='NILAI CPL'!$B$5,2,AD42&gt;'NILAI CPL'!$B$6,1),0),"")</f>
        <v/>
      </c>
      <c r="BB42" s="2" t="str" cm="1">
        <f t="array" ref="BB42">IF('NILAI CPL'!$B42&lt;&gt;"",IFERROR(_xlfn.IFS(AE42&gt;='NILAI CPL'!$B$3,4,AE42&gt;='NILAI CPL'!$B$4,3,AE42&gt;='NILAI CPL'!$B$5,2,AE42&gt;'NILAI CPL'!$B$6,1),0),"")</f>
        <v/>
      </c>
      <c r="BC42" s="2" t="str" cm="1">
        <f t="array" ref="BC42">IF('NILAI CPL'!$B42&lt;&gt;"",IFERROR(_xlfn.IFS(AF42&gt;='NILAI CPL'!$B$3,4,AF42&gt;='NILAI CPL'!$B$4,3,AF42&gt;='NILAI CPL'!$B$5,2,AF42&gt;'NILAI CPL'!$B$6,1),0),"")</f>
        <v/>
      </c>
      <c r="BD42" s="2" t="str" cm="1">
        <f t="array" ref="BD42">IF('NILAI CPL'!$B42&lt;&gt;"",IFERROR(_xlfn.IFS(AG42&gt;='NILAI CPL'!$B$3,4,AG42&gt;='NILAI CPL'!$B$4,3,AG42&gt;='NILAI CPL'!$B$5,2,AG42&gt;'NILAI CPL'!$B$6,1),0),"")</f>
        <v/>
      </c>
      <c r="BE42" s="2" t="str" cm="1">
        <f t="array" ref="BE42">IF('NILAI CPL'!$B42&lt;&gt;"",IFERROR(_xlfn.IFS(AH42&gt;='NILAI CPL'!$B$3,4,AH42&gt;='NILAI CPL'!$B$4,3,AH42&gt;='NILAI CPL'!$B$5,2,AH42&gt;'NILAI CPL'!$B$6,1),0),"")</f>
        <v/>
      </c>
      <c r="BF42" s="2" t="str" cm="1">
        <f t="array" ref="BF42">IF('NILAI CPL'!$B42&lt;&gt;"",IFERROR(_xlfn.IFS(AI42&gt;='NILAI CPL'!$B$3,4,AI42&gt;='NILAI CPL'!$B$4,3,AI42&gt;='NILAI CPL'!$B$5,2,AI42&gt;'NILAI CPL'!$B$6,1),0),"")</f>
        <v/>
      </c>
      <c r="BG42" s="2" t="str" cm="1">
        <f t="array" ref="BG42">IF('NILAI CPL'!$B42&lt;&gt;"",IFERROR(_xlfn.IFS(AJ42&gt;='NILAI CPL'!$B$3,4,AJ42&gt;='NILAI CPL'!$B$4,3,AJ42&gt;='NILAI CPL'!$B$5,2,AJ42&gt;'NILAI CPL'!$B$6,1),0),"")</f>
        <v/>
      </c>
      <c r="BH42" s="2" t="str" cm="1">
        <f t="array" ref="BH42">IF('NILAI CPL'!$B42&lt;&gt;"",IFERROR(_xlfn.IFS(AK42&gt;='NILAI CPL'!$B$3,4,AK42&gt;='NILAI CPL'!$B$4,3,AK42&gt;='NILAI CPL'!$B$5,2,AK42&gt;'NILAI CPL'!$B$6,1),0),"")</f>
        <v/>
      </c>
      <c r="BI42" s="2" t="str" cm="1">
        <f t="array" ref="BI42">IF('NILAI CPL'!$B42&lt;&gt;"",IFERROR(_xlfn.IFS(AL42&gt;='NILAI CPL'!$B$3,4,AL42&gt;='NILAI CPL'!$B$4,3,AL42&gt;='NILAI CPL'!$B$5,2,AL42&gt;'NILAI CPL'!$B$6,1),0),"")</f>
        <v/>
      </c>
      <c r="BJ42" s="2" t="str" cm="1">
        <f t="array" ref="BJ42">IF('NILAI CPL'!$B42&lt;&gt;"",IFERROR(_xlfn.IFS(AM42&gt;='NILAI CPL'!$B$3,4,AM42&gt;='NILAI CPL'!$B$4,3,AM42&gt;='NILAI CPL'!$B$5,2,AM42&gt;'NILAI CPL'!$B$6,1),0),"")</f>
        <v/>
      </c>
      <c r="BK42" s="2" t="str" cm="1">
        <f t="array" ref="BK42">IF('NILAI CPL'!$B42&lt;&gt;"",IFERROR(_xlfn.IFS(AN42&gt;='NILAI CPL'!$B$3,4,AN42&gt;='NILAI CPL'!$B$4,3,AN42&gt;='NILAI CPL'!$B$5,2,AN42&gt;'NILAI CPL'!$B$6,1),0),"")</f>
        <v/>
      </c>
    </row>
    <row r="43" spans="1:63" x14ac:dyDescent="0.2">
      <c r="A43" s="2">
        <v>33</v>
      </c>
      <c r="B43" s="2" t="str">
        <f>IF(LEN(SUMMARY!B43)&gt;0, SUMMARY!B43, "")</f>
        <v/>
      </c>
      <c r="C43" s="2" t="str">
        <f>IF(LEN(SUMMARY!C43)&gt;0, SUMMARY!C43, "")</f>
        <v/>
      </c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" t="str">
        <f t="shared" si="2"/>
        <v/>
      </c>
      <c r="S43" s="2" t="str">
        <f t="shared" si="3"/>
        <v/>
      </c>
      <c r="T43" s="2" t="str">
        <f t="shared" si="4"/>
        <v/>
      </c>
      <c r="U43" s="2" t="str">
        <f t="shared" si="5"/>
        <v/>
      </c>
      <c r="V43" s="2" t="str">
        <f t="shared" si="6"/>
        <v/>
      </c>
      <c r="W43" s="2" t="str">
        <f t="shared" si="7"/>
        <v/>
      </c>
      <c r="X43" s="2" t="str">
        <f t="shared" si="8"/>
        <v/>
      </c>
      <c r="Y43" s="2" t="str">
        <f t="shared" si="9"/>
        <v/>
      </c>
      <c r="Z43" s="2" t="str">
        <f t="shared" si="10"/>
        <v/>
      </c>
      <c r="AA43" s="2" t="str">
        <f t="shared" si="11"/>
        <v/>
      </c>
      <c r="AB43" s="2" t="str">
        <f t="shared" si="12"/>
        <v/>
      </c>
      <c r="AC43" s="2" t="str">
        <f t="shared" si="13"/>
        <v/>
      </c>
      <c r="AD43" s="2" t="str">
        <f t="shared" si="14"/>
        <v/>
      </c>
      <c r="AE43" s="2" t="str">
        <f t="shared" si="15"/>
        <v/>
      </c>
      <c r="AF43" s="2" t="str">
        <f t="shared" si="16"/>
        <v/>
      </c>
      <c r="AG43" s="2" t="str">
        <f t="shared" si="17"/>
        <v/>
      </c>
      <c r="AH43" s="2" t="str">
        <f t="shared" si="18"/>
        <v/>
      </c>
      <c r="AI43" s="2" t="str">
        <f t="shared" si="19"/>
        <v/>
      </c>
      <c r="AJ43" s="2" t="str">
        <f t="shared" si="20"/>
        <v/>
      </c>
      <c r="AK43" s="2" t="str">
        <f t="shared" si="21"/>
        <v/>
      </c>
      <c r="AL43" s="2" t="str">
        <f t="shared" si="22"/>
        <v/>
      </c>
      <c r="AM43" s="2" t="str">
        <f t="shared" si="23"/>
        <v/>
      </c>
      <c r="AN43" s="2" t="str">
        <f t="shared" si="24"/>
        <v/>
      </c>
      <c r="AP43" s="2" t="str" cm="1">
        <f t="array" ref="AP43">IF('NILAI CPL'!$B43&lt;&gt;"",IFERROR(_xlfn.IFS(S43&gt;='NILAI CPL'!$B$3,4,S43&gt;='NILAI CPL'!$B$4,3,S43&gt;='NILAI CPL'!$B$5,2,S43&gt;'NILAI CPL'!$B$6,1),0),"")</f>
        <v/>
      </c>
      <c r="AQ43" s="2" t="str" cm="1">
        <f t="array" ref="AQ43">IF('NILAI CPL'!$B43&lt;&gt;"",IFERROR(_xlfn.IFS(T43&gt;='NILAI CPL'!$B$3,4,T43&gt;='NILAI CPL'!$B$4,3,T43&gt;='NILAI CPL'!$B$5,2,T43&gt;'NILAI CPL'!$B$6,1),0),"")</f>
        <v/>
      </c>
      <c r="AR43" s="2" t="str" cm="1">
        <f t="array" ref="AR43">IF('NILAI CPL'!$B43&lt;&gt;"",IFERROR(_xlfn.IFS(U43&gt;='NILAI CPL'!$B$3,4,U43&gt;='NILAI CPL'!$B$4,3,U43&gt;='NILAI CPL'!$B$5,2,U43&gt;'NILAI CPL'!$B$6,1),0),"")</f>
        <v/>
      </c>
      <c r="AS43" s="2" t="str" cm="1">
        <f t="array" ref="AS43">IF('NILAI CPL'!$B43&lt;&gt;"",IFERROR(_xlfn.IFS(V43&gt;='NILAI CPL'!$B$3,4,V43&gt;='NILAI CPL'!$B$4,3,V43&gt;='NILAI CPL'!$B$5,2,V43&gt;'NILAI CPL'!$B$6,1),0),"")</f>
        <v/>
      </c>
      <c r="AT43" s="2" t="str" cm="1">
        <f t="array" ref="AT43">IF('NILAI CPL'!$B43&lt;&gt;"",IFERROR(_xlfn.IFS(W43&gt;='NILAI CPL'!$B$3,4,W43&gt;='NILAI CPL'!$B$4,3,W43&gt;='NILAI CPL'!$B$5,2,W43&gt;'NILAI CPL'!$B$6,1),0),"")</f>
        <v/>
      </c>
      <c r="AU43" s="2" t="str" cm="1">
        <f t="array" ref="AU43">IF('NILAI CPL'!$B43&lt;&gt;"",IFERROR(_xlfn.IFS(X43&gt;='NILAI CPL'!$B$3,4,X43&gt;='NILAI CPL'!$B$4,3,X43&gt;='NILAI CPL'!$B$5,2,X43&gt;'NILAI CPL'!$B$6,1),0),"")</f>
        <v/>
      </c>
      <c r="AV43" s="2" t="str" cm="1">
        <f t="array" ref="AV43">IF('NILAI CPL'!$B43&lt;&gt;"",IFERROR(_xlfn.IFS(Y43&gt;='NILAI CPL'!$B$3,4,Y43&gt;='NILAI CPL'!$B$4,3,Y43&gt;='NILAI CPL'!$B$5,2,Y43&gt;'NILAI CPL'!$B$6,1),0),"")</f>
        <v/>
      </c>
      <c r="AW43" s="2" t="str" cm="1">
        <f t="array" ref="AW43">IF('NILAI CPL'!$B43&lt;&gt;"",IFERROR(_xlfn.IFS(Z43&gt;='NILAI CPL'!$B$3,4,Z43&gt;='NILAI CPL'!$B$4,3,Z43&gt;='NILAI CPL'!$B$5,2,Z43&gt;'NILAI CPL'!$B$6,1),0),"")</f>
        <v/>
      </c>
      <c r="AX43" s="2" t="str" cm="1">
        <f t="array" ref="AX43">IF('NILAI CPL'!$B43&lt;&gt;"",IFERROR(_xlfn.IFS(AA43&gt;='NILAI CPL'!$B$3,4,AA43&gt;='NILAI CPL'!$B$4,3,AA43&gt;='NILAI CPL'!$B$5,2,AA43&gt;'NILAI CPL'!$B$6,1),0),"")</f>
        <v/>
      </c>
      <c r="AY43" s="2" t="str" cm="1">
        <f t="array" ref="AY43">IF('NILAI CPL'!$B43&lt;&gt;"",IFERROR(_xlfn.IFS(AB43&gt;='NILAI CPL'!$B$3,4,AB43&gt;='NILAI CPL'!$B$4,3,AB43&gt;='NILAI CPL'!$B$5,2,AB43&gt;'NILAI CPL'!$B$6,1),0),"")</f>
        <v/>
      </c>
      <c r="AZ43" s="2" t="str" cm="1">
        <f t="array" ref="AZ43">IF('NILAI CPL'!$B43&lt;&gt;"",IFERROR(_xlfn.IFS(AC43&gt;='NILAI CPL'!$B$3,4,AC43&gt;='NILAI CPL'!$B$4,3,AC43&gt;='NILAI CPL'!$B$5,2,AC43&gt;'NILAI CPL'!$B$6,1),0),"")</f>
        <v/>
      </c>
      <c r="BA43" s="2" t="str" cm="1">
        <f t="array" ref="BA43">IF('NILAI CPL'!$B43&lt;&gt;"",IFERROR(_xlfn.IFS(AD43&gt;='NILAI CPL'!$B$3,4,AD43&gt;='NILAI CPL'!$B$4,3,AD43&gt;='NILAI CPL'!$B$5,2,AD43&gt;'NILAI CPL'!$B$6,1),0),"")</f>
        <v/>
      </c>
      <c r="BB43" s="2" t="str" cm="1">
        <f t="array" ref="BB43">IF('NILAI CPL'!$B43&lt;&gt;"",IFERROR(_xlfn.IFS(AE43&gt;='NILAI CPL'!$B$3,4,AE43&gt;='NILAI CPL'!$B$4,3,AE43&gt;='NILAI CPL'!$B$5,2,AE43&gt;'NILAI CPL'!$B$6,1),0),"")</f>
        <v/>
      </c>
      <c r="BC43" s="2" t="str" cm="1">
        <f t="array" ref="BC43">IF('NILAI CPL'!$B43&lt;&gt;"",IFERROR(_xlfn.IFS(AF43&gt;='NILAI CPL'!$B$3,4,AF43&gt;='NILAI CPL'!$B$4,3,AF43&gt;='NILAI CPL'!$B$5,2,AF43&gt;'NILAI CPL'!$B$6,1),0),"")</f>
        <v/>
      </c>
      <c r="BD43" s="2" t="str" cm="1">
        <f t="array" ref="BD43">IF('NILAI CPL'!$B43&lt;&gt;"",IFERROR(_xlfn.IFS(AG43&gt;='NILAI CPL'!$B$3,4,AG43&gt;='NILAI CPL'!$B$4,3,AG43&gt;='NILAI CPL'!$B$5,2,AG43&gt;'NILAI CPL'!$B$6,1),0),"")</f>
        <v/>
      </c>
      <c r="BE43" s="2" t="str" cm="1">
        <f t="array" ref="BE43">IF('NILAI CPL'!$B43&lt;&gt;"",IFERROR(_xlfn.IFS(AH43&gt;='NILAI CPL'!$B$3,4,AH43&gt;='NILAI CPL'!$B$4,3,AH43&gt;='NILAI CPL'!$B$5,2,AH43&gt;'NILAI CPL'!$B$6,1),0),"")</f>
        <v/>
      </c>
      <c r="BF43" s="2" t="str" cm="1">
        <f t="array" ref="BF43">IF('NILAI CPL'!$B43&lt;&gt;"",IFERROR(_xlfn.IFS(AI43&gt;='NILAI CPL'!$B$3,4,AI43&gt;='NILAI CPL'!$B$4,3,AI43&gt;='NILAI CPL'!$B$5,2,AI43&gt;'NILAI CPL'!$B$6,1),0),"")</f>
        <v/>
      </c>
      <c r="BG43" s="2" t="str" cm="1">
        <f t="array" ref="BG43">IF('NILAI CPL'!$B43&lt;&gt;"",IFERROR(_xlfn.IFS(AJ43&gt;='NILAI CPL'!$B$3,4,AJ43&gt;='NILAI CPL'!$B$4,3,AJ43&gt;='NILAI CPL'!$B$5,2,AJ43&gt;'NILAI CPL'!$B$6,1),0),"")</f>
        <v/>
      </c>
      <c r="BH43" s="2" t="str" cm="1">
        <f t="array" ref="BH43">IF('NILAI CPL'!$B43&lt;&gt;"",IFERROR(_xlfn.IFS(AK43&gt;='NILAI CPL'!$B$3,4,AK43&gt;='NILAI CPL'!$B$4,3,AK43&gt;='NILAI CPL'!$B$5,2,AK43&gt;'NILAI CPL'!$B$6,1),0),"")</f>
        <v/>
      </c>
      <c r="BI43" s="2" t="str" cm="1">
        <f t="array" ref="BI43">IF('NILAI CPL'!$B43&lt;&gt;"",IFERROR(_xlfn.IFS(AL43&gt;='NILAI CPL'!$B$3,4,AL43&gt;='NILAI CPL'!$B$4,3,AL43&gt;='NILAI CPL'!$B$5,2,AL43&gt;'NILAI CPL'!$B$6,1),0),"")</f>
        <v/>
      </c>
      <c r="BJ43" s="2" t="str" cm="1">
        <f t="array" ref="BJ43">IF('NILAI CPL'!$B43&lt;&gt;"",IFERROR(_xlfn.IFS(AM43&gt;='NILAI CPL'!$B$3,4,AM43&gt;='NILAI CPL'!$B$4,3,AM43&gt;='NILAI CPL'!$B$5,2,AM43&gt;'NILAI CPL'!$B$6,1),0),"")</f>
        <v/>
      </c>
      <c r="BK43" s="2" t="str" cm="1">
        <f t="array" ref="BK43">IF('NILAI CPL'!$B43&lt;&gt;"",IFERROR(_xlfn.IFS(AN43&gt;='NILAI CPL'!$B$3,4,AN43&gt;='NILAI CPL'!$B$4,3,AN43&gt;='NILAI CPL'!$B$5,2,AN43&gt;'NILAI CPL'!$B$6,1),0),"")</f>
        <v/>
      </c>
    </row>
    <row r="44" spans="1:63" x14ac:dyDescent="0.2">
      <c r="A44" s="2">
        <v>34</v>
      </c>
      <c r="B44" s="2" t="str">
        <f>IF(LEN(SUMMARY!B44)&gt;0, SUMMARY!B44, "")</f>
        <v/>
      </c>
      <c r="C44" s="2" t="str">
        <f>IF(LEN(SUMMARY!C44)&gt;0, SUMMARY!C44, "")</f>
        <v/>
      </c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" t="str">
        <f t="shared" si="2"/>
        <v/>
      </c>
      <c r="S44" s="2" t="str">
        <f t="shared" si="3"/>
        <v/>
      </c>
      <c r="T44" s="2" t="str">
        <f t="shared" si="4"/>
        <v/>
      </c>
      <c r="U44" s="2" t="str">
        <f t="shared" si="5"/>
        <v/>
      </c>
      <c r="V44" s="2" t="str">
        <f t="shared" si="6"/>
        <v/>
      </c>
      <c r="W44" s="2" t="str">
        <f t="shared" si="7"/>
        <v/>
      </c>
      <c r="X44" s="2" t="str">
        <f t="shared" si="8"/>
        <v/>
      </c>
      <c r="Y44" s="2" t="str">
        <f t="shared" si="9"/>
        <v/>
      </c>
      <c r="Z44" s="2" t="str">
        <f t="shared" si="10"/>
        <v/>
      </c>
      <c r="AA44" s="2" t="str">
        <f t="shared" si="11"/>
        <v/>
      </c>
      <c r="AB44" s="2" t="str">
        <f t="shared" si="12"/>
        <v/>
      </c>
      <c r="AC44" s="2" t="str">
        <f t="shared" si="13"/>
        <v/>
      </c>
      <c r="AD44" s="2" t="str">
        <f t="shared" si="14"/>
        <v/>
      </c>
      <c r="AE44" s="2" t="str">
        <f t="shared" si="15"/>
        <v/>
      </c>
      <c r="AF44" s="2" t="str">
        <f t="shared" si="16"/>
        <v/>
      </c>
      <c r="AG44" s="2" t="str">
        <f t="shared" si="17"/>
        <v/>
      </c>
      <c r="AH44" s="2" t="str">
        <f t="shared" si="18"/>
        <v/>
      </c>
      <c r="AI44" s="2" t="str">
        <f t="shared" si="19"/>
        <v/>
      </c>
      <c r="AJ44" s="2" t="str">
        <f t="shared" si="20"/>
        <v/>
      </c>
      <c r="AK44" s="2" t="str">
        <f t="shared" si="21"/>
        <v/>
      </c>
      <c r="AL44" s="2" t="str">
        <f t="shared" si="22"/>
        <v/>
      </c>
      <c r="AM44" s="2" t="str">
        <f t="shared" si="23"/>
        <v/>
      </c>
      <c r="AN44" s="2" t="str">
        <f t="shared" si="24"/>
        <v/>
      </c>
      <c r="AP44" s="2" t="str" cm="1">
        <f t="array" ref="AP44">IF('NILAI CPL'!$B44&lt;&gt;"",IFERROR(_xlfn.IFS(S44&gt;='NILAI CPL'!$B$3,4,S44&gt;='NILAI CPL'!$B$4,3,S44&gt;='NILAI CPL'!$B$5,2,S44&gt;'NILAI CPL'!$B$6,1),0),"")</f>
        <v/>
      </c>
      <c r="AQ44" s="2" t="str" cm="1">
        <f t="array" ref="AQ44">IF('NILAI CPL'!$B44&lt;&gt;"",IFERROR(_xlfn.IFS(T44&gt;='NILAI CPL'!$B$3,4,T44&gt;='NILAI CPL'!$B$4,3,T44&gt;='NILAI CPL'!$B$5,2,T44&gt;'NILAI CPL'!$B$6,1),0),"")</f>
        <v/>
      </c>
      <c r="AR44" s="2" t="str" cm="1">
        <f t="array" ref="AR44">IF('NILAI CPL'!$B44&lt;&gt;"",IFERROR(_xlfn.IFS(U44&gt;='NILAI CPL'!$B$3,4,U44&gt;='NILAI CPL'!$B$4,3,U44&gt;='NILAI CPL'!$B$5,2,U44&gt;'NILAI CPL'!$B$6,1),0),"")</f>
        <v/>
      </c>
      <c r="AS44" s="2" t="str" cm="1">
        <f t="array" ref="AS44">IF('NILAI CPL'!$B44&lt;&gt;"",IFERROR(_xlfn.IFS(V44&gt;='NILAI CPL'!$B$3,4,V44&gt;='NILAI CPL'!$B$4,3,V44&gt;='NILAI CPL'!$B$5,2,V44&gt;'NILAI CPL'!$B$6,1),0),"")</f>
        <v/>
      </c>
      <c r="AT44" s="2" t="str" cm="1">
        <f t="array" ref="AT44">IF('NILAI CPL'!$B44&lt;&gt;"",IFERROR(_xlfn.IFS(W44&gt;='NILAI CPL'!$B$3,4,W44&gt;='NILAI CPL'!$B$4,3,W44&gt;='NILAI CPL'!$B$5,2,W44&gt;'NILAI CPL'!$B$6,1),0),"")</f>
        <v/>
      </c>
      <c r="AU44" s="2" t="str" cm="1">
        <f t="array" ref="AU44">IF('NILAI CPL'!$B44&lt;&gt;"",IFERROR(_xlfn.IFS(X44&gt;='NILAI CPL'!$B$3,4,X44&gt;='NILAI CPL'!$B$4,3,X44&gt;='NILAI CPL'!$B$5,2,X44&gt;'NILAI CPL'!$B$6,1),0),"")</f>
        <v/>
      </c>
      <c r="AV44" s="2" t="str" cm="1">
        <f t="array" ref="AV44">IF('NILAI CPL'!$B44&lt;&gt;"",IFERROR(_xlfn.IFS(Y44&gt;='NILAI CPL'!$B$3,4,Y44&gt;='NILAI CPL'!$B$4,3,Y44&gt;='NILAI CPL'!$B$5,2,Y44&gt;'NILAI CPL'!$B$6,1),0),"")</f>
        <v/>
      </c>
      <c r="AW44" s="2" t="str" cm="1">
        <f t="array" ref="AW44">IF('NILAI CPL'!$B44&lt;&gt;"",IFERROR(_xlfn.IFS(Z44&gt;='NILAI CPL'!$B$3,4,Z44&gt;='NILAI CPL'!$B$4,3,Z44&gt;='NILAI CPL'!$B$5,2,Z44&gt;'NILAI CPL'!$B$6,1),0),"")</f>
        <v/>
      </c>
      <c r="AX44" s="2" t="str" cm="1">
        <f t="array" ref="AX44">IF('NILAI CPL'!$B44&lt;&gt;"",IFERROR(_xlfn.IFS(AA44&gt;='NILAI CPL'!$B$3,4,AA44&gt;='NILAI CPL'!$B$4,3,AA44&gt;='NILAI CPL'!$B$5,2,AA44&gt;'NILAI CPL'!$B$6,1),0),"")</f>
        <v/>
      </c>
      <c r="AY44" s="2" t="str" cm="1">
        <f t="array" ref="AY44">IF('NILAI CPL'!$B44&lt;&gt;"",IFERROR(_xlfn.IFS(AB44&gt;='NILAI CPL'!$B$3,4,AB44&gt;='NILAI CPL'!$B$4,3,AB44&gt;='NILAI CPL'!$B$5,2,AB44&gt;'NILAI CPL'!$B$6,1),0),"")</f>
        <v/>
      </c>
      <c r="AZ44" s="2" t="str" cm="1">
        <f t="array" ref="AZ44">IF('NILAI CPL'!$B44&lt;&gt;"",IFERROR(_xlfn.IFS(AC44&gt;='NILAI CPL'!$B$3,4,AC44&gt;='NILAI CPL'!$B$4,3,AC44&gt;='NILAI CPL'!$B$5,2,AC44&gt;'NILAI CPL'!$B$6,1),0),"")</f>
        <v/>
      </c>
      <c r="BA44" s="2" t="str" cm="1">
        <f t="array" ref="BA44">IF('NILAI CPL'!$B44&lt;&gt;"",IFERROR(_xlfn.IFS(AD44&gt;='NILAI CPL'!$B$3,4,AD44&gt;='NILAI CPL'!$B$4,3,AD44&gt;='NILAI CPL'!$B$5,2,AD44&gt;'NILAI CPL'!$B$6,1),0),"")</f>
        <v/>
      </c>
      <c r="BB44" s="2" t="str" cm="1">
        <f t="array" ref="BB44">IF('NILAI CPL'!$B44&lt;&gt;"",IFERROR(_xlfn.IFS(AE44&gt;='NILAI CPL'!$B$3,4,AE44&gt;='NILAI CPL'!$B$4,3,AE44&gt;='NILAI CPL'!$B$5,2,AE44&gt;'NILAI CPL'!$B$6,1),0),"")</f>
        <v/>
      </c>
      <c r="BC44" s="2" t="str" cm="1">
        <f t="array" ref="BC44">IF('NILAI CPL'!$B44&lt;&gt;"",IFERROR(_xlfn.IFS(AF44&gt;='NILAI CPL'!$B$3,4,AF44&gt;='NILAI CPL'!$B$4,3,AF44&gt;='NILAI CPL'!$B$5,2,AF44&gt;'NILAI CPL'!$B$6,1),0),"")</f>
        <v/>
      </c>
      <c r="BD44" s="2" t="str" cm="1">
        <f t="array" ref="BD44">IF('NILAI CPL'!$B44&lt;&gt;"",IFERROR(_xlfn.IFS(AG44&gt;='NILAI CPL'!$B$3,4,AG44&gt;='NILAI CPL'!$B$4,3,AG44&gt;='NILAI CPL'!$B$5,2,AG44&gt;'NILAI CPL'!$B$6,1),0),"")</f>
        <v/>
      </c>
      <c r="BE44" s="2" t="str" cm="1">
        <f t="array" ref="BE44">IF('NILAI CPL'!$B44&lt;&gt;"",IFERROR(_xlfn.IFS(AH44&gt;='NILAI CPL'!$B$3,4,AH44&gt;='NILAI CPL'!$B$4,3,AH44&gt;='NILAI CPL'!$B$5,2,AH44&gt;'NILAI CPL'!$B$6,1),0),"")</f>
        <v/>
      </c>
      <c r="BF44" s="2" t="str" cm="1">
        <f t="array" ref="BF44">IF('NILAI CPL'!$B44&lt;&gt;"",IFERROR(_xlfn.IFS(AI44&gt;='NILAI CPL'!$B$3,4,AI44&gt;='NILAI CPL'!$B$4,3,AI44&gt;='NILAI CPL'!$B$5,2,AI44&gt;'NILAI CPL'!$B$6,1),0),"")</f>
        <v/>
      </c>
      <c r="BG44" s="2" t="str" cm="1">
        <f t="array" ref="BG44">IF('NILAI CPL'!$B44&lt;&gt;"",IFERROR(_xlfn.IFS(AJ44&gt;='NILAI CPL'!$B$3,4,AJ44&gt;='NILAI CPL'!$B$4,3,AJ44&gt;='NILAI CPL'!$B$5,2,AJ44&gt;'NILAI CPL'!$B$6,1),0),"")</f>
        <v/>
      </c>
      <c r="BH44" s="2" t="str" cm="1">
        <f t="array" ref="BH44">IF('NILAI CPL'!$B44&lt;&gt;"",IFERROR(_xlfn.IFS(AK44&gt;='NILAI CPL'!$B$3,4,AK44&gt;='NILAI CPL'!$B$4,3,AK44&gt;='NILAI CPL'!$B$5,2,AK44&gt;'NILAI CPL'!$B$6,1),0),"")</f>
        <v/>
      </c>
      <c r="BI44" s="2" t="str" cm="1">
        <f t="array" ref="BI44">IF('NILAI CPL'!$B44&lt;&gt;"",IFERROR(_xlfn.IFS(AL44&gt;='NILAI CPL'!$B$3,4,AL44&gt;='NILAI CPL'!$B$4,3,AL44&gt;='NILAI CPL'!$B$5,2,AL44&gt;'NILAI CPL'!$B$6,1),0),"")</f>
        <v/>
      </c>
      <c r="BJ44" s="2" t="str" cm="1">
        <f t="array" ref="BJ44">IF('NILAI CPL'!$B44&lt;&gt;"",IFERROR(_xlfn.IFS(AM44&gt;='NILAI CPL'!$B$3,4,AM44&gt;='NILAI CPL'!$B$4,3,AM44&gt;='NILAI CPL'!$B$5,2,AM44&gt;'NILAI CPL'!$B$6,1),0),"")</f>
        <v/>
      </c>
      <c r="BK44" s="2" t="str" cm="1">
        <f t="array" ref="BK44">IF('NILAI CPL'!$B44&lt;&gt;"",IFERROR(_xlfn.IFS(AN44&gt;='NILAI CPL'!$B$3,4,AN44&gt;='NILAI CPL'!$B$4,3,AN44&gt;='NILAI CPL'!$B$5,2,AN44&gt;'NILAI CPL'!$B$6,1),0),"")</f>
        <v/>
      </c>
    </row>
    <row r="45" spans="1:63" x14ac:dyDescent="0.2">
      <c r="A45" s="2">
        <v>35</v>
      </c>
      <c r="B45" s="2" t="str">
        <f>IF(LEN(SUMMARY!B45)&gt;0, SUMMARY!B45, "")</f>
        <v/>
      </c>
      <c r="C45" s="2" t="str">
        <f>IF(LEN(SUMMARY!C45)&gt;0, SUMMARY!C45, "")</f>
        <v/>
      </c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" t="str">
        <f t="shared" si="2"/>
        <v/>
      </c>
      <c r="S45" s="2" t="str">
        <f t="shared" si="3"/>
        <v/>
      </c>
      <c r="T45" s="2" t="str">
        <f t="shared" si="4"/>
        <v/>
      </c>
      <c r="U45" s="2" t="str">
        <f t="shared" si="5"/>
        <v/>
      </c>
      <c r="V45" s="2" t="str">
        <f t="shared" si="6"/>
        <v/>
      </c>
      <c r="W45" s="2" t="str">
        <f t="shared" si="7"/>
        <v/>
      </c>
      <c r="X45" s="2" t="str">
        <f t="shared" si="8"/>
        <v/>
      </c>
      <c r="Y45" s="2" t="str">
        <f t="shared" si="9"/>
        <v/>
      </c>
      <c r="Z45" s="2" t="str">
        <f t="shared" si="10"/>
        <v/>
      </c>
      <c r="AA45" s="2" t="str">
        <f t="shared" si="11"/>
        <v/>
      </c>
      <c r="AB45" s="2" t="str">
        <f t="shared" si="12"/>
        <v/>
      </c>
      <c r="AC45" s="2" t="str">
        <f t="shared" si="13"/>
        <v/>
      </c>
      <c r="AD45" s="2" t="str">
        <f t="shared" si="14"/>
        <v/>
      </c>
      <c r="AE45" s="2" t="str">
        <f t="shared" si="15"/>
        <v/>
      </c>
      <c r="AF45" s="2" t="str">
        <f t="shared" si="16"/>
        <v/>
      </c>
      <c r="AG45" s="2" t="str">
        <f t="shared" si="17"/>
        <v/>
      </c>
      <c r="AH45" s="2" t="str">
        <f t="shared" si="18"/>
        <v/>
      </c>
      <c r="AI45" s="2" t="str">
        <f t="shared" si="19"/>
        <v/>
      </c>
      <c r="AJ45" s="2" t="str">
        <f t="shared" si="20"/>
        <v/>
      </c>
      <c r="AK45" s="2" t="str">
        <f t="shared" si="21"/>
        <v/>
      </c>
      <c r="AL45" s="2" t="str">
        <f t="shared" si="22"/>
        <v/>
      </c>
      <c r="AM45" s="2" t="str">
        <f t="shared" si="23"/>
        <v/>
      </c>
      <c r="AN45" s="2" t="str">
        <f t="shared" si="24"/>
        <v/>
      </c>
      <c r="AP45" s="2" t="str" cm="1">
        <f t="array" ref="AP45">IF('NILAI CPL'!$B45&lt;&gt;"",IFERROR(_xlfn.IFS(S45&gt;='NILAI CPL'!$B$3,4,S45&gt;='NILAI CPL'!$B$4,3,S45&gt;='NILAI CPL'!$B$5,2,S45&gt;'NILAI CPL'!$B$6,1),0),"")</f>
        <v/>
      </c>
      <c r="AQ45" s="2" t="str" cm="1">
        <f t="array" ref="AQ45">IF('NILAI CPL'!$B45&lt;&gt;"",IFERROR(_xlfn.IFS(T45&gt;='NILAI CPL'!$B$3,4,T45&gt;='NILAI CPL'!$B$4,3,T45&gt;='NILAI CPL'!$B$5,2,T45&gt;'NILAI CPL'!$B$6,1),0),"")</f>
        <v/>
      </c>
      <c r="AR45" s="2" t="str" cm="1">
        <f t="array" ref="AR45">IF('NILAI CPL'!$B45&lt;&gt;"",IFERROR(_xlfn.IFS(U45&gt;='NILAI CPL'!$B$3,4,U45&gt;='NILAI CPL'!$B$4,3,U45&gt;='NILAI CPL'!$B$5,2,U45&gt;'NILAI CPL'!$B$6,1),0),"")</f>
        <v/>
      </c>
      <c r="AS45" s="2" t="str" cm="1">
        <f t="array" ref="AS45">IF('NILAI CPL'!$B45&lt;&gt;"",IFERROR(_xlfn.IFS(V45&gt;='NILAI CPL'!$B$3,4,V45&gt;='NILAI CPL'!$B$4,3,V45&gt;='NILAI CPL'!$B$5,2,V45&gt;'NILAI CPL'!$B$6,1),0),"")</f>
        <v/>
      </c>
      <c r="AT45" s="2" t="str" cm="1">
        <f t="array" ref="AT45">IF('NILAI CPL'!$B45&lt;&gt;"",IFERROR(_xlfn.IFS(W45&gt;='NILAI CPL'!$B$3,4,W45&gt;='NILAI CPL'!$B$4,3,W45&gt;='NILAI CPL'!$B$5,2,W45&gt;'NILAI CPL'!$B$6,1),0),"")</f>
        <v/>
      </c>
      <c r="AU45" s="2" t="str" cm="1">
        <f t="array" ref="AU45">IF('NILAI CPL'!$B45&lt;&gt;"",IFERROR(_xlfn.IFS(X45&gt;='NILAI CPL'!$B$3,4,X45&gt;='NILAI CPL'!$B$4,3,X45&gt;='NILAI CPL'!$B$5,2,X45&gt;'NILAI CPL'!$B$6,1),0),"")</f>
        <v/>
      </c>
      <c r="AV45" s="2" t="str" cm="1">
        <f t="array" ref="AV45">IF('NILAI CPL'!$B45&lt;&gt;"",IFERROR(_xlfn.IFS(Y45&gt;='NILAI CPL'!$B$3,4,Y45&gt;='NILAI CPL'!$B$4,3,Y45&gt;='NILAI CPL'!$B$5,2,Y45&gt;'NILAI CPL'!$B$6,1),0),"")</f>
        <v/>
      </c>
      <c r="AW45" s="2" t="str" cm="1">
        <f t="array" ref="AW45">IF('NILAI CPL'!$B45&lt;&gt;"",IFERROR(_xlfn.IFS(Z45&gt;='NILAI CPL'!$B$3,4,Z45&gt;='NILAI CPL'!$B$4,3,Z45&gt;='NILAI CPL'!$B$5,2,Z45&gt;'NILAI CPL'!$B$6,1),0),"")</f>
        <v/>
      </c>
      <c r="AX45" s="2" t="str" cm="1">
        <f t="array" ref="AX45">IF('NILAI CPL'!$B45&lt;&gt;"",IFERROR(_xlfn.IFS(AA45&gt;='NILAI CPL'!$B$3,4,AA45&gt;='NILAI CPL'!$B$4,3,AA45&gt;='NILAI CPL'!$B$5,2,AA45&gt;'NILAI CPL'!$B$6,1),0),"")</f>
        <v/>
      </c>
      <c r="AY45" s="2" t="str" cm="1">
        <f t="array" ref="AY45">IF('NILAI CPL'!$B45&lt;&gt;"",IFERROR(_xlfn.IFS(AB45&gt;='NILAI CPL'!$B$3,4,AB45&gt;='NILAI CPL'!$B$4,3,AB45&gt;='NILAI CPL'!$B$5,2,AB45&gt;'NILAI CPL'!$B$6,1),0),"")</f>
        <v/>
      </c>
      <c r="AZ45" s="2" t="str" cm="1">
        <f t="array" ref="AZ45">IF('NILAI CPL'!$B45&lt;&gt;"",IFERROR(_xlfn.IFS(AC45&gt;='NILAI CPL'!$B$3,4,AC45&gt;='NILAI CPL'!$B$4,3,AC45&gt;='NILAI CPL'!$B$5,2,AC45&gt;'NILAI CPL'!$B$6,1),0),"")</f>
        <v/>
      </c>
      <c r="BA45" s="2" t="str" cm="1">
        <f t="array" ref="BA45">IF('NILAI CPL'!$B45&lt;&gt;"",IFERROR(_xlfn.IFS(AD45&gt;='NILAI CPL'!$B$3,4,AD45&gt;='NILAI CPL'!$B$4,3,AD45&gt;='NILAI CPL'!$B$5,2,AD45&gt;'NILAI CPL'!$B$6,1),0),"")</f>
        <v/>
      </c>
      <c r="BB45" s="2" t="str" cm="1">
        <f t="array" ref="BB45">IF('NILAI CPL'!$B45&lt;&gt;"",IFERROR(_xlfn.IFS(AE45&gt;='NILAI CPL'!$B$3,4,AE45&gt;='NILAI CPL'!$B$4,3,AE45&gt;='NILAI CPL'!$B$5,2,AE45&gt;'NILAI CPL'!$B$6,1),0),"")</f>
        <v/>
      </c>
      <c r="BC45" s="2" t="str" cm="1">
        <f t="array" ref="BC45">IF('NILAI CPL'!$B45&lt;&gt;"",IFERROR(_xlfn.IFS(AF45&gt;='NILAI CPL'!$B$3,4,AF45&gt;='NILAI CPL'!$B$4,3,AF45&gt;='NILAI CPL'!$B$5,2,AF45&gt;'NILAI CPL'!$B$6,1),0),"")</f>
        <v/>
      </c>
      <c r="BD45" s="2" t="str" cm="1">
        <f t="array" ref="BD45">IF('NILAI CPL'!$B45&lt;&gt;"",IFERROR(_xlfn.IFS(AG45&gt;='NILAI CPL'!$B$3,4,AG45&gt;='NILAI CPL'!$B$4,3,AG45&gt;='NILAI CPL'!$B$5,2,AG45&gt;'NILAI CPL'!$B$6,1),0),"")</f>
        <v/>
      </c>
      <c r="BE45" s="2" t="str" cm="1">
        <f t="array" ref="BE45">IF('NILAI CPL'!$B45&lt;&gt;"",IFERROR(_xlfn.IFS(AH45&gt;='NILAI CPL'!$B$3,4,AH45&gt;='NILAI CPL'!$B$4,3,AH45&gt;='NILAI CPL'!$B$5,2,AH45&gt;'NILAI CPL'!$B$6,1),0),"")</f>
        <v/>
      </c>
      <c r="BF45" s="2" t="str" cm="1">
        <f t="array" ref="BF45">IF('NILAI CPL'!$B45&lt;&gt;"",IFERROR(_xlfn.IFS(AI45&gt;='NILAI CPL'!$B$3,4,AI45&gt;='NILAI CPL'!$B$4,3,AI45&gt;='NILAI CPL'!$B$5,2,AI45&gt;'NILAI CPL'!$B$6,1),0),"")</f>
        <v/>
      </c>
      <c r="BG45" s="2" t="str" cm="1">
        <f t="array" ref="BG45">IF('NILAI CPL'!$B45&lt;&gt;"",IFERROR(_xlfn.IFS(AJ45&gt;='NILAI CPL'!$B$3,4,AJ45&gt;='NILAI CPL'!$B$4,3,AJ45&gt;='NILAI CPL'!$B$5,2,AJ45&gt;'NILAI CPL'!$B$6,1),0),"")</f>
        <v/>
      </c>
      <c r="BH45" s="2" t="str" cm="1">
        <f t="array" ref="BH45">IF('NILAI CPL'!$B45&lt;&gt;"",IFERROR(_xlfn.IFS(AK45&gt;='NILAI CPL'!$B$3,4,AK45&gt;='NILAI CPL'!$B$4,3,AK45&gt;='NILAI CPL'!$B$5,2,AK45&gt;'NILAI CPL'!$B$6,1),0),"")</f>
        <v/>
      </c>
      <c r="BI45" s="2" t="str" cm="1">
        <f t="array" ref="BI45">IF('NILAI CPL'!$B45&lt;&gt;"",IFERROR(_xlfn.IFS(AL45&gt;='NILAI CPL'!$B$3,4,AL45&gt;='NILAI CPL'!$B$4,3,AL45&gt;='NILAI CPL'!$B$5,2,AL45&gt;'NILAI CPL'!$B$6,1),0),"")</f>
        <v/>
      </c>
      <c r="BJ45" s="2" t="str" cm="1">
        <f t="array" ref="BJ45">IF('NILAI CPL'!$B45&lt;&gt;"",IFERROR(_xlfn.IFS(AM45&gt;='NILAI CPL'!$B$3,4,AM45&gt;='NILAI CPL'!$B$4,3,AM45&gt;='NILAI CPL'!$B$5,2,AM45&gt;'NILAI CPL'!$B$6,1),0),"")</f>
        <v/>
      </c>
      <c r="BK45" s="2" t="str" cm="1">
        <f t="array" ref="BK45">IF('NILAI CPL'!$B45&lt;&gt;"",IFERROR(_xlfn.IFS(AN45&gt;='NILAI CPL'!$B$3,4,AN45&gt;='NILAI CPL'!$B$4,3,AN45&gt;='NILAI CPL'!$B$5,2,AN45&gt;'NILAI CPL'!$B$6,1),0),"")</f>
        <v/>
      </c>
    </row>
    <row r="46" spans="1:63" x14ac:dyDescent="0.2">
      <c r="A46" s="2">
        <v>36</v>
      </c>
      <c r="B46" s="2" t="str">
        <f>IF(LEN(SUMMARY!B46)&gt;0, SUMMARY!B46, "")</f>
        <v/>
      </c>
      <c r="C46" s="2" t="str">
        <f>IF(LEN(SUMMARY!C46)&gt;0, SUMMARY!C46, "")</f>
        <v/>
      </c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" t="str">
        <f t="shared" si="2"/>
        <v/>
      </c>
      <c r="S46" s="2" t="str">
        <f t="shared" si="3"/>
        <v/>
      </c>
      <c r="T46" s="2" t="str">
        <f t="shared" si="4"/>
        <v/>
      </c>
      <c r="U46" s="2" t="str">
        <f t="shared" si="5"/>
        <v/>
      </c>
      <c r="V46" s="2" t="str">
        <f t="shared" si="6"/>
        <v/>
      </c>
      <c r="W46" s="2" t="str">
        <f t="shared" si="7"/>
        <v/>
      </c>
      <c r="X46" s="2" t="str">
        <f t="shared" si="8"/>
        <v/>
      </c>
      <c r="Y46" s="2" t="str">
        <f t="shared" si="9"/>
        <v/>
      </c>
      <c r="Z46" s="2" t="str">
        <f t="shared" si="10"/>
        <v/>
      </c>
      <c r="AA46" s="2" t="str">
        <f t="shared" si="11"/>
        <v/>
      </c>
      <c r="AB46" s="2" t="str">
        <f t="shared" si="12"/>
        <v/>
      </c>
      <c r="AC46" s="2" t="str">
        <f t="shared" si="13"/>
        <v/>
      </c>
      <c r="AD46" s="2" t="str">
        <f t="shared" si="14"/>
        <v/>
      </c>
      <c r="AE46" s="2" t="str">
        <f t="shared" si="15"/>
        <v/>
      </c>
      <c r="AF46" s="2" t="str">
        <f t="shared" si="16"/>
        <v/>
      </c>
      <c r="AG46" s="2" t="str">
        <f t="shared" si="17"/>
        <v/>
      </c>
      <c r="AH46" s="2" t="str">
        <f t="shared" si="18"/>
        <v/>
      </c>
      <c r="AI46" s="2" t="str">
        <f t="shared" si="19"/>
        <v/>
      </c>
      <c r="AJ46" s="2" t="str">
        <f t="shared" si="20"/>
        <v/>
      </c>
      <c r="AK46" s="2" t="str">
        <f t="shared" si="21"/>
        <v/>
      </c>
      <c r="AL46" s="2" t="str">
        <f t="shared" si="22"/>
        <v/>
      </c>
      <c r="AM46" s="2" t="str">
        <f t="shared" si="23"/>
        <v/>
      </c>
      <c r="AN46" s="2" t="str">
        <f t="shared" si="24"/>
        <v/>
      </c>
      <c r="AP46" s="2" t="str" cm="1">
        <f t="array" ref="AP46">IF('NILAI CPL'!$B46&lt;&gt;"",IFERROR(_xlfn.IFS(S46&gt;='NILAI CPL'!$B$3,4,S46&gt;='NILAI CPL'!$B$4,3,S46&gt;='NILAI CPL'!$B$5,2,S46&gt;'NILAI CPL'!$B$6,1),0),"")</f>
        <v/>
      </c>
      <c r="AQ46" s="2" t="str" cm="1">
        <f t="array" ref="AQ46">IF('NILAI CPL'!$B46&lt;&gt;"",IFERROR(_xlfn.IFS(T46&gt;='NILAI CPL'!$B$3,4,T46&gt;='NILAI CPL'!$B$4,3,T46&gt;='NILAI CPL'!$B$5,2,T46&gt;'NILAI CPL'!$B$6,1),0),"")</f>
        <v/>
      </c>
      <c r="AR46" s="2" t="str" cm="1">
        <f t="array" ref="AR46">IF('NILAI CPL'!$B46&lt;&gt;"",IFERROR(_xlfn.IFS(U46&gt;='NILAI CPL'!$B$3,4,U46&gt;='NILAI CPL'!$B$4,3,U46&gt;='NILAI CPL'!$B$5,2,U46&gt;'NILAI CPL'!$B$6,1),0),"")</f>
        <v/>
      </c>
      <c r="AS46" s="2" t="str" cm="1">
        <f t="array" ref="AS46">IF('NILAI CPL'!$B46&lt;&gt;"",IFERROR(_xlfn.IFS(V46&gt;='NILAI CPL'!$B$3,4,V46&gt;='NILAI CPL'!$B$4,3,V46&gt;='NILAI CPL'!$B$5,2,V46&gt;'NILAI CPL'!$B$6,1),0),"")</f>
        <v/>
      </c>
      <c r="AT46" s="2" t="str" cm="1">
        <f t="array" ref="AT46">IF('NILAI CPL'!$B46&lt;&gt;"",IFERROR(_xlfn.IFS(W46&gt;='NILAI CPL'!$B$3,4,W46&gt;='NILAI CPL'!$B$4,3,W46&gt;='NILAI CPL'!$B$5,2,W46&gt;'NILAI CPL'!$B$6,1),0),"")</f>
        <v/>
      </c>
      <c r="AU46" s="2" t="str" cm="1">
        <f t="array" ref="AU46">IF('NILAI CPL'!$B46&lt;&gt;"",IFERROR(_xlfn.IFS(X46&gt;='NILAI CPL'!$B$3,4,X46&gt;='NILAI CPL'!$B$4,3,X46&gt;='NILAI CPL'!$B$5,2,X46&gt;'NILAI CPL'!$B$6,1),0),"")</f>
        <v/>
      </c>
      <c r="AV46" s="2" t="str" cm="1">
        <f t="array" ref="AV46">IF('NILAI CPL'!$B46&lt;&gt;"",IFERROR(_xlfn.IFS(Y46&gt;='NILAI CPL'!$B$3,4,Y46&gt;='NILAI CPL'!$B$4,3,Y46&gt;='NILAI CPL'!$B$5,2,Y46&gt;'NILAI CPL'!$B$6,1),0),"")</f>
        <v/>
      </c>
      <c r="AW46" s="2" t="str" cm="1">
        <f t="array" ref="AW46">IF('NILAI CPL'!$B46&lt;&gt;"",IFERROR(_xlfn.IFS(Z46&gt;='NILAI CPL'!$B$3,4,Z46&gt;='NILAI CPL'!$B$4,3,Z46&gt;='NILAI CPL'!$B$5,2,Z46&gt;'NILAI CPL'!$B$6,1),0),"")</f>
        <v/>
      </c>
      <c r="AX46" s="2" t="str" cm="1">
        <f t="array" ref="AX46">IF('NILAI CPL'!$B46&lt;&gt;"",IFERROR(_xlfn.IFS(AA46&gt;='NILAI CPL'!$B$3,4,AA46&gt;='NILAI CPL'!$B$4,3,AA46&gt;='NILAI CPL'!$B$5,2,AA46&gt;'NILAI CPL'!$B$6,1),0),"")</f>
        <v/>
      </c>
      <c r="AY46" s="2" t="str" cm="1">
        <f t="array" ref="AY46">IF('NILAI CPL'!$B46&lt;&gt;"",IFERROR(_xlfn.IFS(AB46&gt;='NILAI CPL'!$B$3,4,AB46&gt;='NILAI CPL'!$B$4,3,AB46&gt;='NILAI CPL'!$B$5,2,AB46&gt;'NILAI CPL'!$B$6,1),0),"")</f>
        <v/>
      </c>
      <c r="AZ46" s="2" t="str" cm="1">
        <f t="array" ref="AZ46">IF('NILAI CPL'!$B46&lt;&gt;"",IFERROR(_xlfn.IFS(AC46&gt;='NILAI CPL'!$B$3,4,AC46&gt;='NILAI CPL'!$B$4,3,AC46&gt;='NILAI CPL'!$B$5,2,AC46&gt;'NILAI CPL'!$B$6,1),0),"")</f>
        <v/>
      </c>
      <c r="BA46" s="2" t="str" cm="1">
        <f t="array" ref="BA46">IF('NILAI CPL'!$B46&lt;&gt;"",IFERROR(_xlfn.IFS(AD46&gt;='NILAI CPL'!$B$3,4,AD46&gt;='NILAI CPL'!$B$4,3,AD46&gt;='NILAI CPL'!$B$5,2,AD46&gt;'NILAI CPL'!$B$6,1),0),"")</f>
        <v/>
      </c>
      <c r="BB46" s="2" t="str" cm="1">
        <f t="array" ref="BB46">IF('NILAI CPL'!$B46&lt;&gt;"",IFERROR(_xlfn.IFS(AE46&gt;='NILAI CPL'!$B$3,4,AE46&gt;='NILAI CPL'!$B$4,3,AE46&gt;='NILAI CPL'!$B$5,2,AE46&gt;'NILAI CPL'!$B$6,1),0),"")</f>
        <v/>
      </c>
      <c r="BC46" s="2" t="str" cm="1">
        <f t="array" ref="BC46">IF('NILAI CPL'!$B46&lt;&gt;"",IFERROR(_xlfn.IFS(AF46&gt;='NILAI CPL'!$B$3,4,AF46&gt;='NILAI CPL'!$B$4,3,AF46&gt;='NILAI CPL'!$B$5,2,AF46&gt;'NILAI CPL'!$B$6,1),0),"")</f>
        <v/>
      </c>
      <c r="BD46" s="2" t="str" cm="1">
        <f t="array" ref="BD46">IF('NILAI CPL'!$B46&lt;&gt;"",IFERROR(_xlfn.IFS(AG46&gt;='NILAI CPL'!$B$3,4,AG46&gt;='NILAI CPL'!$B$4,3,AG46&gt;='NILAI CPL'!$B$5,2,AG46&gt;'NILAI CPL'!$B$6,1),0),"")</f>
        <v/>
      </c>
      <c r="BE46" s="2" t="str" cm="1">
        <f t="array" ref="BE46">IF('NILAI CPL'!$B46&lt;&gt;"",IFERROR(_xlfn.IFS(AH46&gt;='NILAI CPL'!$B$3,4,AH46&gt;='NILAI CPL'!$B$4,3,AH46&gt;='NILAI CPL'!$B$5,2,AH46&gt;'NILAI CPL'!$B$6,1),0),"")</f>
        <v/>
      </c>
      <c r="BF46" s="2" t="str" cm="1">
        <f t="array" ref="BF46">IF('NILAI CPL'!$B46&lt;&gt;"",IFERROR(_xlfn.IFS(AI46&gt;='NILAI CPL'!$B$3,4,AI46&gt;='NILAI CPL'!$B$4,3,AI46&gt;='NILAI CPL'!$B$5,2,AI46&gt;'NILAI CPL'!$B$6,1),0),"")</f>
        <v/>
      </c>
      <c r="BG46" s="2" t="str" cm="1">
        <f t="array" ref="BG46">IF('NILAI CPL'!$B46&lt;&gt;"",IFERROR(_xlfn.IFS(AJ46&gt;='NILAI CPL'!$B$3,4,AJ46&gt;='NILAI CPL'!$B$4,3,AJ46&gt;='NILAI CPL'!$B$5,2,AJ46&gt;'NILAI CPL'!$B$6,1),0),"")</f>
        <v/>
      </c>
      <c r="BH46" s="2" t="str" cm="1">
        <f t="array" ref="BH46">IF('NILAI CPL'!$B46&lt;&gt;"",IFERROR(_xlfn.IFS(AK46&gt;='NILAI CPL'!$B$3,4,AK46&gt;='NILAI CPL'!$B$4,3,AK46&gt;='NILAI CPL'!$B$5,2,AK46&gt;'NILAI CPL'!$B$6,1),0),"")</f>
        <v/>
      </c>
      <c r="BI46" s="2" t="str" cm="1">
        <f t="array" ref="BI46">IF('NILAI CPL'!$B46&lt;&gt;"",IFERROR(_xlfn.IFS(AL46&gt;='NILAI CPL'!$B$3,4,AL46&gt;='NILAI CPL'!$B$4,3,AL46&gt;='NILAI CPL'!$B$5,2,AL46&gt;'NILAI CPL'!$B$6,1),0),"")</f>
        <v/>
      </c>
      <c r="BJ46" s="2" t="str" cm="1">
        <f t="array" ref="BJ46">IF('NILAI CPL'!$B46&lt;&gt;"",IFERROR(_xlfn.IFS(AM46&gt;='NILAI CPL'!$B$3,4,AM46&gt;='NILAI CPL'!$B$4,3,AM46&gt;='NILAI CPL'!$B$5,2,AM46&gt;'NILAI CPL'!$B$6,1),0),"")</f>
        <v/>
      </c>
      <c r="BK46" s="2" t="str" cm="1">
        <f t="array" ref="BK46">IF('NILAI CPL'!$B46&lt;&gt;"",IFERROR(_xlfn.IFS(AN46&gt;='NILAI CPL'!$B$3,4,AN46&gt;='NILAI CPL'!$B$4,3,AN46&gt;='NILAI CPL'!$B$5,2,AN46&gt;'NILAI CPL'!$B$6,1),0),"")</f>
        <v/>
      </c>
    </row>
    <row r="47" spans="1:63" x14ac:dyDescent="0.2">
      <c r="A47" s="2">
        <v>37</v>
      </c>
      <c r="B47" s="2" t="str">
        <f>IF(LEN(SUMMARY!B47)&gt;0, SUMMARY!B47, "")</f>
        <v/>
      </c>
      <c r="C47" s="2" t="str">
        <f>IF(LEN(SUMMARY!C47)&gt;0, SUMMARY!C47, "")</f>
        <v/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" t="str">
        <f t="shared" si="2"/>
        <v/>
      </c>
      <c r="S47" s="2" t="str">
        <f t="shared" si="3"/>
        <v/>
      </c>
      <c r="T47" s="2" t="str">
        <f t="shared" si="4"/>
        <v/>
      </c>
      <c r="U47" s="2" t="str">
        <f t="shared" si="5"/>
        <v/>
      </c>
      <c r="V47" s="2" t="str">
        <f t="shared" si="6"/>
        <v/>
      </c>
      <c r="W47" s="2" t="str">
        <f t="shared" si="7"/>
        <v/>
      </c>
      <c r="X47" s="2" t="str">
        <f t="shared" si="8"/>
        <v/>
      </c>
      <c r="Y47" s="2" t="str">
        <f t="shared" si="9"/>
        <v/>
      </c>
      <c r="Z47" s="2" t="str">
        <f t="shared" si="10"/>
        <v/>
      </c>
      <c r="AA47" s="2" t="str">
        <f t="shared" si="11"/>
        <v/>
      </c>
      <c r="AB47" s="2" t="str">
        <f t="shared" si="12"/>
        <v/>
      </c>
      <c r="AC47" s="2" t="str">
        <f t="shared" si="13"/>
        <v/>
      </c>
      <c r="AD47" s="2" t="str">
        <f t="shared" si="14"/>
        <v/>
      </c>
      <c r="AE47" s="2" t="str">
        <f t="shared" si="15"/>
        <v/>
      </c>
      <c r="AF47" s="2" t="str">
        <f t="shared" si="16"/>
        <v/>
      </c>
      <c r="AG47" s="2" t="str">
        <f t="shared" si="17"/>
        <v/>
      </c>
      <c r="AH47" s="2" t="str">
        <f t="shared" si="18"/>
        <v/>
      </c>
      <c r="AI47" s="2" t="str">
        <f t="shared" si="19"/>
        <v/>
      </c>
      <c r="AJ47" s="2" t="str">
        <f t="shared" si="20"/>
        <v/>
      </c>
      <c r="AK47" s="2" t="str">
        <f t="shared" si="21"/>
        <v/>
      </c>
      <c r="AL47" s="2" t="str">
        <f t="shared" si="22"/>
        <v/>
      </c>
      <c r="AM47" s="2" t="str">
        <f t="shared" si="23"/>
        <v/>
      </c>
      <c r="AN47" s="2" t="str">
        <f t="shared" si="24"/>
        <v/>
      </c>
      <c r="AP47" s="2" t="str" cm="1">
        <f t="array" ref="AP47">IF('NILAI CPL'!$B47&lt;&gt;"",IFERROR(_xlfn.IFS(S47&gt;='NILAI CPL'!$B$3,4,S47&gt;='NILAI CPL'!$B$4,3,S47&gt;='NILAI CPL'!$B$5,2,S47&gt;'NILAI CPL'!$B$6,1),0),"")</f>
        <v/>
      </c>
      <c r="AQ47" s="2" t="str" cm="1">
        <f t="array" ref="AQ47">IF('NILAI CPL'!$B47&lt;&gt;"",IFERROR(_xlfn.IFS(T47&gt;='NILAI CPL'!$B$3,4,T47&gt;='NILAI CPL'!$B$4,3,T47&gt;='NILAI CPL'!$B$5,2,T47&gt;'NILAI CPL'!$B$6,1),0),"")</f>
        <v/>
      </c>
      <c r="AR47" s="2" t="str" cm="1">
        <f t="array" ref="AR47">IF('NILAI CPL'!$B47&lt;&gt;"",IFERROR(_xlfn.IFS(U47&gt;='NILAI CPL'!$B$3,4,U47&gt;='NILAI CPL'!$B$4,3,U47&gt;='NILAI CPL'!$B$5,2,U47&gt;'NILAI CPL'!$B$6,1),0),"")</f>
        <v/>
      </c>
      <c r="AS47" s="2" t="str" cm="1">
        <f t="array" ref="AS47">IF('NILAI CPL'!$B47&lt;&gt;"",IFERROR(_xlfn.IFS(V47&gt;='NILAI CPL'!$B$3,4,V47&gt;='NILAI CPL'!$B$4,3,V47&gt;='NILAI CPL'!$B$5,2,V47&gt;'NILAI CPL'!$B$6,1),0),"")</f>
        <v/>
      </c>
      <c r="AT47" s="2" t="str" cm="1">
        <f t="array" ref="AT47">IF('NILAI CPL'!$B47&lt;&gt;"",IFERROR(_xlfn.IFS(W47&gt;='NILAI CPL'!$B$3,4,W47&gt;='NILAI CPL'!$B$4,3,W47&gt;='NILAI CPL'!$B$5,2,W47&gt;'NILAI CPL'!$B$6,1),0),"")</f>
        <v/>
      </c>
      <c r="AU47" s="2" t="str" cm="1">
        <f t="array" ref="AU47">IF('NILAI CPL'!$B47&lt;&gt;"",IFERROR(_xlfn.IFS(X47&gt;='NILAI CPL'!$B$3,4,X47&gt;='NILAI CPL'!$B$4,3,X47&gt;='NILAI CPL'!$B$5,2,X47&gt;'NILAI CPL'!$B$6,1),0),"")</f>
        <v/>
      </c>
      <c r="AV47" s="2" t="str" cm="1">
        <f t="array" ref="AV47">IF('NILAI CPL'!$B47&lt;&gt;"",IFERROR(_xlfn.IFS(Y47&gt;='NILAI CPL'!$B$3,4,Y47&gt;='NILAI CPL'!$B$4,3,Y47&gt;='NILAI CPL'!$B$5,2,Y47&gt;'NILAI CPL'!$B$6,1),0),"")</f>
        <v/>
      </c>
      <c r="AW47" s="2" t="str" cm="1">
        <f t="array" ref="AW47">IF('NILAI CPL'!$B47&lt;&gt;"",IFERROR(_xlfn.IFS(Z47&gt;='NILAI CPL'!$B$3,4,Z47&gt;='NILAI CPL'!$B$4,3,Z47&gt;='NILAI CPL'!$B$5,2,Z47&gt;'NILAI CPL'!$B$6,1),0),"")</f>
        <v/>
      </c>
      <c r="AX47" s="2" t="str" cm="1">
        <f t="array" ref="AX47">IF('NILAI CPL'!$B47&lt;&gt;"",IFERROR(_xlfn.IFS(AA47&gt;='NILAI CPL'!$B$3,4,AA47&gt;='NILAI CPL'!$B$4,3,AA47&gt;='NILAI CPL'!$B$5,2,AA47&gt;'NILAI CPL'!$B$6,1),0),"")</f>
        <v/>
      </c>
      <c r="AY47" s="2" t="str" cm="1">
        <f t="array" ref="AY47">IF('NILAI CPL'!$B47&lt;&gt;"",IFERROR(_xlfn.IFS(AB47&gt;='NILAI CPL'!$B$3,4,AB47&gt;='NILAI CPL'!$B$4,3,AB47&gt;='NILAI CPL'!$B$5,2,AB47&gt;'NILAI CPL'!$B$6,1),0),"")</f>
        <v/>
      </c>
      <c r="AZ47" s="2" t="str" cm="1">
        <f t="array" ref="AZ47">IF('NILAI CPL'!$B47&lt;&gt;"",IFERROR(_xlfn.IFS(AC47&gt;='NILAI CPL'!$B$3,4,AC47&gt;='NILAI CPL'!$B$4,3,AC47&gt;='NILAI CPL'!$B$5,2,AC47&gt;'NILAI CPL'!$B$6,1),0),"")</f>
        <v/>
      </c>
      <c r="BA47" s="2" t="str" cm="1">
        <f t="array" ref="BA47">IF('NILAI CPL'!$B47&lt;&gt;"",IFERROR(_xlfn.IFS(AD47&gt;='NILAI CPL'!$B$3,4,AD47&gt;='NILAI CPL'!$B$4,3,AD47&gt;='NILAI CPL'!$B$5,2,AD47&gt;'NILAI CPL'!$B$6,1),0),"")</f>
        <v/>
      </c>
      <c r="BB47" s="2" t="str" cm="1">
        <f t="array" ref="BB47">IF('NILAI CPL'!$B47&lt;&gt;"",IFERROR(_xlfn.IFS(AE47&gt;='NILAI CPL'!$B$3,4,AE47&gt;='NILAI CPL'!$B$4,3,AE47&gt;='NILAI CPL'!$B$5,2,AE47&gt;'NILAI CPL'!$B$6,1),0),"")</f>
        <v/>
      </c>
      <c r="BC47" s="2" t="str" cm="1">
        <f t="array" ref="BC47">IF('NILAI CPL'!$B47&lt;&gt;"",IFERROR(_xlfn.IFS(AF47&gt;='NILAI CPL'!$B$3,4,AF47&gt;='NILAI CPL'!$B$4,3,AF47&gt;='NILAI CPL'!$B$5,2,AF47&gt;'NILAI CPL'!$B$6,1),0),"")</f>
        <v/>
      </c>
      <c r="BD47" s="2" t="str" cm="1">
        <f t="array" ref="BD47">IF('NILAI CPL'!$B47&lt;&gt;"",IFERROR(_xlfn.IFS(AG47&gt;='NILAI CPL'!$B$3,4,AG47&gt;='NILAI CPL'!$B$4,3,AG47&gt;='NILAI CPL'!$B$5,2,AG47&gt;'NILAI CPL'!$B$6,1),0),"")</f>
        <v/>
      </c>
      <c r="BE47" s="2" t="str" cm="1">
        <f t="array" ref="BE47">IF('NILAI CPL'!$B47&lt;&gt;"",IFERROR(_xlfn.IFS(AH47&gt;='NILAI CPL'!$B$3,4,AH47&gt;='NILAI CPL'!$B$4,3,AH47&gt;='NILAI CPL'!$B$5,2,AH47&gt;'NILAI CPL'!$B$6,1),0),"")</f>
        <v/>
      </c>
      <c r="BF47" s="2" t="str" cm="1">
        <f t="array" ref="BF47">IF('NILAI CPL'!$B47&lt;&gt;"",IFERROR(_xlfn.IFS(AI47&gt;='NILAI CPL'!$B$3,4,AI47&gt;='NILAI CPL'!$B$4,3,AI47&gt;='NILAI CPL'!$B$5,2,AI47&gt;'NILAI CPL'!$B$6,1),0),"")</f>
        <v/>
      </c>
      <c r="BG47" s="2" t="str" cm="1">
        <f t="array" ref="BG47">IF('NILAI CPL'!$B47&lt;&gt;"",IFERROR(_xlfn.IFS(AJ47&gt;='NILAI CPL'!$B$3,4,AJ47&gt;='NILAI CPL'!$B$4,3,AJ47&gt;='NILAI CPL'!$B$5,2,AJ47&gt;'NILAI CPL'!$B$6,1),0),"")</f>
        <v/>
      </c>
      <c r="BH47" s="2" t="str" cm="1">
        <f t="array" ref="BH47">IF('NILAI CPL'!$B47&lt;&gt;"",IFERROR(_xlfn.IFS(AK47&gt;='NILAI CPL'!$B$3,4,AK47&gt;='NILAI CPL'!$B$4,3,AK47&gt;='NILAI CPL'!$B$5,2,AK47&gt;'NILAI CPL'!$B$6,1),0),"")</f>
        <v/>
      </c>
      <c r="BI47" s="2" t="str" cm="1">
        <f t="array" ref="BI47">IF('NILAI CPL'!$B47&lt;&gt;"",IFERROR(_xlfn.IFS(AL47&gt;='NILAI CPL'!$B$3,4,AL47&gt;='NILAI CPL'!$B$4,3,AL47&gt;='NILAI CPL'!$B$5,2,AL47&gt;'NILAI CPL'!$B$6,1),0),"")</f>
        <v/>
      </c>
      <c r="BJ47" s="2" t="str" cm="1">
        <f t="array" ref="BJ47">IF('NILAI CPL'!$B47&lt;&gt;"",IFERROR(_xlfn.IFS(AM47&gt;='NILAI CPL'!$B$3,4,AM47&gt;='NILAI CPL'!$B$4,3,AM47&gt;='NILAI CPL'!$B$5,2,AM47&gt;'NILAI CPL'!$B$6,1),0),"")</f>
        <v/>
      </c>
      <c r="BK47" s="2" t="str" cm="1">
        <f t="array" ref="BK47">IF('NILAI CPL'!$B47&lt;&gt;"",IFERROR(_xlfn.IFS(AN47&gt;='NILAI CPL'!$B$3,4,AN47&gt;='NILAI CPL'!$B$4,3,AN47&gt;='NILAI CPL'!$B$5,2,AN47&gt;'NILAI CPL'!$B$6,1),0),"")</f>
        <v/>
      </c>
    </row>
    <row r="48" spans="1:63" x14ac:dyDescent="0.2">
      <c r="A48" s="2">
        <v>38</v>
      </c>
      <c r="B48" s="2" t="str">
        <f>IF(LEN(SUMMARY!B48)&gt;0, SUMMARY!B48, "")</f>
        <v/>
      </c>
      <c r="C48" s="2" t="str">
        <f>IF(LEN(SUMMARY!C48)&gt;0, SUMMARY!C48, "")</f>
        <v/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" t="str">
        <f t="shared" si="2"/>
        <v/>
      </c>
      <c r="S48" s="2" t="str">
        <f t="shared" si="3"/>
        <v/>
      </c>
      <c r="T48" s="2" t="str">
        <f t="shared" si="4"/>
        <v/>
      </c>
      <c r="U48" s="2" t="str">
        <f t="shared" si="5"/>
        <v/>
      </c>
      <c r="V48" s="2" t="str">
        <f t="shared" si="6"/>
        <v/>
      </c>
      <c r="W48" s="2" t="str">
        <f t="shared" si="7"/>
        <v/>
      </c>
      <c r="X48" s="2" t="str">
        <f t="shared" si="8"/>
        <v/>
      </c>
      <c r="Y48" s="2" t="str">
        <f t="shared" si="9"/>
        <v/>
      </c>
      <c r="Z48" s="2" t="str">
        <f t="shared" si="10"/>
        <v/>
      </c>
      <c r="AA48" s="2" t="str">
        <f t="shared" si="11"/>
        <v/>
      </c>
      <c r="AB48" s="2" t="str">
        <f t="shared" si="12"/>
        <v/>
      </c>
      <c r="AC48" s="2" t="str">
        <f t="shared" si="13"/>
        <v/>
      </c>
      <c r="AD48" s="2" t="str">
        <f t="shared" si="14"/>
        <v/>
      </c>
      <c r="AE48" s="2" t="str">
        <f t="shared" si="15"/>
        <v/>
      </c>
      <c r="AF48" s="2" t="str">
        <f t="shared" si="16"/>
        <v/>
      </c>
      <c r="AG48" s="2" t="str">
        <f t="shared" si="17"/>
        <v/>
      </c>
      <c r="AH48" s="2" t="str">
        <f t="shared" si="18"/>
        <v/>
      </c>
      <c r="AI48" s="2" t="str">
        <f t="shared" si="19"/>
        <v/>
      </c>
      <c r="AJ48" s="2" t="str">
        <f t="shared" si="20"/>
        <v/>
      </c>
      <c r="AK48" s="2" t="str">
        <f t="shared" si="21"/>
        <v/>
      </c>
      <c r="AL48" s="2" t="str">
        <f t="shared" si="22"/>
        <v/>
      </c>
      <c r="AM48" s="2" t="str">
        <f t="shared" si="23"/>
        <v/>
      </c>
      <c r="AN48" s="2" t="str">
        <f t="shared" si="24"/>
        <v/>
      </c>
      <c r="AP48" s="2" t="str" cm="1">
        <f t="array" ref="AP48">IF('NILAI CPL'!$B48&lt;&gt;"",IFERROR(_xlfn.IFS(S48&gt;='NILAI CPL'!$B$3,4,S48&gt;='NILAI CPL'!$B$4,3,S48&gt;='NILAI CPL'!$B$5,2,S48&gt;'NILAI CPL'!$B$6,1),0),"")</f>
        <v/>
      </c>
      <c r="AQ48" s="2" t="str" cm="1">
        <f t="array" ref="AQ48">IF('NILAI CPL'!$B48&lt;&gt;"",IFERROR(_xlfn.IFS(T48&gt;='NILAI CPL'!$B$3,4,T48&gt;='NILAI CPL'!$B$4,3,T48&gt;='NILAI CPL'!$B$5,2,T48&gt;'NILAI CPL'!$B$6,1),0),"")</f>
        <v/>
      </c>
      <c r="AR48" s="2" t="str" cm="1">
        <f t="array" ref="AR48">IF('NILAI CPL'!$B48&lt;&gt;"",IFERROR(_xlfn.IFS(U48&gt;='NILAI CPL'!$B$3,4,U48&gt;='NILAI CPL'!$B$4,3,U48&gt;='NILAI CPL'!$B$5,2,U48&gt;'NILAI CPL'!$B$6,1),0),"")</f>
        <v/>
      </c>
      <c r="AS48" s="2" t="str" cm="1">
        <f t="array" ref="AS48">IF('NILAI CPL'!$B48&lt;&gt;"",IFERROR(_xlfn.IFS(V48&gt;='NILAI CPL'!$B$3,4,V48&gt;='NILAI CPL'!$B$4,3,V48&gt;='NILAI CPL'!$B$5,2,V48&gt;'NILAI CPL'!$B$6,1),0),"")</f>
        <v/>
      </c>
      <c r="AT48" s="2" t="str" cm="1">
        <f t="array" ref="AT48">IF('NILAI CPL'!$B48&lt;&gt;"",IFERROR(_xlfn.IFS(W48&gt;='NILAI CPL'!$B$3,4,W48&gt;='NILAI CPL'!$B$4,3,W48&gt;='NILAI CPL'!$B$5,2,W48&gt;'NILAI CPL'!$B$6,1),0),"")</f>
        <v/>
      </c>
      <c r="AU48" s="2" t="str" cm="1">
        <f t="array" ref="AU48">IF('NILAI CPL'!$B48&lt;&gt;"",IFERROR(_xlfn.IFS(X48&gt;='NILAI CPL'!$B$3,4,X48&gt;='NILAI CPL'!$B$4,3,X48&gt;='NILAI CPL'!$B$5,2,X48&gt;'NILAI CPL'!$B$6,1),0),"")</f>
        <v/>
      </c>
      <c r="AV48" s="2" t="str" cm="1">
        <f t="array" ref="AV48">IF('NILAI CPL'!$B48&lt;&gt;"",IFERROR(_xlfn.IFS(Y48&gt;='NILAI CPL'!$B$3,4,Y48&gt;='NILAI CPL'!$B$4,3,Y48&gt;='NILAI CPL'!$B$5,2,Y48&gt;'NILAI CPL'!$B$6,1),0),"")</f>
        <v/>
      </c>
      <c r="AW48" s="2" t="str" cm="1">
        <f t="array" ref="AW48">IF('NILAI CPL'!$B48&lt;&gt;"",IFERROR(_xlfn.IFS(Z48&gt;='NILAI CPL'!$B$3,4,Z48&gt;='NILAI CPL'!$B$4,3,Z48&gt;='NILAI CPL'!$B$5,2,Z48&gt;'NILAI CPL'!$B$6,1),0),"")</f>
        <v/>
      </c>
      <c r="AX48" s="2" t="str" cm="1">
        <f t="array" ref="AX48">IF('NILAI CPL'!$B48&lt;&gt;"",IFERROR(_xlfn.IFS(AA48&gt;='NILAI CPL'!$B$3,4,AA48&gt;='NILAI CPL'!$B$4,3,AA48&gt;='NILAI CPL'!$B$5,2,AA48&gt;'NILAI CPL'!$B$6,1),0),"")</f>
        <v/>
      </c>
      <c r="AY48" s="2" t="str" cm="1">
        <f t="array" ref="AY48">IF('NILAI CPL'!$B48&lt;&gt;"",IFERROR(_xlfn.IFS(AB48&gt;='NILAI CPL'!$B$3,4,AB48&gt;='NILAI CPL'!$B$4,3,AB48&gt;='NILAI CPL'!$B$5,2,AB48&gt;'NILAI CPL'!$B$6,1),0),"")</f>
        <v/>
      </c>
      <c r="AZ48" s="2" t="str" cm="1">
        <f t="array" ref="AZ48">IF('NILAI CPL'!$B48&lt;&gt;"",IFERROR(_xlfn.IFS(AC48&gt;='NILAI CPL'!$B$3,4,AC48&gt;='NILAI CPL'!$B$4,3,AC48&gt;='NILAI CPL'!$B$5,2,AC48&gt;'NILAI CPL'!$B$6,1),0),"")</f>
        <v/>
      </c>
      <c r="BA48" s="2" t="str" cm="1">
        <f t="array" ref="BA48">IF('NILAI CPL'!$B48&lt;&gt;"",IFERROR(_xlfn.IFS(AD48&gt;='NILAI CPL'!$B$3,4,AD48&gt;='NILAI CPL'!$B$4,3,AD48&gt;='NILAI CPL'!$B$5,2,AD48&gt;'NILAI CPL'!$B$6,1),0),"")</f>
        <v/>
      </c>
      <c r="BB48" s="2" t="str" cm="1">
        <f t="array" ref="BB48">IF('NILAI CPL'!$B48&lt;&gt;"",IFERROR(_xlfn.IFS(AE48&gt;='NILAI CPL'!$B$3,4,AE48&gt;='NILAI CPL'!$B$4,3,AE48&gt;='NILAI CPL'!$B$5,2,AE48&gt;'NILAI CPL'!$B$6,1),0),"")</f>
        <v/>
      </c>
      <c r="BC48" s="2" t="str" cm="1">
        <f t="array" ref="BC48">IF('NILAI CPL'!$B48&lt;&gt;"",IFERROR(_xlfn.IFS(AF48&gt;='NILAI CPL'!$B$3,4,AF48&gt;='NILAI CPL'!$B$4,3,AF48&gt;='NILAI CPL'!$B$5,2,AF48&gt;'NILAI CPL'!$B$6,1),0),"")</f>
        <v/>
      </c>
      <c r="BD48" s="2" t="str" cm="1">
        <f t="array" ref="BD48">IF('NILAI CPL'!$B48&lt;&gt;"",IFERROR(_xlfn.IFS(AG48&gt;='NILAI CPL'!$B$3,4,AG48&gt;='NILAI CPL'!$B$4,3,AG48&gt;='NILAI CPL'!$B$5,2,AG48&gt;'NILAI CPL'!$B$6,1),0),"")</f>
        <v/>
      </c>
      <c r="BE48" s="2" t="str" cm="1">
        <f t="array" ref="BE48">IF('NILAI CPL'!$B48&lt;&gt;"",IFERROR(_xlfn.IFS(AH48&gt;='NILAI CPL'!$B$3,4,AH48&gt;='NILAI CPL'!$B$4,3,AH48&gt;='NILAI CPL'!$B$5,2,AH48&gt;'NILAI CPL'!$B$6,1),0),"")</f>
        <v/>
      </c>
      <c r="BF48" s="2" t="str" cm="1">
        <f t="array" ref="BF48">IF('NILAI CPL'!$B48&lt;&gt;"",IFERROR(_xlfn.IFS(AI48&gt;='NILAI CPL'!$B$3,4,AI48&gt;='NILAI CPL'!$B$4,3,AI48&gt;='NILAI CPL'!$B$5,2,AI48&gt;'NILAI CPL'!$B$6,1),0),"")</f>
        <v/>
      </c>
      <c r="BG48" s="2" t="str" cm="1">
        <f t="array" ref="BG48">IF('NILAI CPL'!$B48&lt;&gt;"",IFERROR(_xlfn.IFS(AJ48&gt;='NILAI CPL'!$B$3,4,AJ48&gt;='NILAI CPL'!$B$4,3,AJ48&gt;='NILAI CPL'!$B$5,2,AJ48&gt;'NILAI CPL'!$B$6,1),0),"")</f>
        <v/>
      </c>
      <c r="BH48" s="2" t="str" cm="1">
        <f t="array" ref="BH48">IF('NILAI CPL'!$B48&lt;&gt;"",IFERROR(_xlfn.IFS(AK48&gt;='NILAI CPL'!$B$3,4,AK48&gt;='NILAI CPL'!$B$4,3,AK48&gt;='NILAI CPL'!$B$5,2,AK48&gt;'NILAI CPL'!$B$6,1),0),"")</f>
        <v/>
      </c>
      <c r="BI48" s="2" t="str" cm="1">
        <f t="array" ref="BI48">IF('NILAI CPL'!$B48&lt;&gt;"",IFERROR(_xlfn.IFS(AL48&gt;='NILAI CPL'!$B$3,4,AL48&gt;='NILAI CPL'!$B$4,3,AL48&gt;='NILAI CPL'!$B$5,2,AL48&gt;'NILAI CPL'!$B$6,1),0),"")</f>
        <v/>
      </c>
      <c r="BJ48" s="2" t="str" cm="1">
        <f t="array" ref="BJ48">IF('NILAI CPL'!$B48&lt;&gt;"",IFERROR(_xlfn.IFS(AM48&gt;='NILAI CPL'!$B$3,4,AM48&gt;='NILAI CPL'!$B$4,3,AM48&gt;='NILAI CPL'!$B$5,2,AM48&gt;'NILAI CPL'!$B$6,1),0),"")</f>
        <v/>
      </c>
      <c r="BK48" s="2" t="str" cm="1">
        <f t="array" ref="BK48">IF('NILAI CPL'!$B48&lt;&gt;"",IFERROR(_xlfn.IFS(AN48&gt;='NILAI CPL'!$B$3,4,AN48&gt;='NILAI CPL'!$B$4,3,AN48&gt;='NILAI CPL'!$B$5,2,AN48&gt;'NILAI CPL'!$B$6,1),0),"")</f>
        <v/>
      </c>
    </row>
    <row r="49" spans="1:63" x14ac:dyDescent="0.2">
      <c r="A49" s="2">
        <v>39</v>
      </c>
      <c r="B49" s="2" t="str">
        <f>IF(LEN(SUMMARY!B49)&gt;0, SUMMARY!B49, "")</f>
        <v/>
      </c>
      <c r="C49" s="2" t="str">
        <f>IF(LEN(SUMMARY!C49)&gt;0, SUMMARY!C49, "")</f>
        <v/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" t="str">
        <f t="shared" si="2"/>
        <v/>
      </c>
      <c r="S49" s="2" t="str">
        <f t="shared" si="3"/>
        <v/>
      </c>
      <c r="T49" s="2" t="str">
        <f t="shared" si="4"/>
        <v/>
      </c>
      <c r="U49" s="2" t="str">
        <f t="shared" si="5"/>
        <v/>
      </c>
      <c r="V49" s="2" t="str">
        <f t="shared" si="6"/>
        <v/>
      </c>
      <c r="W49" s="2" t="str">
        <f t="shared" si="7"/>
        <v/>
      </c>
      <c r="X49" s="2" t="str">
        <f t="shared" si="8"/>
        <v/>
      </c>
      <c r="Y49" s="2" t="str">
        <f t="shared" si="9"/>
        <v/>
      </c>
      <c r="Z49" s="2" t="str">
        <f t="shared" si="10"/>
        <v/>
      </c>
      <c r="AA49" s="2" t="str">
        <f t="shared" si="11"/>
        <v/>
      </c>
      <c r="AB49" s="2" t="str">
        <f t="shared" si="12"/>
        <v/>
      </c>
      <c r="AC49" s="2" t="str">
        <f t="shared" si="13"/>
        <v/>
      </c>
      <c r="AD49" s="2" t="str">
        <f t="shared" si="14"/>
        <v/>
      </c>
      <c r="AE49" s="2" t="str">
        <f t="shared" si="15"/>
        <v/>
      </c>
      <c r="AF49" s="2" t="str">
        <f t="shared" si="16"/>
        <v/>
      </c>
      <c r="AG49" s="2" t="str">
        <f t="shared" si="17"/>
        <v/>
      </c>
      <c r="AH49" s="2" t="str">
        <f t="shared" si="18"/>
        <v/>
      </c>
      <c r="AI49" s="2" t="str">
        <f t="shared" si="19"/>
        <v/>
      </c>
      <c r="AJ49" s="2" t="str">
        <f t="shared" si="20"/>
        <v/>
      </c>
      <c r="AK49" s="2" t="str">
        <f t="shared" si="21"/>
        <v/>
      </c>
      <c r="AL49" s="2" t="str">
        <f t="shared" si="22"/>
        <v/>
      </c>
      <c r="AM49" s="2" t="str">
        <f t="shared" si="23"/>
        <v/>
      </c>
      <c r="AN49" s="2" t="str">
        <f t="shared" si="24"/>
        <v/>
      </c>
      <c r="AP49" s="2" t="str" cm="1">
        <f t="array" ref="AP49">IF('NILAI CPL'!$B49&lt;&gt;"",IFERROR(_xlfn.IFS(S49&gt;='NILAI CPL'!$B$3,4,S49&gt;='NILAI CPL'!$B$4,3,S49&gt;='NILAI CPL'!$B$5,2,S49&gt;'NILAI CPL'!$B$6,1),0),"")</f>
        <v/>
      </c>
      <c r="AQ49" s="2" t="str" cm="1">
        <f t="array" ref="AQ49">IF('NILAI CPL'!$B49&lt;&gt;"",IFERROR(_xlfn.IFS(T49&gt;='NILAI CPL'!$B$3,4,T49&gt;='NILAI CPL'!$B$4,3,T49&gt;='NILAI CPL'!$B$5,2,T49&gt;'NILAI CPL'!$B$6,1),0),"")</f>
        <v/>
      </c>
      <c r="AR49" s="2" t="str" cm="1">
        <f t="array" ref="AR49">IF('NILAI CPL'!$B49&lt;&gt;"",IFERROR(_xlfn.IFS(U49&gt;='NILAI CPL'!$B$3,4,U49&gt;='NILAI CPL'!$B$4,3,U49&gt;='NILAI CPL'!$B$5,2,U49&gt;'NILAI CPL'!$B$6,1),0),"")</f>
        <v/>
      </c>
      <c r="AS49" s="2" t="str" cm="1">
        <f t="array" ref="AS49">IF('NILAI CPL'!$B49&lt;&gt;"",IFERROR(_xlfn.IFS(V49&gt;='NILAI CPL'!$B$3,4,V49&gt;='NILAI CPL'!$B$4,3,V49&gt;='NILAI CPL'!$B$5,2,V49&gt;'NILAI CPL'!$B$6,1),0),"")</f>
        <v/>
      </c>
      <c r="AT49" s="2" t="str" cm="1">
        <f t="array" ref="AT49">IF('NILAI CPL'!$B49&lt;&gt;"",IFERROR(_xlfn.IFS(W49&gt;='NILAI CPL'!$B$3,4,W49&gt;='NILAI CPL'!$B$4,3,W49&gt;='NILAI CPL'!$B$5,2,W49&gt;'NILAI CPL'!$B$6,1),0),"")</f>
        <v/>
      </c>
      <c r="AU49" s="2" t="str" cm="1">
        <f t="array" ref="AU49">IF('NILAI CPL'!$B49&lt;&gt;"",IFERROR(_xlfn.IFS(X49&gt;='NILAI CPL'!$B$3,4,X49&gt;='NILAI CPL'!$B$4,3,X49&gt;='NILAI CPL'!$B$5,2,X49&gt;'NILAI CPL'!$B$6,1),0),"")</f>
        <v/>
      </c>
      <c r="AV49" s="2" t="str" cm="1">
        <f t="array" ref="AV49">IF('NILAI CPL'!$B49&lt;&gt;"",IFERROR(_xlfn.IFS(Y49&gt;='NILAI CPL'!$B$3,4,Y49&gt;='NILAI CPL'!$B$4,3,Y49&gt;='NILAI CPL'!$B$5,2,Y49&gt;'NILAI CPL'!$B$6,1),0),"")</f>
        <v/>
      </c>
      <c r="AW49" s="2" t="str" cm="1">
        <f t="array" ref="AW49">IF('NILAI CPL'!$B49&lt;&gt;"",IFERROR(_xlfn.IFS(Z49&gt;='NILAI CPL'!$B$3,4,Z49&gt;='NILAI CPL'!$B$4,3,Z49&gt;='NILAI CPL'!$B$5,2,Z49&gt;'NILAI CPL'!$B$6,1),0),"")</f>
        <v/>
      </c>
      <c r="AX49" s="2" t="str" cm="1">
        <f t="array" ref="AX49">IF('NILAI CPL'!$B49&lt;&gt;"",IFERROR(_xlfn.IFS(AA49&gt;='NILAI CPL'!$B$3,4,AA49&gt;='NILAI CPL'!$B$4,3,AA49&gt;='NILAI CPL'!$B$5,2,AA49&gt;'NILAI CPL'!$B$6,1),0),"")</f>
        <v/>
      </c>
      <c r="AY49" s="2" t="str" cm="1">
        <f t="array" ref="AY49">IF('NILAI CPL'!$B49&lt;&gt;"",IFERROR(_xlfn.IFS(AB49&gt;='NILAI CPL'!$B$3,4,AB49&gt;='NILAI CPL'!$B$4,3,AB49&gt;='NILAI CPL'!$B$5,2,AB49&gt;'NILAI CPL'!$B$6,1),0),"")</f>
        <v/>
      </c>
      <c r="AZ49" s="2" t="str" cm="1">
        <f t="array" ref="AZ49">IF('NILAI CPL'!$B49&lt;&gt;"",IFERROR(_xlfn.IFS(AC49&gt;='NILAI CPL'!$B$3,4,AC49&gt;='NILAI CPL'!$B$4,3,AC49&gt;='NILAI CPL'!$B$5,2,AC49&gt;'NILAI CPL'!$B$6,1),0),"")</f>
        <v/>
      </c>
      <c r="BA49" s="2" t="str" cm="1">
        <f t="array" ref="BA49">IF('NILAI CPL'!$B49&lt;&gt;"",IFERROR(_xlfn.IFS(AD49&gt;='NILAI CPL'!$B$3,4,AD49&gt;='NILAI CPL'!$B$4,3,AD49&gt;='NILAI CPL'!$B$5,2,AD49&gt;'NILAI CPL'!$B$6,1),0),"")</f>
        <v/>
      </c>
      <c r="BB49" s="2" t="str" cm="1">
        <f t="array" ref="BB49">IF('NILAI CPL'!$B49&lt;&gt;"",IFERROR(_xlfn.IFS(AE49&gt;='NILAI CPL'!$B$3,4,AE49&gt;='NILAI CPL'!$B$4,3,AE49&gt;='NILAI CPL'!$B$5,2,AE49&gt;'NILAI CPL'!$B$6,1),0),"")</f>
        <v/>
      </c>
      <c r="BC49" s="2" t="str" cm="1">
        <f t="array" ref="BC49">IF('NILAI CPL'!$B49&lt;&gt;"",IFERROR(_xlfn.IFS(AF49&gt;='NILAI CPL'!$B$3,4,AF49&gt;='NILAI CPL'!$B$4,3,AF49&gt;='NILAI CPL'!$B$5,2,AF49&gt;'NILAI CPL'!$B$6,1),0),"")</f>
        <v/>
      </c>
      <c r="BD49" s="2" t="str" cm="1">
        <f t="array" ref="BD49">IF('NILAI CPL'!$B49&lt;&gt;"",IFERROR(_xlfn.IFS(AG49&gt;='NILAI CPL'!$B$3,4,AG49&gt;='NILAI CPL'!$B$4,3,AG49&gt;='NILAI CPL'!$B$5,2,AG49&gt;'NILAI CPL'!$B$6,1),0),"")</f>
        <v/>
      </c>
      <c r="BE49" s="2" t="str" cm="1">
        <f t="array" ref="BE49">IF('NILAI CPL'!$B49&lt;&gt;"",IFERROR(_xlfn.IFS(AH49&gt;='NILAI CPL'!$B$3,4,AH49&gt;='NILAI CPL'!$B$4,3,AH49&gt;='NILAI CPL'!$B$5,2,AH49&gt;'NILAI CPL'!$B$6,1),0),"")</f>
        <v/>
      </c>
      <c r="BF49" s="2" t="str" cm="1">
        <f t="array" ref="BF49">IF('NILAI CPL'!$B49&lt;&gt;"",IFERROR(_xlfn.IFS(AI49&gt;='NILAI CPL'!$B$3,4,AI49&gt;='NILAI CPL'!$B$4,3,AI49&gt;='NILAI CPL'!$B$5,2,AI49&gt;'NILAI CPL'!$B$6,1),0),"")</f>
        <v/>
      </c>
      <c r="BG49" s="2" t="str" cm="1">
        <f t="array" ref="BG49">IF('NILAI CPL'!$B49&lt;&gt;"",IFERROR(_xlfn.IFS(AJ49&gt;='NILAI CPL'!$B$3,4,AJ49&gt;='NILAI CPL'!$B$4,3,AJ49&gt;='NILAI CPL'!$B$5,2,AJ49&gt;'NILAI CPL'!$B$6,1),0),"")</f>
        <v/>
      </c>
      <c r="BH49" s="2" t="str" cm="1">
        <f t="array" ref="BH49">IF('NILAI CPL'!$B49&lt;&gt;"",IFERROR(_xlfn.IFS(AK49&gt;='NILAI CPL'!$B$3,4,AK49&gt;='NILAI CPL'!$B$4,3,AK49&gt;='NILAI CPL'!$B$5,2,AK49&gt;'NILAI CPL'!$B$6,1),0),"")</f>
        <v/>
      </c>
      <c r="BI49" s="2" t="str" cm="1">
        <f t="array" ref="BI49">IF('NILAI CPL'!$B49&lt;&gt;"",IFERROR(_xlfn.IFS(AL49&gt;='NILAI CPL'!$B$3,4,AL49&gt;='NILAI CPL'!$B$4,3,AL49&gt;='NILAI CPL'!$B$5,2,AL49&gt;'NILAI CPL'!$B$6,1),0),"")</f>
        <v/>
      </c>
      <c r="BJ49" s="2" t="str" cm="1">
        <f t="array" ref="BJ49">IF('NILAI CPL'!$B49&lt;&gt;"",IFERROR(_xlfn.IFS(AM49&gt;='NILAI CPL'!$B$3,4,AM49&gt;='NILAI CPL'!$B$4,3,AM49&gt;='NILAI CPL'!$B$5,2,AM49&gt;'NILAI CPL'!$B$6,1),0),"")</f>
        <v/>
      </c>
      <c r="BK49" s="2" t="str" cm="1">
        <f t="array" ref="BK49">IF('NILAI CPL'!$B49&lt;&gt;"",IFERROR(_xlfn.IFS(AN49&gt;='NILAI CPL'!$B$3,4,AN49&gt;='NILAI CPL'!$B$4,3,AN49&gt;='NILAI CPL'!$B$5,2,AN49&gt;'NILAI CPL'!$B$6,1),0),"")</f>
        <v/>
      </c>
    </row>
    <row r="50" spans="1:63" x14ac:dyDescent="0.2">
      <c r="A50" s="2">
        <v>40</v>
      </c>
      <c r="B50" s="2" t="str">
        <f>IF(LEN(SUMMARY!B50)&gt;0, SUMMARY!B50, "")</f>
        <v/>
      </c>
      <c r="C50" s="2" t="str">
        <f>IF(LEN(SUMMARY!C50)&gt;0, SUMMARY!C50, "")</f>
        <v/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" t="str">
        <f t="shared" si="2"/>
        <v/>
      </c>
      <c r="S50" s="2" t="str">
        <f t="shared" si="3"/>
        <v/>
      </c>
      <c r="T50" s="2" t="str">
        <f t="shared" si="4"/>
        <v/>
      </c>
      <c r="U50" s="2" t="str">
        <f t="shared" si="5"/>
        <v/>
      </c>
      <c r="V50" s="2" t="str">
        <f t="shared" si="6"/>
        <v/>
      </c>
      <c r="W50" s="2" t="str">
        <f t="shared" si="7"/>
        <v/>
      </c>
      <c r="X50" s="2" t="str">
        <f t="shared" si="8"/>
        <v/>
      </c>
      <c r="Y50" s="2" t="str">
        <f t="shared" si="9"/>
        <v/>
      </c>
      <c r="Z50" s="2" t="str">
        <f t="shared" si="10"/>
        <v/>
      </c>
      <c r="AA50" s="2" t="str">
        <f t="shared" si="11"/>
        <v/>
      </c>
      <c r="AB50" s="2" t="str">
        <f t="shared" si="12"/>
        <v/>
      </c>
      <c r="AC50" s="2" t="str">
        <f t="shared" si="13"/>
        <v/>
      </c>
      <c r="AD50" s="2" t="str">
        <f t="shared" si="14"/>
        <v/>
      </c>
      <c r="AE50" s="2" t="str">
        <f t="shared" si="15"/>
        <v/>
      </c>
      <c r="AF50" s="2" t="str">
        <f t="shared" si="16"/>
        <v/>
      </c>
      <c r="AG50" s="2" t="str">
        <f t="shared" si="17"/>
        <v/>
      </c>
      <c r="AH50" s="2" t="str">
        <f t="shared" si="18"/>
        <v/>
      </c>
      <c r="AI50" s="2" t="str">
        <f t="shared" si="19"/>
        <v/>
      </c>
      <c r="AJ50" s="2" t="str">
        <f t="shared" si="20"/>
        <v/>
      </c>
      <c r="AK50" s="2" t="str">
        <f t="shared" si="21"/>
        <v/>
      </c>
      <c r="AL50" s="2" t="str">
        <f t="shared" si="22"/>
        <v/>
      </c>
      <c r="AM50" s="2" t="str">
        <f t="shared" si="23"/>
        <v/>
      </c>
      <c r="AN50" s="2" t="str">
        <f t="shared" si="24"/>
        <v/>
      </c>
      <c r="AP50" s="2" t="str" cm="1">
        <f t="array" ref="AP50">IF('NILAI CPL'!$B50&lt;&gt;"",IFERROR(_xlfn.IFS(S50&gt;='NILAI CPL'!$B$3,4,S50&gt;='NILAI CPL'!$B$4,3,S50&gt;='NILAI CPL'!$B$5,2,S50&gt;'NILAI CPL'!$B$6,1),0),"")</f>
        <v/>
      </c>
      <c r="AQ50" s="2" t="str" cm="1">
        <f t="array" ref="AQ50">IF('NILAI CPL'!$B50&lt;&gt;"",IFERROR(_xlfn.IFS(T50&gt;='NILAI CPL'!$B$3,4,T50&gt;='NILAI CPL'!$B$4,3,T50&gt;='NILAI CPL'!$B$5,2,T50&gt;'NILAI CPL'!$B$6,1),0),"")</f>
        <v/>
      </c>
      <c r="AR50" s="2" t="str" cm="1">
        <f t="array" ref="AR50">IF('NILAI CPL'!$B50&lt;&gt;"",IFERROR(_xlfn.IFS(U50&gt;='NILAI CPL'!$B$3,4,U50&gt;='NILAI CPL'!$B$4,3,U50&gt;='NILAI CPL'!$B$5,2,U50&gt;'NILAI CPL'!$B$6,1),0),"")</f>
        <v/>
      </c>
      <c r="AS50" s="2" t="str" cm="1">
        <f t="array" ref="AS50">IF('NILAI CPL'!$B50&lt;&gt;"",IFERROR(_xlfn.IFS(V50&gt;='NILAI CPL'!$B$3,4,V50&gt;='NILAI CPL'!$B$4,3,V50&gt;='NILAI CPL'!$B$5,2,V50&gt;'NILAI CPL'!$B$6,1),0),"")</f>
        <v/>
      </c>
      <c r="AT50" s="2" t="str" cm="1">
        <f t="array" ref="AT50">IF('NILAI CPL'!$B50&lt;&gt;"",IFERROR(_xlfn.IFS(W50&gt;='NILAI CPL'!$B$3,4,W50&gt;='NILAI CPL'!$B$4,3,W50&gt;='NILAI CPL'!$B$5,2,W50&gt;'NILAI CPL'!$B$6,1),0),"")</f>
        <v/>
      </c>
      <c r="AU50" s="2" t="str" cm="1">
        <f t="array" ref="AU50">IF('NILAI CPL'!$B50&lt;&gt;"",IFERROR(_xlfn.IFS(X50&gt;='NILAI CPL'!$B$3,4,X50&gt;='NILAI CPL'!$B$4,3,X50&gt;='NILAI CPL'!$B$5,2,X50&gt;'NILAI CPL'!$B$6,1),0),"")</f>
        <v/>
      </c>
      <c r="AV50" s="2" t="str" cm="1">
        <f t="array" ref="AV50">IF('NILAI CPL'!$B50&lt;&gt;"",IFERROR(_xlfn.IFS(Y50&gt;='NILAI CPL'!$B$3,4,Y50&gt;='NILAI CPL'!$B$4,3,Y50&gt;='NILAI CPL'!$B$5,2,Y50&gt;'NILAI CPL'!$B$6,1),0),"")</f>
        <v/>
      </c>
      <c r="AW50" s="2" t="str" cm="1">
        <f t="array" ref="AW50">IF('NILAI CPL'!$B50&lt;&gt;"",IFERROR(_xlfn.IFS(Z50&gt;='NILAI CPL'!$B$3,4,Z50&gt;='NILAI CPL'!$B$4,3,Z50&gt;='NILAI CPL'!$B$5,2,Z50&gt;'NILAI CPL'!$B$6,1),0),"")</f>
        <v/>
      </c>
      <c r="AX50" s="2" t="str" cm="1">
        <f t="array" ref="AX50">IF('NILAI CPL'!$B50&lt;&gt;"",IFERROR(_xlfn.IFS(AA50&gt;='NILAI CPL'!$B$3,4,AA50&gt;='NILAI CPL'!$B$4,3,AA50&gt;='NILAI CPL'!$B$5,2,AA50&gt;'NILAI CPL'!$B$6,1),0),"")</f>
        <v/>
      </c>
      <c r="AY50" s="2" t="str" cm="1">
        <f t="array" ref="AY50">IF('NILAI CPL'!$B50&lt;&gt;"",IFERROR(_xlfn.IFS(AB50&gt;='NILAI CPL'!$B$3,4,AB50&gt;='NILAI CPL'!$B$4,3,AB50&gt;='NILAI CPL'!$B$5,2,AB50&gt;'NILAI CPL'!$B$6,1),0),"")</f>
        <v/>
      </c>
      <c r="AZ50" s="2" t="str" cm="1">
        <f t="array" ref="AZ50">IF('NILAI CPL'!$B50&lt;&gt;"",IFERROR(_xlfn.IFS(AC50&gt;='NILAI CPL'!$B$3,4,AC50&gt;='NILAI CPL'!$B$4,3,AC50&gt;='NILAI CPL'!$B$5,2,AC50&gt;'NILAI CPL'!$B$6,1),0),"")</f>
        <v/>
      </c>
      <c r="BA50" s="2" t="str" cm="1">
        <f t="array" ref="BA50">IF('NILAI CPL'!$B50&lt;&gt;"",IFERROR(_xlfn.IFS(AD50&gt;='NILAI CPL'!$B$3,4,AD50&gt;='NILAI CPL'!$B$4,3,AD50&gt;='NILAI CPL'!$B$5,2,AD50&gt;'NILAI CPL'!$B$6,1),0),"")</f>
        <v/>
      </c>
      <c r="BB50" s="2" t="str" cm="1">
        <f t="array" ref="BB50">IF('NILAI CPL'!$B50&lt;&gt;"",IFERROR(_xlfn.IFS(AE50&gt;='NILAI CPL'!$B$3,4,AE50&gt;='NILAI CPL'!$B$4,3,AE50&gt;='NILAI CPL'!$B$5,2,AE50&gt;'NILAI CPL'!$B$6,1),0),"")</f>
        <v/>
      </c>
      <c r="BC50" s="2" t="str" cm="1">
        <f t="array" ref="BC50">IF('NILAI CPL'!$B50&lt;&gt;"",IFERROR(_xlfn.IFS(AF50&gt;='NILAI CPL'!$B$3,4,AF50&gt;='NILAI CPL'!$B$4,3,AF50&gt;='NILAI CPL'!$B$5,2,AF50&gt;'NILAI CPL'!$B$6,1),0),"")</f>
        <v/>
      </c>
      <c r="BD50" s="2" t="str" cm="1">
        <f t="array" ref="BD50">IF('NILAI CPL'!$B50&lt;&gt;"",IFERROR(_xlfn.IFS(AG50&gt;='NILAI CPL'!$B$3,4,AG50&gt;='NILAI CPL'!$B$4,3,AG50&gt;='NILAI CPL'!$B$5,2,AG50&gt;'NILAI CPL'!$B$6,1),0),"")</f>
        <v/>
      </c>
      <c r="BE50" s="2" t="str" cm="1">
        <f t="array" ref="BE50">IF('NILAI CPL'!$B50&lt;&gt;"",IFERROR(_xlfn.IFS(AH50&gt;='NILAI CPL'!$B$3,4,AH50&gt;='NILAI CPL'!$B$4,3,AH50&gt;='NILAI CPL'!$B$5,2,AH50&gt;'NILAI CPL'!$B$6,1),0),"")</f>
        <v/>
      </c>
      <c r="BF50" s="2" t="str" cm="1">
        <f t="array" ref="BF50">IF('NILAI CPL'!$B50&lt;&gt;"",IFERROR(_xlfn.IFS(AI50&gt;='NILAI CPL'!$B$3,4,AI50&gt;='NILAI CPL'!$B$4,3,AI50&gt;='NILAI CPL'!$B$5,2,AI50&gt;'NILAI CPL'!$B$6,1),0),"")</f>
        <v/>
      </c>
      <c r="BG50" s="2" t="str" cm="1">
        <f t="array" ref="BG50">IF('NILAI CPL'!$B50&lt;&gt;"",IFERROR(_xlfn.IFS(AJ50&gt;='NILAI CPL'!$B$3,4,AJ50&gt;='NILAI CPL'!$B$4,3,AJ50&gt;='NILAI CPL'!$B$5,2,AJ50&gt;'NILAI CPL'!$B$6,1),0),"")</f>
        <v/>
      </c>
      <c r="BH50" s="2" t="str" cm="1">
        <f t="array" ref="BH50">IF('NILAI CPL'!$B50&lt;&gt;"",IFERROR(_xlfn.IFS(AK50&gt;='NILAI CPL'!$B$3,4,AK50&gt;='NILAI CPL'!$B$4,3,AK50&gt;='NILAI CPL'!$B$5,2,AK50&gt;'NILAI CPL'!$B$6,1),0),"")</f>
        <v/>
      </c>
      <c r="BI50" s="2" t="str" cm="1">
        <f t="array" ref="BI50">IF('NILAI CPL'!$B50&lt;&gt;"",IFERROR(_xlfn.IFS(AL50&gt;='NILAI CPL'!$B$3,4,AL50&gt;='NILAI CPL'!$B$4,3,AL50&gt;='NILAI CPL'!$B$5,2,AL50&gt;'NILAI CPL'!$B$6,1),0),"")</f>
        <v/>
      </c>
      <c r="BJ50" s="2" t="str" cm="1">
        <f t="array" ref="BJ50">IF('NILAI CPL'!$B50&lt;&gt;"",IFERROR(_xlfn.IFS(AM50&gt;='NILAI CPL'!$B$3,4,AM50&gt;='NILAI CPL'!$B$4,3,AM50&gt;='NILAI CPL'!$B$5,2,AM50&gt;'NILAI CPL'!$B$6,1),0),"")</f>
        <v/>
      </c>
      <c r="BK50" s="2" t="str" cm="1">
        <f t="array" ref="BK50">IF('NILAI CPL'!$B50&lt;&gt;"",IFERROR(_xlfn.IFS(AN50&gt;='NILAI CPL'!$B$3,4,AN50&gt;='NILAI CPL'!$B$4,3,AN50&gt;='NILAI CPL'!$B$5,2,AN50&gt;'NILAI CPL'!$B$6,1),0),"")</f>
        <v/>
      </c>
    </row>
    <row r="51" spans="1:63" x14ac:dyDescent="0.2">
      <c r="A51" s="2">
        <v>41</v>
      </c>
      <c r="B51" s="2" t="str">
        <f>IF(LEN(SUMMARY!B51)&gt;0, SUMMARY!B51, "")</f>
        <v/>
      </c>
      <c r="C51" s="2" t="str">
        <f>IF(LEN(SUMMARY!C51)&gt;0, SUMMARY!C51, "")</f>
        <v/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" t="str">
        <f t="shared" si="2"/>
        <v/>
      </c>
      <c r="S51" s="2" t="str">
        <f t="shared" si="3"/>
        <v/>
      </c>
      <c r="T51" s="2" t="str">
        <f t="shared" si="4"/>
        <v/>
      </c>
      <c r="U51" s="2" t="str">
        <f t="shared" si="5"/>
        <v/>
      </c>
      <c r="V51" s="2" t="str">
        <f t="shared" si="6"/>
        <v/>
      </c>
      <c r="W51" s="2" t="str">
        <f t="shared" si="7"/>
        <v/>
      </c>
      <c r="X51" s="2" t="str">
        <f t="shared" si="8"/>
        <v/>
      </c>
      <c r="Y51" s="2" t="str">
        <f t="shared" si="9"/>
        <v/>
      </c>
      <c r="Z51" s="2" t="str">
        <f t="shared" si="10"/>
        <v/>
      </c>
      <c r="AA51" s="2" t="str">
        <f t="shared" si="11"/>
        <v/>
      </c>
      <c r="AB51" s="2" t="str">
        <f t="shared" si="12"/>
        <v/>
      </c>
      <c r="AC51" s="2" t="str">
        <f t="shared" si="13"/>
        <v/>
      </c>
      <c r="AD51" s="2" t="str">
        <f t="shared" si="14"/>
        <v/>
      </c>
      <c r="AE51" s="2" t="str">
        <f t="shared" si="15"/>
        <v/>
      </c>
      <c r="AF51" s="2" t="str">
        <f t="shared" si="16"/>
        <v/>
      </c>
      <c r="AG51" s="2" t="str">
        <f t="shared" si="17"/>
        <v/>
      </c>
      <c r="AH51" s="2" t="str">
        <f t="shared" si="18"/>
        <v/>
      </c>
      <c r="AI51" s="2" t="str">
        <f t="shared" si="19"/>
        <v/>
      </c>
      <c r="AJ51" s="2" t="str">
        <f t="shared" si="20"/>
        <v/>
      </c>
      <c r="AK51" s="2" t="str">
        <f t="shared" si="21"/>
        <v/>
      </c>
      <c r="AL51" s="2" t="str">
        <f t="shared" si="22"/>
        <v/>
      </c>
      <c r="AM51" s="2" t="str">
        <f t="shared" si="23"/>
        <v/>
      </c>
      <c r="AN51" s="2" t="str">
        <f t="shared" si="24"/>
        <v/>
      </c>
      <c r="AP51" s="2" t="str" cm="1">
        <f t="array" ref="AP51">IF('NILAI CPL'!$B51&lt;&gt;"",IFERROR(_xlfn.IFS(S51&gt;='NILAI CPL'!$B$3,4,S51&gt;='NILAI CPL'!$B$4,3,S51&gt;='NILAI CPL'!$B$5,2,S51&gt;'NILAI CPL'!$B$6,1),0),"")</f>
        <v/>
      </c>
      <c r="AQ51" s="2" t="str" cm="1">
        <f t="array" ref="AQ51">IF('NILAI CPL'!$B51&lt;&gt;"",IFERROR(_xlfn.IFS(T51&gt;='NILAI CPL'!$B$3,4,T51&gt;='NILAI CPL'!$B$4,3,T51&gt;='NILAI CPL'!$B$5,2,T51&gt;'NILAI CPL'!$B$6,1),0),"")</f>
        <v/>
      </c>
      <c r="AR51" s="2" t="str" cm="1">
        <f t="array" ref="AR51">IF('NILAI CPL'!$B51&lt;&gt;"",IFERROR(_xlfn.IFS(U51&gt;='NILAI CPL'!$B$3,4,U51&gt;='NILAI CPL'!$B$4,3,U51&gt;='NILAI CPL'!$B$5,2,U51&gt;'NILAI CPL'!$B$6,1),0),"")</f>
        <v/>
      </c>
      <c r="AS51" s="2" t="str" cm="1">
        <f t="array" ref="AS51">IF('NILAI CPL'!$B51&lt;&gt;"",IFERROR(_xlfn.IFS(V51&gt;='NILAI CPL'!$B$3,4,V51&gt;='NILAI CPL'!$B$4,3,V51&gt;='NILAI CPL'!$B$5,2,V51&gt;'NILAI CPL'!$B$6,1),0),"")</f>
        <v/>
      </c>
      <c r="AT51" s="2" t="str" cm="1">
        <f t="array" ref="AT51">IF('NILAI CPL'!$B51&lt;&gt;"",IFERROR(_xlfn.IFS(W51&gt;='NILAI CPL'!$B$3,4,W51&gt;='NILAI CPL'!$B$4,3,W51&gt;='NILAI CPL'!$B$5,2,W51&gt;'NILAI CPL'!$B$6,1),0),"")</f>
        <v/>
      </c>
      <c r="AU51" s="2" t="str" cm="1">
        <f t="array" ref="AU51">IF('NILAI CPL'!$B51&lt;&gt;"",IFERROR(_xlfn.IFS(X51&gt;='NILAI CPL'!$B$3,4,X51&gt;='NILAI CPL'!$B$4,3,X51&gt;='NILAI CPL'!$B$5,2,X51&gt;'NILAI CPL'!$B$6,1),0),"")</f>
        <v/>
      </c>
      <c r="AV51" s="2" t="str" cm="1">
        <f t="array" ref="AV51">IF('NILAI CPL'!$B51&lt;&gt;"",IFERROR(_xlfn.IFS(Y51&gt;='NILAI CPL'!$B$3,4,Y51&gt;='NILAI CPL'!$B$4,3,Y51&gt;='NILAI CPL'!$B$5,2,Y51&gt;'NILAI CPL'!$B$6,1),0),"")</f>
        <v/>
      </c>
      <c r="AW51" s="2" t="str" cm="1">
        <f t="array" ref="AW51">IF('NILAI CPL'!$B51&lt;&gt;"",IFERROR(_xlfn.IFS(Z51&gt;='NILAI CPL'!$B$3,4,Z51&gt;='NILAI CPL'!$B$4,3,Z51&gt;='NILAI CPL'!$B$5,2,Z51&gt;'NILAI CPL'!$B$6,1),0),"")</f>
        <v/>
      </c>
      <c r="AX51" s="2" t="str" cm="1">
        <f t="array" ref="AX51">IF('NILAI CPL'!$B51&lt;&gt;"",IFERROR(_xlfn.IFS(AA51&gt;='NILAI CPL'!$B$3,4,AA51&gt;='NILAI CPL'!$B$4,3,AA51&gt;='NILAI CPL'!$B$5,2,AA51&gt;'NILAI CPL'!$B$6,1),0),"")</f>
        <v/>
      </c>
      <c r="AY51" s="2" t="str" cm="1">
        <f t="array" ref="AY51">IF('NILAI CPL'!$B51&lt;&gt;"",IFERROR(_xlfn.IFS(AB51&gt;='NILAI CPL'!$B$3,4,AB51&gt;='NILAI CPL'!$B$4,3,AB51&gt;='NILAI CPL'!$B$5,2,AB51&gt;'NILAI CPL'!$B$6,1),0),"")</f>
        <v/>
      </c>
      <c r="AZ51" s="2" t="str" cm="1">
        <f t="array" ref="AZ51">IF('NILAI CPL'!$B51&lt;&gt;"",IFERROR(_xlfn.IFS(AC51&gt;='NILAI CPL'!$B$3,4,AC51&gt;='NILAI CPL'!$B$4,3,AC51&gt;='NILAI CPL'!$B$5,2,AC51&gt;'NILAI CPL'!$B$6,1),0),"")</f>
        <v/>
      </c>
      <c r="BA51" s="2" t="str" cm="1">
        <f t="array" ref="BA51">IF('NILAI CPL'!$B51&lt;&gt;"",IFERROR(_xlfn.IFS(AD51&gt;='NILAI CPL'!$B$3,4,AD51&gt;='NILAI CPL'!$B$4,3,AD51&gt;='NILAI CPL'!$B$5,2,AD51&gt;'NILAI CPL'!$B$6,1),0),"")</f>
        <v/>
      </c>
      <c r="BB51" s="2" t="str" cm="1">
        <f t="array" ref="BB51">IF('NILAI CPL'!$B51&lt;&gt;"",IFERROR(_xlfn.IFS(AE51&gt;='NILAI CPL'!$B$3,4,AE51&gt;='NILAI CPL'!$B$4,3,AE51&gt;='NILAI CPL'!$B$5,2,AE51&gt;'NILAI CPL'!$B$6,1),0),"")</f>
        <v/>
      </c>
      <c r="BC51" s="2" t="str" cm="1">
        <f t="array" ref="BC51">IF('NILAI CPL'!$B51&lt;&gt;"",IFERROR(_xlfn.IFS(AF51&gt;='NILAI CPL'!$B$3,4,AF51&gt;='NILAI CPL'!$B$4,3,AF51&gt;='NILAI CPL'!$B$5,2,AF51&gt;'NILAI CPL'!$B$6,1),0),"")</f>
        <v/>
      </c>
      <c r="BD51" s="2" t="str" cm="1">
        <f t="array" ref="BD51">IF('NILAI CPL'!$B51&lt;&gt;"",IFERROR(_xlfn.IFS(AG51&gt;='NILAI CPL'!$B$3,4,AG51&gt;='NILAI CPL'!$B$4,3,AG51&gt;='NILAI CPL'!$B$5,2,AG51&gt;'NILAI CPL'!$B$6,1),0),"")</f>
        <v/>
      </c>
      <c r="BE51" s="2" t="str" cm="1">
        <f t="array" ref="BE51">IF('NILAI CPL'!$B51&lt;&gt;"",IFERROR(_xlfn.IFS(AH51&gt;='NILAI CPL'!$B$3,4,AH51&gt;='NILAI CPL'!$B$4,3,AH51&gt;='NILAI CPL'!$B$5,2,AH51&gt;'NILAI CPL'!$B$6,1),0),"")</f>
        <v/>
      </c>
      <c r="BF51" s="2" t="str" cm="1">
        <f t="array" ref="BF51">IF('NILAI CPL'!$B51&lt;&gt;"",IFERROR(_xlfn.IFS(AI51&gt;='NILAI CPL'!$B$3,4,AI51&gt;='NILAI CPL'!$B$4,3,AI51&gt;='NILAI CPL'!$B$5,2,AI51&gt;'NILAI CPL'!$B$6,1),0),"")</f>
        <v/>
      </c>
      <c r="BG51" s="2" t="str" cm="1">
        <f t="array" ref="BG51">IF('NILAI CPL'!$B51&lt;&gt;"",IFERROR(_xlfn.IFS(AJ51&gt;='NILAI CPL'!$B$3,4,AJ51&gt;='NILAI CPL'!$B$4,3,AJ51&gt;='NILAI CPL'!$B$5,2,AJ51&gt;'NILAI CPL'!$B$6,1),0),"")</f>
        <v/>
      </c>
      <c r="BH51" s="2" t="str" cm="1">
        <f t="array" ref="BH51">IF('NILAI CPL'!$B51&lt;&gt;"",IFERROR(_xlfn.IFS(AK51&gt;='NILAI CPL'!$B$3,4,AK51&gt;='NILAI CPL'!$B$4,3,AK51&gt;='NILAI CPL'!$B$5,2,AK51&gt;'NILAI CPL'!$B$6,1),0),"")</f>
        <v/>
      </c>
      <c r="BI51" s="2" t="str" cm="1">
        <f t="array" ref="BI51">IF('NILAI CPL'!$B51&lt;&gt;"",IFERROR(_xlfn.IFS(AL51&gt;='NILAI CPL'!$B$3,4,AL51&gt;='NILAI CPL'!$B$4,3,AL51&gt;='NILAI CPL'!$B$5,2,AL51&gt;'NILAI CPL'!$B$6,1),0),"")</f>
        <v/>
      </c>
      <c r="BJ51" s="2" t="str" cm="1">
        <f t="array" ref="BJ51">IF('NILAI CPL'!$B51&lt;&gt;"",IFERROR(_xlfn.IFS(AM51&gt;='NILAI CPL'!$B$3,4,AM51&gt;='NILAI CPL'!$B$4,3,AM51&gt;='NILAI CPL'!$B$5,2,AM51&gt;'NILAI CPL'!$B$6,1),0),"")</f>
        <v/>
      </c>
      <c r="BK51" s="2" t="str" cm="1">
        <f t="array" ref="BK51">IF('NILAI CPL'!$B51&lt;&gt;"",IFERROR(_xlfn.IFS(AN51&gt;='NILAI CPL'!$B$3,4,AN51&gt;='NILAI CPL'!$B$4,3,AN51&gt;='NILAI CPL'!$B$5,2,AN51&gt;'NILAI CPL'!$B$6,1),0),"")</f>
        <v/>
      </c>
    </row>
    <row r="52" spans="1:63" x14ac:dyDescent="0.2">
      <c r="A52" s="2">
        <v>42</v>
      </c>
      <c r="B52" s="2" t="str">
        <f>IF(LEN(SUMMARY!B52)&gt;0, SUMMARY!B52, "")</f>
        <v/>
      </c>
      <c r="C52" s="2" t="str">
        <f>IF(LEN(SUMMARY!C52)&gt;0, SUMMARY!C52, "")</f>
        <v/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" t="str">
        <f t="shared" si="2"/>
        <v/>
      </c>
      <c r="S52" s="2" t="str">
        <f t="shared" si="3"/>
        <v/>
      </c>
      <c r="T52" s="2" t="str">
        <f t="shared" si="4"/>
        <v/>
      </c>
      <c r="U52" s="2" t="str">
        <f t="shared" si="5"/>
        <v/>
      </c>
      <c r="V52" s="2" t="str">
        <f t="shared" si="6"/>
        <v/>
      </c>
      <c r="W52" s="2" t="str">
        <f t="shared" si="7"/>
        <v/>
      </c>
      <c r="X52" s="2" t="str">
        <f t="shared" si="8"/>
        <v/>
      </c>
      <c r="Y52" s="2" t="str">
        <f t="shared" si="9"/>
        <v/>
      </c>
      <c r="Z52" s="2" t="str">
        <f t="shared" si="10"/>
        <v/>
      </c>
      <c r="AA52" s="2" t="str">
        <f t="shared" si="11"/>
        <v/>
      </c>
      <c r="AB52" s="2" t="str">
        <f t="shared" si="12"/>
        <v/>
      </c>
      <c r="AC52" s="2" t="str">
        <f t="shared" si="13"/>
        <v/>
      </c>
      <c r="AD52" s="2" t="str">
        <f t="shared" si="14"/>
        <v/>
      </c>
      <c r="AE52" s="2" t="str">
        <f t="shared" si="15"/>
        <v/>
      </c>
      <c r="AF52" s="2" t="str">
        <f t="shared" si="16"/>
        <v/>
      </c>
      <c r="AG52" s="2" t="str">
        <f t="shared" si="17"/>
        <v/>
      </c>
      <c r="AH52" s="2" t="str">
        <f t="shared" si="18"/>
        <v/>
      </c>
      <c r="AI52" s="2" t="str">
        <f t="shared" si="19"/>
        <v/>
      </c>
      <c r="AJ52" s="2" t="str">
        <f t="shared" si="20"/>
        <v/>
      </c>
      <c r="AK52" s="2" t="str">
        <f t="shared" si="21"/>
        <v/>
      </c>
      <c r="AL52" s="2" t="str">
        <f t="shared" si="22"/>
        <v/>
      </c>
      <c r="AM52" s="2" t="str">
        <f t="shared" si="23"/>
        <v/>
      </c>
      <c r="AN52" s="2" t="str">
        <f t="shared" si="24"/>
        <v/>
      </c>
      <c r="AP52" s="2" t="str" cm="1">
        <f t="array" ref="AP52">IF('NILAI CPL'!$B52&lt;&gt;"",IFERROR(_xlfn.IFS(S52&gt;='NILAI CPL'!$B$3,4,S52&gt;='NILAI CPL'!$B$4,3,S52&gt;='NILAI CPL'!$B$5,2,S52&gt;'NILAI CPL'!$B$6,1),0),"")</f>
        <v/>
      </c>
      <c r="AQ52" s="2" t="str" cm="1">
        <f t="array" ref="AQ52">IF('NILAI CPL'!$B52&lt;&gt;"",IFERROR(_xlfn.IFS(T52&gt;='NILAI CPL'!$B$3,4,T52&gt;='NILAI CPL'!$B$4,3,T52&gt;='NILAI CPL'!$B$5,2,T52&gt;'NILAI CPL'!$B$6,1),0),"")</f>
        <v/>
      </c>
      <c r="AR52" s="2" t="str" cm="1">
        <f t="array" ref="AR52">IF('NILAI CPL'!$B52&lt;&gt;"",IFERROR(_xlfn.IFS(U52&gt;='NILAI CPL'!$B$3,4,U52&gt;='NILAI CPL'!$B$4,3,U52&gt;='NILAI CPL'!$B$5,2,U52&gt;'NILAI CPL'!$B$6,1),0),"")</f>
        <v/>
      </c>
      <c r="AS52" s="2" t="str" cm="1">
        <f t="array" ref="AS52">IF('NILAI CPL'!$B52&lt;&gt;"",IFERROR(_xlfn.IFS(V52&gt;='NILAI CPL'!$B$3,4,V52&gt;='NILAI CPL'!$B$4,3,V52&gt;='NILAI CPL'!$B$5,2,V52&gt;'NILAI CPL'!$B$6,1),0),"")</f>
        <v/>
      </c>
      <c r="AT52" s="2" t="str" cm="1">
        <f t="array" ref="AT52">IF('NILAI CPL'!$B52&lt;&gt;"",IFERROR(_xlfn.IFS(W52&gt;='NILAI CPL'!$B$3,4,W52&gt;='NILAI CPL'!$B$4,3,W52&gt;='NILAI CPL'!$B$5,2,W52&gt;'NILAI CPL'!$B$6,1),0),"")</f>
        <v/>
      </c>
      <c r="AU52" s="2" t="str" cm="1">
        <f t="array" ref="AU52">IF('NILAI CPL'!$B52&lt;&gt;"",IFERROR(_xlfn.IFS(X52&gt;='NILAI CPL'!$B$3,4,X52&gt;='NILAI CPL'!$B$4,3,X52&gt;='NILAI CPL'!$B$5,2,X52&gt;'NILAI CPL'!$B$6,1),0),"")</f>
        <v/>
      </c>
      <c r="AV52" s="2" t="str" cm="1">
        <f t="array" ref="AV52">IF('NILAI CPL'!$B52&lt;&gt;"",IFERROR(_xlfn.IFS(Y52&gt;='NILAI CPL'!$B$3,4,Y52&gt;='NILAI CPL'!$B$4,3,Y52&gt;='NILAI CPL'!$B$5,2,Y52&gt;'NILAI CPL'!$B$6,1),0),"")</f>
        <v/>
      </c>
      <c r="AW52" s="2" t="str" cm="1">
        <f t="array" ref="AW52">IF('NILAI CPL'!$B52&lt;&gt;"",IFERROR(_xlfn.IFS(Z52&gt;='NILAI CPL'!$B$3,4,Z52&gt;='NILAI CPL'!$B$4,3,Z52&gt;='NILAI CPL'!$B$5,2,Z52&gt;'NILAI CPL'!$B$6,1),0),"")</f>
        <v/>
      </c>
      <c r="AX52" s="2" t="str" cm="1">
        <f t="array" ref="AX52">IF('NILAI CPL'!$B52&lt;&gt;"",IFERROR(_xlfn.IFS(AA52&gt;='NILAI CPL'!$B$3,4,AA52&gt;='NILAI CPL'!$B$4,3,AA52&gt;='NILAI CPL'!$B$5,2,AA52&gt;'NILAI CPL'!$B$6,1),0),"")</f>
        <v/>
      </c>
      <c r="AY52" s="2" t="str" cm="1">
        <f t="array" ref="AY52">IF('NILAI CPL'!$B52&lt;&gt;"",IFERROR(_xlfn.IFS(AB52&gt;='NILAI CPL'!$B$3,4,AB52&gt;='NILAI CPL'!$B$4,3,AB52&gt;='NILAI CPL'!$B$5,2,AB52&gt;'NILAI CPL'!$B$6,1),0),"")</f>
        <v/>
      </c>
      <c r="AZ52" s="2" t="str" cm="1">
        <f t="array" ref="AZ52">IF('NILAI CPL'!$B52&lt;&gt;"",IFERROR(_xlfn.IFS(AC52&gt;='NILAI CPL'!$B$3,4,AC52&gt;='NILAI CPL'!$B$4,3,AC52&gt;='NILAI CPL'!$B$5,2,AC52&gt;'NILAI CPL'!$B$6,1),0),"")</f>
        <v/>
      </c>
      <c r="BA52" s="2" t="str" cm="1">
        <f t="array" ref="BA52">IF('NILAI CPL'!$B52&lt;&gt;"",IFERROR(_xlfn.IFS(AD52&gt;='NILAI CPL'!$B$3,4,AD52&gt;='NILAI CPL'!$B$4,3,AD52&gt;='NILAI CPL'!$B$5,2,AD52&gt;'NILAI CPL'!$B$6,1),0),"")</f>
        <v/>
      </c>
      <c r="BB52" s="2" t="str" cm="1">
        <f t="array" ref="BB52">IF('NILAI CPL'!$B52&lt;&gt;"",IFERROR(_xlfn.IFS(AE52&gt;='NILAI CPL'!$B$3,4,AE52&gt;='NILAI CPL'!$B$4,3,AE52&gt;='NILAI CPL'!$B$5,2,AE52&gt;'NILAI CPL'!$B$6,1),0),"")</f>
        <v/>
      </c>
      <c r="BC52" s="2" t="str" cm="1">
        <f t="array" ref="BC52">IF('NILAI CPL'!$B52&lt;&gt;"",IFERROR(_xlfn.IFS(AF52&gt;='NILAI CPL'!$B$3,4,AF52&gt;='NILAI CPL'!$B$4,3,AF52&gt;='NILAI CPL'!$B$5,2,AF52&gt;'NILAI CPL'!$B$6,1),0),"")</f>
        <v/>
      </c>
      <c r="BD52" s="2" t="str" cm="1">
        <f t="array" ref="BD52">IF('NILAI CPL'!$B52&lt;&gt;"",IFERROR(_xlfn.IFS(AG52&gt;='NILAI CPL'!$B$3,4,AG52&gt;='NILAI CPL'!$B$4,3,AG52&gt;='NILAI CPL'!$B$5,2,AG52&gt;'NILAI CPL'!$B$6,1),0),"")</f>
        <v/>
      </c>
      <c r="BE52" s="2" t="str" cm="1">
        <f t="array" ref="BE52">IF('NILAI CPL'!$B52&lt;&gt;"",IFERROR(_xlfn.IFS(AH52&gt;='NILAI CPL'!$B$3,4,AH52&gt;='NILAI CPL'!$B$4,3,AH52&gt;='NILAI CPL'!$B$5,2,AH52&gt;'NILAI CPL'!$B$6,1),0),"")</f>
        <v/>
      </c>
      <c r="BF52" s="2" t="str" cm="1">
        <f t="array" ref="BF52">IF('NILAI CPL'!$B52&lt;&gt;"",IFERROR(_xlfn.IFS(AI52&gt;='NILAI CPL'!$B$3,4,AI52&gt;='NILAI CPL'!$B$4,3,AI52&gt;='NILAI CPL'!$B$5,2,AI52&gt;'NILAI CPL'!$B$6,1),0),"")</f>
        <v/>
      </c>
      <c r="BG52" s="2" t="str" cm="1">
        <f t="array" ref="BG52">IF('NILAI CPL'!$B52&lt;&gt;"",IFERROR(_xlfn.IFS(AJ52&gt;='NILAI CPL'!$B$3,4,AJ52&gt;='NILAI CPL'!$B$4,3,AJ52&gt;='NILAI CPL'!$B$5,2,AJ52&gt;'NILAI CPL'!$B$6,1),0),"")</f>
        <v/>
      </c>
      <c r="BH52" s="2" t="str" cm="1">
        <f t="array" ref="BH52">IF('NILAI CPL'!$B52&lt;&gt;"",IFERROR(_xlfn.IFS(AK52&gt;='NILAI CPL'!$B$3,4,AK52&gt;='NILAI CPL'!$B$4,3,AK52&gt;='NILAI CPL'!$B$5,2,AK52&gt;'NILAI CPL'!$B$6,1),0),"")</f>
        <v/>
      </c>
      <c r="BI52" s="2" t="str" cm="1">
        <f t="array" ref="BI52">IF('NILAI CPL'!$B52&lt;&gt;"",IFERROR(_xlfn.IFS(AL52&gt;='NILAI CPL'!$B$3,4,AL52&gt;='NILAI CPL'!$B$4,3,AL52&gt;='NILAI CPL'!$B$5,2,AL52&gt;'NILAI CPL'!$B$6,1),0),"")</f>
        <v/>
      </c>
      <c r="BJ52" s="2" t="str" cm="1">
        <f t="array" ref="BJ52">IF('NILAI CPL'!$B52&lt;&gt;"",IFERROR(_xlfn.IFS(AM52&gt;='NILAI CPL'!$B$3,4,AM52&gt;='NILAI CPL'!$B$4,3,AM52&gt;='NILAI CPL'!$B$5,2,AM52&gt;'NILAI CPL'!$B$6,1),0),"")</f>
        <v/>
      </c>
      <c r="BK52" s="2" t="str" cm="1">
        <f t="array" ref="BK52">IF('NILAI CPL'!$B52&lt;&gt;"",IFERROR(_xlfn.IFS(AN52&gt;='NILAI CPL'!$B$3,4,AN52&gt;='NILAI CPL'!$B$4,3,AN52&gt;='NILAI CPL'!$B$5,2,AN52&gt;'NILAI CPL'!$B$6,1),0),"")</f>
        <v/>
      </c>
    </row>
    <row r="53" spans="1:63" x14ac:dyDescent="0.2">
      <c r="A53" s="2">
        <v>43</v>
      </c>
      <c r="B53" s="2" t="str">
        <f>IF(LEN(SUMMARY!B53)&gt;0, SUMMARY!B53, "")</f>
        <v/>
      </c>
      <c r="C53" s="2" t="str">
        <f>IF(LEN(SUMMARY!C53)&gt;0, SUMMARY!C53, "")</f>
        <v/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" t="str">
        <f t="shared" si="2"/>
        <v/>
      </c>
      <c r="S53" s="2" t="str">
        <f t="shared" si="3"/>
        <v/>
      </c>
      <c r="T53" s="2" t="str">
        <f t="shared" si="4"/>
        <v/>
      </c>
      <c r="U53" s="2" t="str">
        <f t="shared" si="5"/>
        <v/>
      </c>
      <c r="V53" s="2" t="str">
        <f t="shared" si="6"/>
        <v/>
      </c>
      <c r="W53" s="2" t="str">
        <f t="shared" si="7"/>
        <v/>
      </c>
      <c r="X53" s="2" t="str">
        <f t="shared" si="8"/>
        <v/>
      </c>
      <c r="Y53" s="2" t="str">
        <f t="shared" si="9"/>
        <v/>
      </c>
      <c r="Z53" s="2" t="str">
        <f t="shared" si="10"/>
        <v/>
      </c>
      <c r="AA53" s="2" t="str">
        <f t="shared" si="11"/>
        <v/>
      </c>
      <c r="AB53" s="2" t="str">
        <f t="shared" si="12"/>
        <v/>
      </c>
      <c r="AC53" s="2" t="str">
        <f t="shared" si="13"/>
        <v/>
      </c>
      <c r="AD53" s="2" t="str">
        <f t="shared" si="14"/>
        <v/>
      </c>
      <c r="AE53" s="2" t="str">
        <f t="shared" si="15"/>
        <v/>
      </c>
      <c r="AF53" s="2" t="str">
        <f t="shared" si="16"/>
        <v/>
      </c>
      <c r="AG53" s="2" t="str">
        <f t="shared" si="17"/>
        <v/>
      </c>
      <c r="AH53" s="2" t="str">
        <f t="shared" si="18"/>
        <v/>
      </c>
      <c r="AI53" s="2" t="str">
        <f t="shared" si="19"/>
        <v/>
      </c>
      <c r="AJ53" s="2" t="str">
        <f t="shared" si="20"/>
        <v/>
      </c>
      <c r="AK53" s="2" t="str">
        <f t="shared" si="21"/>
        <v/>
      </c>
      <c r="AL53" s="2" t="str">
        <f t="shared" si="22"/>
        <v/>
      </c>
      <c r="AM53" s="2" t="str">
        <f t="shared" si="23"/>
        <v/>
      </c>
      <c r="AN53" s="2" t="str">
        <f t="shared" si="24"/>
        <v/>
      </c>
      <c r="AP53" s="2" t="str" cm="1">
        <f t="array" ref="AP53">IF('NILAI CPL'!$B53&lt;&gt;"",IFERROR(_xlfn.IFS(S53&gt;='NILAI CPL'!$B$3,4,S53&gt;='NILAI CPL'!$B$4,3,S53&gt;='NILAI CPL'!$B$5,2,S53&gt;'NILAI CPL'!$B$6,1),0),"")</f>
        <v/>
      </c>
      <c r="AQ53" s="2" t="str" cm="1">
        <f t="array" ref="AQ53">IF('NILAI CPL'!$B53&lt;&gt;"",IFERROR(_xlfn.IFS(T53&gt;='NILAI CPL'!$B$3,4,T53&gt;='NILAI CPL'!$B$4,3,T53&gt;='NILAI CPL'!$B$5,2,T53&gt;'NILAI CPL'!$B$6,1),0),"")</f>
        <v/>
      </c>
      <c r="AR53" s="2" t="str" cm="1">
        <f t="array" ref="AR53">IF('NILAI CPL'!$B53&lt;&gt;"",IFERROR(_xlfn.IFS(U53&gt;='NILAI CPL'!$B$3,4,U53&gt;='NILAI CPL'!$B$4,3,U53&gt;='NILAI CPL'!$B$5,2,U53&gt;'NILAI CPL'!$B$6,1),0),"")</f>
        <v/>
      </c>
      <c r="AS53" s="2" t="str" cm="1">
        <f t="array" ref="AS53">IF('NILAI CPL'!$B53&lt;&gt;"",IFERROR(_xlfn.IFS(V53&gt;='NILAI CPL'!$B$3,4,V53&gt;='NILAI CPL'!$B$4,3,V53&gt;='NILAI CPL'!$B$5,2,V53&gt;'NILAI CPL'!$B$6,1),0),"")</f>
        <v/>
      </c>
      <c r="AT53" s="2" t="str" cm="1">
        <f t="array" ref="AT53">IF('NILAI CPL'!$B53&lt;&gt;"",IFERROR(_xlfn.IFS(W53&gt;='NILAI CPL'!$B$3,4,W53&gt;='NILAI CPL'!$B$4,3,W53&gt;='NILAI CPL'!$B$5,2,W53&gt;'NILAI CPL'!$B$6,1),0),"")</f>
        <v/>
      </c>
      <c r="AU53" s="2" t="str" cm="1">
        <f t="array" ref="AU53">IF('NILAI CPL'!$B53&lt;&gt;"",IFERROR(_xlfn.IFS(X53&gt;='NILAI CPL'!$B$3,4,X53&gt;='NILAI CPL'!$B$4,3,X53&gt;='NILAI CPL'!$B$5,2,X53&gt;'NILAI CPL'!$B$6,1),0),"")</f>
        <v/>
      </c>
      <c r="AV53" s="2" t="str" cm="1">
        <f t="array" ref="AV53">IF('NILAI CPL'!$B53&lt;&gt;"",IFERROR(_xlfn.IFS(Y53&gt;='NILAI CPL'!$B$3,4,Y53&gt;='NILAI CPL'!$B$4,3,Y53&gt;='NILAI CPL'!$B$5,2,Y53&gt;'NILAI CPL'!$B$6,1),0),"")</f>
        <v/>
      </c>
      <c r="AW53" s="2" t="str" cm="1">
        <f t="array" ref="AW53">IF('NILAI CPL'!$B53&lt;&gt;"",IFERROR(_xlfn.IFS(Z53&gt;='NILAI CPL'!$B$3,4,Z53&gt;='NILAI CPL'!$B$4,3,Z53&gt;='NILAI CPL'!$B$5,2,Z53&gt;'NILAI CPL'!$B$6,1),0),"")</f>
        <v/>
      </c>
      <c r="AX53" s="2" t="str" cm="1">
        <f t="array" ref="AX53">IF('NILAI CPL'!$B53&lt;&gt;"",IFERROR(_xlfn.IFS(AA53&gt;='NILAI CPL'!$B$3,4,AA53&gt;='NILAI CPL'!$B$4,3,AA53&gt;='NILAI CPL'!$B$5,2,AA53&gt;'NILAI CPL'!$B$6,1),0),"")</f>
        <v/>
      </c>
      <c r="AY53" s="2" t="str" cm="1">
        <f t="array" ref="AY53">IF('NILAI CPL'!$B53&lt;&gt;"",IFERROR(_xlfn.IFS(AB53&gt;='NILAI CPL'!$B$3,4,AB53&gt;='NILAI CPL'!$B$4,3,AB53&gt;='NILAI CPL'!$B$5,2,AB53&gt;'NILAI CPL'!$B$6,1),0),"")</f>
        <v/>
      </c>
      <c r="AZ53" s="2" t="str" cm="1">
        <f t="array" ref="AZ53">IF('NILAI CPL'!$B53&lt;&gt;"",IFERROR(_xlfn.IFS(AC53&gt;='NILAI CPL'!$B$3,4,AC53&gt;='NILAI CPL'!$B$4,3,AC53&gt;='NILAI CPL'!$B$5,2,AC53&gt;'NILAI CPL'!$B$6,1),0),"")</f>
        <v/>
      </c>
      <c r="BA53" s="2" t="str" cm="1">
        <f t="array" ref="BA53">IF('NILAI CPL'!$B53&lt;&gt;"",IFERROR(_xlfn.IFS(AD53&gt;='NILAI CPL'!$B$3,4,AD53&gt;='NILAI CPL'!$B$4,3,AD53&gt;='NILAI CPL'!$B$5,2,AD53&gt;'NILAI CPL'!$B$6,1),0),"")</f>
        <v/>
      </c>
      <c r="BB53" s="2" t="str" cm="1">
        <f t="array" ref="BB53">IF('NILAI CPL'!$B53&lt;&gt;"",IFERROR(_xlfn.IFS(AE53&gt;='NILAI CPL'!$B$3,4,AE53&gt;='NILAI CPL'!$B$4,3,AE53&gt;='NILAI CPL'!$B$5,2,AE53&gt;'NILAI CPL'!$B$6,1),0),"")</f>
        <v/>
      </c>
      <c r="BC53" s="2" t="str" cm="1">
        <f t="array" ref="BC53">IF('NILAI CPL'!$B53&lt;&gt;"",IFERROR(_xlfn.IFS(AF53&gt;='NILAI CPL'!$B$3,4,AF53&gt;='NILAI CPL'!$B$4,3,AF53&gt;='NILAI CPL'!$B$5,2,AF53&gt;'NILAI CPL'!$B$6,1),0),"")</f>
        <v/>
      </c>
      <c r="BD53" s="2" t="str" cm="1">
        <f t="array" ref="BD53">IF('NILAI CPL'!$B53&lt;&gt;"",IFERROR(_xlfn.IFS(AG53&gt;='NILAI CPL'!$B$3,4,AG53&gt;='NILAI CPL'!$B$4,3,AG53&gt;='NILAI CPL'!$B$5,2,AG53&gt;'NILAI CPL'!$B$6,1),0),"")</f>
        <v/>
      </c>
      <c r="BE53" s="2" t="str" cm="1">
        <f t="array" ref="BE53">IF('NILAI CPL'!$B53&lt;&gt;"",IFERROR(_xlfn.IFS(AH53&gt;='NILAI CPL'!$B$3,4,AH53&gt;='NILAI CPL'!$B$4,3,AH53&gt;='NILAI CPL'!$B$5,2,AH53&gt;'NILAI CPL'!$B$6,1),0),"")</f>
        <v/>
      </c>
      <c r="BF53" s="2" t="str" cm="1">
        <f t="array" ref="BF53">IF('NILAI CPL'!$B53&lt;&gt;"",IFERROR(_xlfn.IFS(AI53&gt;='NILAI CPL'!$B$3,4,AI53&gt;='NILAI CPL'!$B$4,3,AI53&gt;='NILAI CPL'!$B$5,2,AI53&gt;'NILAI CPL'!$B$6,1),0),"")</f>
        <v/>
      </c>
      <c r="BG53" s="2" t="str" cm="1">
        <f t="array" ref="BG53">IF('NILAI CPL'!$B53&lt;&gt;"",IFERROR(_xlfn.IFS(AJ53&gt;='NILAI CPL'!$B$3,4,AJ53&gt;='NILAI CPL'!$B$4,3,AJ53&gt;='NILAI CPL'!$B$5,2,AJ53&gt;'NILAI CPL'!$B$6,1),0),"")</f>
        <v/>
      </c>
      <c r="BH53" s="2" t="str" cm="1">
        <f t="array" ref="BH53">IF('NILAI CPL'!$B53&lt;&gt;"",IFERROR(_xlfn.IFS(AK53&gt;='NILAI CPL'!$B$3,4,AK53&gt;='NILAI CPL'!$B$4,3,AK53&gt;='NILAI CPL'!$B$5,2,AK53&gt;'NILAI CPL'!$B$6,1),0),"")</f>
        <v/>
      </c>
      <c r="BI53" s="2" t="str" cm="1">
        <f t="array" ref="BI53">IF('NILAI CPL'!$B53&lt;&gt;"",IFERROR(_xlfn.IFS(AL53&gt;='NILAI CPL'!$B$3,4,AL53&gt;='NILAI CPL'!$B$4,3,AL53&gt;='NILAI CPL'!$B$5,2,AL53&gt;'NILAI CPL'!$B$6,1),0),"")</f>
        <v/>
      </c>
      <c r="BJ53" s="2" t="str" cm="1">
        <f t="array" ref="BJ53">IF('NILAI CPL'!$B53&lt;&gt;"",IFERROR(_xlfn.IFS(AM53&gt;='NILAI CPL'!$B$3,4,AM53&gt;='NILAI CPL'!$B$4,3,AM53&gt;='NILAI CPL'!$B$5,2,AM53&gt;'NILAI CPL'!$B$6,1),0),"")</f>
        <v/>
      </c>
      <c r="BK53" s="2" t="str" cm="1">
        <f t="array" ref="BK53">IF('NILAI CPL'!$B53&lt;&gt;"",IFERROR(_xlfn.IFS(AN53&gt;='NILAI CPL'!$B$3,4,AN53&gt;='NILAI CPL'!$B$4,3,AN53&gt;='NILAI CPL'!$B$5,2,AN53&gt;'NILAI CPL'!$B$6,1),0),"")</f>
        <v/>
      </c>
    </row>
    <row r="54" spans="1:63" x14ac:dyDescent="0.2">
      <c r="A54" s="2">
        <v>44</v>
      </c>
      <c r="B54" s="2" t="str">
        <f>IF(LEN(SUMMARY!B54)&gt;0, SUMMARY!B54, "")</f>
        <v/>
      </c>
      <c r="C54" s="2" t="str">
        <f>IF(LEN(SUMMARY!C54)&gt;0, SUMMARY!C54, "")</f>
        <v/>
      </c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" t="str">
        <f t="shared" si="2"/>
        <v/>
      </c>
      <c r="S54" s="2" t="str">
        <f t="shared" si="3"/>
        <v/>
      </c>
      <c r="T54" s="2" t="str">
        <f t="shared" si="4"/>
        <v/>
      </c>
      <c r="U54" s="2" t="str">
        <f t="shared" si="5"/>
        <v/>
      </c>
      <c r="V54" s="2" t="str">
        <f t="shared" si="6"/>
        <v/>
      </c>
      <c r="W54" s="2" t="str">
        <f t="shared" si="7"/>
        <v/>
      </c>
      <c r="X54" s="2" t="str">
        <f t="shared" si="8"/>
        <v/>
      </c>
      <c r="Y54" s="2" t="str">
        <f t="shared" si="9"/>
        <v/>
      </c>
      <c r="Z54" s="2" t="str">
        <f t="shared" si="10"/>
        <v/>
      </c>
      <c r="AA54" s="2" t="str">
        <f t="shared" si="11"/>
        <v/>
      </c>
      <c r="AB54" s="2" t="str">
        <f t="shared" si="12"/>
        <v/>
      </c>
      <c r="AC54" s="2" t="str">
        <f t="shared" si="13"/>
        <v/>
      </c>
      <c r="AD54" s="2" t="str">
        <f t="shared" si="14"/>
        <v/>
      </c>
      <c r="AE54" s="2" t="str">
        <f t="shared" si="15"/>
        <v/>
      </c>
      <c r="AF54" s="2" t="str">
        <f t="shared" si="16"/>
        <v/>
      </c>
      <c r="AG54" s="2" t="str">
        <f t="shared" si="17"/>
        <v/>
      </c>
      <c r="AH54" s="2" t="str">
        <f t="shared" si="18"/>
        <v/>
      </c>
      <c r="AI54" s="2" t="str">
        <f t="shared" si="19"/>
        <v/>
      </c>
      <c r="AJ54" s="2" t="str">
        <f t="shared" si="20"/>
        <v/>
      </c>
      <c r="AK54" s="2" t="str">
        <f t="shared" si="21"/>
        <v/>
      </c>
      <c r="AL54" s="2" t="str">
        <f t="shared" si="22"/>
        <v/>
      </c>
      <c r="AM54" s="2" t="str">
        <f t="shared" si="23"/>
        <v/>
      </c>
      <c r="AN54" s="2" t="str">
        <f t="shared" si="24"/>
        <v/>
      </c>
      <c r="AP54" s="2" t="str" cm="1">
        <f t="array" ref="AP54">IF('NILAI CPL'!$B54&lt;&gt;"",IFERROR(_xlfn.IFS(S54&gt;='NILAI CPL'!$B$3,4,S54&gt;='NILAI CPL'!$B$4,3,S54&gt;='NILAI CPL'!$B$5,2,S54&gt;'NILAI CPL'!$B$6,1),0),"")</f>
        <v/>
      </c>
      <c r="AQ54" s="2" t="str" cm="1">
        <f t="array" ref="AQ54">IF('NILAI CPL'!$B54&lt;&gt;"",IFERROR(_xlfn.IFS(T54&gt;='NILAI CPL'!$B$3,4,T54&gt;='NILAI CPL'!$B$4,3,T54&gt;='NILAI CPL'!$B$5,2,T54&gt;'NILAI CPL'!$B$6,1),0),"")</f>
        <v/>
      </c>
      <c r="AR54" s="2" t="str" cm="1">
        <f t="array" ref="AR54">IF('NILAI CPL'!$B54&lt;&gt;"",IFERROR(_xlfn.IFS(U54&gt;='NILAI CPL'!$B$3,4,U54&gt;='NILAI CPL'!$B$4,3,U54&gt;='NILAI CPL'!$B$5,2,U54&gt;'NILAI CPL'!$B$6,1),0),"")</f>
        <v/>
      </c>
      <c r="AS54" s="2" t="str" cm="1">
        <f t="array" ref="AS54">IF('NILAI CPL'!$B54&lt;&gt;"",IFERROR(_xlfn.IFS(V54&gt;='NILAI CPL'!$B$3,4,V54&gt;='NILAI CPL'!$B$4,3,V54&gt;='NILAI CPL'!$B$5,2,V54&gt;'NILAI CPL'!$B$6,1),0),"")</f>
        <v/>
      </c>
      <c r="AT54" s="2" t="str" cm="1">
        <f t="array" ref="AT54">IF('NILAI CPL'!$B54&lt;&gt;"",IFERROR(_xlfn.IFS(W54&gt;='NILAI CPL'!$B$3,4,W54&gt;='NILAI CPL'!$B$4,3,W54&gt;='NILAI CPL'!$B$5,2,W54&gt;'NILAI CPL'!$B$6,1),0),"")</f>
        <v/>
      </c>
      <c r="AU54" s="2" t="str" cm="1">
        <f t="array" ref="AU54">IF('NILAI CPL'!$B54&lt;&gt;"",IFERROR(_xlfn.IFS(X54&gt;='NILAI CPL'!$B$3,4,X54&gt;='NILAI CPL'!$B$4,3,X54&gt;='NILAI CPL'!$B$5,2,X54&gt;'NILAI CPL'!$B$6,1),0),"")</f>
        <v/>
      </c>
      <c r="AV54" s="2" t="str" cm="1">
        <f t="array" ref="AV54">IF('NILAI CPL'!$B54&lt;&gt;"",IFERROR(_xlfn.IFS(Y54&gt;='NILAI CPL'!$B$3,4,Y54&gt;='NILAI CPL'!$B$4,3,Y54&gt;='NILAI CPL'!$B$5,2,Y54&gt;'NILAI CPL'!$B$6,1),0),"")</f>
        <v/>
      </c>
      <c r="AW54" s="2" t="str" cm="1">
        <f t="array" ref="AW54">IF('NILAI CPL'!$B54&lt;&gt;"",IFERROR(_xlfn.IFS(Z54&gt;='NILAI CPL'!$B$3,4,Z54&gt;='NILAI CPL'!$B$4,3,Z54&gt;='NILAI CPL'!$B$5,2,Z54&gt;'NILAI CPL'!$B$6,1),0),"")</f>
        <v/>
      </c>
      <c r="AX54" s="2" t="str" cm="1">
        <f t="array" ref="AX54">IF('NILAI CPL'!$B54&lt;&gt;"",IFERROR(_xlfn.IFS(AA54&gt;='NILAI CPL'!$B$3,4,AA54&gt;='NILAI CPL'!$B$4,3,AA54&gt;='NILAI CPL'!$B$5,2,AA54&gt;'NILAI CPL'!$B$6,1),0),"")</f>
        <v/>
      </c>
      <c r="AY54" s="2" t="str" cm="1">
        <f t="array" ref="AY54">IF('NILAI CPL'!$B54&lt;&gt;"",IFERROR(_xlfn.IFS(AB54&gt;='NILAI CPL'!$B$3,4,AB54&gt;='NILAI CPL'!$B$4,3,AB54&gt;='NILAI CPL'!$B$5,2,AB54&gt;'NILAI CPL'!$B$6,1),0),"")</f>
        <v/>
      </c>
      <c r="AZ54" s="2" t="str" cm="1">
        <f t="array" ref="AZ54">IF('NILAI CPL'!$B54&lt;&gt;"",IFERROR(_xlfn.IFS(AC54&gt;='NILAI CPL'!$B$3,4,AC54&gt;='NILAI CPL'!$B$4,3,AC54&gt;='NILAI CPL'!$B$5,2,AC54&gt;'NILAI CPL'!$B$6,1),0),"")</f>
        <v/>
      </c>
      <c r="BA54" s="2" t="str" cm="1">
        <f t="array" ref="BA54">IF('NILAI CPL'!$B54&lt;&gt;"",IFERROR(_xlfn.IFS(AD54&gt;='NILAI CPL'!$B$3,4,AD54&gt;='NILAI CPL'!$B$4,3,AD54&gt;='NILAI CPL'!$B$5,2,AD54&gt;'NILAI CPL'!$B$6,1),0),"")</f>
        <v/>
      </c>
      <c r="BB54" s="2" t="str" cm="1">
        <f t="array" ref="BB54">IF('NILAI CPL'!$B54&lt;&gt;"",IFERROR(_xlfn.IFS(AE54&gt;='NILAI CPL'!$B$3,4,AE54&gt;='NILAI CPL'!$B$4,3,AE54&gt;='NILAI CPL'!$B$5,2,AE54&gt;'NILAI CPL'!$B$6,1),0),"")</f>
        <v/>
      </c>
      <c r="BC54" s="2" t="str" cm="1">
        <f t="array" ref="BC54">IF('NILAI CPL'!$B54&lt;&gt;"",IFERROR(_xlfn.IFS(AF54&gt;='NILAI CPL'!$B$3,4,AF54&gt;='NILAI CPL'!$B$4,3,AF54&gt;='NILAI CPL'!$B$5,2,AF54&gt;'NILAI CPL'!$B$6,1),0),"")</f>
        <v/>
      </c>
      <c r="BD54" s="2" t="str" cm="1">
        <f t="array" ref="BD54">IF('NILAI CPL'!$B54&lt;&gt;"",IFERROR(_xlfn.IFS(AG54&gt;='NILAI CPL'!$B$3,4,AG54&gt;='NILAI CPL'!$B$4,3,AG54&gt;='NILAI CPL'!$B$5,2,AG54&gt;'NILAI CPL'!$B$6,1),0),"")</f>
        <v/>
      </c>
      <c r="BE54" s="2" t="str" cm="1">
        <f t="array" ref="BE54">IF('NILAI CPL'!$B54&lt;&gt;"",IFERROR(_xlfn.IFS(AH54&gt;='NILAI CPL'!$B$3,4,AH54&gt;='NILAI CPL'!$B$4,3,AH54&gt;='NILAI CPL'!$B$5,2,AH54&gt;'NILAI CPL'!$B$6,1),0),"")</f>
        <v/>
      </c>
      <c r="BF54" s="2" t="str" cm="1">
        <f t="array" ref="BF54">IF('NILAI CPL'!$B54&lt;&gt;"",IFERROR(_xlfn.IFS(AI54&gt;='NILAI CPL'!$B$3,4,AI54&gt;='NILAI CPL'!$B$4,3,AI54&gt;='NILAI CPL'!$B$5,2,AI54&gt;'NILAI CPL'!$B$6,1),0),"")</f>
        <v/>
      </c>
      <c r="BG54" s="2" t="str" cm="1">
        <f t="array" ref="BG54">IF('NILAI CPL'!$B54&lt;&gt;"",IFERROR(_xlfn.IFS(AJ54&gt;='NILAI CPL'!$B$3,4,AJ54&gt;='NILAI CPL'!$B$4,3,AJ54&gt;='NILAI CPL'!$B$5,2,AJ54&gt;'NILAI CPL'!$B$6,1),0),"")</f>
        <v/>
      </c>
      <c r="BH54" s="2" t="str" cm="1">
        <f t="array" ref="BH54">IF('NILAI CPL'!$B54&lt;&gt;"",IFERROR(_xlfn.IFS(AK54&gt;='NILAI CPL'!$B$3,4,AK54&gt;='NILAI CPL'!$B$4,3,AK54&gt;='NILAI CPL'!$B$5,2,AK54&gt;'NILAI CPL'!$B$6,1),0),"")</f>
        <v/>
      </c>
      <c r="BI54" s="2" t="str" cm="1">
        <f t="array" ref="BI54">IF('NILAI CPL'!$B54&lt;&gt;"",IFERROR(_xlfn.IFS(AL54&gt;='NILAI CPL'!$B$3,4,AL54&gt;='NILAI CPL'!$B$4,3,AL54&gt;='NILAI CPL'!$B$5,2,AL54&gt;'NILAI CPL'!$B$6,1),0),"")</f>
        <v/>
      </c>
      <c r="BJ54" s="2" t="str" cm="1">
        <f t="array" ref="BJ54">IF('NILAI CPL'!$B54&lt;&gt;"",IFERROR(_xlfn.IFS(AM54&gt;='NILAI CPL'!$B$3,4,AM54&gt;='NILAI CPL'!$B$4,3,AM54&gt;='NILAI CPL'!$B$5,2,AM54&gt;'NILAI CPL'!$B$6,1),0),"")</f>
        <v/>
      </c>
      <c r="BK54" s="2" t="str" cm="1">
        <f t="array" ref="BK54">IF('NILAI CPL'!$B54&lt;&gt;"",IFERROR(_xlfn.IFS(AN54&gt;='NILAI CPL'!$B$3,4,AN54&gt;='NILAI CPL'!$B$4,3,AN54&gt;='NILAI CPL'!$B$5,2,AN54&gt;'NILAI CPL'!$B$6,1),0),"")</f>
        <v/>
      </c>
    </row>
    <row r="55" spans="1:63" x14ac:dyDescent="0.2">
      <c r="A55" s="2">
        <v>45</v>
      </c>
      <c r="B55" s="2" t="str">
        <f>IF(LEN(SUMMARY!B55)&gt;0, SUMMARY!B55, "")</f>
        <v/>
      </c>
      <c r="C55" s="2" t="str">
        <f>IF(LEN(SUMMARY!C55)&gt;0, SUMMARY!C55, "")</f>
        <v/>
      </c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" t="str">
        <f t="shared" si="2"/>
        <v/>
      </c>
      <c r="S55" s="2" t="str">
        <f t="shared" si="3"/>
        <v/>
      </c>
      <c r="T55" s="2" t="str">
        <f t="shared" si="4"/>
        <v/>
      </c>
      <c r="U55" s="2" t="str">
        <f t="shared" si="5"/>
        <v/>
      </c>
      <c r="V55" s="2" t="str">
        <f t="shared" si="6"/>
        <v/>
      </c>
      <c r="W55" s="2" t="str">
        <f t="shared" si="7"/>
        <v/>
      </c>
      <c r="X55" s="2" t="str">
        <f t="shared" si="8"/>
        <v/>
      </c>
      <c r="Y55" s="2" t="str">
        <f t="shared" si="9"/>
        <v/>
      </c>
      <c r="Z55" s="2" t="str">
        <f t="shared" si="10"/>
        <v/>
      </c>
      <c r="AA55" s="2" t="str">
        <f t="shared" si="11"/>
        <v/>
      </c>
      <c r="AB55" s="2" t="str">
        <f t="shared" si="12"/>
        <v/>
      </c>
      <c r="AC55" s="2" t="str">
        <f t="shared" si="13"/>
        <v/>
      </c>
      <c r="AD55" s="2" t="str">
        <f t="shared" si="14"/>
        <v/>
      </c>
      <c r="AE55" s="2" t="str">
        <f t="shared" si="15"/>
        <v/>
      </c>
      <c r="AF55" s="2" t="str">
        <f t="shared" si="16"/>
        <v/>
      </c>
      <c r="AG55" s="2" t="str">
        <f t="shared" si="17"/>
        <v/>
      </c>
      <c r="AH55" s="2" t="str">
        <f t="shared" si="18"/>
        <v/>
      </c>
      <c r="AI55" s="2" t="str">
        <f t="shared" si="19"/>
        <v/>
      </c>
      <c r="AJ55" s="2" t="str">
        <f t="shared" si="20"/>
        <v/>
      </c>
      <c r="AK55" s="2" t="str">
        <f t="shared" si="21"/>
        <v/>
      </c>
      <c r="AL55" s="2" t="str">
        <f t="shared" si="22"/>
        <v/>
      </c>
      <c r="AM55" s="2" t="str">
        <f t="shared" si="23"/>
        <v/>
      </c>
      <c r="AN55" s="2" t="str">
        <f t="shared" si="24"/>
        <v/>
      </c>
      <c r="AP55" s="2" t="str" cm="1">
        <f t="array" ref="AP55">IF('NILAI CPL'!$B55&lt;&gt;"",IFERROR(_xlfn.IFS(S55&gt;='NILAI CPL'!$B$3,4,S55&gt;='NILAI CPL'!$B$4,3,S55&gt;='NILAI CPL'!$B$5,2,S55&gt;'NILAI CPL'!$B$6,1),0),"")</f>
        <v/>
      </c>
      <c r="AQ55" s="2" t="str" cm="1">
        <f t="array" ref="AQ55">IF('NILAI CPL'!$B55&lt;&gt;"",IFERROR(_xlfn.IFS(T55&gt;='NILAI CPL'!$B$3,4,T55&gt;='NILAI CPL'!$B$4,3,T55&gt;='NILAI CPL'!$B$5,2,T55&gt;'NILAI CPL'!$B$6,1),0),"")</f>
        <v/>
      </c>
      <c r="AR55" s="2" t="str" cm="1">
        <f t="array" ref="AR55">IF('NILAI CPL'!$B55&lt;&gt;"",IFERROR(_xlfn.IFS(U55&gt;='NILAI CPL'!$B$3,4,U55&gt;='NILAI CPL'!$B$4,3,U55&gt;='NILAI CPL'!$B$5,2,U55&gt;'NILAI CPL'!$B$6,1),0),"")</f>
        <v/>
      </c>
      <c r="AS55" s="2" t="str" cm="1">
        <f t="array" ref="AS55">IF('NILAI CPL'!$B55&lt;&gt;"",IFERROR(_xlfn.IFS(V55&gt;='NILAI CPL'!$B$3,4,V55&gt;='NILAI CPL'!$B$4,3,V55&gt;='NILAI CPL'!$B$5,2,V55&gt;'NILAI CPL'!$B$6,1),0),"")</f>
        <v/>
      </c>
      <c r="AT55" s="2" t="str" cm="1">
        <f t="array" ref="AT55">IF('NILAI CPL'!$B55&lt;&gt;"",IFERROR(_xlfn.IFS(W55&gt;='NILAI CPL'!$B$3,4,W55&gt;='NILAI CPL'!$B$4,3,W55&gt;='NILAI CPL'!$B$5,2,W55&gt;'NILAI CPL'!$B$6,1),0),"")</f>
        <v/>
      </c>
      <c r="AU55" s="2" t="str" cm="1">
        <f t="array" ref="AU55">IF('NILAI CPL'!$B55&lt;&gt;"",IFERROR(_xlfn.IFS(X55&gt;='NILAI CPL'!$B$3,4,X55&gt;='NILAI CPL'!$B$4,3,X55&gt;='NILAI CPL'!$B$5,2,X55&gt;'NILAI CPL'!$B$6,1),0),"")</f>
        <v/>
      </c>
      <c r="AV55" s="2" t="str" cm="1">
        <f t="array" ref="AV55">IF('NILAI CPL'!$B55&lt;&gt;"",IFERROR(_xlfn.IFS(Y55&gt;='NILAI CPL'!$B$3,4,Y55&gt;='NILAI CPL'!$B$4,3,Y55&gt;='NILAI CPL'!$B$5,2,Y55&gt;'NILAI CPL'!$B$6,1),0),"")</f>
        <v/>
      </c>
      <c r="AW55" s="2" t="str" cm="1">
        <f t="array" ref="AW55">IF('NILAI CPL'!$B55&lt;&gt;"",IFERROR(_xlfn.IFS(Z55&gt;='NILAI CPL'!$B$3,4,Z55&gt;='NILAI CPL'!$B$4,3,Z55&gt;='NILAI CPL'!$B$5,2,Z55&gt;'NILAI CPL'!$B$6,1),0),"")</f>
        <v/>
      </c>
      <c r="AX55" s="2" t="str" cm="1">
        <f t="array" ref="AX55">IF('NILAI CPL'!$B55&lt;&gt;"",IFERROR(_xlfn.IFS(AA55&gt;='NILAI CPL'!$B$3,4,AA55&gt;='NILAI CPL'!$B$4,3,AA55&gt;='NILAI CPL'!$B$5,2,AA55&gt;'NILAI CPL'!$B$6,1),0),"")</f>
        <v/>
      </c>
      <c r="AY55" s="2" t="str" cm="1">
        <f t="array" ref="AY55">IF('NILAI CPL'!$B55&lt;&gt;"",IFERROR(_xlfn.IFS(AB55&gt;='NILAI CPL'!$B$3,4,AB55&gt;='NILAI CPL'!$B$4,3,AB55&gt;='NILAI CPL'!$B$5,2,AB55&gt;'NILAI CPL'!$B$6,1),0),"")</f>
        <v/>
      </c>
      <c r="AZ55" s="2" t="str" cm="1">
        <f t="array" ref="AZ55">IF('NILAI CPL'!$B55&lt;&gt;"",IFERROR(_xlfn.IFS(AC55&gt;='NILAI CPL'!$B$3,4,AC55&gt;='NILAI CPL'!$B$4,3,AC55&gt;='NILAI CPL'!$B$5,2,AC55&gt;'NILAI CPL'!$B$6,1),0),"")</f>
        <v/>
      </c>
      <c r="BA55" s="2" t="str" cm="1">
        <f t="array" ref="BA55">IF('NILAI CPL'!$B55&lt;&gt;"",IFERROR(_xlfn.IFS(AD55&gt;='NILAI CPL'!$B$3,4,AD55&gt;='NILAI CPL'!$B$4,3,AD55&gt;='NILAI CPL'!$B$5,2,AD55&gt;'NILAI CPL'!$B$6,1),0),"")</f>
        <v/>
      </c>
      <c r="BB55" s="2" t="str" cm="1">
        <f t="array" ref="BB55">IF('NILAI CPL'!$B55&lt;&gt;"",IFERROR(_xlfn.IFS(AE55&gt;='NILAI CPL'!$B$3,4,AE55&gt;='NILAI CPL'!$B$4,3,AE55&gt;='NILAI CPL'!$B$5,2,AE55&gt;'NILAI CPL'!$B$6,1),0),"")</f>
        <v/>
      </c>
      <c r="BC55" s="2" t="str" cm="1">
        <f t="array" ref="BC55">IF('NILAI CPL'!$B55&lt;&gt;"",IFERROR(_xlfn.IFS(AF55&gt;='NILAI CPL'!$B$3,4,AF55&gt;='NILAI CPL'!$B$4,3,AF55&gt;='NILAI CPL'!$B$5,2,AF55&gt;'NILAI CPL'!$B$6,1),0),"")</f>
        <v/>
      </c>
      <c r="BD55" s="2" t="str" cm="1">
        <f t="array" ref="BD55">IF('NILAI CPL'!$B55&lt;&gt;"",IFERROR(_xlfn.IFS(AG55&gt;='NILAI CPL'!$B$3,4,AG55&gt;='NILAI CPL'!$B$4,3,AG55&gt;='NILAI CPL'!$B$5,2,AG55&gt;'NILAI CPL'!$B$6,1),0),"")</f>
        <v/>
      </c>
      <c r="BE55" s="2" t="str" cm="1">
        <f t="array" ref="BE55">IF('NILAI CPL'!$B55&lt;&gt;"",IFERROR(_xlfn.IFS(AH55&gt;='NILAI CPL'!$B$3,4,AH55&gt;='NILAI CPL'!$B$4,3,AH55&gt;='NILAI CPL'!$B$5,2,AH55&gt;'NILAI CPL'!$B$6,1),0),"")</f>
        <v/>
      </c>
      <c r="BF55" s="2" t="str" cm="1">
        <f t="array" ref="BF55">IF('NILAI CPL'!$B55&lt;&gt;"",IFERROR(_xlfn.IFS(AI55&gt;='NILAI CPL'!$B$3,4,AI55&gt;='NILAI CPL'!$B$4,3,AI55&gt;='NILAI CPL'!$B$5,2,AI55&gt;'NILAI CPL'!$B$6,1),0),"")</f>
        <v/>
      </c>
      <c r="BG55" s="2" t="str" cm="1">
        <f t="array" ref="BG55">IF('NILAI CPL'!$B55&lt;&gt;"",IFERROR(_xlfn.IFS(AJ55&gt;='NILAI CPL'!$B$3,4,AJ55&gt;='NILAI CPL'!$B$4,3,AJ55&gt;='NILAI CPL'!$B$5,2,AJ55&gt;'NILAI CPL'!$B$6,1),0),"")</f>
        <v/>
      </c>
      <c r="BH55" s="2" t="str" cm="1">
        <f t="array" ref="BH55">IF('NILAI CPL'!$B55&lt;&gt;"",IFERROR(_xlfn.IFS(AK55&gt;='NILAI CPL'!$B$3,4,AK55&gt;='NILAI CPL'!$B$4,3,AK55&gt;='NILAI CPL'!$B$5,2,AK55&gt;'NILAI CPL'!$B$6,1),0),"")</f>
        <v/>
      </c>
      <c r="BI55" s="2" t="str" cm="1">
        <f t="array" ref="BI55">IF('NILAI CPL'!$B55&lt;&gt;"",IFERROR(_xlfn.IFS(AL55&gt;='NILAI CPL'!$B$3,4,AL55&gt;='NILAI CPL'!$B$4,3,AL55&gt;='NILAI CPL'!$B$5,2,AL55&gt;'NILAI CPL'!$B$6,1),0),"")</f>
        <v/>
      </c>
      <c r="BJ55" s="2" t="str" cm="1">
        <f t="array" ref="BJ55">IF('NILAI CPL'!$B55&lt;&gt;"",IFERROR(_xlfn.IFS(AM55&gt;='NILAI CPL'!$B$3,4,AM55&gt;='NILAI CPL'!$B$4,3,AM55&gt;='NILAI CPL'!$B$5,2,AM55&gt;'NILAI CPL'!$B$6,1),0),"")</f>
        <v/>
      </c>
      <c r="BK55" s="2" t="str" cm="1">
        <f t="array" ref="BK55">IF('NILAI CPL'!$B55&lt;&gt;"",IFERROR(_xlfn.IFS(AN55&gt;='NILAI CPL'!$B$3,4,AN55&gt;='NILAI CPL'!$B$4,3,AN55&gt;='NILAI CPL'!$B$5,2,AN55&gt;'NILAI CPL'!$B$6,1),0),"")</f>
        <v/>
      </c>
    </row>
    <row r="56" spans="1:63" x14ac:dyDescent="0.2">
      <c r="A56" s="2">
        <v>46</v>
      </c>
      <c r="B56" s="2" t="str">
        <f>IF(LEN(SUMMARY!B56)&gt;0, SUMMARY!B56, "")</f>
        <v/>
      </c>
      <c r="C56" s="2" t="str">
        <f>IF(LEN(SUMMARY!C56)&gt;0, SUMMARY!C56, "")</f>
        <v/>
      </c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" t="str">
        <f t="shared" si="2"/>
        <v/>
      </c>
      <c r="S56" s="2" t="str">
        <f t="shared" si="3"/>
        <v/>
      </c>
      <c r="T56" s="2" t="str">
        <f t="shared" si="4"/>
        <v/>
      </c>
      <c r="U56" s="2" t="str">
        <f t="shared" si="5"/>
        <v/>
      </c>
      <c r="V56" s="2" t="str">
        <f t="shared" si="6"/>
        <v/>
      </c>
      <c r="W56" s="2" t="str">
        <f t="shared" si="7"/>
        <v/>
      </c>
      <c r="X56" s="2" t="str">
        <f t="shared" si="8"/>
        <v/>
      </c>
      <c r="Y56" s="2" t="str">
        <f t="shared" si="9"/>
        <v/>
      </c>
      <c r="Z56" s="2" t="str">
        <f t="shared" si="10"/>
        <v/>
      </c>
      <c r="AA56" s="2" t="str">
        <f t="shared" si="11"/>
        <v/>
      </c>
      <c r="AB56" s="2" t="str">
        <f t="shared" si="12"/>
        <v/>
      </c>
      <c r="AC56" s="2" t="str">
        <f t="shared" si="13"/>
        <v/>
      </c>
      <c r="AD56" s="2" t="str">
        <f t="shared" si="14"/>
        <v/>
      </c>
      <c r="AE56" s="2" t="str">
        <f t="shared" si="15"/>
        <v/>
      </c>
      <c r="AF56" s="2" t="str">
        <f t="shared" si="16"/>
        <v/>
      </c>
      <c r="AG56" s="2" t="str">
        <f t="shared" si="17"/>
        <v/>
      </c>
      <c r="AH56" s="2" t="str">
        <f t="shared" si="18"/>
        <v/>
      </c>
      <c r="AI56" s="2" t="str">
        <f t="shared" si="19"/>
        <v/>
      </c>
      <c r="AJ56" s="2" t="str">
        <f t="shared" si="20"/>
        <v/>
      </c>
      <c r="AK56" s="2" t="str">
        <f t="shared" si="21"/>
        <v/>
      </c>
      <c r="AL56" s="2" t="str">
        <f t="shared" si="22"/>
        <v/>
      </c>
      <c r="AM56" s="2" t="str">
        <f t="shared" si="23"/>
        <v/>
      </c>
      <c r="AN56" s="2" t="str">
        <f t="shared" si="24"/>
        <v/>
      </c>
      <c r="AP56" s="2" t="str" cm="1">
        <f t="array" ref="AP56">IF('NILAI CPL'!$B56&lt;&gt;"",IFERROR(_xlfn.IFS(S56&gt;='NILAI CPL'!$B$3,4,S56&gt;='NILAI CPL'!$B$4,3,S56&gt;='NILAI CPL'!$B$5,2,S56&gt;'NILAI CPL'!$B$6,1),0),"")</f>
        <v/>
      </c>
      <c r="AQ56" s="2" t="str" cm="1">
        <f t="array" ref="AQ56">IF('NILAI CPL'!$B56&lt;&gt;"",IFERROR(_xlfn.IFS(T56&gt;='NILAI CPL'!$B$3,4,T56&gt;='NILAI CPL'!$B$4,3,T56&gt;='NILAI CPL'!$B$5,2,T56&gt;'NILAI CPL'!$B$6,1),0),"")</f>
        <v/>
      </c>
      <c r="AR56" s="2" t="str" cm="1">
        <f t="array" ref="AR56">IF('NILAI CPL'!$B56&lt;&gt;"",IFERROR(_xlfn.IFS(U56&gt;='NILAI CPL'!$B$3,4,U56&gt;='NILAI CPL'!$B$4,3,U56&gt;='NILAI CPL'!$B$5,2,U56&gt;'NILAI CPL'!$B$6,1),0),"")</f>
        <v/>
      </c>
      <c r="AS56" s="2" t="str" cm="1">
        <f t="array" ref="AS56">IF('NILAI CPL'!$B56&lt;&gt;"",IFERROR(_xlfn.IFS(V56&gt;='NILAI CPL'!$B$3,4,V56&gt;='NILAI CPL'!$B$4,3,V56&gt;='NILAI CPL'!$B$5,2,V56&gt;'NILAI CPL'!$B$6,1),0),"")</f>
        <v/>
      </c>
      <c r="AT56" s="2" t="str" cm="1">
        <f t="array" ref="AT56">IF('NILAI CPL'!$B56&lt;&gt;"",IFERROR(_xlfn.IFS(W56&gt;='NILAI CPL'!$B$3,4,W56&gt;='NILAI CPL'!$B$4,3,W56&gt;='NILAI CPL'!$B$5,2,W56&gt;'NILAI CPL'!$B$6,1),0),"")</f>
        <v/>
      </c>
      <c r="AU56" s="2" t="str" cm="1">
        <f t="array" ref="AU56">IF('NILAI CPL'!$B56&lt;&gt;"",IFERROR(_xlfn.IFS(X56&gt;='NILAI CPL'!$B$3,4,X56&gt;='NILAI CPL'!$B$4,3,X56&gt;='NILAI CPL'!$B$5,2,X56&gt;'NILAI CPL'!$B$6,1),0),"")</f>
        <v/>
      </c>
      <c r="AV56" s="2" t="str" cm="1">
        <f t="array" ref="AV56">IF('NILAI CPL'!$B56&lt;&gt;"",IFERROR(_xlfn.IFS(Y56&gt;='NILAI CPL'!$B$3,4,Y56&gt;='NILAI CPL'!$B$4,3,Y56&gt;='NILAI CPL'!$B$5,2,Y56&gt;'NILAI CPL'!$B$6,1),0),"")</f>
        <v/>
      </c>
      <c r="AW56" s="2" t="str" cm="1">
        <f t="array" ref="AW56">IF('NILAI CPL'!$B56&lt;&gt;"",IFERROR(_xlfn.IFS(Z56&gt;='NILAI CPL'!$B$3,4,Z56&gt;='NILAI CPL'!$B$4,3,Z56&gt;='NILAI CPL'!$B$5,2,Z56&gt;'NILAI CPL'!$B$6,1),0),"")</f>
        <v/>
      </c>
      <c r="AX56" s="2" t="str" cm="1">
        <f t="array" ref="AX56">IF('NILAI CPL'!$B56&lt;&gt;"",IFERROR(_xlfn.IFS(AA56&gt;='NILAI CPL'!$B$3,4,AA56&gt;='NILAI CPL'!$B$4,3,AA56&gt;='NILAI CPL'!$B$5,2,AA56&gt;'NILAI CPL'!$B$6,1),0),"")</f>
        <v/>
      </c>
      <c r="AY56" s="2" t="str" cm="1">
        <f t="array" ref="AY56">IF('NILAI CPL'!$B56&lt;&gt;"",IFERROR(_xlfn.IFS(AB56&gt;='NILAI CPL'!$B$3,4,AB56&gt;='NILAI CPL'!$B$4,3,AB56&gt;='NILAI CPL'!$B$5,2,AB56&gt;'NILAI CPL'!$B$6,1),0),"")</f>
        <v/>
      </c>
      <c r="AZ56" s="2" t="str" cm="1">
        <f t="array" ref="AZ56">IF('NILAI CPL'!$B56&lt;&gt;"",IFERROR(_xlfn.IFS(AC56&gt;='NILAI CPL'!$B$3,4,AC56&gt;='NILAI CPL'!$B$4,3,AC56&gt;='NILAI CPL'!$B$5,2,AC56&gt;'NILAI CPL'!$B$6,1),0),"")</f>
        <v/>
      </c>
      <c r="BA56" s="2" t="str" cm="1">
        <f t="array" ref="BA56">IF('NILAI CPL'!$B56&lt;&gt;"",IFERROR(_xlfn.IFS(AD56&gt;='NILAI CPL'!$B$3,4,AD56&gt;='NILAI CPL'!$B$4,3,AD56&gt;='NILAI CPL'!$B$5,2,AD56&gt;'NILAI CPL'!$B$6,1),0),"")</f>
        <v/>
      </c>
      <c r="BB56" s="2" t="str" cm="1">
        <f t="array" ref="BB56">IF('NILAI CPL'!$B56&lt;&gt;"",IFERROR(_xlfn.IFS(AE56&gt;='NILAI CPL'!$B$3,4,AE56&gt;='NILAI CPL'!$B$4,3,AE56&gt;='NILAI CPL'!$B$5,2,AE56&gt;'NILAI CPL'!$B$6,1),0),"")</f>
        <v/>
      </c>
      <c r="BC56" s="2" t="str" cm="1">
        <f t="array" ref="BC56">IF('NILAI CPL'!$B56&lt;&gt;"",IFERROR(_xlfn.IFS(AF56&gt;='NILAI CPL'!$B$3,4,AF56&gt;='NILAI CPL'!$B$4,3,AF56&gt;='NILAI CPL'!$B$5,2,AF56&gt;'NILAI CPL'!$B$6,1),0),"")</f>
        <v/>
      </c>
      <c r="BD56" s="2" t="str" cm="1">
        <f t="array" ref="BD56">IF('NILAI CPL'!$B56&lt;&gt;"",IFERROR(_xlfn.IFS(AG56&gt;='NILAI CPL'!$B$3,4,AG56&gt;='NILAI CPL'!$B$4,3,AG56&gt;='NILAI CPL'!$B$5,2,AG56&gt;'NILAI CPL'!$B$6,1),0),"")</f>
        <v/>
      </c>
      <c r="BE56" s="2" t="str" cm="1">
        <f t="array" ref="BE56">IF('NILAI CPL'!$B56&lt;&gt;"",IFERROR(_xlfn.IFS(AH56&gt;='NILAI CPL'!$B$3,4,AH56&gt;='NILAI CPL'!$B$4,3,AH56&gt;='NILAI CPL'!$B$5,2,AH56&gt;'NILAI CPL'!$B$6,1),0),"")</f>
        <v/>
      </c>
      <c r="BF56" s="2" t="str" cm="1">
        <f t="array" ref="BF56">IF('NILAI CPL'!$B56&lt;&gt;"",IFERROR(_xlfn.IFS(AI56&gt;='NILAI CPL'!$B$3,4,AI56&gt;='NILAI CPL'!$B$4,3,AI56&gt;='NILAI CPL'!$B$5,2,AI56&gt;'NILAI CPL'!$B$6,1),0),"")</f>
        <v/>
      </c>
      <c r="BG56" s="2" t="str" cm="1">
        <f t="array" ref="BG56">IF('NILAI CPL'!$B56&lt;&gt;"",IFERROR(_xlfn.IFS(AJ56&gt;='NILAI CPL'!$B$3,4,AJ56&gt;='NILAI CPL'!$B$4,3,AJ56&gt;='NILAI CPL'!$B$5,2,AJ56&gt;'NILAI CPL'!$B$6,1),0),"")</f>
        <v/>
      </c>
      <c r="BH56" s="2" t="str" cm="1">
        <f t="array" ref="BH56">IF('NILAI CPL'!$B56&lt;&gt;"",IFERROR(_xlfn.IFS(AK56&gt;='NILAI CPL'!$B$3,4,AK56&gt;='NILAI CPL'!$B$4,3,AK56&gt;='NILAI CPL'!$B$5,2,AK56&gt;'NILAI CPL'!$B$6,1),0),"")</f>
        <v/>
      </c>
      <c r="BI56" s="2" t="str" cm="1">
        <f t="array" ref="BI56">IF('NILAI CPL'!$B56&lt;&gt;"",IFERROR(_xlfn.IFS(AL56&gt;='NILAI CPL'!$B$3,4,AL56&gt;='NILAI CPL'!$B$4,3,AL56&gt;='NILAI CPL'!$B$5,2,AL56&gt;'NILAI CPL'!$B$6,1),0),"")</f>
        <v/>
      </c>
      <c r="BJ56" s="2" t="str" cm="1">
        <f t="array" ref="BJ56">IF('NILAI CPL'!$B56&lt;&gt;"",IFERROR(_xlfn.IFS(AM56&gt;='NILAI CPL'!$B$3,4,AM56&gt;='NILAI CPL'!$B$4,3,AM56&gt;='NILAI CPL'!$B$5,2,AM56&gt;'NILAI CPL'!$B$6,1),0),"")</f>
        <v/>
      </c>
      <c r="BK56" s="2" t="str" cm="1">
        <f t="array" ref="BK56">IF('NILAI CPL'!$B56&lt;&gt;"",IFERROR(_xlfn.IFS(AN56&gt;='NILAI CPL'!$B$3,4,AN56&gt;='NILAI CPL'!$B$4,3,AN56&gt;='NILAI CPL'!$B$5,2,AN56&gt;'NILAI CPL'!$B$6,1),0),"")</f>
        <v/>
      </c>
    </row>
    <row r="57" spans="1:63" x14ac:dyDescent="0.2">
      <c r="A57" s="2">
        <v>47</v>
      </c>
      <c r="B57" s="2" t="str">
        <f>IF(LEN(SUMMARY!B57)&gt;0, SUMMARY!B57, "")</f>
        <v/>
      </c>
      <c r="C57" s="2" t="str">
        <f>IF(LEN(SUMMARY!C57)&gt;0, SUMMARY!C57, "")</f>
        <v/>
      </c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" t="str">
        <f t="shared" si="2"/>
        <v/>
      </c>
      <c r="S57" s="2" t="str">
        <f t="shared" si="3"/>
        <v/>
      </c>
      <c r="T57" s="2" t="str">
        <f t="shared" si="4"/>
        <v/>
      </c>
      <c r="U57" s="2" t="str">
        <f t="shared" si="5"/>
        <v/>
      </c>
      <c r="V57" s="2" t="str">
        <f t="shared" si="6"/>
        <v/>
      </c>
      <c r="W57" s="2" t="str">
        <f t="shared" si="7"/>
        <v/>
      </c>
      <c r="X57" s="2" t="str">
        <f t="shared" si="8"/>
        <v/>
      </c>
      <c r="Y57" s="2" t="str">
        <f t="shared" si="9"/>
        <v/>
      </c>
      <c r="Z57" s="2" t="str">
        <f t="shared" si="10"/>
        <v/>
      </c>
      <c r="AA57" s="2" t="str">
        <f t="shared" si="11"/>
        <v/>
      </c>
      <c r="AB57" s="2" t="str">
        <f t="shared" si="12"/>
        <v/>
      </c>
      <c r="AC57" s="2" t="str">
        <f t="shared" si="13"/>
        <v/>
      </c>
      <c r="AD57" s="2" t="str">
        <f t="shared" si="14"/>
        <v/>
      </c>
      <c r="AE57" s="2" t="str">
        <f t="shared" si="15"/>
        <v/>
      </c>
      <c r="AF57" s="2" t="str">
        <f t="shared" si="16"/>
        <v/>
      </c>
      <c r="AG57" s="2" t="str">
        <f t="shared" si="17"/>
        <v/>
      </c>
      <c r="AH57" s="2" t="str">
        <f t="shared" si="18"/>
        <v/>
      </c>
      <c r="AI57" s="2" t="str">
        <f t="shared" si="19"/>
        <v/>
      </c>
      <c r="AJ57" s="2" t="str">
        <f t="shared" si="20"/>
        <v/>
      </c>
      <c r="AK57" s="2" t="str">
        <f t="shared" si="21"/>
        <v/>
      </c>
      <c r="AL57" s="2" t="str">
        <f t="shared" si="22"/>
        <v/>
      </c>
      <c r="AM57" s="2" t="str">
        <f t="shared" si="23"/>
        <v/>
      </c>
      <c r="AN57" s="2" t="str">
        <f t="shared" si="24"/>
        <v/>
      </c>
      <c r="AP57" s="2" t="str" cm="1">
        <f t="array" ref="AP57">IF('NILAI CPL'!$B57&lt;&gt;"",IFERROR(_xlfn.IFS(S57&gt;='NILAI CPL'!$B$3,4,S57&gt;='NILAI CPL'!$B$4,3,S57&gt;='NILAI CPL'!$B$5,2,S57&gt;'NILAI CPL'!$B$6,1),0),"")</f>
        <v/>
      </c>
      <c r="AQ57" s="2" t="str" cm="1">
        <f t="array" ref="AQ57">IF('NILAI CPL'!$B57&lt;&gt;"",IFERROR(_xlfn.IFS(T57&gt;='NILAI CPL'!$B$3,4,T57&gt;='NILAI CPL'!$B$4,3,T57&gt;='NILAI CPL'!$B$5,2,T57&gt;'NILAI CPL'!$B$6,1),0),"")</f>
        <v/>
      </c>
      <c r="AR57" s="2" t="str" cm="1">
        <f t="array" ref="AR57">IF('NILAI CPL'!$B57&lt;&gt;"",IFERROR(_xlfn.IFS(U57&gt;='NILAI CPL'!$B$3,4,U57&gt;='NILAI CPL'!$B$4,3,U57&gt;='NILAI CPL'!$B$5,2,U57&gt;'NILAI CPL'!$B$6,1),0),"")</f>
        <v/>
      </c>
      <c r="AS57" s="2" t="str" cm="1">
        <f t="array" ref="AS57">IF('NILAI CPL'!$B57&lt;&gt;"",IFERROR(_xlfn.IFS(V57&gt;='NILAI CPL'!$B$3,4,V57&gt;='NILAI CPL'!$B$4,3,V57&gt;='NILAI CPL'!$B$5,2,V57&gt;'NILAI CPL'!$B$6,1),0),"")</f>
        <v/>
      </c>
      <c r="AT57" s="2" t="str" cm="1">
        <f t="array" ref="AT57">IF('NILAI CPL'!$B57&lt;&gt;"",IFERROR(_xlfn.IFS(W57&gt;='NILAI CPL'!$B$3,4,W57&gt;='NILAI CPL'!$B$4,3,W57&gt;='NILAI CPL'!$B$5,2,W57&gt;'NILAI CPL'!$B$6,1),0),"")</f>
        <v/>
      </c>
      <c r="AU57" s="2" t="str" cm="1">
        <f t="array" ref="AU57">IF('NILAI CPL'!$B57&lt;&gt;"",IFERROR(_xlfn.IFS(X57&gt;='NILAI CPL'!$B$3,4,X57&gt;='NILAI CPL'!$B$4,3,X57&gt;='NILAI CPL'!$B$5,2,X57&gt;'NILAI CPL'!$B$6,1),0),"")</f>
        <v/>
      </c>
      <c r="AV57" s="2" t="str" cm="1">
        <f t="array" ref="AV57">IF('NILAI CPL'!$B57&lt;&gt;"",IFERROR(_xlfn.IFS(Y57&gt;='NILAI CPL'!$B$3,4,Y57&gt;='NILAI CPL'!$B$4,3,Y57&gt;='NILAI CPL'!$B$5,2,Y57&gt;'NILAI CPL'!$B$6,1),0),"")</f>
        <v/>
      </c>
      <c r="AW57" s="2" t="str" cm="1">
        <f t="array" ref="AW57">IF('NILAI CPL'!$B57&lt;&gt;"",IFERROR(_xlfn.IFS(Z57&gt;='NILAI CPL'!$B$3,4,Z57&gt;='NILAI CPL'!$B$4,3,Z57&gt;='NILAI CPL'!$B$5,2,Z57&gt;'NILAI CPL'!$B$6,1),0),"")</f>
        <v/>
      </c>
      <c r="AX57" s="2" t="str" cm="1">
        <f t="array" ref="AX57">IF('NILAI CPL'!$B57&lt;&gt;"",IFERROR(_xlfn.IFS(AA57&gt;='NILAI CPL'!$B$3,4,AA57&gt;='NILAI CPL'!$B$4,3,AA57&gt;='NILAI CPL'!$B$5,2,AA57&gt;'NILAI CPL'!$B$6,1),0),"")</f>
        <v/>
      </c>
      <c r="AY57" s="2" t="str" cm="1">
        <f t="array" ref="AY57">IF('NILAI CPL'!$B57&lt;&gt;"",IFERROR(_xlfn.IFS(AB57&gt;='NILAI CPL'!$B$3,4,AB57&gt;='NILAI CPL'!$B$4,3,AB57&gt;='NILAI CPL'!$B$5,2,AB57&gt;'NILAI CPL'!$B$6,1),0),"")</f>
        <v/>
      </c>
      <c r="AZ57" s="2" t="str" cm="1">
        <f t="array" ref="AZ57">IF('NILAI CPL'!$B57&lt;&gt;"",IFERROR(_xlfn.IFS(AC57&gt;='NILAI CPL'!$B$3,4,AC57&gt;='NILAI CPL'!$B$4,3,AC57&gt;='NILAI CPL'!$B$5,2,AC57&gt;'NILAI CPL'!$B$6,1),0),"")</f>
        <v/>
      </c>
      <c r="BA57" s="2" t="str" cm="1">
        <f t="array" ref="BA57">IF('NILAI CPL'!$B57&lt;&gt;"",IFERROR(_xlfn.IFS(AD57&gt;='NILAI CPL'!$B$3,4,AD57&gt;='NILAI CPL'!$B$4,3,AD57&gt;='NILAI CPL'!$B$5,2,AD57&gt;'NILAI CPL'!$B$6,1),0),"")</f>
        <v/>
      </c>
      <c r="BB57" s="2" t="str" cm="1">
        <f t="array" ref="BB57">IF('NILAI CPL'!$B57&lt;&gt;"",IFERROR(_xlfn.IFS(AE57&gt;='NILAI CPL'!$B$3,4,AE57&gt;='NILAI CPL'!$B$4,3,AE57&gt;='NILAI CPL'!$B$5,2,AE57&gt;'NILAI CPL'!$B$6,1),0),"")</f>
        <v/>
      </c>
      <c r="BC57" s="2" t="str" cm="1">
        <f t="array" ref="BC57">IF('NILAI CPL'!$B57&lt;&gt;"",IFERROR(_xlfn.IFS(AF57&gt;='NILAI CPL'!$B$3,4,AF57&gt;='NILAI CPL'!$B$4,3,AF57&gt;='NILAI CPL'!$B$5,2,AF57&gt;'NILAI CPL'!$B$6,1),0),"")</f>
        <v/>
      </c>
      <c r="BD57" s="2" t="str" cm="1">
        <f t="array" ref="BD57">IF('NILAI CPL'!$B57&lt;&gt;"",IFERROR(_xlfn.IFS(AG57&gt;='NILAI CPL'!$B$3,4,AG57&gt;='NILAI CPL'!$B$4,3,AG57&gt;='NILAI CPL'!$B$5,2,AG57&gt;'NILAI CPL'!$B$6,1),0),"")</f>
        <v/>
      </c>
      <c r="BE57" s="2" t="str" cm="1">
        <f t="array" ref="BE57">IF('NILAI CPL'!$B57&lt;&gt;"",IFERROR(_xlfn.IFS(AH57&gt;='NILAI CPL'!$B$3,4,AH57&gt;='NILAI CPL'!$B$4,3,AH57&gt;='NILAI CPL'!$B$5,2,AH57&gt;'NILAI CPL'!$B$6,1),0),"")</f>
        <v/>
      </c>
      <c r="BF57" s="2" t="str" cm="1">
        <f t="array" ref="BF57">IF('NILAI CPL'!$B57&lt;&gt;"",IFERROR(_xlfn.IFS(AI57&gt;='NILAI CPL'!$B$3,4,AI57&gt;='NILAI CPL'!$B$4,3,AI57&gt;='NILAI CPL'!$B$5,2,AI57&gt;'NILAI CPL'!$B$6,1),0),"")</f>
        <v/>
      </c>
      <c r="BG57" s="2" t="str" cm="1">
        <f t="array" ref="BG57">IF('NILAI CPL'!$B57&lt;&gt;"",IFERROR(_xlfn.IFS(AJ57&gt;='NILAI CPL'!$B$3,4,AJ57&gt;='NILAI CPL'!$B$4,3,AJ57&gt;='NILAI CPL'!$B$5,2,AJ57&gt;'NILAI CPL'!$B$6,1),0),"")</f>
        <v/>
      </c>
      <c r="BH57" s="2" t="str" cm="1">
        <f t="array" ref="BH57">IF('NILAI CPL'!$B57&lt;&gt;"",IFERROR(_xlfn.IFS(AK57&gt;='NILAI CPL'!$B$3,4,AK57&gt;='NILAI CPL'!$B$4,3,AK57&gt;='NILAI CPL'!$B$5,2,AK57&gt;'NILAI CPL'!$B$6,1),0),"")</f>
        <v/>
      </c>
      <c r="BI57" s="2" t="str" cm="1">
        <f t="array" ref="BI57">IF('NILAI CPL'!$B57&lt;&gt;"",IFERROR(_xlfn.IFS(AL57&gt;='NILAI CPL'!$B$3,4,AL57&gt;='NILAI CPL'!$B$4,3,AL57&gt;='NILAI CPL'!$B$5,2,AL57&gt;'NILAI CPL'!$B$6,1),0),"")</f>
        <v/>
      </c>
      <c r="BJ57" s="2" t="str" cm="1">
        <f t="array" ref="BJ57">IF('NILAI CPL'!$B57&lt;&gt;"",IFERROR(_xlfn.IFS(AM57&gt;='NILAI CPL'!$B$3,4,AM57&gt;='NILAI CPL'!$B$4,3,AM57&gt;='NILAI CPL'!$B$5,2,AM57&gt;'NILAI CPL'!$B$6,1),0),"")</f>
        <v/>
      </c>
      <c r="BK57" s="2" t="str" cm="1">
        <f t="array" ref="BK57">IF('NILAI CPL'!$B57&lt;&gt;"",IFERROR(_xlfn.IFS(AN57&gt;='NILAI CPL'!$B$3,4,AN57&gt;='NILAI CPL'!$B$4,3,AN57&gt;='NILAI CPL'!$B$5,2,AN57&gt;'NILAI CPL'!$B$6,1),0),"")</f>
        <v/>
      </c>
    </row>
    <row r="58" spans="1:63" x14ac:dyDescent="0.2">
      <c r="A58" s="2">
        <v>48</v>
      </c>
      <c r="B58" s="2" t="str">
        <f>IF(LEN(SUMMARY!B58)&gt;0, SUMMARY!B58, "")</f>
        <v/>
      </c>
      <c r="C58" s="2" t="str">
        <f>IF(LEN(SUMMARY!C58)&gt;0, SUMMARY!C58, "")</f>
        <v/>
      </c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" t="str">
        <f t="shared" si="2"/>
        <v/>
      </c>
      <c r="S58" s="2" t="str">
        <f t="shared" si="3"/>
        <v/>
      </c>
      <c r="T58" s="2" t="str">
        <f t="shared" si="4"/>
        <v/>
      </c>
      <c r="U58" s="2" t="str">
        <f t="shared" si="5"/>
        <v/>
      </c>
      <c r="V58" s="2" t="str">
        <f t="shared" si="6"/>
        <v/>
      </c>
      <c r="W58" s="2" t="str">
        <f t="shared" si="7"/>
        <v/>
      </c>
      <c r="X58" s="2" t="str">
        <f t="shared" si="8"/>
        <v/>
      </c>
      <c r="Y58" s="2" t="str">
        <f t="shared" si="9"/>
        <v/>
      </c>
      <c r="Z58" s="2" t="str">
        <f t="shared" si="10"/>
        <v/>
      </c>
      <c r="AA58" s="2" t="str">
        <f t="shared" si="11"/>
        <v/>
      </c>
      <c r="AB58" s="2" t="str">
        <f t="shared" si="12"/>
        <v/>
      </c>
      <c r="AC58" s="2" t="str">
        <f t="shared" si="13"/>
        <v/>
      </c>
      <c r="AD58" s="2" t="str">
        <f t="shared" si="14"/>
        <v/>
      </c>
      <c r="AE58" s="2" t="str">
        <f t="shared" si="15"/>
        <v/>
      </c>
      <c r="AF58" s="2" t="str">
        <f t="shared" si="16"/>
        <v/>
      </c>
      <c r="AG58" s="2" t="str">
        <f t="shared" si="17"/>
        <v/>
      </c>
      <c r="AH58" s="2" t="str">
        <f t="shared" si="18"/>
        <v/>
      </c>
      <c r="AI58" s="2" t="str">
        <f t="shared" si="19"/>
        <v/>
      </c>
      <c r="AJ58" s="2" t="str">
        <f t="shared" si="20"/>
        <v/>
      </c>
      <c r="AK58" s="2" t="str">
        <f t="shared" si="21"/>
        <v/>
      </c>
      <c r="AL58" s="2" t="str">
        <f t="shared" si="22"/>
        <v/>
      </c>
      <c r="AM58" s="2" t="str">
        <f t="shared" si="23"/>
        <v/>
      </c>
      <c r="AN58" s="2" t="str">
        <f t="shared" si="24"/>
        <v/>
      </c>
      <c r="AP58" s="2" t="str" cm="1">
        <f t="array" ref="AP58">IF('NILAI CPL'!$B58&lt;&gt;"",IFERROR(_xlfn.IFS(S58&gt;='NILAI CPL'!$B$3,4,S58&gt;='NILAI CPL'!$B$4,3,S58&gt;='NILAI CPL'!$B$5,2,S58&gt;'NILAI CPL'!$B$6,1),0),"")</f>
        <v/>
      </c>
      <c r="AQ58" s="2" t="str" cm="1">
        <f t="array" ref="AQ58">IF('NILAI CPL'!$B58&lt;&gt;"",IFERROR(_xlfn.IFS(T58&gt;='NILAI CPL'!$B$3,4,T58&gt;='NILAI CPL'!$B$4,3,T58&gt;='NILAI CPL'!$B$5,2,T58&gt;'NILAI CPL'!$B$6,1),0),"")</f>
        <v/>
      </c>
      <c r="AR58" s="2" t="str" cm="1">
        <f t="array" ref="AR58">IF('NILAI CPL'!$B58&lt;&gt;"",IFERROR(_xlfn.IFS(U58&gt;='NILAI CPL'!$B$3,4,U58&gt;='NILAI CPL'!$B$4,3,U58&gt;='NILAI CPL'!$B$5,2,U58&gt;'NILAI CPL'!$B$6,1),0),"")</f>
        <v/>
      </c>
      <c r="AS58" s="2" t="str" cm="1">
        <f t="array" ref="AS58">IF('NILAI CPL'!$B58&lt;&gt;"",IFERROR(_xlfn.IFS(V58&gt;='NILAI CPL'!$B$3,4,V58&gt;='NILAI CPL'!$B$4,3,V58&gt;='NILAI CPL'!$B$5,2,V58&gt;'NILAI CPL'!$B$6,1),0),"")</f>
        <v/>
      </c>
      <c r="AT58" s="2" t="str" cm="1">
        <f t="array" ref="AT58">IF('NILAI CPL'!$B58&lt;&gt;"",IFERROR(_xlfn.IFS(W58&gt;='NILAI CPL'!$B$3,4,W58&gt;='NILAI CPL'!$B$4,3,W58&gt;='NILAI CPL'!$B$5,2,W58&gt;'NILAI CPL'!$B$6,1),0),"")</f>
        <v/>
      </c>
      <c r="AU58" s="2" t="str" cm="1">
        <f t="array" ref="AU58">IF('NILAI CPL'!$B58&lt;&gt;"",IFERROR(_xlfn.IFS(X58&gt;='NILAI CPL'!$B$3,4,X58&gt;='NILAI CPL'!$B$4,3,X58&gt;='NILAI CPL'!$B$5,2,X58&gt;'NILAI CPL'!$B$6,1),0),"")</f>
        <v/>
      </c>
      <c r="AV58" s="2" t="str" cm="1">
        <f t="array" ref="AV58">IF('NILAI CPL'!$B58&lt;&gt;"",IFERROR(_xlfn.IFS(Y58&gt;='NILAI CPL'!$B$3,4,Y58&gt;='NILAI CPL'!$B$4,3,Y58&gt;='NILAI CPL'!$B$5,2,Y58&gt;'NILAI CPL'!$B$6,1),0),"")</f>
        <v/>
      </c>
      <c r="AW58" s="2" t="str" cm="1">
        <f t="array" ref="AW58">IF('NILAI CPL'!$B58&lt;&gt;"",IFERROR(_xlfn.IFS(Z58&gt;='NILAI CPL'!$B$3,4,Z58&gt;='NILAI CPL'!$B$4,3,Z58&gt;='NILAI CPL'!$B$5,2,Z58&gt;'NILAI CPL'!$B$6,1),0),"")</f>
        <v/>
      </c>
      <c r="AX58" s="2" t="str" cm="1">
        <f t="array" ref="AX58">IF('NILAI CPL'!$B58&lt;&gt;"",IFERROR(_xlfn.IFS(AA58&gt;='NILAI CPL'!$B$3,4,AA58&gt;='NILAI CPL'!$B$4,3,AA58&gt;='NILAI CPL'!$B$5,2,AA58&gt;'NILAI CPL'!$B$6,1),0),"")</f>
        <v/>
      </c>
      <c r="AY58" s="2" t="str" cm="1">
        <f t="array" ref="AY58">IF('NILAI CPL'!$B58&lt;&gt;"",IFERROR(_xlfn.IFS(AB58&gt;='NILAI CPL'!$B$3,4,AB58&gt;='NILAI CPL'!$B$4,3,AB58&gt;='NILAI CPL'!$B$5,2,AB58&gt;'NILAI CPL'!$B$6,1),0),"")</f>
        <v/>
      </c>
      <c r="AZ58" s="2" t="str" cm="1">
        <f t="array" ref="AZ58">IF('NILAI CPL'!$B58&lt;&gt;"",IFERROR(_xlfn.IFS(AC58&gt;='NILAI CPL'!$B$3,4,AC58&gt;='NILAI CPL'!$B$4,3,AC58&gt;='NILAI CPL'!$B$5,2,AC58&gt;'NILAI CPL'!$B$6,1),0),"")</f>
        <v/>
      </c>
      <c r="BA58" s="2" t="str" cm="1">
        <f t="array" ref="BA58">IF('NILAI CPL'!$B58&lt;&gt;"",IFERROR(_xlfn.IFS(AD58&gt;='NILAI CPL'!$B$3,4,AD58&gt;='NILAI CPL'!$B$4,3,AD58&gt;='NILAI CPL'!$B$5,2,AD58&gt;'NILAI CPL'!$B$6,1),0),"")</f>
        <v/>
      </c>
      <c r="BB58" s="2" t="str" cm="1">
        <f t="array" ref="BB58">IF('NILAI CPL'!$B58&lt;&gt;"",IFERROR(_xlfn.IFS(AE58&gt;='NILAI CPL'!$B$3,4,AE58&gt;='NILAI CPL'!$B$4,3,AE58&gt;='NILAI CPL'!$B$5,2,AE58&gt;'NILAI CPL'!$B$6,1),0),"")</f>
        <v/>
      </c>
      <c r="BC58" s="2" t="str" cm="1">
        <f t="array" ref="BC58">IF('NILAI CPL'!$B58&lt;&gt;"",IFERROR(_xlfn.IFS(AF58&gt;='NILAI CPL'!$B$3,4,AF58&gt;='NILAI CPL'!$B$4,3,AF58&gt;='NILAI CPL'!$B$5,2,AF58&gt;'NILAI CPL'!$B$6,1),0),"")</f>
        <v/>
      </c>
      <c r="BD58" s="2" t="str" cm="1">
        <f t="array" ref="BD58">IF('NILAI CPL'!$B58&lt;&gt;"",IFERROR(_xlfn.IFS(AG58&gt;='NILAI CPL'!$B$3,4,AG58&gt;='NILAI CPL'!$B$4,3,AG58&gt;='NILAI CPL'!$B$5,2,AG58&gt;'NILAI CPL'!$B$6,1),0),"")</f>
        <v/>
      </c>
      <c r="BE58" s="2" t="str" cm="1">
        <f t="array" ref="BE58">IF('NILAI CPL'!$B58&lt;&gt;"",IFERROR(_xlfn.IFS(AH58&gt;='NILAI CPL'!$B$3,4,AH58&gt;='NILAI CPL'!$B$4,3,AH58&gt;='NILAI CPL'!$B$5,2,AH58&gt;'NILAI CPL'!$B$6,1),0),"")</f>
        <v/>
      </c>
      <c r="BF58" s="2" t="str" cm="1">
        <f t="array" ref="BF58">IF('NILAI CPL'!$B58&lt;&gt;"",IFERROR(_xlfn.IFS(AI58&gt;='NILAI CPL'!$B$3,4,AI58&gt;='NILAI CPL'!$B$4,3,AI58&gt;='NILAI CPL'!$B$5,2,AI58&gt;'NILAI CPL'!$B$6,1),0),"")</f>
        <v/>
      </c>
      <c r="BG58" s="2" t="str" cm="1">
        <f t="array" ref="BG58">IF('NILAI CPL'!$B58&lt;&gt;"",IFERROR(_xlfn.IFS(AJ58&gt;='NILAI CPL'!$B$3,4,AJ58&gt;='NILAI CPL'!$B$4,3,AJ58&gt;='NILAI CPL'!$B$5,2,AJ58&gt;'NILAI CPL'!$B$6,1),0),"")</f>
        <v/>
      </c>
      <c r="BH58" s="2" t="str" cm="1">
        <f t="array" ref="BH58">IF('NILAI CPL'!$B58&lt;&gt;"",IFERROR(_xlfn.IFS(AK58&gt;='NILAI CPL'!$B$3,4,AK58&gt;='NILAI CPL'!$B$4,3,AK58&gt;='NILAI CPL'!$B$5,2,AK58&gt;'NILAI CPL'!$B$6,1),0),"")</f>
        <v/>
      </c>
      <c r="BI58" s="2" t="str" cm="1">
        <f t="array" ref="BI58">IF('NILAI CPL'!$B58&lt;&gt;"",IFERROR(_xlfn.IFS(AL58&gt;='NILAI CPL'!$B$3,4,AL58&gt;='NILAI CPL'!$B$4,3,AL58&gt;='NILAI CPL'!$B$5,2,AL58&gt;'NILAI CPL'!$B$6,1),0),"")</f>
        <v/>
      </c>
      <c r="BJ58" s="2" t="str" cm="1">
        <f t="array" ref="BJ58">IF('NILAI CPL'!$B58&lt;&gt;"",IFERROR(_xlfn.IFS(AM58&gt;='NILAI CPL'!$B$3,4,AM58&gt;='NILAI CPL'!$B$4,3,AM58&gt;='NILAI CPL'!$B$5,2,AM58&gt;'NILAI CPL'!$B$6,1),0),"")</f>
        <v/>
      </c>
      <c r="BK58" s="2" t="str" cm="1">
        <f t="array" ref="BK58">IF('NILAI CPL'!$B58&lt;&gt;"",IFERROR(_xlfn.IFS(AN58&gt;='NILAI CPL'!$B$3,4,AN58&gt;='NILAI CPL'!$B$4,3,AN58&gt;='NILAI CPL'!$B$5,2,AN58&gt;'NILAI CPL'!$B$6,1),0),"")</f>
        <v/>
      </c>
    </row>
    <row r="59" spans="1:63" x14ac:dyDescent="0.2">
      <c r="A59" s="2">
        <v>49</v>
      </c>
      <c r="B59" s="2" t="str">
        <f>IF(LEN(SUMMARY!B59)&gt;0, SUMMARY!B59, "")</f>
        <v/>
      </c>
      <c r="C59" s="2" t="str">
        <f>IF(LEN(SUMMARY!C59)&gt;0, SUMMARY!C59, "")</f>
        <v/>
      </c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" t="str">
        <f t="shared" si="2"/>
        <v/>
      </c>
      <c r="S59" s="2" t="str">
        <f t="shared" si="3"/>
        <v/>
      </c>
      <c r="T59" s="2" t="str">
        <f t="shared" si="4"/>
        <v/>
      </c>
      <c r="U59" s="2" t="str">
        <f t="shared" si="5"/>
        <v/>
      </c>
      <c r="V59" s="2" t="str">
        <f t="shared" si="6"/>
        <v/>
      </c>
      <c r="W59" s="2" t="str">
        <f t="shared" si="7"/>
        <v/>
      </c>
      <c r="X59" s="2" t="str">
        <f t="shared" si="8"/>
        <v/>
      </c>
      <c r="Y59" s="2" t="str">
        <f t="shared" si="9"/>
        <v/>
      </c>
      <c r="Z59" s="2" t="str">
        <f t="shared" si="10"/>
        <v/>
      </c>
      <c r="AA59" s="2" t="str">
        <f t="shared" si="11"/>
        <v/>
      </c>
      <c r="AB59" s="2" t="str">
        <f t="shared" si="12"/>
        <v/>
      </c>
      <c r="AC59" s="2" t="str">
        <f t="shared" si="13"/>
        <v/>
      </c>
      <c r="AD59" s="2" t="str">
        <f t="shared" si="14"/>
        <v/>
      </c>
      <c r="AE59" s="2" t="str">
        <f t="shared" si="15"/>
        <v/>
      </c>
      <c r="AF59" s="2" t="str">
        <f t="shared" si="16"/>
        <v/>
      </c>
      <c r="AG59" s="2" t="str">
        <f t="shared" si="17"/>
        <v/>
      </c>
      <c r="AH59" s="2" t="str">
        <f t="shared" si="18"/>
        <v/>
      </c>
      <c r="AI59" s="2" t="str">
        <f t="shared" si="19"/>
        <v/>
      </c>
      <c r="AJ59" s="2" t="str">
        <f t="shared" si="20"/>
        <v/>
      </c>
      <c r="AK59" s="2" t="str">
        <f t="shared" si="21"/>
        <v/>
      </c>
      <c r="AL59" s="2" t="str">
        <f t="shared" si="22"/>
        <v/>
      </c>
      <c r="AM59" s="2" t="str">
        <f t="shared" si="23"/>
        <v/>
      </c>
      <c r="AN59" s="2" t="str">
        <f t="shared" si="24"/>
        <v/>
      </c>
      <c r="AP59" s="2" t="str" cm="1">
        <f t="array" ref="AP59">IF('NILAI CPL'!$B59&lt;&gt;"",IFERROR(_xlfn.IFS(S59&gt;='NILAI CPL'!$B$3,4,S59&gt;='NILAI CPL'!$B$4,3,S59&gt;='NILAI CPL'!$B$5,2,S59&gt;'NILAI CPL'!$B$6,1),0),"")</f>
        <v/>
      </c>
      <c r="AQ59" s="2" t="str" cm="1">
        <f t="array" ref="AQ59">IF('NILAI CPL'!$B59&lt;&gt;"",IFERROR(_xlfn.IFS(T59&gt;='NILAI CPL'!$B$3,4,T59&gt;='NILAI CPL'!$B$4,3,T59&gt;='NILAI CPL'!$B$5,2,T59&gt;'NILAI CPL'!$B$6,1),0),"")</f>
        <v/>
      </c>
      <c r="AR59" s="2" t="str" cm="1">
        <f t="array" ref="AR59">IF('NILAI CPL'!$B59&lt;&gt;"",IFERROR(_xlfn.IFS(U59&gt;='NILAI CPL'!$B$3,4,U59&gt;='NILAI CPL'!$B$4,3,U59&gt;='NILAI CPL'!$B$5,2,U59&gt;'NILAI CPL'!$B$6,1),0),"")</f>
        <v/>
      </c>
      <c r="AS59" s="2" t="str" cm="1">
        <f t="array" ref="AS59">IF('NILAI CPL'!$B59&lt;&gt;"",IFERROR(_xlfn.IFS(V59&gt;='NILAI CPL'!$B$3,4,V59&gt;='NILAI CPL'!$B$4,3,V59&gt;='NILAI CPL'!$B$5,2,V59&gt;'NILAI CPL'!$B$6,1),0),"")</f>
        <v/>
      </c>
      <c r="AT59" s="2" t="str" cm="1">
        <f t="array" ref="AT59">IF('NILAI CPL'!$B59&lt;&gt;"",IFERROR(_xlfn.IFS(W59&gt;='NILAI CPL'!$B$3,4,W59&gt;='NILAI CPL'!$B$4,3,W59&gt;='NILAI CPL'!$B$5,2,W59&gt;'NILAI CPL'!$B$6,1),0),"")</f>
        <v/>
      </c>
      <c r="AU59" s="2" t="str" cm="1">
        <f t="array" ref="AU59">IF('NILAI CPL'!$B59&lt;&gt;"",IFERROR(_xlfn.IFS(X59&gt;='NILAI CPL'!$B$3,4,X59&gt;='NILAI CPL'!$B$4,3,X59&gt;='NILAI CPL'!$B$5,2,X59&gt;'NILAI CPL'!$B$6,1),0),"")</f>
        <v/>
      </c>
      <c r="AV59" s="2" t="str" cm="1">
        <f t="array" ref="AV59">IF('NILAI CPL'!$B59&lt;&gt;"",IFERROR(_xlfn.IFS(Y59&gt;='NILAI CPL'!$B$3,4,Y59&gt;='NILAI CPL'!$B$4,3,Y59&gt;='NILAI CPL'!$B$5,2,Y59&gt;'NILAI CPL'!$B$6,1),0),"")</f>
        <v/>
      </c>
      <c r="AW59" s="2" t="str" cm="1">
        <f t="array" ref="AW59">IF('NILAI CPL'!$B59&lt;&gt;"",IFERROR(_xlfn.IFS(Z59&gt;='NILAI CPL'!$B$3,4,Z59&gt;='NILAI CPL'!$B$4,3,Z59&gt;='NILAI CPL'!$B$5,2,Z59&gt;'NILAI CPL'!$B$6,1),0),"")</f>
        <v/>
      </c>
      <c r="AX59" s="2" t="str" cm="1">
        <f t="array" ref="AX59">IF('NILAI CPL'!$B59&lt;&gt;"",IFERROR(_xlfn.IFS(AA59&gt;='NILAI CPL'!$B$3,4,AA59&gt;='NILAI CPL'!$B$4,3,AA59&gt;='NILAI CPL'!$B$5,2,AA59&gt;'NILAI CPL'!$B$6,1),0),"")</f>
        <v/>
      </c>
      <c r="AY59" s="2" t="str" cm="1">
        <f t="array" ref="AY59">IF('NILAI CPL'!$B59&lt;&gt;"",IFERROR(_xlfn.IFS(AB59&gt;='NILAI CPL'!$B$3,4,AB59&gt;='NILAI CPL'!$B$4,3,AB59&gt;='NILAI CPL'!$B$5,2,AB59&gt;'NILAI CPL'!$B$6,1),0),"")</f>
        <v/>
      </c>
      <c r="AZ59" s="2" t="str" cm="1">
        <f t="array" ref="AZ59">IF('NILAI CPL'!$B59&lt;&gt;"",IFERROR(_xlfn.IFS(AC59&gt;='NILAI CPL'!$B$3,4,AC59&gt;='NILAI CPL'!$B$4,3,AC59&gt;='NILAI CPL'!$B$5,2,AC59&gt;'NILAI CPL'!$B$6,1),0),"")</f>
        <v/>
      </c>
      <c r="BA59" s="2" t="str" cm="1">
        <f t="array" ref="BA59">IF('NILAI CPL'!$B59&lt;&gt;"",IFERROR(_xlfn.IFS(AD59&gt;='NILAI CPL'!$B$3,4,AD59&gt;='NILAI CPL'!$B$4,3,AD59&gt;='NILAI CPL'!$B$5,2,AD59&gt;'NILAI CPL'!$B$6,1),0),"")</f>
        <v/>
      </c>
      <c r="BB59" s="2" t="str" cm="1">
        <f t="array" ref="BB59">IF('NILAI CPL'!$B59&lt;&gt;"",IFERROR(_xlfn.IFS(AE59&gt;='NILAI CPL'!$B$3,4,AE59&gt;='NILAI CPL'!$B$4,3,AE59&gt;='NILAI CPL'!$B$5,2,AE59&gt;'NILAI CPL'!$B$6,1),0),"")</f>
        <v/>
      </c>
      <c r="BC59" s="2" t="str" cm="1">
        <f t="array" ref="BC59">IF('NILAI CPL'!$B59&lt;&gt;"",IFERROR(_xlfn.IFS(AF59&gt;='NILAI CPL'!$B$3,4,AF59&gt;='NILAI CPL'!$B$4,3,AF59&gt;='NILAI CPL'!$B$5,2,AF59&gt;'NILAI CPL'!$B$6,1),0),"")</f>
        <v/>
      </c>
      <c r="BD59" s="2" t="str" cm="1">
        <f t="array" ref="BD59">IF('NILAI CPL'!$B59&lt;&gt;"",IFERROR(_xlfn.IFS(AG59&gt;='NILAI CPL'!$B$3,4,AG59&gt;='NILAI CPL'!$B$4,3,AG59&gt;='NILAI CPL'!$B$5,2,AG59&gt;'NILAI CPL'!$B$6,1),0),"")</f>
        <v/>
      </c>
      <c r="BE59" s="2" t="str" cm="1">
        <f t="array" ref="BE59">IF('NILAI CPL'!$B59&lt;&gt;"",IFERROR(_xlfn.IFS(AH59&gt;='NILAI CPL'!$B$3,4,AH59&gt;='NILAI CPL'!$B$4,3,AH59&gt;='NILAI CPL'!$B$5,2,AH59&gt;'NILAI CPL'!$B$6,1),0),"")</f>
        <v/>
      </c>
      <c r="BF59" s="2" t="str" cm="1">
        <f t="array" ref="BF59">IF('NILAI CPL'!$B59&lt;&gt;"",IFERROR(_xlfn.IFS(AI59&gt;='NILAI CPL'!$B$3,4,AI59&gt;='NILAI CPL'!$B$4,3,AI59&gt;='NILAI CPL'!$B$5,2,AI59&gt;'NILAI CPL'!$B$6,1),0),"")</f>
        <v/>
      </c>
      <c r="BG59" s="2" t="str" cm="1">
        <f t="array" ref="BG59">IF('NILAI CPL'!$B59&lt;&gt;"",IFERROR(_xlfn.IFS(AJ59&gt;='NILAI CPL'!$B$3,4,AJ59&gt;='NILAI CPL'!$B$4,3,AJ59&gt;='NILAI CPL'!$B$5,2,AJ59&gt;'NILAI CPL'!$B$6,1),0),"")</f>
        <v/>
      </c>
      <c r="BH59" s="2" t="str" cm="1">
        <f t="array" ref="BH59">IF('NILAI CPL'!$B59&lt;&gt;"",IFERROR(_xlfn.IFS(AK59&gt;='NILAI CPL'!$B$3,4,AK59&gt;='NILAI CPL'!$B$4,3,AK59&gt;='NILAI CPL'!$B$5,2,AK59&gt;'NILAI CPL'!$B$6,1),0),"")</f>
        <v/>
      </c>
      <c r="BI59" s="2" t="str" cm="1">
        <f t="array" ref="BI59">IF('NILAI CPL'!$B59&lt;&gt;"",IFERROR(_xlfn.IFS(AL59&gt;='NILAI CPL'!$B$3,4,AL59&gt;='NILAI CPL'!$B$4,3,AL59&gt;='NILAI CPL'!$B$5,2,AL59&gt;'NILAI CPL'!$B$6,1),0),"")</f>
        <v/>
      </c>
      <c r="BJ59" s="2" t="str" cm="1">
        <f t="array" ref="BJ59">IF('NILAI CPL'!$B59&lt;&gt;"",IFERROR(_xlfn.IFS(AM59&gt;='NILAI CPL'!$B$3,4,AM59&gt;='NILAI CPL'!$B$4,3,AM59&gt;='NILAI CPL'!$B$5,2,AM59&gt;'NILAI CPL'!$B$6,1),0),"")</f>
        <v/>
      </c>
      <c r="BK59" s="2" t="str" cm="1">
        <f t="array" ref="BK59">IF('NILAI CPL'!$B59&lt;&gt;"",IFERROR(_xlfn.IFS(AN59&gt;='NILAI CPL'!$B$3,4,AN59&gt;='NILAI CPL'!$B$4,3,AN59&gt;='NILAI CPL'!$B$5,2,AN59&gt;'NILAI CPL'!$B$6,1),0),"")</f>
        <v/>
      </c>
    </row>
    <row r="60" spans="1:63" x14ac:dyDescent="0.2">
      <c r="A60" s="2">
        <v>50</v>
      </c>
      <c r="B60" s="2" t="str">
        <f>IF(LEN(SUMMARY!B60)&gt;0, SUMMARY!B60, "")</f>
        <v/>
      </c>
      <c r="C60" s="2" t="str">
        <f>IF(LEN(SUMMARY!C60)&gt;0, SUMMARY!C60, "")</f>
        <v/>
      </c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" t="str">
        <f t="shared" si="2"/>
        <v/>
      </c>
      <c r="S60" s="2" t="str">
        <f t="shared" si="3"/>
        <v/>
      </c>
      <c r="T60" s="2" t="str">
        <f t="shared" si="4"/>
        <v/>
      </c>
      <c r="U60" s="2" t="str">
        <f t="shared" si="5"/>
        <v/>
      </c>
      <c r="V60" s="2" t="str">
        <f t="shared" si="6"/>
        <v/>
      </c>
      <c r="W60" s="2" t="str">
        <f t="shared" si="7"/>
        <v/>
      </c>
      <c r="X60" s="2" t="str">
        <f t="shared" si="8"/>
        <v/>
      </c>
      <c r="Y60" s="2" t="str">
        <f t="shared" si="9"/>
        <v/>
      </c>
      <c r="Z60" s="2" t="str">
        <f t="shared" si="10"/>
        <v/>
      </c>
      <c r="AA60" s="2" t="str">
        <f t="shared" si="11"/>
        <v/>
      </c>
      <c r="AB60" s="2" t="str">
        <f t="shared" si="12"/>
        <v/>
      </c>
      <c r="AC60" s="2" t="str">
        <f t="shared" si="13"/>
        <v/>
      </c>
      <c r="AD60" s="2" t="str">
        <f t="shared" si="14"/>
        <v/>
      </c>
      <c r="AE60" s="2" t="str">
        <f t="shared" si="15"/>
        <v/>
      </c>
      <c r="AF60" s="2" t="str">
        <f t="shared" si="16"/>
        <v/>
      </c>
      <c r="AG60" s="2" t="str">
        <f t="shared" si="17"/>
        <v/>
      </c>
      <c r="AH60" s="2" t="str">
        <f t="shared" si="18"/>
        <v/>
      </c>
      <c r="AI60" s="2" t="str">
        <f t="shared" si="19"/>
        <v/>
      </c>
      <c r="AJ60" s="2" t="str">
        <f t="shared" si="20"/>
        <v/>
      </c>
      <c r="AK60" s="2" t="str">
        <f t="shared" si="21"/>
        <v/>
      </c>
      <c r="AL60" s="2" t="str">
        <f t="shared" si="22"/>
        <v/>
      </c>
      <c r="AM60" s="2" t="str">
        <f t="shared" si="23"/>
        <v/>
      </c>
      <c r="AN60" s="2" t="str">
        <f t="shared" si="24"/>
        <v/>
      </c>
      <c r="AP60" s="2" t="str" cm="1">
        <f t="array" ref="AP60">IF('NILAI CPL'!$B60&lt;&gt;"",IFERROR(_xlfn.IFS(S60&gt;='NILAI CPL'!$B$3,4,S60&gt;='NILAI CPL'!$B$4,3,S60&gt;='NILAI CPL'!$B$5,2,S60&gt;'NILAI CPL'!$B$6,1),0),"")</f>
        <v/>
      </c>
      <c r="AQ60" s="2" t="str" cm="1">
        <f t="array" ref="AQ60">IF('NILAI CPL'!$B60&lt;&gt;"",IFERROR(_xlfn.IFS(T60&gt;='NILAI CPL'!$B$3,4,T60&gt;='NILAI CPL'!$B$4,3,T60&gt;='NILAI CPL'!$B$5,2,T60&gt;'NILAI CPL'!$B$6,1),0),"")</f>
        <v/>
      </c>
      <c r="AR60" s="2" t="str" cm="1">
        <f t="array" ref="AR60">IF('NILAI CPL'!$B60&lt;&gt;"",IFERROR(_xlfn.IFS(U60&gt;='NILAI CPL'!$B$3,4,U60&gt;='NILAI CPL'!$B$4,3,U60&gt;='NILAI CPL'!$B$5,2,U60&gt;'NILAI CPL'!$B$6,1),0),"")</f>
        <v/>
      </c>
      <c r="AS60" s="2" t="str" cm="1">
        <f t="array" ref="AS60">IF('NILAI CPL'!$B60&lt;&gt;"",IFERROR(_xlfn.IFS(V60&gt;='NILAI CPL'!$B$3,4,V60&gt;='NILAI CPL'!$B$4,3,V60&gt;='NILAI CPL'!$B$5,2,V60&gt;'NILAI CPL'!$B$6,1),0),"")</f>
        <v/>
      </c>
      <c r="AT60" s="2" t="str" cm="1">
        <f t="array" ref="AT60">IF('NILAI CPL'!$B60&lt;&gt;"",IFERROR(_xlfn.IFS(W60&gt;='NILAI CPL'!$B$3,4,W60&gt;='NILAI CPL'!$B$4,3,W60&gt;='NILAI CPL'!$B$5,2,W60&gt;'NILAI CPL'!$B$6,1),0),"")</f>
        <v/>
      </c>
      <c r="AU60" s="2" t="str" cm="1">
        <f t="array" ref="AU60">IF('NILAI CPL'!$B60&lt;&gt;"",IFERROR(_xlfn.IFS(X60&gt;='NILAI CPL'!$B$3,4,X60&gt;='NILAI CPL'!$B$4,3,X60&gt;='NILAI CPL'!$B$5,2,X60&gt;'NILAI CPL'!$B$6,1),0),"")</f>
        <v/>
      </c>
      <c r="AV60" s="2" t="str" cm="1">
        <f t="array" ref="AV60">IF('NILAI CPL'!$B60&lt;&gt;"",IFERROR(_xlfn.IFS(Y60&gt;='NILAI CPL'!$B$3,4,Y60&gt;='NILAI CPL'!$B$4,3,Y60&gt;='NILAI CPL'!$B$5,2,Y60&gt;'NILAI CPL'!$B$6,1),0),"")</f>
        <v/>
      </c>
      <c r="AW60" s="2" t="str" cm="1">
        <f t="array" ref="AW60">IF('NILAI CPL'!$B60&lt;&gt;"",IFERROR(_xlfn.IFS(Z60&gt;='NILAI CPL'!$B$3,4,Z60&gt;='NILAI CPL'!$B$4,3,Z60&gt;='NILAI CPL'!$B$5,2,Z60&gt;'NILAI CPL'!$B$6,1),0),"")</f>
        <v/>
      </c>
      <c r="AX60" s="2" t="str" cm="1">
        <f t="array" ref="AX60">IF('NILAI CPL'!$B60&lt;&gt;"",IFERROR(_xlfn.IFS(AA60&gt;='NILAI CPL'!$B$3,4,AA60&gt;='NILAI CPL'!$B$4,3,AA60&gt;='NILAI CPL'!$B$5,2,AA60&gt;'NILAI CPL'!$B$6,1),0),"")</f>
        <v/>
      </c>
      <c r="AY60" s="2" t="str" cm="1">
        <f t="array" ref="AY60">IF('NILAI CPL'!$B60&lt;&gt;"",IFERROR(_xlfn.IFS(AB60&gt;='NILAI CPL'!$B$3,4,AB60&gt;='NILAI CPL'!$B$4,3,AB60&gt;='NILAI CPL'!$B$5,2,AB60&gt;'NILAI CPL'!$B$6,1),0),"")</f>
        <v/>
      </c>
      <c r="AZ60" s="2" t="str" cm="1">
        <f t="array" ref="AZ60">IF('NILAI CPL'!$B60&lt;&gt;"",IFERROR(_xlfn.IFS(AC60&gt;='NILAI CPL'!$B$3,4,AC60&gt;='NILAI CPL'!$B$4,3,AC60&gt;='NILAI CPL'!$B$5,2,AC60&gt;'NILAI CPL'!$B$6,1),0),"")</f>
        <v/>
      </c>
      <c r="BA60" s="2" t="str" cm="1">
        <f t="array" ref="BA60">IF('NILAI CPL'!$B60&lt;&gt;"",IFERROR(_xlfn.IFS(AD60&gt;='NILAI CPL'!$B$3,4,AD60&gt;='NILAI CPL'!$B$4,3,AD60&gt;='NILAI CPL'!$B$5,2,AD60&gt;'NILAI CPL'!$B$6,1),0),"")</f>
        <v/>
      </c>
      <c r="BB60" s="2" t="str" cm="1">
        <f t="array" ref="BB60">IF('NILAI CPL'!$B60&lt;&gt;"",IFERROR(_xlfn.IFS(AE60&gt;='NILAI CPL'!$B$3,4,AE60&gt;='NILAI CPL'!$B$4,3,AE60&gt;='NILAI CPL'!$B$5,2,AE60&gt;'NILAI CPL'!$B$6,1),0),"")</f>
        <v/>
      </c>
      <c r="BC60" s="2" t="str" cm="1">
        <f t="array" ref="BC60">IF('NILAI CPL'!$B60&lt;&gt;"",IFERROR(_xlfn.IFS(AF60&gt;='NILAI CPL'!$B$3,4,AF60&gt;='NILAI CPL'!$B$4,3,AF60&gt;='NILAI CPL'!$B$5,2,AF60&gt;'NILAI CPL'!$B$6,1),0),"")</f>
        <v/>
      </c>
      <c r="BD60" s="2" t="str" cm="1">
        <f t="array" ref="BD60">IF('NILAI CPL'!$B60&lt;&gt;"",IFERROR(_xlfn.IFS(AG60&gt;='NILAI CPL'!$B$3,4,AG60&gt;='NILAI CPL'!$B$4,3,AG60&gt;='NILAI CPL'!$B$5,2,AG60&gt;'NILAI CPL'!$B$6,1),0),"")</f>
        <v/>
      </c>
      <c r="BE60" s="2" t="str" cm="1">
        <f t="array" ref="BE60">IF('NILAI CPL'!$B60&lt;&gt;"",IFERROR(_xlfn.IFS(AH60&gt;='NILAI CPL'!$B$3,4,AH60&gt;='NILAI CPL'!$B$4,3,AH60&gt;='NILAI CPL'!$B$5,2,AH60&gt;'NILAI CPL'!$B$6,1),0),"")</f>
        <v/>
      </c>
      <c r="BF60" s="2" t="str" cm="1">
        <f t="array" ref="BF60">IF('NILAI CPL'!$B60&lt;&gt;"",IFERROR(_xlfn.IFS(AI60&gt;='NILAI CPL'!$B$3,4,AI60&gt;='NILAI CPL'!$B$4,3,AI60&gt;='NILAI CPL'!$B$5,2,AI60&gt;'NILAI CPL'!$B$6,1),0),"")</f>
        <v/>
      </c>
      <c r="BG60" s="2" t="str" cm="1">
        <f t="array" ref="BG60">IF('NILAI CPL'!$B60&lt;&gt;"",IFERROR(_xlfn.IFS(AJ60&gt;='NILAI CPL'!$B$3,4,AJ60&gt;='NILAI CPL'!$B$4,3,AJ60&gt;='NILAI CPL'!$B$5,2,AJ60&gt;'NILAI CPL'!$B$6,1),0),"")</f>
        <v/>
      </c>
      <c r="BH60" s="2" t="str" cm="1">
        <f t="array" ref="BH60">IF('NILAI CPL'!$B60&lt;&gt;"",IFERROR(_xlfn.IFS(AK60&gt;='NILAI CPL'!$B$3,4,AK60&gt;='NILAI CPL'!$B$4,3,AK60&gt;='NILAI CPL'!$B$5,2,AK60&gt;'NILAI CPL'!$B$6,1),0),"")</f>
        <v/>
      </c>
      <c r="BI60" s="2" t="str" cm="1">
        <f t="array" ref="BI60">IF('NILAI CPL'!$B60&lt;&gt;"",IFERROR(_xlfn.IFS(AL60&gt;='NILAI CPL'!$B$3,4,AL60&gt;='NILAI CPL'!$B$4,3,AL60&gt;='NILAI CPL'!$B$5,2,AL60&gt;'NILAI CPL'!$B$6,1),0),"")</f>
        <v/>
      </c>
      <c r="BJ60" s="2" t="str" cm="1">
        <f t="array" ref="BJ60">IF('NILAI CPL'!$B60&lt;&gt;"",IFERROR(_xlfn.IFS(AM60&gt;='NILAI CPL'!$B$3,4,AM60&gt;='NILAI CPL'!$B$4,3,AM60&gt;='NILAI CPL'!$B$5,2,AM60&gt;'NILAI CPL'!$B$6,1),0),"")</f>
        <v/>
      </c>
      <c r="BK60" s="2" t="str" cm="1">
        <f t="array" ref="BK60">IF('NILAI CPL'!$B60&lt;&gt;"",IFERROR(_xlfn.IFS(AN60&gt;='NILAI CPL'!$B$3,4,AN60&gt;='NILAI CPL'!$B$4,3,AN60&gt;='NILAI CPL'!$B$5,2,AN60&gt;'NILAI CPL'!$B$6,1),0),"")</f>
        <v/>
      </c>
    </row>
    <row r="61" spans="1:63" x14ac:dyDescent="0.2">
      <c r="A61" s="2">
        <v>51</v>
      </c>
      <c r="B61" s="2" t="str">
        <f>IF(LEN(SUMMARY!B61)&gt;0, SUMMARY!B61, "")</f>
        <v/>
      </c>
      <c r="C61" s="2" t="str">
        <f>IF(LEN(SUMMARY!C61)&gt;0, SUMMARY!C61, "")</f>
        <v/>
      </c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" t="str">
        <f t="shared" si="2"/>
        <v/>
      </c>
      <c r="S61" s="2" t="str">
        <f t="shared" si="3"/>
        <v/>
      </c>
      <c r="T61" s="2" t="str">
        <f t="shared" si="4"/>
        <v/>
      </c>
      <c r="U61" s="2" t="str">
        <f t="shared" si="5"/>
        <v/>
      </c>
      <c r="V61" s="2" t="str">
        <f t="shared" si="6"/>
        <v/>
      </c>
      <c r="W61" s="2" t="str">
        <f t="shared" si="7"/>
        <v/>
      </c>
      <c r="X61" s="2" t="str">
        <f t="shared" si="8"/>
        <v/>
      </c>
      <c r="Y61" s="2" t="str">
        <f t="shared" si="9"/>
        <v/>
      </c>
      <c r="Z61" s="2" t="str">
        <f t="shared" si="10"/>
        <v/>
      </c>
      <c r="AA61" s="2" t="str">
        <f t="shared" si="11"/>
        <v/>
      </c>
      <c r="AB61" s="2" t="str">
        <f t="shared" si="12"/>
        <v/>
      </c>
      <c r="AC61" s="2" t="str">
        <f t="shared" si="13"/>
        <v/>
      </c>
      <c r="AD61" s="2" t="str">
        <f t="shared" si="14"/>
        <v/>
      </c>
      <c r="AE61" s="2" t="str">
        <f t="shared" si="15"/>
        <v/>
      </c>
      <c r="AF61" s="2" t="str">
        <f t="shared" si="16"/>
        <v/>
      </c>
      <c r="AG61" s="2" t="str">
        <f t="shared" si="17"/>
        <v/>
      </c>
      <c r="AH61" s="2" t="str">
        <f t="shared" si="18"/>
        <v/>
      </c>
      <c r="AI61" s="2" t="str">
        <f t="shared" si="19"/>
        <v/>
      </c>
      <c r="AJ61" s="2" t="str">
        <f t="shared" si="20"/>
        <v/>
      </c>
      <c r="AK61" s="2" t="str">
        <f t="shared" si="21"/>
        <v/>
      </c>
      <c r="AL61" s="2" t="str">
        <f t="shared" si="22"/>
        <v/>
      </c>
      <c r="AM61" s="2" t="str">
        <f t="shared" si="23"/>
        <v/>
      </c>
      <c r="AN61" s="2" t="str">
        <f t="shared" si="24"/>
        <v/>
      </c>
      <c r="AP61" s="2" t="str" cm="1">
        <f t="array" ref="AP61">IF('NILAI CPL'!$B61&lt;&gt;"",IFERROR(_xlfn.IFS(S61&gt;='NILAI CPL'!$B$3,4,S61&gt;='NILAI CPL'!$B$4,3,S61&gt;='NILAI CPL'!$B$5,2,S61&gt;'NILAI CPL'!$B$6,1),0),"")</f>
        <v/>
      </c>
      <c r="AQ61" s="2" t="str" cm="1">
        <f t="array" ref="AQ61">IF('NILAI CPL'!$B61&lt;&gt;"",IFERROR(_xlfn.IFS(T61&gt;='NILAI CPL'!$B$3,4,T61&gt;='NILAI CPL'!$B$4,3,T61&gt;='NILAI CPL'!$B$5,2,T61&gt;'NILAI CPL'!$B$6,1),0),"")</f>
        <v/>
      </c>
      <c r="AR61" s="2" t="str" cm="1">
        <f t="array" ref="AR61">IF('NILAI CPL'!$B61&lt;&gt;"",IFERROR(_xlfn.IFS(U61&gt;='NILAI CPL'!$B$3,4,U61&gt;='NILAI CPL'!$B$4,3,U61&gt;='NILAI CPL'!$B$5,2,U61&gt;'NILAI CPL'!$B$6,1),0),"")</f>
        <v/>
      </c>
      <c r="AS61" s="2" t="str" cm="1">
        <f t="array" ref="AS61">IF('NILAI CPL'!$B61&lt;&gt;"",IFERROR(_xlfn.IFS(V61&gt;='NILAI CPL'!$B$3,4,V61&gt;='NILAI CPL'!$B$4,3,V61&gt;='NILAI CPL'!$B$5,2,V61&gt;'NILAI CPL'!$B$6,1),0),"")</f>
        <v/>
      </c>
      <c r="AT61" s="2" t="str" cm="1">
        <f t="array" ref="AT61">IF('NILAI CPL'!$B61&lt;&gt;"",IFERROR(_xlfn.IFS(W61&gt;='NILAI CPL'!$B$3,4,W61&gt;='NILAI CPL'!$B$4,3,W61&gt;='NILAI CPL'!$B$5,2,W61&gt;'NILAI CPL'!$B$6,1),0),"")</f>
        <v/>
      </c>
      <c r="AU61" s="2" t="str" cm="1">
        <f t="array" ref="AU61">IF('NILAI CPL'!$B61&lt;&gt;"",IFERROR(_xlfn.IFS(X61&gt;='NILAI CPL'!$B$3,4,X61&gt;='NILAI CPL'!$B$4,3,X61&gt;='NILAI CPL'!$B$5,2,X61&gt;'NILAI CPL'!$B$6,1),0),"")</f>
        <v/>
      </c>
      <c r="AV61" s="2" t="str" cm="1">
        <f t="array" ref="AV61">IF('NILAI CPL'!$B61&lt;&gt;"",IFERROR(_xlfn.IFS(Y61&gt;='NILAI CPL'!$B$3,4,Y61&gt;='NILAI CPL'!$B$4,3,Y61&gt;='NILAI CPL'!$B$5,2,Y61&gt;'NILAI CPL'!$B$6,1),0),"")</f>
        <v/>
      </c>
      <c r="AW61" s="2" t="str" cm="1">
        <f t="array" ref="AW61">IF('NILAI CPL'!$B61&lt;&gt;"",IFERROR(_xlfn.IFS(Z61&gt;='NILAI CPL'!$B$3,4,Z61&gt;='NILAI CPL'!$B$4,3,Z61&gt;='NILAI CPL'!$B$5,2,Z61&gt;'NILAI CPL'!$B$6,1),0),"")</f>
        <v/>
      </c>
      <c r="AX61" s="2" t="str" cm="1">
        <f t="array" ref="AX61">IF('NILAI CPL'!$B61&lt;&gt;"",IFERROR(_xlfn.IFS(AA61&gt;='NILAI CPL'!$B$3,4,AA61&gt;='NILAI CPL'!$B$4,3,AA61&gt;='NILAI CPL'!$B$5,2,AA61&gt;'NILAI CPL'!$B$6,1),0),"")</f>
        <v/>
      </c>
      <c r="AY61" s="2" t="str" cm="1">
        <f t="array" ref="AY61">IF('NILAI CPL'!$B61&lt;&gt;"",IFERROR(_xlfn.IFS(AB61&gt;='NILAI CPL'!$B$3,4,AB61&gt;='NILAI CPL'!$B$4,3,AB61&gt;='NILAI CPL'!$B$5,2,AB61&gt;'NILAI CPL'!$B$6,1),0),"")</f>
        <v/>
      </c>
      <c r="AZ61" s="2" t="str" cm="1">
        <f t="array" ref="AZ61">IF('NILAI CPL'!$B61&lt;&gt;"",IFERROR(_xlfn.IFS(AC61&gt;='NILAI CPL'!$B$3,4,AC61&gt;='NILAI CPL'!$B$4,3,AC61&gt;='NILAI CPL'!$B$5,2,AC61&gt;'NILAI CPL'!$B$6,1),0),"")</f>
        <v/>
      </c>
      <c r="BA61" s="2" t="str" cm="1">
        <f t="array" ref="BA61">IF('NILAI CPL'!$B61&lt;&gt;"",IFERROR(_xlfn.IFS(AD61&gt;='NILAI CPL'!$B$3,4,AD61&gt;='NILAI CPL'!$B$4,3,AD61&gt;='NILAI CPL'!$B$5,2,AD61&gt;'NILAI CPL'!$B$6,1),0),"")</f>
        <v/>
      </c>
      <c r="BB61" s="2" t="str" cm="1">
        <f t="array" ref="BB61">IF('NILAI CPL'!$B61&lt;&gt;"",IFERROR(_xlfn.IFS(AE61&gt;='NILAI CPL'!$B$3,4,AE61&gt;='NILAI CPL'!$B$4,3,AE61&gt;='NILAI CPL'!$B$5,2,AE61&gt;'NILAI CPL'!$B$6,1),0),"")</f>
        <v/>
      </c>
      <c r="BC61" s="2" t="str" cm="1">
        <f t="array" ref="BC61">IF('NILAI CPL'!$B61&lt;&gt;"",IFERROR(_xlfn.IFS(AF61&gt;='NILAI CPL'!$B$3,4,AF61&gt;='NILAI CPL'!$B$4,3,AF61&gt;='NILAI CPL'!$B$5,2,AF61&gt;'NILAI CPL'!$B$6,1),0),"")</f>
        <v/>
      </c>
      <c r="BD61" s="2" t="str" cm="1">
        <f t="array" ref="BD61">IF('NILAI CPL'!$B61&lt;&gt;"",IFERROR(_xlfn.IFS(AG61&gt;='NILAI CPL'!$B$3,4,AG61&gt;='NILAI CPL'!$B$4,3,AG61&gt;='NILAI CPL'!$B$5,2,AG61&gt;'NILAI CPL'!$B$6,1),0),"")</f>
        <v/>
      </c>
      <c r="BE61" s="2" t="str" cm="1">
        <f t="array" ref="BE61">IF('NILAI CPL'!$B61&lt;&gt;"",IFERROR(_xlfn.IFS(AH61&gt;='NILAI CPL'!$B$3,4,AH61&gt;='NILAI CPL'!$B$4,3,AH61&gt;='NILAI CPL'!$B$5,2,AH61&gt;'NILAI CPL'!$B$6,1),0),"")</f>
        <v/>
      </c>
      <c r="BF61" s="2" t="str" cm="1">
        <f t="array" ref="BF61">IF('NILAI CPL'!$B61&lt;&gt;"",IFERROR(_xlfn.IFS(AI61&gt;='NILAI CPL'!$B$3,4,AI61&gt;='NILAI CPL'!$B$4,3,AI61&gt;='NILAI CPL'!$B$5,2,AI61&gt;'NILAI CPL'!$B$6,1),0),"")</f>
        <v/>
      </c>
      <c r="BG61" s="2" t="str" cm="1">
        <f t="array" ref="BG61">IF('NILAI CPL'!$B61&lt;&gt;"",IFERROR(_xlfn.IFS(AJ61&gt;='NILAI CPL'!$B$3,4,AJ61&gt;='NILAI CPL'!$B$4,3,AJ61&gt;='NILAI CPL'!$B$5,2,AJ61&gt;'NILAI CPL'!$B$6,1),0),"")</f>
        <v/>
      </c>
      <c r="BH61" s="2" t="str" cm="1">
        <f t="array" ref="BH61">IF('NILAI CPL'!$B61&lt;&gt;"",IFERROR(_xlfn.IFS(AK61&gt;='NILAI CPL'!$B$3,4,AK61&gt;='NILAI CPL'!$B$4,3,AK61&gt;='NILAI CPL'!$B$5,2,AK61&gt;'NILAI CPL'!$B$6,1),0),"")</f>
        <v/>
      </c>
      <c r="BI61" s="2" t="str" cm="1">
        <f t="array" ref="BI61">IF('NILAI CPL'!$B61&lt;&gt;"",IFERROR(_xlfn.IFS(AL61&gt;='NILAI CPL'!$B$3,4,AL61&gt;='NILAI CPL'!$B$4,3,AL61&gt;='NILAI CPL'!$B$5,2,AL61&gt;'NILAI CPL'!$B$6,1),0),"")</f>
        <v/>
      </c>
      <c r="BJ61" s="2" t="str" cm="1">
        <f t="array" ref="BJ61">IF('NILAI CPL'!$B61&lt;&gt;"",IFERROR(_xlfn.IFS(AM61&gt;='NILAI CPL'!$B$3,4,AM61&gt;='NILAI CPL'!$B$4,3,AM61&gt;='NILAI CPL'!$B$5,2,AM61&gt;'NILAI CPL'!$B$6,1),0),"")</f>
        <v/>
      </c>
      <c r="BK61" s="2" t="str" cm="1">
        <f t="array" ref="BK61">IF('NILAI CPL'!$B61&lt;&gt;"",IFERROR(_xlfn.IFS(AN61&gt;='NILAI CPL'!$B$3,4,AN61&gt;='NILAI CPL'!$B$4,3,AN61&gt;='NILAI CPL'!$B$5,2,AN61&gt;'NILAI CPL'!$B$6,1),0),"")</f>
        <v/>
      </c>
    </row>
    <row r="62" spans="1:63" x14ac:dyDescent="0.2">
      <c r="A62" s="2">
        <v>52</v>
      </c>
      <c r="B62" s="2" t="str">
        <f>IF(LEN(SUMMARY!B62)&gt;0, SUMMARY!B62, "")</f>
        <v/>
      </c>
      <c r="C62" s="2" t="str">
        <f>IF(LEN(SUMMARY!C62)&gt;0, SUMMARY!C62, "")</f>
        <v/>
      </c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" t="str">
        <f t="shared" si="2"/>
        <v/>
      </c>
      <c r="S62" s="2" t="str">
        <f t="shared" si="3"/>
        <v/>
      </c>
      <c r="T62" s="2" t="str">
        <f t="shared" si="4"/>
        <v/>
      </c>
      <c r="U62" s="2" t="str">
        <f t="shared" si="5"/>
        <v/>
      </c>
      <c r="V62" s="2" t="str">
        <f t="shared" si="6"/>
        <v/>
      </c>
      <c r="W62" s="2" t="str">
        <f t="shared" si="7"/>
        <v/>
      </c>
      <c r="X62" s="2" t="str">
        <f t="shared" si="8"/>
        <v/>
      </c>
      <c r="Y62" s="2" t="str">
        <f t="shared" si="9"/>
        <v/>
      </c>
      <c r="Z62" s="2" t="str">
        <f t="shared" si="10"/>
        <v/>
      </c>
      <c r="AA62" s="2" t="str">
        <f t="shared" si="11"/>
        <v/>
      </c>
      <c r="AB62" s="2" t="str">
        <f t="shared" si="12"/>
        <v/>
      </c>
      <c r="AC62" s="2" t="str">
        <f t="shared" si="13"/>
        <v/>
      </c>
      <c r="AD62" s="2" t="str">
        <f t="shared" si="14"/>
        <v/>
      </c>
      <c r="AE62" s="2" t="str">
        <f t="shared" si="15"/>
        <v/>
      </c>
      <c r="AF62" s="2" t="str">
        <f t="shared" si="16"/>
        <v/>
      </c>
      <c r="AG62" s="2" t="str">
        <f t="shared" si="17"/>
        <v/>
      </c>
      <c r="AH62" s="2" t="str">
        <f t="shared" si="18"/>
        <v/>
      </c>
      <c r="AI62" s="2" t="str">
        <f t="shared" si="19"/>
        <v/>
      </c>
      <c r="AJ62" s="2" t="str">
        <f t="shared" si="20"/>
        <v/>
      </c>
      <c r="AK62" s="2" t="str">
        <f t="shared" si="21"/>
        <v/>
      </c>
      <c r="AL62" s="2" t="str">
        <f t="shared" si="22"/>
        <v/>
      </c>
      <c r="AM62" s="2" t="str">
        <f t="shared" si="23"/>
        <v/>
      </c>
      <c r="AN62" s="2" t="str">
        <f t="shared" si="24"/>
        <v/>
      </c>
      <c r="AP62" s="2" t="str" cm="1">
        <f t="array" ref="AP62">IF('NILAI CPL'!$B62&lt;&gt;"",IFERROR(_xlfn.IFS(S62&gt;='NILAI CPL'!$B$3,4,S62&gt;='NILAI CPL'!$B$4,3,S62&gt;='NILAI CPL'!$B$5,2,S62&gt;'NILAI CPL'!$B$6,1),0),"")</f>
        <v/>
      </c>
      <c r="AQ62" s="2" t="str" cm="1">
        <f t="array" ref="AQ62">IF('NILAI CPL'!$B62&lt;&gt;"",IFERROR(_xlfn.IFS(T62&gt;='NILAI CPL'!$B$3,4,T62&gt;='NILAI CPL'!$B$4,3,T62&gt;='NILAI CPL'!$B$5,2,T62&gt;'NILAI CPL'!$B$6,1),0),"")</f>
        <v/>
      </c>
      <c r="AR62" s="2" t="str" cm="1">
        <f t="array" ref="AR62">IF('NILAI CPL'!$B62&lt;&gt;"",IFERROR(_xlfn.IFS(U62&gt;='NILAI CPL'!$B$3,4,U62&gt;='NILAI CPL'!$B$4,3,U62&gt;='NILAI CPL'!$B$5,2,U62&gt;'NILAI CPL'!$B$6,1),0),"")</f>
        <v/>
      </c>
      <c r="AS62" s="2" t="str" cm="1">
        <f t="array" ref="AS62">IF('NILAI CPL'!$B62&lt;&gt;"",IFERROR(_xlfn.IFS(V62&gt;='NILAI CPL'!$B$3,4,V62&gt;='NILAI CPL'!$B$4,3,V62&gt;='NILAI CPL'!$B$5,2,V62&gt;'NILAI CPL'!$B$6,1),0),"")</f>
        <v/>
      </c>
      <c r="AT62" s="2" t="str" cm="1">
        <f t="array" ref="AT62">IF('NILAI CPL'!$B62&lt;&gt;"",IFERROR(_xlfn.IFS(W62&gt;='NILAI CPL'!$B$3,4,W62&gt;='NILAI CPL'!$B$4,3,W62&gt;='NILAI CPL'!$B$5,2,W62&gt;'NILAI CPL'!$B$6,1),0),"")</f>
        <v/>
      </c>
      <c r="AU62" s="2" t="str" cm="1">
        <f t="array" ref="AU62">IF('NILAI CPL'!$B62&lt;&gt;"",IFERROR(_xlfn.IFS(X62&gt;='NILAI CPL'!$B$3,4,X62&gt;='NILAI CPL'!$B$4,3,X62&gt;='NILAI CPL'!$B$5,2,X62&gt;'NILAI CPL'!$B$6,1),0),"")</f>
        <v/>
      </c>
      <c r="AV62" s="2" t="str" cm="1">
        <f t="array" ref="AV62">IF('NILAI CPL'!$B62&lt;&gt;"",IFERROR(_xlfn.IFS(Y62&gt;='NILAI CPL'!$B$3,4,Y62&gt;='NILAI CPL'!$B$4,3,Y62&gt;='NILAI CPL'!$B$5,2,Y62&gt;'NILAI CPL'!$B$6,1),0),"")</f>
        <v/>
      </c>
      <c r="AW62" s="2" t="str" cm="1">
        <f t="array" ref="AW62">IF('NILAI CPL'!$B62&lt;&gt;"",IFERROR(_xlfn.IFS(Z62&gt;='NILAI CPL'!$B$3,4,Z62&gt;='NILAI CPL'!$B$4,3,Z62&gt;='NILAI CPL'!$B$5,2,Z62&gt;'NILAI CPL'!$B$6,1),0),"")</f>
        <v/>
      </c>
      <c r="AX62" s="2" t="str" cm="1">
        <f t="array" ref="AX62">IF('NILAI CPL'!$B62&lt;&gt;"",IFERROR(_xlfn.IFS(AA62&gt;='NILAI CPL'!$B$3,4,AA62&gt;='NILAI CPL'!$B$4,3,AA62&gt;='NILAI CPL'!$B$5,2,AA62&gt;'NILAI CPL'!$B$6,1),0),"")</f>
        <v/>
      </c>
      <c r="AY62" s="2" t="str" cm="1">
        <f t="array" ref="AY62">IF('NILAI CPL'!$B62&lt;&gt;"",IFERROR(_xlfn.IFS(AB62&gt;='NILAI CPL'!$B$3,4,AB62&gt;='NILAI CPL'!$B$4,3,AB62&gt;='NILAI CPL'!$B$5,2,AB62&gt;'NILAI CPL'!$B$6,1),0),"")</f>
        <v/>
      </c>
      <c r="AZ62" s="2" t="str" cm="1">
        <f t="array" ref="AZ62">IF('NILAI CPL'!$B62&lt;&gt;"",IFERROR(_xlfn.IFS(AC62&gt;='NILAI CPL'!$B$3,4,AC62&gt;='NILAI CPL'!$B$4,3,AC62&gt;='NILAI CPL'!$B$5,2,AC62&gt;'NILAI CPL'!$B$6,1),0),"")</f>
        <v/>
      </c>
      <c r="BA62" s="2" t="str" cm="1">
        <f t="array" ref="BA62">IF('NILAI CPL'!$B62&lt;&gt;"",IFERROR(_xlfn.IFS(AD62&gt;='NILAI CPL'!$B$3,4,AD62&gt;='NILAI CPL'!$B$4,3,AD62&gt;='NILAI CPL'!$B$5,2,AD62&gt;'NILAI CPL'!$B$6,1),0),"")</f>
        <v/>
      </c>
      <c r="BB62" s="2" t="str" cm="1">
        <f t="array" ref="BB62">IF('NILAI CPL'!$B62&lt;&gt;"",IFERROR(_xlfn.IFS(AE62&gt;='NILAI CPL'!$B$3,4,AE62&gt;='NILAI CPL'!$B$4,3,AE62&gt;='NILAI CPL'!$B$5,2,AE62&gt;'NILAI CPL'!$B$6,1),0),"")</f>
        <v/>
      </c>
      <c r="BC62" s="2" t="str" cm="1">
        <f t="array" ref="BC62">IF('NILAI CPL'!$B62&lt;&gt;"",IFERROR(_xlfn.IFS(AF62&gt;='NILAI CPL'!$B$3,4,AF62&gt;='NILAI CPL'!$B$4,3,AF62&gt;='NILAI CPL'!$B$5,2,AF62&gt;'NILAI CPL'!$B$6,1),0),"")</f>
        <v/>
      </c>
      <c r="BD62" s="2" t="str" cm="1">
        <f t="array" ref="BD62">IF('NILAI CPL'!$B62&lt;&gt;"",IFERROR(_xlfn.IFS(AG62&gt;='NILAI CPL'!$B$3,4,AG62&gt;='NILAI CPL'!$B$4,3,AG62&gt;='NILAI CPL'!$B$5,2,AG62&gt;'NILAI CPL'!$B$6,1),0),"")</f>
        <v/>
      </c>
      <c r="BE62" s="2" t="str" cm="1">
        <f t="array" ref="BE62">IF('NILAI CPL'!$B62&lt;&gt;"",IFERROR(_xlfn.IFS(AH62&gt;='NILAI CPL'!$B$3,4,AH62&gt;='NILAI CPL'!$B$4,3,AH62&gt;='NILAI CPL'!$B$5,2,AH62&gt;'NILAI CPL'!$B$6,1),0),"")</f>
        <v/>
      </c>
      <c r="BF62" s="2" t="str" cm="1">
        <f t="array" ref="BF62">IF('NILAI CPL'!$B62&lt;&gt;"",IFERROR(_xlfn.IFS(AI62&gt;='NILAI CPL'!$B$3,4,AI62&gt;='NILAI CPL'!$B$4,3,AI62&gt;='NILAI CPL'!$B$5,2,AI62&gt;'NILAI CPL'!$B$6,1),0),"")</f>
        <v/>
      </c>
      <c r="BG62" s="2" t="str" cm="1">
        <f t="array" ref="BG62">IF('NILAI CPL'!$B62&lt;&gt;"",IFERROR(_xlfn.IFS(AJ62&gt;='NILAI CPL'!$B$3,4,AJ62&gt;='NILAI CPL'!$B$4,3,AJ62&gt;='NILAI CPL'!$B$5,2,AJ62&gt;'NILAI CPL'!$B$6,1),0),"")</f>
        <v/>
      </c>
      <c r="BH62" s="2" t="str" cm="1">
        <f t="array" ref="BH62">IF('NILAI CPL'!$B62&lt;&gt;"",IFERROR(_xlfn.IFS(AK62&gt;='NILAI CPL'!$B$3,4,AK62&gt;='NILAI CPL'!$B$4,3,AK62&gt;='NILAI CPL'!$B$5,2,AK62&gt;'NILAI CPL'!$B$6,1),0),"")</f>
        <v/>
      </c>
      <c r="BI62" s="2" t="str" cm="1">
        <f t="array" ref="BI62">IF('NILAI CPL'!$B62&lt;&gt;"",IFERROR(_xlfn.IFS(AL62&gt;='NILAI CPL'!$B$3,4,AL62&gt;='NILAI CPL'!$B$4,3,AL62&gt;='NILAI CPL'!$B$5,2,AL62&gt;'NILAI CPL'!$B$6,1),0),"")</f>
        <v/>
      </c>
      <c r="BJ62" s="2" t="str" cm="1">
        <f t="array" ref="BJ62">IF('NILAI CPL'!$B62&lt;&gt;"",IFERROR(_xlfn.IFS(AM62&gt;='NILAI CPL'!$B$3,4,AM62&gt;='NILAI CPL'!$B$4,3,AM62&gt;='NILAI CPL'!$B$5,2,AM62&gt;'NILAI CPL'!$B$6,1),0),"")</f>
        <v/>
      </c>
      <c r="BK62" s="2" t="str" cm="1">
        <f t="array" ref="BK62">IF('NILAI CPL'!$B62&lt;&gt;"",IFERROR(_xlfn.IFS(AN62&gt;='NILAI CPL'!$B$3,4,AN62&gt;='NILAI CPL'!$B$4,3,AN62&gt;='NILAI CPL'!$B$5,2,AN62&gt;'NILAI CPL'!$B$6,1),0),"")</f>
        <v/>
      </c>
    </row>
    <row r="63" spans="1:63" x14ac:dyDescent="0.2">
      <c r="A63" s="2">
        <v>53</v>
      </c>
      <c r="B63" s="2" t="str">
        <f>IF(LEN(SUMMARY!B63)&gt;0, SUMMARY!B63, "")</f>
        <v/>
      </c>
      <c r="C63" s="2" t="str">
        <f>IF(LEN(SUMMARY!C63)&gt;0, SUMMARY!C63, "")</f>
        <v/>
      </c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" t="str">
        <f t="shared" si="2"/>
        <v/>
      </c>
      <c r="S63" s="2" t="str">
        <f t="shared" si="3"/>
        <v/>
      </c>
      <c r="T63" s="2" t="str">
        <f t="shared" si="4"/>
        <v/>
      </c>
      <c r="U63" s="2" t="str">
        <f t="shared" si="5"/>
        <v/>
      </c>
      <c r="V63" s="2" t="str">
        <f t="shared" si="6"/>
        <v/>
      </c>
      <c r="W63" s="2" t="str">
        <f t="shared" si="7"/>
        <v/>
      </c>
      <c r="X63" s="2" t="str">
        <f t="shared" si="8"/>
        <v/>
      </c>
      <c r="Y63" s="2" t="str">
        <f t="shared" si="9"/>
        <v/>
      </c>
      <c r="Z63" s="2" t="str">
        <f t="shared" si="10"/>
        <v/>
      </c>
      <c r="AA63" s="2" t="str">
        <f t="shared" si="11"/>
        <v/>
      </c>
      <c r="AB63" s="2" t="str">
        <f t="shared" si="12"/>
        <v/>
      </c>
      <c r="AC63" s="2" t="str">
        <f t="shared" si="13"/>
        <v/>
      </c>
      <c r="AD63" s="2" t="str">
        <f t="shared" si="14"/>
        <v/>
      </c>
      <c r="AE63" s="2" t="str">
        <f t="shared" si="15"/>
        <v/>
      </c>
      <c r="AF63" s="2" t="str">
        <f t="shared" si="16"/>
        <v/>
      </c>
      <c r="AG63" s="2" t="str">
        <f t="shared" si="17"/>
        <v/>
      </c>
      <c r="AH63" s="2" t="str">
        <f t="shared" si="18"/>
        <v/>
      </c>
      <c r="AI63" s="2" t="str">
        <f t="shared" si="19"/>
        <v/>
      </c>
      <c r="AJ63" s="2" t="str">
        <f t="shared" si="20"/>
        <v/>
      </c>
      <c r="AK63" s="2" t="str">
        <f t="shared" si="21"/>
        <v/>
      </c>
      <c r="AL63" s="2" t="str">
        <f t="shared" si="22"/>
        <v/>
      </c>
      <c r="AM63" s="2" t="str">
        <f t="shared" si="23"/>
        <v/>
      </c>
      <c r="AN63" s="2" t="str">
        <f t="shared" si="24"/>
        <v/>
      </c>
      <c r="AP63" s="2" t="str" cm="1">
        <f t="array" ref="AP63">IF('NILAI CPL'!$B63&lt;&gt;"",IFERROR(_xlfn.IFS(S63&gt;='NILAI CPL'!$B$3,4,S63&gt;='NILAI CPL'!$B$4,3,S63&gt;='NILAI CPL'!$B$5,2,S63&gt;'NILAI CPL'!$B$6,1),0),"")</f>
        <v/>
      </c>
      <c r="AQ63" s="2" t="str" cm="1">
        <f t="array" ref="AQ63">IF('NILAI CPL'!$B63&lt;&gt;"",IFERROR(_xlfn.IFS(T63&gt;='NILAI CPL'!$B$3,4,T63&gt;='NILAI CPL'!$B$4,3,T63&gt;='NILAI CPL'!$B$5,2,T63&gt;'NILAI CPL'!$B$6,1),0),"")</f>
        <v/>
      </c>
      <c r="AR63" s="2" t="str" cm="1">
        <f t="array" ref="AR63">IF('NILAI CPL'!$B63&lt;&gt;"",IFERROR(_xlfn.IFS(U63&gt;='NILAI CPL'!$B$3,4,U63&gt;='NILAI CPL'!$B$4,3,U63&gt;='NILAI CPL'!$B$5,2,U63&gt;'NILAI CPL'!$B$6,1),0),"")</f>
        <v/>
      </c>
      <c r="AS63" s="2" t="str" cm="1">
        <f t="array" ref="AS63">IF('NILAI CPL'!$B63&lt;&gt;"",IFERROR(_xlfn.IFS(V63&gt;='NILAI CPL'!$B$3,4,V63&gt;='NILAI CPL'!$B$4,3,V63&gt;='NILAI CPL'!$B$5,2,V63&gt;'NILAI CPL'!$B$6,1),0),"")</f>
        <v/>
      </c>
      <c r="AT63" s="2" t="str" cm="1">
        <f t="array" ref="AT63">IF('NILAI CPL'!$B63&lt;&gt;"",IFERROR(_xlfn.IFS(W63&gt;='NILAI CPL'!$B$3,4,W63&gt;='NILAI CPL'!$B$4,3,W63&gt;='NILAI CPL'!$B$5,2,W63&gt;'NILAI CPL'!$B$6,1),0),"")</f>
        <v/>
      </c>
      <c r="AU63" s="2" t="str" cm="1">
        <f t="array" ref="AU63">IF('NILAI CPL'!$B63&lt;&gt;"",IFERROR(_xlfn.IFS(X63&gt;='NILAI CPL'!$B$3,4,X63&gt;='NILAI CPL'!$B$4,3,X63&gt;='NILAI CPL'!$B$5,2,X63&gt;'NILAI CPL'!$B$6,1),0),"")</f>
        <v/>
      </c>
      <c r="AV63" s="2" t="str" cm="1">
        <f t="array" ref="AV63">IF('NILAI CPL'!$B63&lt;&gt;"",IFERROR(_xlfn.IFS(Y63&gt;='NILAI CPL'!$B$3,4,Y63&gt;='NILAI CPL'!$B$4,3,Y63&gt;='NILAI CPL'!$B$5,2,Y63&gt;'NILAI CPL'!$B$6,1),0),"")</f>
        <v/>
      </c>
      <c r="AW63" s="2" t="str" cm="1">
        <f t="array" ref="AW63">IF('NILAI CPL'!$B63&lt;&gt;"",IFERROR(_xlfn.IFS(Z63&gt;='NILAI CPL'!$B$3,4,Z63&gt;='NILAI CPL'!$B$4,3,Z63&gt;='NILAI CPL'!$B$5,2,Z63&gt;'NILAI CPL'!$B$6,1),0),"")</f>
        <v/>
      </c>
      <c r="AX63" s="2" t="str" cm="1">
        <f t="array" ref="AX63">IF('NILAI CPL'!$B63&lt;&gt;"",IFERROR(_xlfn.IFS(AA63&gt;='NILAI CPL'!$B$3,4,AA63&gt;='NILAI CPL'!$B$4,3,AA63&gt;='NILAI CPL'!$B$5,2,AA63&gt;'NILAI CPL'!$B$6,1),0),"")</f>
        <v/>
      </c>
      <c r="AY63" s="2" t="str" cm="1">
        <f t="array" ref="AY63">IF('NILAI CPL'!$B63&lt;&gt;"",IFERROR(_xlfn.IFS(AB63&gt;='NILAI CPL'!$B$3,4,AB63&gt;='NILAI CPL'!$B$4,3,AB63&gt;='NILAI CPL'!$B$5,2,AB63&gt;'NILAI CPL'!$B$6,1),0),"")</f>
        <v/>
      </c>
      <c r="AZ63" s="2" t="str" cm="1">
        <f t="array" ref="AZ63">IF('NILAI CPL'!$B63&lt;&gt;"",IFERROR(_xlfn.IFS(AC63&gt;='NILAI CPL'!$B$3,4,AC63&gt;='NILAI CPL'!$B$4,3,AC63&gt;='NILAI CPL'!$B$5,2,AC63&gt;'NILAI CPL'!$B$6,1),0),"")</f>
        <v/>
      </c>
      <c r="BA63" s="2" t="str" cm="1">
        <f t="array" ref="BA63">IF('NILAI CPL'!$B63&lt;&gt;"",IFERROR(_xlfn.IFS(AD63&gt;='NILAI CPL'!$B$3,4,AD63&gt;='NILAI CPL'!$B$4,3,AD63&gt;='NILAI CPL'!$B$5,2,AD63&gt;'NILAI CPL'!$B$6,1),0),"")</f>
        <v/>
      </c>
      <c r="BB63" s="2" t="str" cm="1">
        <f t="array" ref="BB63">IF('NILAI CPL'!$B63&lt;&gt;"",IFERROR(_xlfn.IFS(AE63&gt;='NILAI CPL'!$B$3,4,AE63&gt;='NILAI CPL'!$B$4,3,AE63&gt;='NILAI CPL'!$B$5,2,AE63&gt;'NILAI CPL'!$B$6,1),0),"")</f>
        <v/>
      </c>
      <c r="BC63" s="2" t="str" cm="1">
        <f t="array" ref="BC63">IF('NILAI CPL'!$B63&lt;&gt;"",IFERROR(_xlfn.IFS(AF63&gt;='NILAI CPL'!$B$3,4,AF63&gt;='NILAI CPL'!$B$4,3,AF63&gt;='NILAI CPL'!$B$5,2,AF63&gt;'NILAI CPL'!$B$6,1),0),"")</f>
        <v/>
      </c>
      <c r="BD63" s="2" t="str" cm="1">
        <f t="array" ref="BD63">IF('NILAI CPL'!$B63&lt;&gt;"",IFERROR(_xlfn.IFS(AG63&gt;='NILAI CPL'!$B$3,4,AG63&gt;='NILAI CPL'!$B$4,3,AG63&gt;='NILAI CPL'!$B$5,2,AG63&gt;'NILAI CPL'!$B$6,1),0),"")</f>
        <v/>
      </c>
      <c r="BE63" s="2" t="str" cm="1">
        <f t="array" ref="BE63">IF('NILAI CPL'!$B63&lt;&gt;"",IFERROR(_xlfn.IFS(AH63&gt;='NILAI CPL'!$B$3,4,AH63&gt;='NILAI CPL'!$B$4,3,AH63&gt;='NILAI CPL'!$B$5,2,AH63&gt;'NILAI CPL'!$B$6,1),0),"")</f>
        <v/>
      </c>
      <c r="BF63" s="2" t="str" cm="1">
        <f t="array" ref="BF63">IF('NILAI CPL'!$B63&lt;&gt;"",IFERROR(_xlfn.IFS(AI63&gt;='NILAI CPL'!$B$3,4,AI63&gt;='NILAI CPL'!$B$4,3,AI63&gt;='NILAI CPL'!$B$5,2,AI63&gt;'NILAI CPL'!$B$6,1),0),"")</f>
        <v/>
      </c>
      <c r="BG63" s="2" t="str" cm="1">
        <f t="array" ref="BG63">IF('NILAI CPL'!$B63&lt;&gt;"",IFERROR(_xlfn.IFS(AJ63&gt;='NILAI CPL'!$B$3,4,AJ63&gt;='NILAI CPL'!$B$4,3,AJ63&gt;='NILAI CPL'!$B$5,2,AJ63&gt;'NILAI CPL'!$B$6,1),0),"")</f>
        <v/>
      </c>
      <c r="BH63" s="2" t="str" cm="1">
        <f t="array" ref="BH63">IF('NILAI CPL'!$B63&lt;&gt;"",IFERROR(_xlfn.IFS(AK63&gt;='NILAI CPL'!$B$3,4,AK63&gt;='NILAI CPL'!$B$4,3,AK63&gt;='NILAI CPL'!$B$5,2,AK63&gt;'NILAI CPL'!$B$6,1),0),"")</f>
        <v/>
      </c>
      <c r="BI63" s="2" t="str" cm="1">
        <f t="array" ref="BI63">IF('NILAI CPL'!$B63&lt;&gt;"",IFERROR(_xlfn.IFS(AL63&gt;='NILAI CPL'!$B$3,4,AL63&gt;='NILAI CPL'!$B$4,3,AL63&gt;='NILAI CPL'!$B$5,2,AL63&gt;'NILAI CPL'!$B$6,1),0),"")</f>
        <v/>
      </c>
      <c r="BJ63" s="2" t="str" cm="1">
        <f t="array" ref="BJ63">IF('NILAI CPL'!$B63&lt;&gt;"",IFERROR(_xlfn.IFS(AM63&gt;='NILAI CPL'!$B$3,4,AM63&gt;='NILAI CPL'!$B$4,3,AM63&gt;='NILAI CPL'!$B$5,2,AM63&gt;'NILAI CPL'!$B$6,1),0),"")</f>
        <v/>
      </c>
      <c r="BK63" s="2" t="str" cm="1">
        <f t="array" ref="BK63">IF('NILAI CPL'!$B63&lt;&gt;"",IFERROR(_xlfn.IFS(AN63&gt;='NILAI CPL'!$B$3,4,AN63&gt;='NILAI CPL'!$B$4,3,AN63&gt;='NILAI CPL'!$B$5,2,AN63&gt;'NILAI CPL'!$B$6,1),0),"")</f>
        <v/>
      </c>
    </row>
    <row r="64" spans="1:63" x14ac:dyDescent="0.2">
      <c r="A64" s="2">
        <v>54</v>
      </c>
      <c r="B64" s="2" t="str">
        <f>IF(LEN(SUMMARY!B64)&gt;0, SUMMARY!B64, "")</f>
        <v/>
      </c>
      <c r="C64" s="2" t="str">
        <f>IF(LEN(SUMMARY!C64)&gt;0, SUMMARY!C64, "")</f>
        <v/>
      </c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" t="str">
        <f t="shared" si="2"/>
        <v/>
      </c>
      <c r="S64" s="2" t="str">
        <f t="shared" si="3"/>
        <v/>
      </c>
      <c r="T64" s="2" t="str">
        <f t="shared" si="4"/>
        <v/>
      </c>
      <c r="U64" s="2" t="str">
        <f t="shared" si="5"/>
        <v/>
      </c>
      <c r="V64" s="2" t="str">
        <f t="shared" si="6"/>
        <v/>
      </c>
      <c r="W64" s="2" t="str">
        <f t="shared" si="7"/>
        <v/>
      </c>
      <c r="X64" s="2" t="str">
        <f t="shared" si="8"/>
        <v/>
      </c>
      <c r="Y64" s="2" t="str">
        <f t="shared" si="9"/>
        <v/>
      </c>
      <c r="Z64" s="2" t="str">
        <f t="shared" si="10"/>
        <v/>
      </c>
      <c r="AA64" s="2" t="str">
        <f t="shared" si="11"/>
        <v/>
      </c>
      <c r="AB64" s="2" t="str">
        <f t="shared" si="12"/>
        <v/>
      </c>
      <c r="AC64" s="2" t="str">
        <f t="shared" si="13"/>
        <v/>
      </c>
      <c r="AD64" s="2" t="str">
        <f t="shared" si="14"/>
        <v/>
      </c>
      <c r="AE64" s="2" t="str">
        <f t="shared" si="15"/>
        <v/>
      </c>
      <c r="AF64" s="2" t="str">
        <f t="shared" si="16"/>
        <v/>
      </c>
      <c r="AG64" s="2" t="str">
        <f t="shared" si="17"/>
        <v/>
      </c>
      <c r="AH64" s="2" t="str">
        <f t="shared" si="18"/>
        <v/>
      </c>
      <c r="AI64" s="2" t="str">
        <f t="shared" si="19"/>
        <v/>
      </c>
      <c r="AJ64" s="2" t="str">
        <f t="shared" si="20"/>
        <v/>
      </c>
      <c r="AK64" s="2" t="str">
        <f t="shared" si="21"/>
        <v/>
      </c>
      <c r="AL64" s="2" t="str">
        <f t="shared" si="22"/>
        <v/>
      </c>
      <c r="AM64" s="2" t="str">
        <f t="shared" si="23"/>
        <v/>
      </c>
      <c r="AN64" s="2" t="str">
        <f t="shared" si="24"/>
        <v/>
      </c>
      <c r="AP64" s="2" t="str" cm="1">
        <f t="array" ref="AP64">IF('NILAI CPL'!$B64&lt;&gt;"",IFERROR(_xlfn.IFS(S64&gt;='NILAI CPL'!$B$3,4,S64&gt;='NILAI CPL'!$B$4,3,S64&gt;='NILAI CPL'!$B$5,2,S64&gt;'NILAI CPL'!$B$6,1),0),"")</f>
        <v/>
      </c>
      <c r="AQ64" s="2" t="str" cm="1">
        <f t="array" ref="AQ64">IF('NILAI CPL'!$B64&lt;&gt;"",IFERROR(_xlfn.IFS(T64&gt;='NILAI CPL'!$B$3,4,T64&gt;='NILAI CPL'!$B$4,3,T64&gt;='NILAI CPL'!$B$5,2,T64&gt;'NILAI CPL'!$B$6,1),0),"")</f>
        <v/>
      </c>
      <c r="AR64" s="2" t="str" cm="1">
        <f t="array" ref="AR64">IF('NILAI CPL'!$B64&lt;&gt;"",IFERROR(_xlfn.IFS(U64&gt;='NILAI CPL'!$B$3,4,U64&gt;='NILAI CPL'!$B$4,3,U64&gt;='NILAI CPL'!$B$5,2,U64&gt;'NILAI CPL'!$B$6,1),0),"")</f>
        <v/>
      </c>
      <c r="AS64" s="2" t="str" cm="1">
        <f t="array" ref="AS64">IF('NILAI CPL'!$B64&lt;&gt;"",IFERROR(_xlfn.IFS(V64&gt;='NILAI CPL'!$B$3,4,V64&gt;='NILAI CPL'!$B$4,3,V64&gt;='NILAI CPL'!$B$5,2,V64&gt;'NILAI CPL'!$B$6,1),0),"")</f>
        <v/>
      </c>
      <c r="AT64" s="2" t="str" cm="1">
        <f t="array" ref="AT64">IF('NILAI CPL'!$B64&lt;&gt;"",IFERROR(_xlfn.IFS(W64&gt;='NILAI CPL'!$B$3,4,W64&gt;='NILAI CPL'!$B$4,3,W64&gt;='NILAI CPL'!$B$5,2,W64&gt;'NILAI CPL'!$B$6,1),0),"")</f>
        <v/>
      </c>
      <c r="AU64" s="2" t="str" cm="1">
        <f t="array" ref="AU64">IF('NILAI CPL'!$B64&lt;&gt;"",IFERROR(_xlfn.IFS(X64&gt;='NILAI CPL'!$B$3,4,X64&gt;='NILAI CPL'!$B$4,3,X64&gt;='NILAI CPL'!$B$5,2,X64&gt;'NILAI CPL'!$B$6,1),0),"")</f>
        <v/>
      </c>
      <c r="AV64" s="2" t="str" cm="1">
        <f t="array" ref="AV64">IF('NILAI CPL'!$B64&lt;&gt;"",IFERROR(_xlfn.IFS(Y64&gt;='NILAI CPL'!$B$3,4,Y64&gt;='NILAI CPL'!$B$4,3,Y64&gt;='NILAI CPL'!$B$5,2,Y64&gt;'NILAI CPL'!$B$6,1),0),"")</f>
        <v/>
      </c>
      <c r="AW64" s="2" t="str" cm="1">
        <f t="array" ref="AW64">IF('NILAI CPL'!$B64&lt;&gt;"",IFERROR(_xlfn.IFS(Z64&gt;='NILAI CPL'!$B$3,4,Z64&gt;='NILAI CPL'!$B$4,3,Z64&gt;='NILAI CPL'!$B$5,2,Z64&gt;'NILAI CPL'!$B$6,1),0),"")</f>
        <v/>
      </c>
      <c r="AX64" s="2" t="str" cm="1">
        <f t="array" ref="AX64">IF('NILAI CPL'!$B64&lt;&gt;"",IFERROR(_xlfn.IFS(AA64&gt;='NILAI CPL'!$B$3,4,AA64&gt;='NILAI CPL'!$B$4,3,AA64&gt;='NILAI CPL'!$B$5,2,AA64&gt;'NILAI CPL'!$B$6,1),0),"")</f>
        <v/>
      </c>
      <c r="AY64" s="2" t="str" cm="1">
        <f t="array" ref="AY64">IF('NILAI CPL'!$B64&lt;&gt;"",IFERROR(_xlfn.IFS(AB64&gt;='NILAI CPL'!$B$3,4,AB64&gt;='NILAI CPL'!$B$4,3,AB64&gt;='NILAI CPL'!$B$5,2,AB64&gt;'NILAI CPL'!$B$6,1),0),"")</f>
        <v/>
      </c>
      <c r="AZ64" s="2" t="str" cm="1">
        <f t="array" ref="AZ64">IF('NILAI CPL'!$B64&lt;&gt;"",IFERROR(_xlfn.IFS(AC64&gt;='NILAI CPL'!$B$3,4,AC64&gt;='NILAI CPL'!$B$4,3,AC64&gt;='NILAI CPL'!$B$5,2,AC64&gt;'NILAI CPL'!$B$6,1),0),"")</f>
        <v/>
      </c>
      <c r="BA64" s="2" t="str" cm="1">
        <f t="array" ref="BA64">IF('NILAI CPL'!$B64&lt;&gt;"",IFERROR(_xlfn.IFS(AD64&gt;='NILAI CPL'!$B$3,4,AD64&gt;='NILAI CPL'!$B$4,3,AD64&gt;='NILAI CPL'!$B$5,2,AD64&gt;'NILAI CPL'!$B$6,1),0),"")</f>
        <v/>
      </c>
      <c r="BB64" s="2" t="str" cm="1">
        <f t="array" ref="BB64">IF('NILAI CPL'!$B64&lt;&gt;"",IFERROR(_xlfn.IFS(AE64&gt;='NILAI CPL'!$B$3,4,AE64&gt;='NILAI CPL'!$B$4,3,AE64&gt;='NILAI CPL'!$B$5,2,AE64&gt;'NILAI CPL'!$B$6,1),0),"")</f>
        <v/>
      </c>
      <c r="BC64" s="2" t="str" cm="1">
        <f t="array" ref="BC64">IF('NILAI CPL'!$B64&lt;&gt;"",IFERROR(_xlfn.IFS(AF64&gt;='NILAI CPL'!$B$3,4,AF64&gt;='NILAI CPL'!$B$4,3,AF64&gt;='NILAI CPL'!$B$5,2,AF64&gt;'NILAI CPL'!$B$6,1),0),"")</f>
        <v/>
      </c>
      <c r="BD64" s="2" t="str" cm="1">
        <f t="array" ref="BD64">IF('NILAI CPL'!$B64&lt;&gt;"",IFERROR(_xlfn.IFS(AG64&gt;='NILAI CPL'!$B$3,4,AG64&gt;='NILAI CPL'!$B$4,3,AG64&gt;='NILAI CPL'!$B$5,2,AG64&gt;'NILAI CPL'!$B$6,1),0),"")</f>
        <v/>
      </c>
      <c r="BE64" s="2" t="str" cm="1">
        <f t="array" ref="BE64">IF('NILAI CPL'!$B64&lt;&gt;"",IFERROR(_xlfn.IFS(AH64&gt;='NILAI CPL'!$B$3,4,AH64&gt;='NILAI CPL'!$B$4,3,AH64&gt;='NILAI CPL'!$B$5,2,AH64&gt;'NILAI CPL'!$B$6,1),0),"")</f>
        <v/>
      </c>
      <c r="BF64" s="2" t="str" cm="1">
        <f t="array" ref="BF64">IF('NILAI CPL'!$B64&lt;&gt;"",IFERROR(_xlfn.IFS(AI64&gt;='NILAI CPL'!$B$3,4,AI64&gt;='NILAI CPL'!$B$4,3,AI64&gt;='NILAI CPL'!$B$5,2,AI64&gt;'NILAI CPL'!$B$6,1),0),"")</f>
        <v/>
      </c>
      <c r="BG64" s="2" t="str" cm="1">
        <f t="array" ref="BG64">IF('NILAI CPL'!$B64&lt;&gt;"",IFERROR(_xlfn.IFS(AJ64&gt;='NILAI CPL'!$B$3,4,AJ64&gt;='NILAI CPL'!$B$4,3,AJ64&gt;='NILAI CPL'!$B$5,2,AJ64&gt;'NILAI CPL'!$B$6,1),0),"")</f>
        <v/>
      </c>
      <c r="BH64" s="2" t="str" cm="1">
        <f t="array" ref="BH64">IF('NILAI CPL'!$B64&lt;&gt;"",IFERROR(_xlfn.IFS(AK64&gt;='NILAI CPL'!$B$3,4,AK64&gt;='NILAI CPL'!$B$4,3,AK64&gt;='NILAI CPL'!$B$5,2,AK64&gt;'NILAI CPL'!$B$6,1),0),"")</f>
        <v/>
      </c>
      <c r="BI64" s="2" t="str" cm="1">
        <f t="array" ref="BI64">IF('NILAI CPL'!$B64&lt;&gt;"",IFERROR(_xlfn.IFS(AL64&gt;='NILAI CPL'!$B$3,4,AL64&gt;='NILAI CPL'!$B$4,3,AL64&gt;='NILAI CPL'!$B$5,2,AL64&gt;'NILAI CPL'!$B$6,1),0),"")</f>
        <v/>
      </c>
      <c r="BJ64" s="2" t="str" cm="1">
        <f t="array" ref="BJ64">IF('NILAI CPL'!$B64&lt;&gt;"",IFERROR(_xlfn.IFS(AM64&gt;='NILAI CPL'!$B$3,4,AM64&gt;='NILAI CPL'!$B$4,3,AM64&gt;='NILAI CPL'!$B$5,2,AM64&gt;'NILAI CPL'!$B$6,1),0),"")</f>
        <v/>
      </c>
      <c r="BK64" s="2" t="str" cm="1">
        <f t="array" ref="BK64">IF('NILAI CPL'!$B64&lt;&gt;"",IFERROR(_xlfn.IFS(AN64&gt;='NILAI CPL'!$B$3,4,AN64&gt;='NILAI CPL'!$B$4,3,AN64&gt;='NILAI CPL'!$B$5,2,AN64&gt;'NILAI CPL'!$B$6,1),0),"")</f>
        <v/>
      </c>
    </row>
    <row r="65" spans="1:63" x14ac:dyDescent="0.2">
      <c r="A65" s="2">
        <v>55</v>
      </c>
      <c r="B65" s="2" t="str">
        <f>IF(LEN(SUMMARY!B65)&gt;0, SUMMARY!B65, "")</f>
        <v/>
      </c>
      <c r="C65" s="2" t="str">
        <f>IF(LEN(SUMMARY!C65)&gt;0, SUMMARY!C65, "")</f>
        <v/>
      </c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" t="str">
        <f t="shared" si="2"/>
        <v/>
      </c>
      <c r="S65" s="2" t="str">
        <f t="shared" si="3"/>
        <v/>
      </c>
      <c r="T65" s="2" t="str">
        <f t="shared" si="4"/>
        <v/>
      </c>
      <c r="U65" s="2" t="str">
        <f t="shared" si="5"/>
        <v/>
      </c>
      <c r="V65" s="2" t="str">
        <f t="shared" si="6"/>
        <v/>
      </c>
      <c r="W65" s="2" t="str">
        <f t="shared" si="7"/>
        <v/>
      </c>
      <c r="X65" s="2" t="str">
        <f t="shared" si="8"/>
        <v/>
      </c>
      <c r="Y65" s="2" t="str">
        <f t="shared" si="9"/>
        <v/>
      </c>
      <c r="Z65" s="2" t="str">
        <f t="shared" si="10"/>
        <v/>
      </c>
      <c r="AA65" s="2" t="str">
        <f t="shared" si="11"/>
        <v/>
      </c>
      <c r="AB65" s="2" t="str">
        <f t="shared" si="12"/>
        <v/>
      </c>
      <c r="AC65" s="2" t="str">
        <f t="shared" si="13"/>
        <v/>
      </c>
      <c r="AD65" s="2" t="str">
        <f t="shared" si="14"/>
        <v/>
      </c>
      <c r="AE65" s="2" t="str">
        <f t="shared" si="15"/>
        <v/>
      </c>
      <c r="AF65" s="2" t="str">
        <f t="shared" si="16"/>
        <v/>
      </c>
      <c r="AG65" s="2" t="str">
        <f t="shared" si="17"/>
        <v/>
      </c>
      <c r="AH65" s="2" t="str">
        <f t="shared" si="18"/>
        <v/>
      </c>
      <c r="AI65" s="2" t="str">
        <f t="shared" si="19"/>
        <v/>
      </c>
      <c r="AJ65" s="2" t="str">
        <f t="shared" si="20"/>
        <v/>
      </c>
      <c r="AK65" s="2" t="str">
        <f t="shared" si="21"/>
        <v/>
      </c>
      <c r="AL65" s="2" t="str">
        <f t="shared" si="22"/>
        <v/>
      </c>
      <c r="AM65" s="2" t="str">
        <f t="shared" si="23"/>
        <v/>
      </c>
      <c r="AN65" s="2" t="str">
        <f t="shared" si="24"/>
        <v/>
      </c>
      <c r="AP65" s="2" t="str" cm="1">
        <f t="array" ref="AP65">IF('NILAI CPL'!$B65&lt;&gt;"",IFERROR(_xlfn.IFS(S65&gt;='NILAI CPL'!$B$3,4,S65&gt;='NILAI CPL'!$B$4,3,S65&gt;='NILAI CPL'!$B$5,2,S65&gt;'NILAI CPL'!$B$6,1),0),"")</f>
        <v/>
      </c>
      <c r="AQ65" s="2" t="str" cm="1">
        <f t="array" ref="AQ65">IF('NILAI CPL'!$B65&lt;&gt;"",IFERROR(_xlfn.IFS(T65&gt;='NILAI CPL'!$B$3,4,T65&gt;='NILAI CPL'!$B$4,3,T65&gt;='NILAI CPL'!$B$5,2,T65&gt;'NILAI CPL'!$B$6,1),0),"")</f>
        <v/>
      </c>
      <c r="AR65" s="2" t="str" cm="1">
        <f t="array" ref="AR65">IF('NILAI CPL'!$B65&lt;&gt;"",IFERROR(_xlfn.IFS(U65&gt;='NILAI CPL'!$B$3,4,U65&gt;='NILAI CPL'!$B$4,3,U65&gt;='NILAI CPL'!$B$5,2,U65&gt;'NILAI CPL'!$B$6,1),0),"")</f>
        <v/>
      </c>
      <c r="AS65" s="2" t="str" cm="1">
        <f t="array" ref="AS65">IF('NILAI CPL'!$B65&lt;&gt;"",IFERROR(_xlfn.IFS(V65&gt;='NILAI CPL'!$B$3,4,V65&gt;='NILAI CPL'!$B$4,3,V65&gt;='NILAI CPL'!$B$5,2,V65&gt;'NILAI CPL'!$B$6,1),0),"")</f>
        <v/>
      </c>
      <c r="AT65" s="2" t="str" cm="1">
        <f t="array" ref="AT65">IF('NILAI CPL'!$B65&lt;&gt;"",IFERROR(_xlfn.IFS(W65&gt;='NILAI CPL'!$B$3,4,W65&gt;='NILAI CPL'!$B$4,3,W65&gt;='NILAI CPL'!$B$5,2,W65&gt;'NILAI CPL'!$B$6,1),0),"")</f>
        <v/>
      </c>
      <c r="AU65" s="2" t="str" cm="1">
        <f t="array" ref="AU65">IF('NILAI CPL'!$B65&lt;&gt;"",IFERROR(_xlfn.IFS(X65&gt;='NILAI CPL'!$B$3,4,X65&gt;='NILAI CPL'!$B$4,3,X65&gt;='NILAI CPL'!$B$5,2,X65&gt;'NILAI CPL'!$B$6,1),0),"")</f>
        <v/>
      </c>
      <c r="AV65" s="2" t="str" cm="1">
        <f t="array" ref="AV65">IF('NILAI CPL'!$B65&lt;&gt;"",IFERROR(_xlfn.IFS(Y65&gt;='NILAI CPL'!$B$3,4,Y65&gt;='NILAI CPL'!$B$4,3,Y65&gt;='NILAI CPL'!$B$5,2,Y65&gt;'NILAI CPL'!$B$6,1),0),"")</f>
        <v/>
      </c>
      <c r="AW65" s="2" t="str" cm="1">
        <f t="array" ref="AW65">IF('NILAI CPL'!$B65&lt;&gt;"",IFERROR(_xlfn.IFS(Z65&gt;='NILAI CPL'!$B$3,4,Z65&gt;='NILAI CPL'!$B$4,3,Z65&gt;='NILAI CPL'!$B$5,2,Z65&gt;'NILAI CPL'!$B$6,1),0),"")</f>
        <v/>
      </c>
      <c r="AX65" s="2" t="str" cm="1">
        <f t="array" ref="AX65">IF('NILAI CPL'!$B65&lt;&gt;"",IFERROR(_xlfn.IFS(AA65&gt;='NILAI CPL'!$B$3,4,AA65&gt;='NILAI CPL'!$B$4,3,AA65&gt;='NILAI CPL'!$B$5,2,AA65&gt;'NILAI CPL'!$B$6,1),0),"")</f>
        <v/>
      </c>
      <c r="AY65" s="2" t="str" cm="1">
        <f t="array" ref="AY65">IF('NILAI CPL'!$B65&lt;&gt;"",IFERROR(_xlfn.IFS(AB65&gt;='NILAI CPL'!$B$3,4,AB65&gt;='NILAI CPL'!$B$4,3,AB65&gt;='NILAI CPL'!$B$5,2,AB65&gt;'NILAI CPL'!$B$6,1),0),"")</f>
        <v/>
      </c>
      <c r="AZ65" s="2" t="str" cm="1">
        <f t="array" ref="AZ65">IF('NILAI CPL'!$B65&lt;&gt;"",IFERROR(_xlfn.IFS(AC65&gt;='NILAI CPL'!$B$3,4,AC65&gt;='NILAI CPL'!$B$4,3,AC65&gt;='NILAI CPL'!$B$5,2,AC65&gt;'NILAI CPL'!$B$6,1),0),"")</f>
        <v/>
      </c>
      <c r="BA65" s="2" t="str" cm="1">
        <f t="array" ref="BA65">IF('NILAI CPL'!$B65&lt;&gt;"",IFERROR(_xlfn.IFS(AD65&gt;='NILAI CPL'!$B$3,4,AD65&gt;='NILAI CPL'!$B$4,3,AD65&gt;='NILAI CPL'!$B$5,2,AD65&gt;'NILAI CPL'!$B$6,1),0),"")</f>
        <v/>
      </c>
      <c r="BB65" s="2" t="str" cm="1">
        <f t="array" ref="BB65">IF('NILAI CPL'!$B65&lt;&gt;"",IFERROR(_xlfn.IFS(AE65&gt;='NILAI CPL'!$B$3,4,AE65&gt;='NILAI CPL'!$B$4,3,AE65&gt;='NILAI CPL'!$B$5,2,AE65&gt;'NILAI CPL'!$B$6,1),0),"")</f>
        <v/>
      </c>
      <c r="BC65" s="2" t="str" cm="1">
        <f t="array" ref="BC65">IF('NILAI CPL'!$B65&lt;&gt;"",IFERROR(_xlfn.IFS(AF65&gt;='NILAI CPL'!$B$3,4,AF65&gt;='NILAI CPL'!$B$4,3,AF65&gt;='NILAI CPL'!$B$5,2,AF65&gt;'NILAI CPL'!$B$6,1),0),"")</f>
        <v/>
      </c>
      <c r="BD65" s="2" t="str" cm="1">
        <f t="array" ref="BD65">IF('NILAI CPL'!$B65&lt;&gt;"",IFERROR(_xlfn.IFS(AG65&gt;='NILAI CPL'!$B$3,4,AG65&gt;='NILAI CPL'!$B$4,3,AG65&gt;='NILAI CPL'!$B$5,2,AG65&gt;'NILAI CPL'!$B$6,1),0),"")</f>
        <v/>
      </c>
      <c r="BE65" s="2" t="str" cm="1">
        <f t="array" ref="BE65">IF('NILAI CPL'!$B65&lt;&gt;"",IFERROR(_xlfn.IFS(AH65&gt;='NILAI CPL'!$B$3,4,AH65&gt;='NILAI CPL'!$B$4,3,AH65&gt;='NILAI CPL'!$B$5,2,AH65&gt;'NILAI CPL'!$B$6,1),0),"")</f>
        <v/>
      </c>
      <c r="BF65" s="2" t="str" cm="1">
        <f t="array" ref="BF65">IF('NILAI CPL'!$B65&lt;&gt;"",IFERROR(_xlfn.IFS(AI65&gt;='NILAI CPL'!$B$3,4,AI65&gt;='NILAI CPL'!$B$4,3,AI65&gt;='NILAI CPL'!$B$5,2,AI65&gt;'NILAI CPL'!$B$6,1),0),"")</f>
        <v/>
      </c>
      <c r="BG65" s="2" t="str" cm="1">
        <f t="array" ref="BG65">IF('NILAI CPL'!$B65&lt;&gt;"",IFERROR(_xlfn.IFS(AJ65&gt;='NILAI CPL'!$B$3,4,AJ65&gt;='NILAI CPL'!$B$4,3,AJ65&gt;='NILAI CPL'!$B$5,2,AJ65&gt;'NILAI CPL'!$B$6,1),0),"")</f>
        <v/>
      </c>
      <c r="BH65" s="2" t="str" cm="1">
        <f t="array" ref="BH65">IF('NILAI CPL'!$B65&lt;&gt;"",IFERROR(_xlfn.IFS(AK65&gt;='NILAI CPL'!$B$3,4,AK65&gt;='NILAI CPL'!$B$4,3,AK65&gt;='NILAI CPL'!$B$5,2,AK65&gt;'NILAI CPL'!$B$6,1),0),"")</f>
        <v/>
      </c>
      <c r="BI65" s="2" t="str" cm="1">
        <f t="array" ref="BI65">IF('NILAI CPL'!$B65&lt;&gt;"",IFERROR(_xlfn.IFS(AL65&gt;='NILAI CPL'!$B$3,4,AL65&gt;='NILAI CPL'!$B$4,3,AL65&gt;='NILAI CPL'!$B$5,2,AL65&gt;'NILAI CPL'!$B$6,1),0),"")</f>
        <v/>
      </c>
      <c r="BJ65" s="2" t="str" cm="1">
        <f t="array" ref="BJ65">IF('NILAI CPL'!$B65&lt;&gt;"",IFERROR(_xlfn.IFS(AM65&gt;='NILAI CPL'!$B$3,4,AM65&gt;='NILAI CPL'!$B$4,3,AM65&gt;='NILAI CPL'!$B$5,2,AM65&gt;'NILAI CPL'!$B$6,1),0),"")</f>
        <v/>
      </c>
      <c r="BK65" s="2" t="str" cm="1">
        <f t="array" ref="BK65">IF('NILAI CPL'!$B65&lt;&gt;"",IFERROR(_xlfn.IFS(AN65&gt;='NILAI CPL'!$B$3,4,AN65&gt;='NILAI CPL'!$B$4,3,AN65&gt;='NILAI CPL'!$B$5,2,AN65&gt;'NILAI CPL'!$B$6,1),0),"")</f>
        <v/>
      </c>
    </row>
    <row r="66" spans="1:63" x14ac:dyDescent="0.2">
      <c r="A66" s="2">
        <v>56</v>
      </c>
      <c r="B66" s="2" t="str">
        <f>IF(LEN(SUMMARY!B66)&gt;0, SUMMARY!B66, "")</f>
        <v/>
      </c>
      <c r="C66" s="2" t="str">
        <f>IF(LEN(SUMMARY!C66)&gt;0, SUMMARY!C66, "")</f>
        <v/>
      </c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" t="str">
        <f t="shared" si="2"/>
        <v/>
      </c>
      <c r="S66" s="2" t="str">
        <f t="shared" si="3"/>
        <v/>
      </c>
      <c r="T66" s="2" t="str">
        <f t="shared" si="4"/>
        <v/>
      </c>
      <c r="U66" s="2" t="str">
        <f t="shared" si="5"/>
        <v/>
      </c>
      <c r="V66" s="2" t="str">
        <f t="shared" si="6"/>
        <v/>
      </c>
      <c r="W66" s="2" t="str">
        <f t="shared" si="7"/>
        <v/>
      </c>
      <c r="X66" s="2" t="str">
        <f t="shared" si="8"/>
        <v/>
      </c>
      <c r="Y66" s="2" t="str">
        <f t="shared" si="9"/>
        <v/>
      </c>
      <c r="Z66" s="2" t="str">
        <f t="shared" si="10"/>
        <v/>
      </c>
      <c r="AA66" s="2" t="str">
        <f t="shared" si="11"/>
        <v/>
      </c>
      <c r="AB66" s="2" t="str">
        <f t="shared" si="12"/>
        <v/>
      </c>
      <c r="AC66" s="2" t="str">
        <f t="shared" si="13"/>
        <v/>
      </c>
      <c r="AD66" s="2" t="str">
        <f t="shared" si="14"/>
        <v/>
      </c>
      <c r="AE66" s="2" t="str">
        <f t="shared" si="15"/>
        <v/>
      </c>
      <c r="AF66" s="2" t="str">
        <f t="shared" si="16"/>
        <v/>
      </c>
      <c r="AG66" s="2" t="str">
        <f t="shared" si="17"/>
        <v/>
      </c>
      <c r="AH66" s="2" t="str">
        <f t="shared" si="18"/>
        <v/>
      </c>
      <c r="AI66" s="2" t="str">
        <f t="shared" si="19"/>
        <v/>
      </c>
      <c r="AJ66" s="2" t="str">
        <f t="shared" si="20"/>
        <v/>
      </c>
      <c r="AK66" s="2" t="str">
        <f t="shared" si="21"/>
        <v/>
      </c>
      <c r="AL66" s="2" t="str">
        <f t="shared" si="22"/>
        <v/>
      </c>
      <c r="AM66" s="2" t="str">
        <f t="shared" si="23"/>
        <v/>
      </c>
      <c r="AN66" s="2" t="str">
        <f t="shared" si="24"/>
        <v/>
      </c>
      <c r="AP66" s="2" t="str" cm="1">
        <f t="array" ref="AP66">IF('NILAI CPL'!$B66&lt;&gt;"",IFERROR(_xlfn.IFS(S66&gt;='NILAI CPL'!$B$3,4,S66&gt;='NILAI CPL'!$B$4,3,S66&gt;='NILAI CPL'!$B$5,2,S66&gt;'NILAI CPL'!$B$6,1),0),"")</f>
        <v/>
      </c>
      <c r="AQ66" s="2" t="str" cm="1">
        <f t="array" ref="AQ66">IF('NILAI CPL'!$B66&lt;&gt;"",IFERROR(_xlfn.IFS(T66&gt;='NILAI CPL'!$B$3,4,T66&gt;='NILAI CPL'!$B$4,3,T66&gt;='NILAI CPL'!$B$5,2,T66&gt;'NILAI CPL'!$B$6,1),0),"")</f>
        <v/>
      </c>
      <c r="AR66" s="2" t="str" cm="1">
        <f t="array" ref="AR66">IF('NILAI CPL'!$B66&lt;&gt;"",IFERROR(_xlfn.IFS(U66&gt;='NILAI CPL'!$B$3,4,U66&gt;='NILAI CPL'!$B$4,3,U66&gt;='NILAI CPL'!$B$5,2,U66&gt;'NILAI CPL'!$B$6,1),0),"")</f>
        <v/>
      </c>
      <c r="AS66" s="2" t="str" cm="1">
        <f t="array" ref="AS66">IF('NILAI CPL'!$B66&lt;&gt;"",IFERROR(_xlfn.IFS(V66&gt;='NILAI CPL'!$B$3,4,V66&gt;='NILAI CPL'!$B$4,3,V66&gt;='NILAI CPL'!$B$5,2,V66&gt;'NILAI CPL'!$B$6,1),0),"")</f>
        <v/>
      </c>
      <c r="AT66" s="2" t="str" cm="1">
        <f t="array" ref="AT66">IF('NILAI CPL'!$B66&lt;&gt;"",IFERROR(_xlfn.IFS(W66&gt;='NILAI CPL'!$B$3,4,W66&gt;='NILAI CPL'!$B$4,3,W66&gt;='NILAI CPL'!$B$5,2,W66&gt;'NILAI CPL'!$B$6,1),0),"")</f>
        <v/>
      </c>
      <c r="AU66" s="2" t="str" cm="1">
        <f t="array" ref="AU66">IF('NILAI CPL'!$B66&lt;&gt;"",IFERROR(_xlfn.IFS(X66&gt;='NILAI CPL'!$B$3,4,X66&gt;='NILAI CPL'!$B$4,3,X66&gt;='NILAI CPL'!$B$5,2,X66&gt;'NILAI CPL'!$B$6,1),0),"")</f>
        <v/>
      </c>
      <c r="AV66" s="2" t="str" cm="1">
        <f t="array" ref="AV66">IF('NILAI CPL'!$B66&lt;&gt;"",IFERROR(_xlfn.IFS(Y66&gt;='NILAI CPL'!$B$3,4,Y66&gt;='NILAI CPL'!$B$4,3,Y66&gt;='NILAI CPL'!$B$5,2,Y66&gt;'NILAI CPL'!$B$6,1),0),"")</f>
        <v/>
      </c>
      <c r="AW66" s="2" t="str" cm="1">
        <f t="array" ref="AW66">IF('NILAI CPL'!$B66&lt;&gt;"",IFERROR(_xlfn.IFS(Z66&gt;='NILAI CPL'!$B$3,4,Z66&gt;='NILAI CPL'!$B$4,3,Z66&gt;='NILAI CPL'!$B$5,2,Z66&gt;'NILAI CPL'!$B$6,1),0),"")</f>
        <v/>
      </c>
      <c r="AX66" s="2" t="str" cm="1">
        <f t="array" ref="AX66">IF('NILAI CPL'!$B66&lt;&gt;"",IFERROR(_xlfn.IFS(AA66&gt;='NILAI CPL'!$B$3,4,AA66&gt;='NILAI CPL'!$B$4,3,AA66&gt;='NILAI CPL'!$B$5,2,AA66&gt;'NILAI CPL'!$B$6,1),0),"")</f>
        <v/>
      </c>
      <c r="AY66" s="2" t="str" cm="1">
        <f t="array" ref="AY66">IF('NILAI CPL'!$B66&lt;&gt;"",IFERROR(_xlfn.IFS(AB66&gt;='NILAI CPL'!$B$3,4,AB66&gt;='NILAI CPL'!$B$4,3,AB66&gt;='NILAI CPL'!$B$5,2,AB66&gt;'NILAI CPL'!$B$6,1),0),"")</f>
        <v/>
      </c>
      <c r="AZ66" s="2" t="str" cm="1">
        <f t="array" ref="AZ66">IF('NILAI CPL'!$B66&lt;&gt;"",IFERROR(_xlfn.IFS(AC66&gt;='NILAI CPL'!$B$3,4,AC66&gt;='NILAI CPL'!$B$4,3,AC66&gt;='NILAI CPL'!$B$5,2,AC66&gt;'NILAI CPL'!$B$6,1),0),"")</f>
        <v/>
      </c>
      <c r="BA66" s="2" t="str" cm="1">
        <f t="array" ref="BA66">IF('NILAI CPL'!$B66&lt;&gt;"",IFERROR(_xlfn.IFS(AD66&gt;='NILAI CPL'!$B$3,4,AD66&gt;='NILAI CPL'!$B$4,3,AD66&gt;='NILAI CPL'!$B$5,2,AD66&gt;'NILAI CPL'!$B$6,1),0),"")</f>
        <v/>
      </c>
      <c r="BB66" s="2" t="str" cm="1">
        <f t="array" ref="BB66">IF('NILAI CPL'!$B66&lt;&gt;"",IFERROR(_xlfn.IFS(AE66&gt;='NILAI CPL'!$B$3,4,AE66&gt;='NILAI CPL'!$B$4,3,AE66&gt;='NILAI CPL'!$B$5,2,AE66&gt;'NILAI CPL'!$B$6,1),0),"")</f>
        <v/>
      </c>
      <c r="BC66" s="2" t="str" cm="1">
        <f t="array" ref="BC66">IF('NILAI CPL'!$B66&lt;&gt;"",IFERROR(_xlfn.IFS(AF66&gt;='NILAI CPL'!$B$3,4,AF66&gt;='NILAI CPL'!$B$4,3,AF66&gt;='NILAI CPL'!$B$5,2,AF66&gt;'NILAI CPL'!$B$6,1),0),"")</f>
        <v/>
      </c>
      <c r="BD66" s="2" t="str" cm="1">
        <f t="array" ref="BD66">IF('NILAI CPL'!$B66&lt;&gt;"",IFERROR(_xlfn.IFS(AG66&gt;='NILAI CPL'!$B$3,4,AG66&gt;='NILAI CPL'!$B$4,3,AG66&gt;='NILAI CPL'!$B$5,2,AG66&gt;'NILAI CPL'!$B$6,1),0),"")</f>
        <v/>
      </c>
      <c r="BE66" s="2" t="str" cm="1">
        <f t="array" ref="BE66">IF('NILAI CPL'!$B66&lt;&gt;"",IFERROR(_xlfn.IFS(AH66&gt;='NILAI CPL'!$B$3,4,AH66&gt;='NILAI CPL'!$B$4,3,AH66&gt;='NILAI CPL'!$B$5,2,AH66&gt;'NILAI CPL'!$B$6,1),0),"")</f>
        <v/>
      </c>
      <c r="BF66" s="2" t="str" cm="1">
        <f t="array" ref="BF66">IF('NILAI CPL'!$B66&lt;&gt;"",IFERROR(_xlfn.IFS(AI66&gt;='NILAI CPL'!$B$3,4,AI66&gt;='NILAI CPL'!$B$4,3,AI66&gt;='NILAI CPL'!$B$5,2,AI66&gt;'NILAI CPL'!$B$6,1),0),"")</f>
        <v/>
      </c>
      <c r="BG66" s="2" t="str" cm="1">
        <f t="array" ref="BG66">IF('NILAI CPL'!$B66&lt;&gt;"",IFERROR(_xlfn.IFS(AJ66&gt;='NILAI CPL'!$B$3,4,AJ66&gt;='NILAI CPL'!$B$4,3,AJ66&gt;='NILAI CPL'!$B$5,2,AJ66&gt;'NILAI CPL'!$B$6,1),0),"")</f>
        <v/>
      </c>
      <c r="BH66" s="2" t="str" cm="1">
        <f t="array" ref="BH66">IF('NILAI CPL'!$B66&lt;&gt;"",IFERROR(_xlfn.IFS(AK66&gt;='NILAI CPL'!$B$3,4,AK66&gt;='NILAI CPL'!$B$4,3,AK66&gt;='NILAI CPL'!$B$5,2,AK66&gt;'NILAI CPL'!$B$6,1),0),"")</f>
        <v/>
      </c>
      <c r="BI66" s="2" t="str" cm="1">
        <f t="array" ref="BI66">IF('NILAI CPL'!$B66&lt;&gt;"",IFERROR(_xlfn.IFS(AL66&gt;='NILAI CPL'!$B$3,4,AL66&gt;='NILAI CPL'!$B$4,3,AL66&gt;='NILAI CPL'!$B$5,2,AL66&gt;'NILAI CPL'!$B$6,1),0),"")</f>
        <v/>
      </c>
      <c r="BJ66" s="2" t="str" cm="1">
        <f t="array" ref="BJ66">IF('NILAI CPL'!$B66&lt;&gt;"",IFERROR(_xlfn.IFS(AM66&gt;='NILAI CPL'!$B$3,4,AM66&gt;='NILAI CPL'!$B$4,3,AM66&gt;='NILAI CPL'!$B$5,2,AM66&gt;'NILAI CPL'!$B$6,1),0),"")</f>
        <v/>
      </c>
      <c r="BK66" s="2" t="str" cm="1">
        <f t="array" ref="BK66">IF('NILAI CPL'!$B66&lt;&gt;"",IFERROR(_xlfn.IFS(AN66&gt;='NILAI CPL'!$B$3,4,AN66&gt;='NILAI CPL'!$B$4,3,AN66&gt;='NILAI CPL'!$B$5,2,AN66&gt;'NILAI CPL'!$B$6,1),0),"")</f>
        <v/>
      </c>
    </row>
    <row r="67" spans="1:63" x14ac:dyDescent="0.2">
      <c r="A67" s="2">
        <v>57</v>
      </c>
      <c r="B67" s="2" t="str">
        <f>IF(LEN(SUMMARY!B67)&gt;0, SUMMARY!B67, "")</f>
        <v/>
      </c>
      <c r="C67" s="2" t="str">
        <f>IF(LEN(SUMMARY!C67)&gt;0, SUMMARY!C67, "")</f>
        <v/>
      </c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" t="str">
        <f t="shared" si="2"/>
        <v/>
      </c>
      <c r="S67" s="2" t="str">
        <f t="shared" si="3"/>
        <v/>
      </c>
      <c r="T67" s="2" t="str">
        <f t="shared" si="4"/>
        <v/>
      </c>
      <c r="U67" s="2" t="str">
        <f t="shared" si="5"/>
        <v/>
      </c>
      <c r="V67" s="2" t="str">
        <f t="shared" si="6"/>
        <v/>
      </c>
      <c r="W67" s="2" t="str">
        <f t="shared" si="7"/>
        <v/>
      </c>
      <c r="X67" s="2" t="str">
        <f t="shared" si="8"/>
        <v/>
      </c>
      <c r="Y67" s="2" t="str">
        <f t="shared" si="9"/>
        <v/>
      </c>
      <c r="Z67" s="2" t="str">
        <f t="shared" si="10"/>
        <v/>
      </c>
      <c r="AA67" s="2" t="str">
        <f t="shared" si="11"/>
        <v/>
      </c>
      <c r="AB67" s="2" t="str">
        <f t="shared" si="12"/>
        <v/>
      </c>
      <c r="AC67" s="2" t="str">
        <f t="shared" si="13"/>
        <v/>
      </c>
      <c r="AD67" s="2" t="str">
        <f t="shared" si="14"/>
        <v/>
      </c>
      <c r="AE67" s="2" t="str">
        <f t="shared" si="15"/>
        <v/>
      </c>
      <c r="AF67" s="2" t="str">
        <f t="shared" si="16"/>
        <v/>
      </c>
      <c r="AG67" s="2" t="str">
        <f t="shared" si="17"/>
        <v/>
      </c>
      <c r="AH67" s="2" t="str">
        <f t="shared" si="18"/>
        <v/>
      </c>
      <c r="AI67" s="2" t="str">
        <f t="shared" si="19"/>
        <v/>
      </c>
      <c r="AJ67" s="2" t="str">
        <f t="shared" si="20"/>
        <v/>
      </c>
      <c r="AK67" s="2" t="str">
        <f t="shared" si="21"/>
        <v/>
      </c>
      <c r="AL67" s="2" t="str">
        <f t="shared" si="22"/>
        <v/>
      </c>
      <c r="AM67" s="2" t="str">
        <f t="shared" si="23"/>
        <v/>
      </c>
      <c r="AN67" s="2" t="str">
        <f t="shared" si="24"/>
        <v/>
      </c>
      <c r="AP67" s="2" t="str" cm="1">
        <f t="array" ref="AP67">IF('NILAI CPL'!$B67&lt;&gt;"",IFERROR(_xlfn.IFS(S67&gt;='NILAI CPL'!$B$3,4,S67&gt;='NILAI CPL'!$B$4,3,S67&gt;='NILAI CPL'!$B$5,2,S67&gt;'NILAI CPL'!$B$6,1),0),"")</f>
        <v/>
      </c>
      <c r="AQ67" s="2" t="str" cm="1">
        <f t="array" ref="AQ67">IF('NILAI CPL'!$B67&lt;&gt;"",IFERROR(_xlfn.IFS(T67&gt;='NILAI CPL'!$B$3,4,T67&gt;='NILAI CPL'!$B$4,3,T67&gt;='NILAI CPL'!$B$5,2,T67&gt;'NILAI CPL'!$B$6,1),0),"")</f>
        <v/>
      </c>
      <c r="AR67" s="2" t="str" cm="1">
        <f t="array" ref="AR67">IF('NILAI CPL'!$B67&lt;&gt;"",IFERROR(_xlfn.IFS(U67&gt;='NILAI CPL'!$B$3,4,U67&gt;='NILAI CPL'!$B$4,3,U67&gt;='NILAI CPL'!$B$5,2,U67&gt;'NILAI CPL'!$B$6,1),0),"")</f>
        <v/>
      </c>
      <c r="AS67" s="2" t="str" cm="1">
        <f t="array" ref="AS67">IF('NILAI CPL'!$B67&lt;&gt;"",IFERROR(_xlfn.IFS(V67&gt;='NILAI CPL'!$B$3,4,V67&gt;='NILAI CPL'!$B$4,3,V67&gt;='NILAI CPL'!$B$5,2,V67&gt;'NILAI CPL'!$B$6,1),0),"")</f>
        <v/>
      </c>
      <c r="AT67" s="2" t="str" cm="1">
        <f t="array" ref="AT67">IF('NILAI CPL'!$B67&lt;&gt;"",IFERROR(_xlfn.IFS(W67&gt;='NILAI CPL'!$B$3,4,W67&gt;='NILAI CPL'!$B$4,3,W67&gt;='NILAI CPL'!$B$5,2,W67&gt;'NILAI CPL'!$B$6,1),0),"")</f>
        <v/>
      </c>
      <c r="AU67" s="2" t="str" cm="1">
        <f t="array" ref="AU67">IF('NILAI CPL'!$B67&lt;&gt;"",IFERROR(_xlfn.IFS(X67&gt;='NILAI CPL'!$B$3,4,X67&gt;='NILAI CPL'!$B$4,3,X67&gt;='NILAI CPL'!$B$5,2,X67&gt;'NILAI CPL'!$B$6,1),0),"")</f>
        <v/>
      </c>
      <c r="AV67" s="2" t="str" cm="1">
        <f t="array" ref="AV67">IF('NILAI CPL'!$B67&lt;&gt;"",IFERROR(_xlfn.IFS(Y67&gt;='NILAI CPL'!$B$3,4,Y67&gt;='NILAI CPL'!$B$4,3,Y67&gt;='NILAI CPL'!$B$5,2,Y67&gt;'NILAI CPL'!$B$6,1),0),"")</f>
        <v/>
      </c>
      <c r="AW67" s="2" t="str" cm="1">
        <f t="array" ref="AW67">IF('NILAI CPL'!$B67&lt;&gt;"",IFERROR(_xlfn.IFS(Z67&gt;='NILAI CPL'!$B$3,4,Z67&gt;='NILAI CPL'!$B$4,3,Z67&gt;='NILAI CPL'!$B$5,2,Z67&gt;'NILAI CPL'!$B$6,1),0),"")</f>
        <v/>
      </c>
      <c r="AX67" s="2" t="str" cm="1">
        <f t="array" ref="AX67">IF('NILAI CPL'!$B67&lt;&gt;"",IFERROR(_xlfn.IFS(AA67&gt;='NILAI CPL'!$B$3,4,AA67&gt;='NILAI CPL'!$B$4,3,AA67&gt;='NILAI CPL'!$B$5,2,AA67&gt;'NILAI CPL'!$B$6,1),0),"")</f>
        <v/>
      </c>
      <c r="AY67" s="2" t="str" cm="1">
        <f t="array" ref="AY67">IF('NILAI CPL'!$B67&lt;&gt;"",IFERROR(_xlfn.IFS(AB67&gt;='NILAI CPL'!$B$3,4,AB67&gt;='NILAI CPL'!$B$4,3,AB67&gt;='NILAI CPL'!$B$5,2,AB67&gt;'NILAI CPL'!$B$6,1),0),"")</f>
        <v/>
      </c>
      <c r="AZ67" s="2" t="str" cm="1">
        <f t="array" ref="AZ67">IF('NILAI CPL'!$B67&lt;&gt;"",IFERROR(_xlfn.IFS(AC67&gt;='NILAI CPL'!$B$3,4,AC67&gt;='NILAI CPL'!$B$4,3,AC67&gt;='NILAI CPL'!$B$5,2,AC67&gt;'NILAI CPL'!$B$6,1),0),"")</f>
        <v/>
      </c>
      <c r="BA67" s="2" t="str" cm="1">
        <f t="array" ref="BA67">IF('NILAI CPL'!$B67&lt;&gt;"",IFERROR(_xlfn.IFS(AD67&gt;='NILAI CPL'!$B$3,4,AD67&gt;='NILAI CPL'!$B$4,3,AD67&gt;='NILAI CPL'!$B$5,2,AD67&gt;'NILAI CPL'!$B$6,1),0),"")</f>
        <v/>
      </c>
      <c r="BB67" s="2" t="str" cm="1">
        <f t="array" ref="BB67">IF('NILAI CPL'!$B67&lt;&gt;"",IFERROR(_xlfn.IFS(AE67&gt;='NILAI CPL'!$B$3,4,AE67&gt;='NILAI CPL'!$B$4,3,AE67&gt;='NILAI CPL'!$B$5,2,AE67&gt;'NILAI CPL'!$B$6,1),0),"")</f>
        <v/>
      </c>
      <c r="BC67" s="2" t="str" cm="1">
        <f t="array" ref="BC67">IF('NILAI CPL'!$B67&lt;&gt;"",IFERROR(_xlfn.IFS(AF67&gt;='NILAI CPL'!$B$3,4,AF67&gt;='NILAI CPL'!$B$4,3,AF67&gt;='NILAI CPL'!$B$5,2,AF67&gt;'NILAI CPL'!$B$6,1),0),"")</f>
        <v/>
      </c>
      <c r="BD67" s="2" t="str" cm="1">
        <f t="array" ref="BD67">IF('NILAI CPL'!$B67&lt;&gt;"",IFERROR(_xlfn.IFS(AG67&gt;='NILAI CPL'!$B$3,4,AG67&gt;='NILAI CPL'!$B$4,3,AG67&gt;='NILAI CPL'!$B$5,2,AG67&gt;'NILAI CPL'!$B$6,1),0),"")</f>
        <v/>
      </c>
      <c r="BE67" s="2" t="str" cm="1">
        <f t="array" ref="BE67">IF('NILAI CPL'!$B67&lt;&gt;"",IFERROR(_xlfn.IFS(AH67&gt;='NILAI CPL'!$B$3,4,AH67&gt;='NILAI CPL'!$B$4,3,AH67&gt;='NILAI CPL'!$B$5,2,AH67&gt;'NILAI CPL'!$B$6,1),0),"")</f>
        <v/>
      </c>
      <c r="BF67" s="2" t="str" cm="1">
        <f t="array" ref="BF67">IF('NILAI CPL'!$B67&lt;&gt;"",IFERROR(_xlfn.IFS(AI67&gt;='NILAI CPL'!$B$3,4,AI67&gt;='NILAI CPL'!$B$4,3,AI67&gt;='NILAI CPL'!$B$5,2,AI67&gt;'NILAI CPL'!$B$6,1),0),"")</f>
        <v/>
      </c>
      <c r="BG67" s="2" t="str" cm="1">
        <f t="array" ref="BG67">IF('NILAI CPL'!$B67&lt;&gt;"",IFERROR(_xlfn.IFS(AJ67&gt;='NILAI CPL'!$B$3,4,AJ67&gt;='NILAI CPL'!$B$4,3,AJ67&gt;='NILAI CPL'!$B$5,2,AJ67&gt;'NILAI CPL'!$B$6,1),0),"")</f>
        <v/>
      </c>
      <c r="BH67" s="2" t="str" cm="1">
        <f t="array" ref="BH67">IF('NILAI CPL'!$B67&lt;&gt;"",IFERROR(_xlfn.IFS(AK67&gt;='NILAI CPL'!$B$3,4,AK67&gt;='NILAI CPL'!$B$4,3,AK67&gt;='NILAI CPL'!$B$5,2,AK67&gt;'NILAI CPL'!$B$6,1),0),"")</f>
        <v/>
      </c>
      <c r="BI67" s="2" t="str" cm="1">
        <f t="array" ref="BI67">IF('NILAI CPL'!$B67&lt;&gt;"",IFERROR(_xlfn.IFS(AL67&gt;='NILAI CPL'!$B$3,4,AL67&gt;='NILAI CPL'!$B$4,3,AL67&gt;='NILAI CPL'!$B$5,2,AL67&gt;'NILAI CPL'!$B$6,1),0),"")</f>
        <v/>
      </c>
      <c r="BJ67" s="2" t="str" cm="1">
        <f t="array" ref="BJ67">IF('NILAI CPL'!$B67&lt;&gt;"",IFERROR(_xlfn.IFS(AM67&gt;='NILAI CPL'!$B$3,4,AM67&gt;='NILAI CPL'!$B$4,3,AM67&gt;='NILAI CPL'!$B$5,2,AM67&gt;'NILAI CPL'!$B$6,1),0),"")</f>
        <v/>
      </c>
      <c r="BK67" s="2" t="str" cm="1">
        <f t="array" ref="BK67">IF('NILAI CPL'!$B67&lt;&gt;"",IFERROR(_xlfn.IFS(AN67&gt;='NILAI CPL'!$B$3,4,AN67&gt;='NILAI CPL'!$B$4,3,AN67&gt;='NILAI CPL'!$B$5,2,AN67&gt;'NILAI CPL'!$B$6,1),0),"")</f>
        <v/>
      </c>
    </row>
    <row r="68" spans="1:63" x14ac:dyDescent="0.2">
      <c r="A68" s="2">
        <v>58</v>
      </c>
      <c r="B68" s="2" t="str">
        <f>IF(LEN(SUMMARY!B68)&gt;0, SUMMARY!B68, "")</f>
        <v/>
      </c>
      <c r="C68" s="2" t="str">
        <f>IF(LEN(SUMMARY!C68)&gt;0, SUMMARY!C68, "")</f>
        <v/>
      </c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" t="str">
        <f t="shared" si="2"/>
        <v/>
      </c>
      <c r="S68" s="2" t="str">
        <f t="shared" si="3"/>
        <v/>
      </c>
      <c r="T68" s="2" t="str">
        <f t="shared" si="4"/>
        <v/>
      </c>
      <c r="U68" s="2" t="str">
        <f t="shared" si="5"/>
        <v/>
      </c>
      <c r="V68" s="2" t="str">
        <f t="shared" si="6"/>
        <v/>
      </c>
      <c r="W68" s="2" t="str">
        <f t="shared" si="7"/>
        <v/>
      </c>
      <c r="X68" s="2" t="str">
        <f t="shared" si="8"/>
        <v/>
      </c>
      <c r="Y68" s="2" t="str">
        <f t="shared" si="9"/>
        <v/>
      </c>
      <c r="Z68" s="2" t="str">
        <f t="shared" si="10"/>
        <v/>
      </c>
      <c r="AA68" s="2" t="str">
        <f t="shared" si="11"/>
        <v/>
      </c>
      <c r="AB68" s="2" t="str">
        <f t="shared" si="12"/>
        <v/>
      </c>
      <c r="AC68" s="2" t="str">
        <f t="shared" si="13"/>
        <v/>
      </c>
      <c r="AD68" s="2" t="str">
        <f t="shared" si="14"/>
        <v/>
      </c>
      <c r="AE68" s="2" t="str">
        <f t="shared" si="15"/>
        <v/>
      </c>
      <c r="AF68" s="2" t="str">
        <f t="shared" si="16"/>
        <v/>
      </c>
      <c r="AG68" s="2" t="str">
        <f t="shared" si="17"/>
        <v/>
      </c>
      <c r="AH68" s="2" t="str">
        <f t="shared" si="18"/>
        <v/>
      </c>
      <c r="AI68" s="2" t="str">
        <f t="shared" si="19"/>
        <v/>
      </c>
      <c r="AJ68" s="2" t="str">
        <f t="shared" si="20"/>
        <v/>
      </c>
      <c r="AK68" s="2" t="str">
        <f t="shared" si="21"/>
        <v/>
      </c>
      <c r="AL68" s="2" t="str">
        <f t="shared" si="22"/>
        <v/>
      </c>
      <c r="AM68" s="2" t="str">
        <f t="shared" si="23"/>
        <v/>
      </c>
      <c r="AN68" s="2" t="str">
        <f t="shared" si="24"/>
        <v/>
      </c>
      <c r="AP68" s="2" t="str" cm="1">
        <f t="array" ref="AP68">IF('NILAI CPL'!$B68&lt;&gt;"",IFERROR(_xlfn.IFS(S68&gt;='NILAI CPL'!$B$3,4,S68&gt;='NILAI CPL'!$B$4,3,S68&gt;='NILAI CPL'!$B$5,2,S68&gt;'NILAI CPL'!$B$6,1),0),"")</f>
        <v/>
      </c>
      <c r="AQ68" s="2" t="str" cm="1">
        <f t="array" ref="AQ68">IF('NILAI CPL'!$B68&lt;&gt;"",IFERROR(_xlfn.IFS(T68&gt;='NILAI CPL'!$B$3,4,T68&gt;='NILAI CPL'!$B$4,3,T68&gt;='NILAI CPL'!$B$5,2,T68&gt;'NILAI CPL'!$B$6,1),0),"")</f>
        <v/>
      </c>
      <c r="AR68" s="2" t="str" cm="1">
        <f t="array" ref="AR68">IF('NILAI CPL'!$B68&lt;&gt;"",IFERROR(_xlfn.IFS(U68&gt;='NILAI CPL'!$B$3,4,U68&gt;='NILAI CPL'!$B$4,3,U68&gt;='NILAI CPL'!$B$5,2,U68&gt;'NILAI CPL'!$B$6,1),0),"")</f>
        <v/>
      </c>
      <c r="AS68" s="2" t="str" cm="1">
        <f t="array" ref="AS68">IF('NILAI CPL'!$B68&lt;&gt;"",IFERROR(_xlfn.IFS(V68&gt;='NILAI CPL'!$B$3,4,V68&gt;='NILAI CPL'!$B$4,3,V68&gt;='NILAI CPL'!$B$5,2,V68&gt;'NILAI CPL'!$B$6,1),0),"")</f>
        <v/>
      </c>
      <c r="AT68" s="2" t="str" cm="1">
        <f t="array" ref="AT68">IF('NILAI CPL'!$B68&lt;&gt;"",IFERROR(_xlfn.IFS(W68&gt;='NILAI CPL'!$B$3,4,W68&gt;='NILAI CPL'!$B$4,3,W68&gt;='NILAI CPL'!$B$5,2,W68&gt;'NILAI CPL'!$B$6,1),0),"")</f>
        <v/>
      </c>
      <c r="AU68" s="2" t="str" cm="1">
        <f t="array" ref="AU68">IF('NILAI CPL'!$B68&lt;&gt;"",IFERROR(_xlfn.IFS(X68&gt;='NILAI CPL'!$B$3,4,X68&gt;='NILAI CPL'!$B$4,3,X68&gt;='NILAI CPL'!$B$5,2,X68&gt;'NILAI CPL'!$B$6,1),0),"")</f>
        <v/>
      </c>
      <c r="AV68" s="2" t="str" cm="1">
        <f t="array" ref="AV68">IF('NILAI CPL'!$B68&lt;&gt;"",IFERROR(_xlfn.IFS(Y68&gt;='NILAI CPL'!$B$3,4,Y68&gt;='NILAI CPL'!$B$4,3,Y68&gt;='NILAI CPL'!$B$5,2,Y68&gt;'NILAI CPL'!$B$6,1),0),"")</f>
        <v/>
      </c>
      <c r="AW68" s="2" t="str" cm="1">
        <f t="array" ref="AW68">IF('NILAI CPL'!$B68&lt;&gt;"",IFERROR(_xlfn.IFS(Z68&gt;='NILAI CPL'!$B$3,4,Z68&gt;='NILAI CPL'!$B$4,3,Z68&gt;='NILAI CPL'!$B$5,2,Z68&gt;'NILAI CPL'!$B$6,1),0),"")</f>
        <v/>
      </c>
      <c r="AX68" s="2" t="str" cm="1">
        <f t="array" ref="AX68">IF('NILAI CPL'!$B68&lt;&gt;"",IFERROR(_xlfn.IFS(AA68&gt;='NILAI CPL'!$B$3,4,AA68&gt;='NILAI CPL'!$B$4,3,AA68&gt;='NILAI CPL'!$B$5,2,AA68&gt;'NILAI CPL'!$B$6,1),0),"")</f>
        <v/>
      </c>
      <c r="AY68" s="2" t="str" cm="1">
        <f t="array" ref="AY68">IF('NILAI CPL'!$B68&lt;&gt;"",IFERROR(_xlfn.IFS(AB68&gt;='NILAI CPL'!$B$3,4,AB68&gt;='NILAI CPL'!$B$4,3,AB68&gt;='NILAI CPL'!$B$5,2,AB68&gt;'NILAI CPL'!$B$6,1),0),"")</f>
        <v/>
      </c>
      <c r="AZ68" s="2" t="str" cm="1">
        <f t="array" ref="AZ68">IF('NILAI CPL'!$B68&lt;&gt;"",IFERROR(_xlfn.IFS(AC68&gt;='NILAI CPL'!$B$3,4,AC68&gt;='NILAI CPL'!$B$4,3,AC68&gt;='NILAI CPL'!$B$5,2,AC68&gt;'NILAI CPL'!$B$6,1),0),"")</f>
        <v/>
      </c>
      <c r="BA68" s="2" t="str" cm="1">
        <f t="array" ref="BA68">IF('NILAI CPL'!$B68&lt;&gt;"",IFERROR(_xlfn.IFS(AD68&gt;='NILAI CPL'!$B$3,4,AD68&gt;='NILAI CPL'!$B$4,3,AD68&gt;='NILAI CPL'!$B$5,2,AD68&gt;'NILAI CPL'!$B$6,1),0),"")</f>
        <v/>
      </c>
      <c r="BB68" s="2" t="str" cm="1">
        <f t="array" ref="BB68">IF('NILAI CPL'!$B68&lt;&gt;"",IFERROR(_xlfn.IFS(AE68&gt;='NILAI CPL'!$B$3,4,AE68&gt;='NILAI CPL'!$B$4,3,AE68&gt;='NILAI CPL'!$B$5,2,AE68&gt;'NILAI CPL'!$B$6,1),0),"")</f>
        <v/>
      </c>
      <c r="BC68" s="2" t="str" cm="1">
        <f t="array" ref="BC68">IF('NILAI CPL'!$B68&lt;&gt;"",IFERROR(_xlfn.IFS(AF68&gt;='NILAI CPL'!$B$3,4,AF68&gt;='NILAI CPL'!$B$4,3,AF68&gt;='NILAI CPL'!$B$5,2,AF68&gt;'NILAI CPL'!$B$6,1),0),"")</f>
        <v/>
      </c>
      <c r="BD68" s="2" t="str" cm="1">
        <f t="array" ref="BD68">IF('NILAI CPL'!$B68&lt;&gt;"",IFERROR(_xlfn.IFS(AG68&gt;='NILAI CPL'!$B$3,4,AG68&gt;='NILAI CPL'!$B$4,3,AG68&gt;='NILAI CPL'!$B$5,2,AG68&gt;'NILAI CPL'!$B$6,1),0),"")</f>
        <v/>
      </c>
      <c r="BE68" s="2" t="str" cm="1">
        <f t="array" ref="BE68">IF('NILAI CPL'!$B68&lt;&gt;"",IFERROR(_xlfn.IFS(AH68&gt;='NILAI CPL'!$B$3,4,AH68&gt;='NILAI CPL'!$B$4,3,AH68&gt;='NILAI CPL'!$B$5,2,AH68&gt;'NILAI CPL'!$B$6,1),0),"")</f>
        <v/>
      </c>
      <c r="BF68" s="2" t="str" cm="1">
        <f t="array" ref="BF68">IF('NILAI CPL'!$B68&lt;&gt;"",IFERROR(_xlfn.IFS(AI68&gt;='NILAI CPL'!$B$3,4,AI68&gt;='NILAI CPL'!$B$4,3,AI68&gt;='NILAI CPL'!$B$5,2,AI68&gt;'NILAI CPL'!$B$6,1),0),"")</f>
        <v/>
      </c>
      <c r="BG68" s="2" t="str" cm="1">
        <f t="array" ref="BG68">IF('NILAI CPL'!$B68&lt;&gt;"",IFERROR(_xlfn.IFS(AJ68&gt;='NILAI CPL'!$B$3,4,AJ68&gt;='NILAI CPL'!$B$4,3,AJ68&gt;='NILAI CPL'!$B$5,2,AJ68&gt;'NILAI CPL'!$B$6,1),0),"")</f>
        <v/>
      </c>
      <c r="BH68" s="2" t="str" cm="1">
        <f t="array" ref="BH68">IF('NILAI CPL'!$B68&lt;&gt;"",IFERROR(_xlfn.IFS(AK68&gt;='NILAI CPL'!$B$3,4,AK68&gt;='NILAI CPL'!$B$4,3,AK68&gt;='NILAI CPL'!$B$5,2,AK68&gt;'NILAI CPL'!$B$6,1),0),"")</f>
        <v/>
      </c>
      <c r="BI68" s="2" t="str" cm="1">
        <f t="array" ref="BI68">IF('NILAI CPL'!$B68&lt;&gt;"",IFERROR(_xlfn.IFS(AL68&gt;='NILAI CPL'!$B$3,4,AL68&gt;='NILAI CPL'!$B$4,3,AL68&gt;='NILAI CPL'!$B$5,2,AL68&gt;'NILAI CPL'!$B$6,1),0),"")</f>
        <v/>
      </c>
      <c r="BJ68" s="2" t="str" cm="1">
        <f t="array" ref="BJ68">IF('NILAI CPL'!$B68&lt;&gt;"",IFERROR(_xlfn.IFS(AM68&gt;='NILAI CPL'!$B$3,4,AM68&gt;='NILAI CPL'!$B$4,3,AM68&gt;='NILAI CPL'!$B$5,2,AM68&gt;'NILAI CPL'!$B$6,1),0),"")</f>
        <v/>
      </c>
      <c r="BK68" s="2" t="str" cm="1">
        <f t="array" ref="BK68">IF('NILAI CPL'!$B68&lt;&gt;"",IFERROR(_xlfn.IFS(AN68&gt;='NILAI CPL'!$B$3,4,AN68&gt;='NILAI CPL'!$B$4,3,AN68&gt;='NILAI CPL'!$B$5,2,AN68&gt;'NILAI CPL'!$B$6,1),0),"")</f>
        <v/>
      </c>
    </row>
    <row r="69" spans="1:63" x14ac:dyDescent="0.2">
      <c r="A69" s="2">
        <v>59</v>
      </c>
      <c r="B69" s="2" t="str">
        <f>IF(LEN(SUMMARY!B69)&gt;0, SUMMARY!B69, "")</f>
        <v/>
      </c>
      <c r="C69" s="2" t="str">
        <f>IF(LEN(SUMMARY!C69)&gt;0, SUMMARY!C69, "")</f>
        <v/>
      </c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" t="str">
        <f t="shared" si="2"/>
        <v/>
      </c>
      <c r="S69" s="2" t="str">
        <f t="shared" si="3"/>
        <v/>
      </c>
      <c r="T69" s="2" t="str">
        <f t="shared" si="4"/>
        <v/>
      </c>
      <c r="U69" s="2" t="str">
        <f t="shared" si="5"/>
        <v/>
      </c>
      <c r="V69" s="2" t="str">
        <f t="shared" si="6"/>
        <v/>
      </c>
      <c r="W69" s="2" t="str">
        <f t="shared" si="7"/>
        <v/>
      </c>
      <c r="X69" s="2" t="str">
        <f t="shared" si="8"/>
        <v/>
      </c>
      <c r="Y69" s="2" t="str">
        <f t="shared" si="9"/>
        <v/>
      </c>
      <c r="Z69" s="2" t="str">
        <f t="shared" si="10"/>
        <v/>
      </c>
      <c r="AA69" s="2" t="str">
        <f t="shared" si="11"/>
        <v/>
      </c>
      <c r="AB69" s="2" t="str">
        <f t="shared" si="12"/>
        <v/>
      </c>
      <c r="AC69" s="2" t="str">
        <f t="shared" si="13"/>
        <v/>
      </c>
      <c r="AD69" s="2" t="str">
        <f t="shared" si="14"/>
        <v/>
      </c>
      <c r="AE69" s="2" t="str">
        <f t="shared" si="15"/>
        <v/>
      </c>
      <c r="AF69" s="2" t="str">
        <f t="shared" si="16"/>
        <v/>
      </c>
      <c r="AG69" s="2" t="str">
        <f t="shared" si="17"/>
        <v/>
      </c>
      <c r="AH69" s="2" t="str">
        <f t="shared" si="18"/>
        <v/>
      </c>
      <c r="AI69" s="2" t="str">
        <f t="shared" si="19"/>
        <v/>
      </c>
      <c r="AJ69" s="2" t="str">
        <f t="shared" si="20"/>
        <v/>
      </c>
      <c r="AK69" s="2" t="str">
        <f t="shared" si="21"/>
        <v/>
      </c>
      <c r="AL69" s="2" t="str">
        <f t="shared" si="22"/>
        <v/>
      </c>
      <c r="AM69" s="2" t="str">
        <f t="shared" si="23"/>
        <v/>
      </c>
      <c r="AN69" s="2" t="str">
        <f t="shared" si="24"/>
        <v/>
      </c>
      <c r="AP69" s="2" t="str" cm="1">
        <f t="array" ref="AP69">IF('NILAI CPL'!$B69&lt;&gt;"",IFERROR(_xlfn.IFS(S69&gt;='NILAI CPL'!$B$3,4,S69&gt;='NILAI CPL'!$B$4,3,S69&gt;='NILAI CPL'!$B$5,2,S69&gt;'NILAI CPL'!$B$6,1),0),"")</f>
        <v/>
      </c>
      <c r="AQ69" s="2" t="str" cm="1">
        <f t="array" ref="AQ69">IF('NILAI CPL'!$B69&lt;&gt;"",IFERROR(_xlfn.IFS(T69&gt;='NILAI CPL'!$B$3,4,T69&gt;='NILAI CPL'!$B$4,3,T69&gt;='NILAI CPL'!$B$5,2,T69&gt;'NILAI CPL'!$B$6,1),0),"")</f>
        <v/>
      </c>
      <c r="AR69" s="2" t="str" cm="1">
        <f t="array" ref="AR69">IF('NILAI CPL'!$B69&lt;&gt;"",IFERROR(_xlfn.IFS(U69&gt;='NILAI CPL'!$B$3,4,U69&gt;='NILAI CPL'!$B$4,3,U69&gt;='NILAI CPL'!$B$5,2,U69&gt;'NILAI CPL'!$B$6,1),0),"")</f>
        <v/>
      </c>
      <c r="AS69" s="2" t="str" cm="1">
        <f t="array" ref="AS69">IF('NILAI CPL'!$B69&lt;&gt;"",IFERROR(_xlfn.IFS(V69&gt;='NILAI CPL'!$B$3,4,V69&gt;='NILAI CPL'!$B$4,3,V69&gt;='NILAI CPL'!$B$5,2,V69&gt;'NILAI CPL'!$B$6,1),0),"")</f>
        <v/>
      </c>
      <c r="AT69" s="2" t="str" cm="1">
        <f t="array" ref="AT69">IF('NILAI CPL'!$B69&lt;&gt;"",IFERROR(_xlfn.IFS(W69&gt;='NILAI CPL'!$B$3,4,W69&gt;='NILAI CPL'!$B$4,3,W69&gt;='NILAI CPL'!$B$5,2,W69&gt;'NILAI CPL'!$B$6,1),0),"")</f>
        <v/>
      </c>
      <c r="AU69" s="2" t="str" cm="1">
        <f t="array" ref="AU69">IF('NILAI CPL'!$B69&lt;&gt;"",IFERROR(_xlfn.IFS(X69&gt;='NILAI CPL'!$B$3,4,X69&gt;='NILAI CPL'!$B$4,3,X69&gt;='NILAI CPL'!$B$5,2,X69&gt;'NILAI CPL'!$B$6,1),0),"")</f>
        <v/>
      </c>
      <c r="AV69" s="2" t="str" cm="1">
        <f t="array" ref="AV69">IF('NILAI CPL'!$B69&lt;&gt;"",IFERROR(_xlfn.IFS(Y69&gt;='NILAI CPL'!$B$3,4,Y69&gt;='NILAI CPL'!$B$4,3,Y69&gt;='NILAI CPL'!$B$5,2,Y69&gt;'NILAI CPL'!$B$6,1),0),"")</f>
        <v/>
      </c>
      <c r="AW69" s="2" t="str" cm="1">
        <f t="array" ref="AW69">IF('NILAI CPL'!$B69&lt;&gt;"",IFERROR(_xlfn.IFS(Z69&gt;='NILAI CPL'!$B$3,4,Z69&gt;='NILAI CPL'!$B$4,3,Z69&gt;='NILAI CPL'!$B$5,2,Z69&gt;'NILAI CPL'!$B$6,1),0),"")</f>
        <v/>
      </c>
      <c r="AX69" s="2" t="str" cm="1">
        <f t="array" ref="AX69">IF('NILAI CPL'!$B69&lt;&gt;"",IFERROR(_xlfn.IFS(AA69&gt;='NILAI CPL'!$B$3,4,AA69&gt;='NILAI CPL'!$B$4,3,AA69&gt;='NILAI CPL'!$B$5,2,AA69&gt;'NILAI CPL'!$B$6,1),0),"")</f>
        <v/>
      </c>
      <c r="AY69" s="2" t="str" cm="1">
        <f t="array" ref="AY69">IF('NILAI CPL'!$B69&lt;&gt;"",IFERROR(_xlfn.IFS(AB69&gt;='NILAI CPL'!$B$3,4,AB69&gt;='NILAI CPL'!$B$4,3,AB69&gt;='NILAI CPL'!$B$5,2,AB69&gt;'NILAI CPL'!$B$6,1),0),"")</f>
        <v/>
      </c>
      <c r="AZ69" s="2" t="str" cm="1">
        <f t="array" ref="AZ69">IF('NILAI CPL'!$B69&lt;&gt;"",IFERROR(_xlfn.IFS(AC69&gt;='NILAI CPL'!$B$3,4,AC69&gt;='NILAI CPL'!$B$4,3,AC69&gt;='NILAI CPL'!$B$5,2,AC69&gt;'NILAI CPL'!$B$6,1),0),"")</f>
        <v/>
      </c>
      <c r="BA69" s="2" t="str" cm="1">
        <f t="array" ref="BA69">IF('NILAI CPL'!$B69&lt;&gt;"",IFERROR(_xlfn.IFS(AD69&gt;='NILAI CPL'!$B$3,4,AD69&gt;='NILAI CPL'!$B$4,3,AD69&gt;='NILAI CPL'!$B$5,2,AD69&gt;'NILAI CPL'!$B$6,1),0),"")</f>
        <v/>
      </c>
      <c r="BB69" s="2" t="str" cm="1">
        <f t="array" ref="BB69">IF('NILAI CPL'!$B69&lt;&gt;"",IFERROR(_xlfn.IFS(AE69&gt;='NILAI CPL'!$B$3,4,AE69&gt;='NILAI CPL'!$B$4,3,AE69&gt;='NILAI CPL'!$B$5,2,AE69&gt;'NILAI CPL'!$B$6,1),0),"")</f>
        <v/>
      </c>
      <c r="BC69" s="2" t="str" cm="1">
        <f t="array" ref="BC69">IF('NILAI CPL'!$B69&lt;&gt;"",IFERROR(_xlfn.IFS(AF69&gt;='NILAI CPL'!$B$3,4,AF69&gt;='NILAI CPL'!$B$4,3,AF69&gt;='NILAI CPL'!$B$5,2,AF69&gt;'NILAI CPL'!$B$6,1),0),"")</f>
        <v/>
      </c>
      <c r="BD69" s="2" t="str" cm="1">
        <f t="array" ref="BD69">IF('NILAI CPL'!$B69&lt;&gt;"",IFERROR(_xlfn.IFS(AG69&gt;='NILAI CPL'!$B$3,4,AG69&gt;='NILAI CPL'!$B$4,3,AG69&gt;='NILAI CPL'!$B$5,2,AG69&gt;'NILAI CPL'!$B$6,1),0),"")</f>
        <v/>
      </c>
      <c r="BE69" s="2" t="str" cm="1">
        <f t="array" ref="BE69">IF('NILAI CPL'!$B69&lt;&gt;"",IFERROR(_xlfn.IFS(AH69&gt;='NILAI CPL'!$B$3,4,AH69&gt;='NILAI CPL'!$B$4,3,AH69&gt;='NILAI CPL'!$B$5,2,AH69&gt;'NILAI CPL'!$B$6,1),0),"")</f>
        <v/>
      </c>
      <c r="BF69" s="2" t="str" cm="1">
        <f t="array" ref="BF69">IF('NILAI CPL'!$B69&lt;&gt;"",IFERROR(_xlfn.IFS(AI69&gt;='NILAI CPL'!$B$3,4,AI69&gt;='NILAI CPL'!$B$4,3,AI69&gt;='NILAI CPL'!$B$5,2,AI69&gt;'NILAI CPL'!$B$6,1),0),"")</f>
        <v/>
      </c>
      <c r="BG69" s="2" t="str" cm="1">
        <f t="array" ref="BG69">IF('NILAI CPL'!$B69&lt;&gt;"",IFERROR(_xlfn.IFS(AJ69&gt;='NILAI CPL'!$B$3,4,AJ69&gt;='NILAI CPL'!$B$4,3,AJ69&gt;='NILAI CPL'!$B$5,2,AJ69&gt;'NILAI CPL'!$B$6,1),0),"")</f>
        <v/>
      </c>
      <c r="BH69" s="2" t="str" cm="1">
        <f t="array" ref="BH69">IF('NILAI CPL'!$B69&lt;&gt;"",IFERROR(_xlfn.IFS(AK69&gt;='NILAI CPL'!$B$3,4,AK69&gt;='NILAI CPL'!$B$4,3,AK69&gt;='NILAI CPL'!$B$5,2,AK69&gt;'NILAI CPL'!$B$6,1),0),"")</f>
        <v/>
      </c>
      <c r="BI69" s="2" t="str" cm="1">
        <f t="array" ref="BI69">IF('NILAI CPL'!$B69&lt;&gt;"",IFERROR(_xlfn.IFS(AL69&gt;='NILAI CPL'!$B$3,4,AL69&gt;='NILAI CPL'!$B$4,3,AL69&gt;='NILAI CPL'!$B$5,2,AL69&gt;'NILAI CPL'!$B$6,1),0),"")</f>
        <v/>
      </c>
      <c r="BJ69" s="2" t="str" cm="1">
        <f t="array" ref="BJ69">IF('NILAI CPL'!$B69&lt;&gt;"",IFERROR(_xlfn.IFS(AM69&gt;='NILAI CPL'!$B$3,4,AM69&gt;='NILAI CPL'!$B$4,3,AM69&gt;='NILAI CPL'!$B$5,2,AM69&gt;'NILAI CPL'!$B$6,1),0),"")</f>
        <v/>
      </c>
      <c r="BK69" s="2" t="str" cm="1">
        <f t="array" ref="BK69">IF('NILAI CPL'!$B69&lt;&gt;"",IFERROR(_xlfn.IFS(AN69&gt;='NILAI CPL'!$B$3,4,AN69&gt;='NILAI CPL'!$B$4,3,AN69&gt;='NILAI CPL'!$B$5,2,AN69&gt;'NILAI CPL'!$B$6,1),0),"")</f>
        <v/>
      </c>
    </row>
    <row r="70" spans="1:63" x14ac:dyDescent="0.2">
      <c r="A70" s="2">
        <v>60</v>
      </c>
      <c r="B70" s="2" t="str">
        <f>IF(LEN(SUMMARY!B70)&gt;0, SUMMARY!B70, "")</f>
        <v/>
      </c>
      <c r="C70" s="2" t="str">
        <f>IF(LEN(SUMMARY!C70)&gt;0, SUMMARY!C70, "")</f>
        <v/>
      </c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" t="str">
        <f t="shared" si="2"/>
        <v/>
      </c>
      <c r="S70" s="2" t="str">
        <f t="shared" si="3"/>
        <v/>
      </c>
      <c r="T70" s="2" t="str">
        <f t="shared" si="4"/>
        <v/>
      </c>
      <c r="U70" s="2" t="str">
        <f t="shared" si="5"/>
        <v/>
      </c>
      <c r="V70" s="2" t="str">
        <f t="shared" si="6"/>
        <v/>
      </c>
      <c r="W70" s="2" t="str">
        <f t="shared" si="7"/>
        <v/>
      </c>
      <c r="X70" s="2" t="str">
        <f t="shared" si="8"/>
        <v/>
      </c>
      <c r="Y70" s="2" t="str">
        <f t="shared" si="9"/>
        <v/>
      </c>
      <c r="Z70" s="2" t="str">
        <f t="shared" si="10"/>
        <v/>
      </c>
      <c r="AA70" s="2" t="str">
        <f t="shared" si="11"/>
        <v/>
      </c>
      <c r="AB70" s="2" t="str">
        <f t="shared" si="12"/>
        <v/>
      </c>
      <c r="AC70" s="2" t="str">
        <f t="shared" si="13"/>
        <v/>
      </c>
      <c r="AD70" s="2" t="str">
        <f t="shared" si="14"/>
        <v/>
      </c>
      <c r="AE70" s="2" t="str">
        <f t="shared" si="15"/>
        <v/>
      </c>
      <c r="AF70" s="2" t="str">
        <f t="shared" si="16"/>
        <v/>
      </c>
      <c r="AG70" s="2" t="str">
        <f t="shared" si="17"/>
        <v/>
      </c>
      <c r="AH70" s="2" t="str">
        <f t="shared" si="18"/>
        <v/>
      </c>
      <c r="AI70" s="2" t="str">
        <f t="shared" si="19"/>
        <v/>
      </c>
      <c r="AJ70" s="2" t="str">
        <f t="shared" si="20"/>
        <v/>
      </c>
      <c r="AK70" s="2" t="str">
        <f t="shared" si="21"/>
        <v/>
      </c>
      <c r="AL70" s="2" t="str">
        <f t="shared" si="22"/>
        <v/>
      </c>
      <c r="AM70" s="2" t="str">
        <f t="shared" si="23"/>
        <v/>
      </c>
      <c r="AN70" s="2" t="str">
        <f t="shared" si="24"/>
        <v/>
      </c>
      <c r="AP70" s="2" t="str" cm="1">
        <f t="array" ref="AP70">IF('NILAI CPL'!$B70&lt;&gt;"",IFERROR(_xlfn.IFS(S70&gt;='NILAI CPL'!$B$3,4,S70&gt;='NILAI CPL'!$B$4,3,S70&gt;='NILAI CPL'!$B$5,2,S70&gt;'NILAI CPL'!$B$6,1),0),"")</f>
        <v/>
      </c>
      <c r="AQ70" s="2" t="str" cm="1">
        <f t="array" ref="AQ70">IF('NILAI CPL'!$B70&lt;&gt;"",IFERROR(_xlfn.IFS(T70&gt;='NILAI CPL'!$B$3,4,T70&gt;='NILAI CPL'!$B$4,3,T70&gt;='NILAI CPL'!$B$5,2,T70&gt;'NILAI CPL'!$B$6,1),0),"")</f>
        <v/>
      </c>
      <c r="AR70" s="2" t="str" cm="1">
        <f t="array" ref="AR70">IF('NILAI CPL'!$B70&lt;&gt;"",IFERROR(_xlfn.IFS(U70&gt;='NILAI CPL'!$B$3,4,U70&gt;='NILAI CPL'!$B$4,3,U70&gt;='NILAI CPL'!$B$5,2,U70&gt;'NILAI CPL'!$B$6,1),0),"")</f>
        <v/>
      </c>
      <c r="AS70" s="2" t="str" cm="1">
        <f t="array" ref="AS70">IF('NILAI CPL'!$B70&lt;&gt;"",IFERROR(_xlfn.IFS(V70&gt;='NILAI CPL'!$B$3,4,V70&gt;='NILAI CPL'!$B$4,3,V70&gt;='NILAI CPL'!$B$5,2,V70&gt;'NILAI CPL'!$B$6,1),0),"")</f>
        <v/>
      </c>
      <c r="AT70" s="2" t="str" cm="1">
        <f t="array" ref="AT70">IF('NILAI CPL'!$B70&lt;&gt;"",IFERROR(_xlfn.IFS(W70&gt;='NILAI CPL'!$B$3,4,W70&gt;='NILAI CPL'!$B$4,3,W70&gt;='NILAI CPL'!$B$5,2,W70&gt;'NILAI CPL'!$B$6,1),0),"")</f>
        <v/>
      </c>
      <c r="AU70" s="2" t="str" cm="1">
        <f t="array" ref="AU70">IF('NILAI CPL'!$B70&lt;&gt;"",IFERROR(_xlfn.IFS(X70&gt;='NILAI CPL'!$B$3,4,X70&gt;='NILAI CPL'!$B$4,3,X70&gt;='NILAI CPL'!$B$5,2,X70&gt;'NILAI CPL'!$B$6,1),0),"")</f>
        <v/>
      </c>
      <c r="AV70" s="2" t="str" cm="1">
        <f t="array" ref="AV70">IF('NILAI CPL'!$B70&lt;&gt;"",IFERROR(_xlfn.IFS(Y70&gt;='NILAI CPL'!$B$3,4,Y70&gt;='NILAI CPL'!$B$4,3,Y70&gt;='NILAI CPL'!$B$5,2,Y70&gt;'NILAI CPL'!$B$6,1),0),"")</f>
        <v/>
      </c>
      <c r="AW70" s="2" t="str" cm="1">
        <f t="array" ref="AW70">IF('NILAI CPL'!$B70&lt;&gt;"",IFERROR(_xlfn.IFS(Z70&gt;='NILAI CPL'!$B$3,4,Z70&gt;='NILAI CPL'!$B$4,3,Z70&gt;='NILAI CPL'!$B$5,2,Z70&gt;'NILAI CPL'!$B$6,1),0),"")</f>
        <v/>
      </c>
      <c r="AX70" s="2" t="str" cm="1">
        <f t="array" ref="AX70">IF('NILAI CPL'!$B70&lt;&gt;"",IFERROR(_xlfn.IFS(AA70&gt;='NILAI CPL'!$B$3,4,AA70&gt;='NILAI CPL'!$B$4,3,AA70&gt;='NILAI CPL'!$B$5,2,AA70&gt;'NILAI CPL'!$B$6,1),0),"")</f>
        <v/>
      </c>
      <c r="AY70" s="2" t="str" cm="1">
        <f t="array" ref="AY70">IF('NILAI CPL'!$B70&lt;&gt;"",IFERROR(_xlfn.IFS(AB70&gt;='NILAI CPL'!$B$3,4,AB70&gt;='NILAI CPL'!$B$4,3,AB70&gt;='NILAI CPL'!$B$5,2,AB70&gt;'NILAI CPL'!$B$6,1),0),"")</f>
        <v/>
      </c>
      <c r="AZ70" s="2" t="str" cm="1">
        <f t="array" ref="AZ70">IF('NILAI CPL'!$B70&lt;&gt;"",IFERROR(_xlfn.IFS(AC70&gt;='NILAI CPL'!$B$3,4,AC70&gt;='NILAI CPL'!$B$4,3,AC70&gt;='NILAI CPL'!$B$5,2,AC70&gt;'NILAI CPL'!$B$6,1),0),"")</f>
        <v/>
      </c>
      <c r="BA70" s="2" t="str" cm="1">
        <f t="array" ref="BA70">IF('NILAI CPL'!$B70&lt;&gt;"",IFERROR(_xlfn.IFS(AD70&gt;='NILAI CPL'!$B$3,4,AD70&gt;='NILAI CPL'!$B$4,3,AD70&gt;='NILAI CPL'!$B$5,2,AD70&gt;'NILAI CPL'!$B$6,1),0),"")</f>
        <v/>
      </c>
      <c r="BB70" s="2" t="str" cm="1">
        <f t="array" ref="BB70">IF('NILAI CPL'!$B70&lt;&gt;"",IFERROR(_xlfn.IFS(AE70&gt;='NILAI CPL'!$B$3,4,AE70&gt;='NILAI CPL'!$B$4,3,AE70&gt;='NILAI CPL'!$B$5,2,AE70&gt;'NILAI CPL'!$B$6,1),0),"")</f>
        <v/>
      </c>
      <c r="BC70" s="2" t="str" cm="1">
        <f t="array" ref="BC70">IF('NILAI CPL'!$B70&lt;&gt;"",IFERROR(_xlfn.IFS(AF70&gt;='NILAI CPL'!$B$3,4,AF70&gt;='NILAI CPL'!$B$4,3,AF70&gt;='NILAI CPL'!$B$5,2,AF70&gt;'NILAI CPL'!$B$6,1),0),"")</f>
        <v/>
      </c>
      <c r="BD70" s="2" t="str" cm="1">
        <f t="array" ref="BD70">IF('NILAI CPL'!$B70&lt;&gt;"",IFERROR(_xlfn.IFS(AG70&gt;='NILAI CPL'!$B$3,4,AG70&gt;='NILAI CPL'!$B$4,3,AG70&gt;='NILAI CPL'!$B$5,2,AG70&gt;'NILAI CPL'!$B$6,1),0),"")</f>
        <v/>
      </c>
      <c r="BE70" s="2" t="str" cm="1">
        <f t="array" ref="BE70">IF('NILAI CPL'!$B70&lt;&gt;"",IFERROR(_xlfn.IFS(AH70&gt;='NILAI CPL'!$B$3,4,AH70&gt;='NILAI CPL'!$B$4,3,AH70&gt;='NILAI CPL'!$B$5,2,AH70&gt;'NILAI CPL'!$B$6,1),0),"")</f>
        <v/>
      </c>
      <c r="BF70" s="2" t="str" cm="1">
        <f t="array" ref="BF70">IF('NILAI CPL'!$B70&lt;&gt;"",IFERROR(_xlfn.IFS(AI70&gt;='NILAI CPL'!$B$3,4,AI70&gt;='NILAI CPL'!$B$4,3,AI70&gt;='NILAI CPL'!$B$5,2,AI70&gt;'NILAI CPL'!$B$6,1),0),"")</f>
        <v/>
      </c>
      <c r="BG70" s="2" t="str" cm="1">
        <f t="array" ref="BG70">IF('NILAI CPL'!$B70&lt;&gt;"",IFERROR(_xlfn.IFS(AJ70&gt;='NILAI CPL'!$B$3,4,AJ70&gt;='NILAI CPL'!$B$4,3,AJ70&gt;='NILAI CPL'!$B$5,2,AJ70&gt;'NILAI CPL'!$B$6,1),0),"")</f>
        <v/>
      </c>
      <c r="BH70" s="2" t="str" cm="1">
        <f t="array" ref="BH70">IF('NILAI CPL'!$B70&lt;&gt;"",IFERROR(_xlfn.IFS(AK70&gt;='NILAI CPL'!$B$3,4,AK70&gt;='NILAI CPL'!$B$4,3,AK70&gt;='NILAI CPL'!$B$5,2,AK70&gt;'NILAI CPL'!$B$6,1),0),"")</f>
        <v/>
      </c>
      <c r="BI70" s="2" t="str" cm="1">
        <f t="array" ref="BI70">IF('NILAI CPL'!$B70&lt;&gt;"",IFERROR(_xlfn.IFS(AL70&gt;='NILAI CPL'!$B$3,4,AL70&gt;='NILAI CPL'!$B$4,3,AL70&gt;='NILAI CPL'!$B$5,2,AL70&gt;'NILAI CPL'!$B$6,1),0),"")</f>
        <v/>
      </c>
      <c r="BJ70" s="2" t="str" cm="1">
        <f t="array" ref="BJ70">IF('NILAI CPL'!$B70&lt;&gt;"",IFERROR(_xlfn.IFS(AM70&gt;='NILAI CPL'!$B$3,4,AM70&gt;='NILAI CPL'!$B$4,3,AM70&gt;='NILAI CPL'!$B$5,2,AM70&gt;'NILAI CPL'!$B$6,1),0),"")</f>
        <v/>
      </c>
      <c r="BK70" s="2" t="str" cm="1">
        <f t="array" ref="BK70">IF('NILAI CPL'!$B70&lt;&gt;"",IFERROR(_xlfn.IFS(AN70&gt;='NILAI CPL'!$B$3,4,AN70&gt;='NILAI CPL'!$B$4,3,AN70&gt;='NILAI CPL'!$B$5,2,AN70&gt;'NILAI CPL'!$B$6,1),0),"")</f>
        <v/>
      </c>
    </row>
    <row r="71" spans="1:63" x14ac:dyDescent="0.2">
      <c r="A71" s="2">
        <v>61</v>
      </c>
      <c r="B71" s="2" t="str">
        <f>IF(LEN(SUMMARY!B71)&gt;0, SUMMARY!B71, "")</f>
        <v/>
      </c>
      <c r="C71" s="2" t="str">
        <f>IF(LEN(SUMMARY!C71)&gt;0, SUMMARY!C71, "")</f>
        <v/>
      </c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" t="str">
        <f t="shared" si="2"/>
        <v/>
      </c>
      <c r="S71" s="2" t="str">
        <f t="shared" si="3"/>
        <v/>
      </c>
      <c r="T71" s="2" t="str">
        <f t="shared" si="4"/>
        <v/>
      </c>
      <c r="U71" s="2" t="str">
        <f t="shared" si="5"/>
        <v/>
      </c>
      <c r="V71" s="2" t="str">
        <f t="shared" si="6"/>
        <v/>
      </c>
      <c r="W71" s="2" t="str">
        <f t="shared" si="7"/>
        <v/>
      </c>
      <c r="X71" s="2" t="str">
        <f t="shared" si="8"/>
        <v/>
      </c>
      <c r="Y71" s="2" t="str">
        <f t="shared" si="9"/>
        <v/>
      </c>
      <c r="Z71" s="2" t="str">
        <f t="shared" si="10"/>
        <v/>
      </c>
      <c r="AA71" s="2" t="str">
        <f t="shared" si="11"/>
        <v/>
      </c>
      <c r="AB71" s="2" t="str">
        <f t="shared" si="12"/>
        <v/>
      </c>
      <c r="AC71" s="2" t="str">
        <f t="shared" si="13"/>
        <v/>
      </c>
      <c r="AD71" s="2" t="str">
        <f t="shared" si="14"/>
        <v/>
      </c>
      <c r="AE71" s="2" t="str">
        <f t="shared" si="15"/>
        <v/>
      </c>
      <c r="AF71" s="2" t="str">
        <f t="shared" si="16"/>
        <v/>
      </c>
      <c r="AG71" s="2" t="str">
        <f t="shared" si="17"/>
        <v/>
      </c>
      <c r="AH71" s="2" t="str">
        <f t="shared" si="18"/>
        <v/>
      </c>
      <c r="AI71" s="2" t="str">
        <f t="shared" si="19"/>
        <v/>
      </c>
      <c r="AJ71" s="2" t="str">
        <f t="shared" si="20"/>
        <v/>
      </c>
      <c r="AK71" s="2" t="str">
        <f t="shared" si="21"/>
        <v/>
      </c>
      <c r="AL71" s="2" t="str">
        <f t="shared" si="22"/>
        <v/>
      </c>
      <c r="AM71" s="2" t="str">
        <f t="shared" si="23"/>
        <v/>
      </c>
      <c r="AN71" s="2" t="str">
        <f t="shared" si="24"/>
        <v/>
      </c>
      <c r="AP71" s="2" t="str" cm="1">
        <f t="array" ref="AP71">IF('NILAI CPL'!$B71&lt;&gt;"",IFERROR(_xlfn.IFS(S71&gt;='NILAI CPL'!$B$3,4,S71&gt;='NILAI CPL'!$B$4,3,S71&gt;='NILAI CPL'!$B$5,2,S71&gt;'NILAI CPL'!$B$6,1),0),"")</f>
        <v/>
      </c>
      <c r="AQ71" s="2" t="str" cm="1">
        <f t="array" ref="AQ71">IF('NILAI CPL'!$B71&lt;&gt;"",IFERROR(_xlfn.IFS(T71&gt;='NILAI CPL'!$B$3,4,T71&gt;='NILAI CPL'!$B$4,3,T71&gt;='NILAI CPL'!$B$5,2,T71&gt;'NILAI CPL'!$B$6,1),0),"")</f>
        <v/>
      </c>
      <c r="AR71" s="2" t="str" cm="1">
        <f t="array" ref="AR71">IF('NILAI CPL'!$B71&lt;&gt;"",IFERROR(_xlfn.IFS(U71&gt;='NILAI CPL'!$B$3,4,U71&gt;='NILAI CPL'!$B$4,3,U71&gt;='NILAI CPL'!$B$5,2,U71&gt;'NILAI CPL'!$B$6,1),0),"")</f>
        <v/>
      </c>
      <c r="AS71" s="2" t="str" cm="1">
        <f t="array" ref="AS71">IF('NILAI CPL'!$B71&lt;&gt;"",IFERROR(_xlfn.IFS(V71&gt;='NILAI CPL'!$B$3,4,V71&gt;='NILAI CPL'!$B$4,3,V71&gt;='NILAI CPL'!$B$5,2,V71&gt;'NILAI CPL'!$B$6,1),0),"")</f>
        <v/>
      </c>
      <c r="AT71" s="2" t="str" cm="1">
        <f t="array" ref="AT71">IF('NILAI CPL'!$B71&lt;&gt;"",IFERROR(_xlfn.IFS(W71&gt;='NILAI CPL'!$B$3,4,W71&gt;='NILAI CPL'!$B$4,3,W71&gt;='NILAI CPL'!$B$5,2,W71&gt;'NILAI CPL'!$B$6,1),0),"")</f>
        <v/>
      </c>
      <c r="AU71" s="2" t="str" cm="1">
        <f t="array" ref="AU71">IF('NILAI CPL'!$B71&lt;&gt;"",IFERROR(_xlfn.IFS(X71&gt;='NILAI CPL'!$B$3,4,X71&gt;='NILAI CPL'!$B$4,3,X71&gt;='NILAI CPL'!$B$5,2,X71&gt;'NILAI CPL'!$B$6,1),0),"")</f>
        <v/>
      </c>
      <c r="AV71" s="2" t="str" cm="1">
        <f t="array" ref="AV71">IF('NILAI CPL'!$B71&lt;&gt;"",IFERROR(_xlfn.IFS(Y71&gt;='NILAI CPL'!$B$3,4,Y71&gt;='NILAI CPL'!$B$4,3,Y71&gt;='NILAI CPL'!$B$5,2,Y71&gt;'NILAI CPL'!$B$6,1),0),"")</f>
        <v/>
      </c>
      <c r="AW71" s="2" t="str" cm="1">
        <f t="array" ref="AW71">IF('NILAI CPL'!$B71&lt;&gt;"",IFERROR(_xlfn.IFS(Z71&gt;='NILAI CPL'!$B$3,4,Z71&gt;='NILAI CPL'!$B$4,3,Z71&gt;='NILAI CPL'!$B$5,2,Z71&gt;'NILAI CPL'!$B$6,1),0),"")</f>
        <v/>
      </c>
      <c r="AX71" s="2" t="str" cm="1">
        <f t="array" ref="AX71">IF('NILAI CPL'!$B71&lt;&gt;"",IFERROR(_xlfn.IFS(AA71&gt;='NILAI CPL'!$B$3,4,AA71&gt;='NILAI CPL'!$B$4,3,AA71&gt;='NILAI CPL'!$B$5,2,AA71&gt;'NILAI CPL'!$B$6,1),0),"")</f>
        <v/>
      </c>
      <c r="AY71" s="2" t="str" cm="1">
        <f t="array" ref="AY71">IF('NILAI CPL'!$B71&lt;&gt;"",IFERROR(_xlfn.IFS(AB71&gt;='NILAI CPL'!$B$3,4,AB71&gt;='NILAI CPL'!$B$4,3,AB71&gt;='NILAI CPL'!$B$5,2,AB71&gt;'NILAI CPL'!$B$6,1),0),"")</f>
        <v/>
      </c>
      <c r="AZ71" s="2" t="str" cm="1">
        <f t="array" ref="AZ71">IF('NILAI CPL'!$B71&lt;&gt;"",IFERROR(_xlfn.IFS(AC71&gt;='NILAI CPL'!$B$3,4,AC71&gt;='NILAI CPL'!$B$4,3,AC71&gt;='NILAI CPL'!$B$5,2,AC71&gt;'NILAI CPL'!$B$6,1),0),"")</f>
        <v/>
      </c>
      <c r="BA71" s="2" t="str" cm="1">
        <f t="array" ref="BA71">IF('NILAI CPL'!$B71&lt;&gt;"",IFERROR(_xlfn.IFS(AD71&gt;='NILAI CPL'!$B$3,4,AD71&gt;='NILAI CPL'!$B$4,3,AD71&gt;='NILAI CPL'!$B$5,2,AD71&gt;'NILAI CPL'!$B$6,1),0),"")</f>
        <v/>
      </c>
      <c r="BB71" s="2" t="str" cm="1">
        <f t="array" ref="BB71">IF('NILAI CPL'!$B71&lt;&gt;"",IFERROR(_xlfn.IFS(AE71&gt;='NILAI CPL'!$B$3,4,AE71&gt;='NILAI CPL'!$B$4,3,AE71&gt;='NILAI CPL'!$B$5,2,AE71&gt;'NILAI CPL'!$B$6,1),0),"")</f>
        <v/>
      </c>
      <c r="BC71" s="2" t="str" cm="1">
        <f t="array" ref="BC71">IF('NILAI CPL'!$B71&lt;&gt;"",IFERROR(_xlfn.IFS(AF71&gt;='NILAI CPL'!$B$3,4,AF71&gt;='NILAI CPL'!$B$4,3,AF71&gt;='NILAI CPL'!$B$5,2,AF71&gt;'NILAI CPL'!$B$6,1),0),"")</f>
        <v/>
      </c>
      <c r="BD71" s="2" t="str" cm="1">
        <f t="array" ref="BD71">IF('NILAI CPL'!$B71&lt;&gt;"",IFERROR(_xlfn.IFS(AG71&gt;='NILAI CPL'!$B$3,4,AG71&gt;='NILAI CPL'!$B$4,3,AG71&gt;='NILAI CPL'!$B$5,2,AG71&gt;'NILAI CPL'!$B$6,1),0),"")</f>
        <v/>
      </c>
      <c r="BE71" s="2" t="str" cm="1">
        <f t="array" ref="BE71">IF('NILAI CPL'!$B71&lt;&gt;"",IFERROR(_xlfn.IFS(AH71&gt;='NILAI CPL'!$B$3,4,AH71&gt;='NILAI CPL'!$B$4,3,AH71&gt;='NILAI CPL'!$B$5,2,AH71&gt;'NILAI CPL'!$B$6,1),0),"")</f>
        <v/>
      </c>
      <c r="BF71" s="2" t="str" cm="1">
        <f t="array" ref="BF71">IF('NILAI CPL'!$B71&lt;&gt;"",IFERROR(_xlfn.IFS(AI71&gt;='NILAI CPL'!$B$3,4,AI71&gt;='NILAI CPL'!$B$4,3,AI71&gt;='NILAI CPL'!$B$5,2,AI71&gt;'NILAI CPL'!$B$6,1),0),"")</f>
        <v/>
      </c>
      <c r="BG71" s="2" t="str" cm="1">
        <f t="array" ref="BG71">IF('NILAI CPL'!$B71&lt;&gt;"",IFERROR(_xlfn.IFS(AJ71&gt;='NILAI CPL'!$B$3,4,AJ71&gt;='NILAI CPL'!$B$4,3,AJ71&gt;='NILAI CPL'!$B$5,2,AJ71&gt;'NILAI CPL'!$B$6,1),0),"")</f>
        <v/>
      </c>
      <c r="BH71" s="2" t="str" cm="1">
        <f t="array" ref="BH71">IF('NILAI CPL'!$B71&lt;&gt;"",IFERROR(_xlfn.IFS(AK71&gt;='NILAI CPL'!$B$3,4,AK71&gt;='NILAI CPL'!$B$4,3,AK71&gt;='NILAI CPL'!$B$5,2,AK71&gt;'NILAI CPL'!$B$6,1),0),"")</f>
        <v/>
      </c>
      <c r="BI71" s="2" t="str" cm="1">
        <f t="array" ref="BI71">IF('NILAI CPL'!$B71&lt;&gt;"",IFERROR(_xlfn.IFS(AL71&gt;='NILAI CPL'!$B$3,4,AL71&gt;='NILAI CPL'!$B$4,3,AL71&gt;='NILAI CPL'!$B$5,2,AL71&gt;'NILAI CPL'!$B$6,1),0),"")</f>
        <v/>
      </c>
      <c r="BJ71" s="2" t="str" cm="1">
        <f t="array" ref="BJ71">IF('NILAI CPL'!$B71&lt;&gt;"",IFERROR(_xlfn.IFS(AM71&gt;='NILAI CPL'!$B$3,4,AM71&gt;='NILAI CPL'!$B$4,3,AM71&gt;='NILAI CPL'!$B$5,2,AM71&gt;'NILAI CPL'!$B$6,1),0),"")</f>
        <v/>
      </c>
      <c r="BK71" s="2" t="str" cm="1">
        <f t="array" ref="BK71">IF('NILAI CPL'!$B71&lt;&gt;"",IFERROR(_xlfn.IFS(AN71&gt;='NILAI CPL'!$B$3,4,AN71&gt;='NILAI CPL'!$B$4,3,AN71&gt;='NILAI CPL'!$B$5,2,AN71&gt;'NILAI CPL'!$B$6,1),0),"")</f>
        <v/>
      </c>
    </row>
    <row r="72" spans="1:63" x14ac:dyDescent="0.2">
      <c r="A72" s="2">
        <v>62</v>
      </c>
      <c r="B72" s="2" t="str">
        <f>IF(LEN(SUMMARY!B72)&gt;0, SUMMARY!B72, "")</f>
        <v/>
      </c>
      <c r="C72" s="2" t="str">
        <f>IF(LEN(SUMMARY!C72)&gt;0, SUMMARY!C72, "")</f>
        <v/>
      </c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" t="str">
        <f t="shared" si="2"/>
        <v/>
      </c>
      <c r="S72" s="2" t="str">
        <f t="shared" si="3"/>
        <v/>
      </c>
      <c r="T72" s="2" t="str">
        <f t="shared" si="4"/>
        <v/>
      </c>
      <c r="U72" s="2" t="str">
        <f t="shared" si="5"/>
        <v/>
      </c>
      <c r="V72" s="2" t="str">
        <f t="shared" si="6"/>
        <v/>
      </c>
      <c r="W72" s="2" t="str">
        <f t="shared" si="7"/>
        <v/>
      </c>
      <c r="X72" s="2" t="str">
        <f t="shared" si="8"/>
        <v/>
      </c>
      <c r="Y72" s="2" t="str">
        <f t="shared" si="9"/>
        <v/>
      </c>
      <c r="Z72" s="2" t="str">
        <f t="shared" si="10"/>
        <v/>
      </c>
      <c r="AA72" s="2" t="str">
        <f t="shared" si="11"/>
        <v/>
      </c>
      <c r="AB72" s="2" t="str">
        <f t="shared" si="12"/>
        <v/>
      </c>
      <c r="AC72" s="2" t="str">
        <f t="shared" si="13"/>
        <v/>
      </c>
      <c r="AD72" s="2" t="str">
        <f t="shared" si="14"/>
        <v/>
      </c>
      <c r="AE72" s="2" t="str">
        <f t="shared" si="15"/>
        <v/>
      </c>
      <c r="AF72" s="2" t="str">
        <f t="shared" si="16"/>
        <v/>
      </c>
      <c r="AG72" s="2" t="str">
        <f t="shared" si="17"/>
        <v/>
      </c>
      <c r="AH72" s="2" t="str">
        <f t="shared" si="18"/>
        <v/>
      </c>
      <c r="AI72" s="2" t="str">
        <f t="shared" si="19"/>
        <v/>
      </c>
      <c r="AJ72" s="2" t="str">
        <f t="shared" si="20"/>
        <v/>
      </c>
      <c r="AK72" s="2" t="str">
        <f t="shared" si="21"/>
        <v/>
      </c>
      <c r="AL72" s="2" t="str">
        <f t="shared" si="22"/>
        <v/>
      </c>
      <c r="AM72" s="2" t="str">
        <f t="shared" si="23"/>
        <v/>
      </c>
      <c r="AN72" s="2" t="str">
        <f t="shared" si="24"/>
        <v/>
      </c>
      <c r="AP72" s="2" t="str" cm="1">
        <f t="array" ref="AP72">IF('NILAI CPL'!$B72&lt;&gt;"",IFERROR(_xlfn.IFS(S72&gt;='NILAI CPL'!$B$3,4,S72&gt;='NILAI CPL'!$B$4,3,S72&gt;='NILAI CPL'!$B$5,2,S72&gt;'NILAI CPL'!$B$6,1),0),"")</f>
        <v/>
      </c>
      <c r="AQ72" s="2" t="str" cm="1">
        <f t="array" ref="AQ72">IF('NILAI CPL'!$B72&lt;&gt;"",IFERROR(_xlfn.IFS(T72&gt;='NILAI CPL'!$B$3,4,T72&gt;='NILAI CPL'!$B$4,3,T72&gt;='NILAI CPL'!$B$5,2,T72&gt;'NILAI CPL'!$B$6,1),0),"")</f>
        <v/>
      </c>
      <c r="AR72" s="2" t="str" cm="1">
        <f t="array" ref="AR72">IF('NILAI CPL'!$B72&lt;&gt;"",IFERROR(_xlfn.IFS(U72&gt;='NILAI CPL'!$B$3,4,U72&gt;='NILAI CPL'!$B$4,3,U72&gt;='NILAI CPL'!$B$5,2,U72&gt;'NILAI CPL'!$B$6,1),0),"")</f>
        <v/>
      </c>
      <c r="AS72" s="2" t="str" cm="1">
        <f t="array" ref="AS72">IF('NILAI CPL'!$B72&lt;&gt;"",IFERROR(_xlfn.IFS(V72&gt;='NILAI CPL'!$B$3,4,V72&gt;='NILAI CPL'!$B$4,3,V72&gt;='NILAI CPL'!$B$5,2,V72&gt;'NILAI CPL'!$B$6,1),0),"")</f>
        <v/>
      </c>
      <c r="AT72" s="2" t="str" cm="1">
        <f t="array" ref="AT72">IF('NILAI CPL'!$B72&lt;&gt;"",IFERROR(_xlfn.IFS(W72&gt;='NILAI CPL'!$B$3,4,W72&gt;='NILAI CPL'!$B$4,3,W72&gt;='NILAI CPL'!$B$5,2,W72&gt;'NILAI CPL'!$B$6,1),0),"")</f>
        <v/>
      </c>
      <c r="AU72" s="2" t="str" cm="1">
        <f t="array" ref="AU72">IF('NILAI CPL'!$B72&lt;&gt;"",IFERROR(_xlfn.IFS(X72&gt;='NILAI CPL'!$B$3,4,X72&gt;='NILAI CPL'!$B$4,3,X72&gt;='NILAI CPL'!$B$5,2,X72&gt;'NILAI CPL'!$B$6,1),0),"")</f>
        <v/>
      </c>
      <c r="AV72" s="2" t="str" cm="1">
        <f t="array" ref="AV72">IF('NILAI CPL'!$B72&lt;&gt;"",IFERROR(_xlfn.IFS(Y72&gt;='NILAI CPL'!$B$3,4,Y72&gt;='NILAI CPL'!$B$4,3,Y72&gt;='NILAI CPL'!$B$5,2,Y72&gt;'NILAI CPL'!$B$6,1),0),"")</f>
        <v/>
      </c>
      <c r="AW72" s="2" t="str" cm="1">
        <f t="array" ref="AW72">IF('NILAI CPL'!$B72&lt;&gt;"",IFERROR(_xlfn.IFS(Z72&gt;='NILAI CPL'!$B$3,4,Z72&gt;='NILAI CPL'!$B$4,3,Z72&gt;='NILAI CPL'!$B$5,2,Z72&gt;'NILAI CPL'!$B$6,1),0),"")</f>
        <v/>
      </c>
      <c r="AX72" s="2" t="str" cm="1">
        <f t="array" ref="AX72">IF('NILAI CPL'!$B72&lt;&gt;"",IFERROR(_xlfn.IFS(AA72&gt;='NILAI CPL'!$B$3,4,AA72&gt;='NILAI CPL'!$B$4,3,AA72&gt;='NILAI CPL'!$B$5,2,AA72&gt;'NILAI CPL'!$B$6,1),0),"")</f>
        <v/>
      </c>
      <c r="AY72" s="2" t="str" cm="1">
        <f t="array" ref="AY72">IF('NILAI CPL'!$B72&lt;&gt;"",IFERROR(_xlfn.IFS(AB72&gt;='NILAI CPL'!$B$3,4,AB72&gt;='NILAI CPL'!$B$4,3,AB72&gt;='NILAI CPL'!$B$5,2,AB72&gt;'NILAI CPL'!$B$6,1),0),"")</f>
        <v/>
      </c>
      <c r="AZ72" s="2" t="str" cm="1">
        <f t="array" ref="AZ72">IF('NILAI CPL'!$B72&lt;&gt;"",IFERROR(_xlfn.IFS(AC72&gt;='NILAI CPL'!$B$3,4,AC72&gt;='NILAI CPL'!$B$4,3,AC72&gt;='NILAI CPL'!$B$5,2,AC72&gt;'NILAI CPL'!$B$6,1),0),"")</f>
        <v/>
      </c>
      <c r="BA72" s="2" t="str" cm="1">
        <f t="array" ref="BA72">IF('NILAI CPL'!$B72&lt;&gt;"",IFERROR(_xlfn.IFS(AD72&gt;='NILAI CPL'!$B$3,4,AD72&gt;='NILAI CPL'!$B$4,3,AD72&gt;='NILAI CPL'!$B$5,2,AD72&gt;'NILAI CPL'!$B$6,1),0),"")</f>
        <v/>
      </c>
      <c r="BB72" s="2" t="str" cm="1">
        <f t="array" ref="BB72">IF('NILAI CPL'!$B72&lt;&gt;"",IFERROR(_xlfn.IFS(AE72&gt;='NILAI CPL'!$B$3,4,AE72&gt;='NILAI CPL'!$B$4,3,AE72&gt;='NILAI CPL'!$B$5,2,AE72&gt;'NILAI CPL'!$B$6,1),0),"")</f>
        <v/>
      </c>
      <c r="BC72" s="2" t="str" cm="1">
        <f t="array" ref="BC72">IF('NILAI CPL'!$B72&lt;&gt;"",IFERROR(_xlfn.IFS(AF72&gt;='NILAI CPL'!$B$3,4,AF72&gt;='NILAI CPL'!$B$4,3,AF72&gt;='NILAI CPL'!$B$5,2,AF72&gt;'NILAI CPL'!$B$6,1),0),"")</f>
        <v/>
      </c>
      <c r="BD72" s="2" t="str" cm="1">
        <f t="array" ref="BD72">IF('NILAI CPL'!$B72&lt;&gt;"",IFERROR(_xlfn.IFS(AG72&gt;='NILAI CPL'!$B$3,4,AG72&gt;='NILAI CPL'!$B$4,3,AG72&gt;='NILAI CPL'!$B$5,2,AG72&gt;'NILAI CPL'!$B$6,1),0),"")</f>
        <v/>
      </c>
      <c r="BE72" s="2" t="str" cm="1">
        <f t="array" ref="BE72">IF('NILAI CPL'!$B72&lt;&gt;"",IFERROR(_xlfn.IFS(AH72&gt;='NILAI CPL'!$B$3,4,AH72&gt;='NILAI CPL'!$B$4,3,AH72&gt;='NILAI CPL'!$B$5,2,AH72&gt;'NILAI CPL'!$B$6,1),0),"")</f>
        <v/>
      </c>
      <c r="BF72" s="2" t="str" cm="1">
        <f t="array" ref="BF72">IF('NILAI CPL'!$B72&lt;&gt;"",IFERROR(_xlfn.IFS(AI72&gt;='NILAI CPL'!$B$3,4,AI72&gt;='NILAI CPL'!$B$4,3,AI72&gt;='NILAI CPL'!$B$5,2,AI72&gt;'NILAI CPL'!$B$6,1),0),"")</f>
        <v/>
      </c>
      <c r="BG72" s="2" t="str" cm="1">
        <f t="array" ref="BG72">IF('NILAI CPL'!$B72&lt;&gt;"",IFERROR(_xlfn.IFS(AJ72&gt;='NILAI CPL'!$B$3,4,AJ72&gt;='NILAI CPL'!$B$4,3,AJ72&gt;='NILAI CPL'!$B$5,2,AJ72&gt;'NILAI CPL'!$B$6,1),0),"")</f>
        <v/>
      </c>
      <c r="BH72" s="2" t="str" cm="1">
        <f t="array" ref="BH72">IF('NILAI CPL'!$B72&lt;&gt;"",IFERROR(_xlfn.IFS(AK72&gt;='NILAI CPL'!$B$3,4,AK72&gt;='NILAI CPL'!$B$4,3,AK72&gt;='NILAI CPL'!$B$5,2,AK72&gt;'NILAI CPL'!$B$6,1),0),"")</f>
        <v/>
      </c>
      <c r="BI72" s="2" t="str" cm="1">
        <f t="array" ref="BI72">IF('NILAI CPL'!$B72&lt;&gt;"",IFERROR(_xlfn.IFS(AL72&gt;='NILAI CPL'!$B$3,4,AL72&gt;='NILAI CPL'!$B$4,3,AL72&gt;='NILAI CPL'!$B$5,2,AL72&gt;'NILAI CPL'!$B$6,1),0),"")</f>
        <v/>
      </c>
      <c r="BJ72" s="2" t="str" cm="1">
        <f t="array" ref="BJ72">IF('NILAI CPL'!$B72&lt;&gt;"",IFERROR(_xlfn.IFS(AM72&gt;='NILAI CPL'!$B$3,4,AM72&gt;='NILAI CPL'!$B$4,3,AM72&gt;='NILAI CPL'!$B$5,2,AM72&gt;'NILAI CPL'!$B$6,1),0),"")</f>
        <v/>
      </c>
      <c r="BK72" s="2" t="str" cm="1">
        <f t="array" ref="BK72">IF('NILAI CPL'!$B72&lt;&gt;"",IFERROR(_xlfn.IFS(AN72&gt;='NILAI CPL'!$B$3,4,AN72&gt;='NILAI CPL'!$B$4,3,AN72&gt;='NILAI CPL'!$B$5,2,AN72&gt;'NILAI CPL'!$B$6,1),0),"")</f>
        <v/>
      </c>
    </row>
    <row r="73" spans="1:63" x14ac:dyDescent="0.2">
      <c r="A73" s="2">
        <v>63</v>
      </c>
      <c r="B73" s="2" t="str">
        <f>IF(LEN(SUMMARY!B73)&gt;0, SUMMARY!B73, "")</f>
        <v/>
      </c>
      <c r="C73" s="2" t="str">
        <f>IF(LEN(SUMMARY!C73)&gt;0, SUMMARY!C73, "")</f>
        <v/>
      </c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" t="str">
        <f t="shared" si="2"/>
        <v/>
      </c>
      <c r="S73" s="2" t="str">
        <f t="shared" si="3"/>
        <v/>
      </c>
      <c r="T73" s="2" t="str">
        <f t="shared" si="4"/>
        <v/>
      </c>
      <c r="U73" s="2" t="str">
        <f t="shared" si="5"/>
        <v/>
      </c>
      <c r="V73" s="2" t="str">
        <f t="shared" si="6"/>
        <v/>
      </c>
      <c r="W73" s="2" t="str">
        <f t="shared" si="7"/>
        <v/>
      </c>
      <c r="X73" s="2" t="str">
        <f t="shared" si="8"/>
        <v/>
      </c>
      <c r="Y73" s="2" t="str">
        <f t="shared" si="9"/>
        <v/>
      </c>
      <c r="Z73" s="2" t="str">
        <f t="shared" si="10"/>
        <v/>
      </c>
      <c r="AA73" s="2" t="str">
        <f t="shared" si="11"/>
        <v/>
      </c>
      <c r="AB73" s="2" t="str">
        <f t="shared" si="12"/>
        <v/>
      </c>
      <c r="AC73" s="2" t="str">
        <f t="shared" si="13"/>
        <v/>
      </c>
      <c r="AD73" s="2" t="str">
        <f t="shared" si="14"/>
        <v/>
      </c>
      <c r="AE73" s="2" t="str">
        <f t="shared" si="15"/>
        <v/>
      </c>
      <c r="AF73" s="2" t="str">
        <f t="shared" si="16"/>
        <v/>
      </c>
      <c r="AG73" s="2" t="str">
        <f t="shared" si="17"/>
        <v/>
      </c>
      <c r="AH73" s="2" t="str">
        <f t="shared" si="18"/>
        <v/>
      </c>
      <c r="AI73" s="2" t="str">
        <f t="shared" si="19"/>
        <v/>
      </c>
      <c r="AJ73" s="2" t="str">
        <f t="shared" si="20"/>
        <v/>
      </c>
      <c r="AK73" s="2" t="str">
        <f t="shared" si="21"/>
        <v/>
      </c>
      <c r="AL73" s="2" t="str">
        <f t="shared" si="22"/>
        <v/>
      </c>
      <c r="AM73" s="2" t="str">
        <f t="shared" si="23"/>
        <v/>
      </c>
      <c r="AN73" s="2" t="str">
        <f t="shared" si="24"/>
        <v/>
      </c>
      <c r="AP73" s="2" t="str" cm="1">
        <f t="array" ref="AP73">IF('NILAI CPL'!$B73&lt;&gt;"",IFERROR(_xlfn.IFS(S73&gt;='NILAI CPL'!$B$3,4,S73&gt;='NILAI CPL'!$B$4,3,S73&gt;='NILAI CPL'!$B$5,2,S73&gt;'NILAI CPL'!$B$6,1),0),"")</f>
        <v/>
      </c>
      <c r="AQ73" s="2" t="str" cm="1">
        <f t="array" ref="AQ73">IF('NILAI CPL'!$B73&lt;&gt;"",IFERROR(_xlfn.IFS(T73&gt;='NILAI CPL'!$B$3,4,T73&gt;='NILAI CPL'!$B$4,3,T73&gt;='NILAI CPL'!$B$5,2,T73&gt;'NILAI CPL'!$B$6,1),0),"")</f>
        <v/>
      </c>
      <c r="AR73" s="2" t="str" cm="1">
        <f t="array" ref="AR73">IF('NILAI CPL'!$B73&lt;&gt;"",IFERROR(_xlfn.IFS(U73&gt;='NILAI CPL'!$B$3,4,U73&gt;='NILAI CPL'!$B$4,3,U73&gt;='NILAI CPL'!$B$5,2,U73&gt;'NILAI CPL'!$B$6,1),0),"")</f>
        <v/>
      </c>
      <c r="AS73" s="2" t="str" cm="1">
        <f t="array" ref="AS73">IF('NILAI CPL'!$B73&lt;&gt;"",IFERROR(_xlfn.IFS(V73&gt;='NILAI CPL'!$B$3,4,V73&gt;='NILAI CPL'!$B$4,3,V73&gt;='NILAI CPL'!$B$5,2,V73&gt;'NILAI CPL'!$B$6,1),0),"")</f>
        <v/>
      </c>
      <c r="AT73" s="2" t="str" cm="1">
        <f t="array" ref="AT73">IF('NILAI CPL'!$B73&lt;&gt;"",IFERROR(_xlfn.IFS(W73&gt;='NILAI CPL'!$B$3,4,W73&gt;='NILAI CPL'!$B$4,3,W73&gt;='NILAI CPL'!$B$5,2,W73&gt;'NILAI CPL'!$B$6,1),0),"")</f>
        <v/>
      </c>
      <c r="AU73" s="2" t="str" cm="1">
        <f t="array" ref="AU73">IF('NILAI CPL'!$B73&lt;&gt;"",IFERROR(_xlfn.IFS(X73&gt;='NILAI CPL'!$B$3,4,X73&gt;='NILAI CPL'!$B$4,3,X73&gt;='NILAI CPL'!$B$5,2,X73&gt;'NILAI CPL'!$B$6,1),0),"")</f>
        <v/>
      </c>
      <c r="AV73" s="2" t="str" cm="1">
        <f t="array" ref="AV73">IF('NILAI CPL'!$B73&lt;&gt;"",IFERROR(_xlfn.IFS(Y73&gt;='NILAI CPL'!$B$3,4,Y73&gt;='NILAI CPL'!$B$4,3,Y73&gt;='NILAI CPL'!$B$5,2,Y73&gt;'NILAI CPL'!$B$6,1),0),"")</f>
        <v/>
      </c>
      <c r="AW73" s="2" t="str" cm="1">
        <f t="array" ref="AW73">IF('NILAI CPL'!$B73&lt;&gt;"",IFERROR(_xlfn.IFS(Z73&gt;='NILAI CPL'!$B$3,4,Z73&gt;='NILAI CPL'!$B$4,3,Z73&gt;='NILAI CPL'!$B$5,2,Z73&gt;'NILAI CPL'!$B$6,1),0),"")</f>
        <v/>
      </c>
      <c r="AX73" s="2" t="str" cm="1">
        <f t="array" ref="AX73">IF('NILAI CPL'!$B73&lt;&gt;"",IFERROR(_xlfn.IFS(AA73&gt;='NILAI CPL'!$B$3,4,AA73&gt;='NILAI CPL'!$B$4,3,AA73&gt;='NILAI CPL'!$B$5,2,AA73&gt;'NILAI CPL'!$B$6,1),0),"")</f>
        <v/>
      </c>
      <c r="AY73" s="2" t="str" cm="1">
        <f t="array" ref="AY73">IF('NILAI CPL'!$B73&lt;&gt;"",IFERROR(_xlfn.IFS(AB73&gt;='NILAI CPL'!$B$3,4,AB73&gt;='NILAI CPL'!$B$4,3,AB73&gt;='NILAI CPL'!$B$5,2,AB73&gt;'NILAI CPL'!$B$6,1),0),"")</f>
        <v/>
      </c>
      <c r="AZ73" s="2" t="str" cm="1">
        <f t="array" ref="AZ73">IF('NILAI CPL'!$B73&lt;&gt;"",IFERROR(_xlfn.IFS(AC73&gt;='NILAI CPL'!$B$3,4,AC73&gt;='NILAI CPL'!$B$4,3,AC73&gt;='NILAI CPL'!$B$5,2,AC73&gt;'NILAI CPL'!$B$6,1),0),"")</f>
        <v/>
      </c>
      <c r="BA73" s="2" t="str" cm="1">
        <f t="array" ref="BA73">IF('NILAI CPL'!$B73&lt;&gt;"",IFERROR(_xlfn.IFS(AD73&gt;='NILAI CPL'!$B$3,4,AD73&gt;='NILAI CPL'!$B$4,3,AD73&gt;='NILAI CPL'!$B$5,2,AD73&gt;'NILAI CPL'!$B$6,1),0),"")</f>
        <v/>
      </c>
      <c r="BB73" s="2" t="str" cm="1">
        <f t="array" ref="BB73">IF('NILAI CPL'!$B73&lt;&gt;"",IFERROR(_xlfn.IFS(AE73&gt;='NILAI CPL'!$B$3,4,AE73&gt;='NILAI CPL'!$B$4,3,AE73&gt;='NILAI CPL'!$B$5,2,AE73&gt;'NILAI CPL'!$B$6,1),0),"")</f>
        <v/>
      </c>
      <c r="BC73" s="2" t="str" cm="1">
        <f t="array" ref="BC73">IF('NILAI CPL'!$B73&lt;&gt;"",IFERROR(_xlfn.IFS(AF73&gt;='NILAI CPL'!$B$3,4,AF73&gt;='NILAI CPL'!$B$4,3,AF73&gt;='NILAI CPL'!$B$5,2,AF73&gt;'NILAI CPL'!$B$6,1),0),"")</f>
        <v/>
      </c>
      <c r="BD73" s="2" t="str" cm="1">
        <f t="array" ref="BD73">IF('NILAI CPL'!$B73&lt;&gt;"",IFERROR(_xlfn.IFS(AG73&gt;='NILAI CPL'!$B$3,4,AG73&gt;='NILAI CPL'!$B$4,3,AG73&gt;='NILAI CPL'!$B$5,2,AG73&gt;'NILAI CPL'!$B$6,1),0),"")</f>
        <v/>
      </c>
      <c r="BE73" s="2" t="str" cm="1">
        <f t="array" ref="BE73">IF('NILAI CPL'!$B73&lt;&gt;"",IFERROR(_xlfn.IFS(AH73&gt;='NILAI CPL'!$B$3,4,AH73&gt;='NILAI CPL'!$B$4,3,AH73&gt;='NILAI CPL'!$B$5,2,AH73&gt;'NILAI CPL'!$B$6,1),0),"")</f>
        <v/>
      </c>
      <c r="BF73" s="2" t="str" cm="1">
        <f t="array" ref="BF73">IF('NILAI CPL'!$B73&lt;&gt;"",IFERROR(_xlfn.IFS(AI73&gt;='NILAI CPL'!$B$3,4,AI73&gt;='NILAI CPL'!$B$4,3,AI73&gt;='NILAI CPL'!$B$5,2,AI73&gt;'NILAI CPL'!$B$6,1),0),"")</f>
        <v/>
      </c>
      <c r="BG73" s="2" t="str" cm="1">
        <f t="array" ref="BG73">IF('NILAI CPL'!$B73&lt;&gt;"",IFERROR(_xlfn.IFS(AJ73&gt;='NILAI CPL'!$B$3,4,AJ73&gt;='NILAI CPL'!$B$4,3,AJ73&gt;='NILAI CPL'!$B$5,2,AJ73&gt;'NILAI CPL'!$B$6,1),0),"")</f>
        <v/>
      </c>
      <c r="BH73" s="2" t="str" cm="1">
        <f t="array" ref="BH73">IF('NILAI CPL'!$B73&lt;&gt;"",IFERROR(_xlfn.IFS(AK73&gt;='NILAI CPL'!$B$3,4,AK73&gt;='NILAI CPL'!$B$4,3,AK73&gt;='NILAI CPL'!$B$5,2,AK73&gt;'NILAI CPL'!$B$6,1),0),"")</f>
        <v/>
      </c>
      <c r="BI73" s="2" t="str" cm="1">
        <f t="array" ref="BI73">IF('NILAI CPL'!$B73&lt;&gt;"",IFERROR(_xlfn.IFS(AL73&gt;='NILAI CPL'!$B$3,4,AL73&gt;='NILAI CPL'!$B$4,3,AL73&gt;='NILAI CPL'!$B$5,2,AL73&gt;'NILAI CPL'!$B$6,1),0),"")</f>
        <v/>
      </c>
      <c r="BJ73" s="2" t="str" cm="1">
        <f t="array" ref="BJ73">IF('NILAI CPL'!$B73&lt;&gt;"",IFERROR(_xlfn.IFS(AM73&gt;='NILAI CPL'!$B$3,4,AM73&gt;='NILAI CPL'!$B$4,3,AM73&gt;='NILAI CPL'!$B$5,2,AM73&gt;'NILAI CPL'!$B$6,1),0),"")</f>
        <v/>
      </c>
      <c r="BK73" s="2" t="str" cm="1">
        <f t="array" ref="BK73">IF('NILAI CPL'!$B73&lt;&gt;"",IFERROR(_xlfn.IFS(AN73&gt;='NILAI CPL'!$B$3,4,AN73&gt;='NILAI CPL'!$B$4,3,AN73&gt;='NILAI CPL'!$B$5,2,AN73&gt;'NILAI CPL'!$B$6,1),0),"")</f>
        <v/>
      </c>
    </row>
    <row r="74" spans="1:63" x14ac:dyDescent="0.2">
      <c r="A74" s="2">
        <v>64</v>
      </c>
      <c r="B74" s="2" t="str">
        <f>IF(LEN(SUMMARY!B74)&gt;0, SUMMARY!B74, "")</f>
        <v/>
      </c>
      <c r="C74" s="2" t="str">
        <f>IF(LEN(SUMMARY!C74)&gt;0, SUMMARY!C74, "")</f>
        <v/>
      </c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" t="str">
        <f t="shared" si="2"/>
        <v/>
      </c>
      <c r="S74" s="2" t="str">
        <f t="shared" si="3"/>
        <v/>
      </c>
      <c r="T74" s="2" t="str">
        <f t="shared" si="4"/>
        <v/>
      </c>
      <c r="U74" s="2" t="str">
        <f t="shared" si="5"/>
        <v/>
      </c>
      <c r="V74" s="2" t="str">
        <f t="shared" si="6"/>
        <v/>
      </c>
      <c r="W74" s="2" t="str">
        <f t="shared" si="7"/>
        <v/>
      </c>
      <c r="X74" s="2" t="str">
        <f t="shared" si="8"/>
        <v/>
      </c>
      <c r="Y74" s="2" t="str">
        <f t="shared" si="9"/>
        <v/>
      </c>
      <c r="Z74" s="2" t="str">
        <f t="shared" si="10"/>
        <v/>
      </c>
      <c r="AA74" s="2" t="str">
        <f t="shared" si="11"/>
        <v/>
      </c>
      <c r="AB74" s="2" t="str">
        <f t="shared" si="12"/>
        <v/>
      </c>
      <c r="AC74" s="2" t="str">
        <f t="shared" si="13"/>
        <v/>
      </c>
      <c r="AD74" s="2" t="str">
        <f t="shared" si="14"/>
        <v/>
      </c>
      <c r="AE74" s="2" t="str">
        <f t="shared" si="15"/>
        <v/>
      </c>
      <c r="AF74" s="2" t="str">
        <f t="shared" si="16"/>
        <v/>
      </c>
      <c r="AG74" s="2" t="str">
        <f t="shared" si="17"/>
        <v/>
      </c>
      <c r="AH74" s="2" t="str">
        <f t="shared" si="18"/>
        <v/>
      </c>
      <c r="AI74" s="2" t="str">
        <f t="shared" si="19"/>
        <v/>
      </c>
      <c r="AJ74" s="2" t="str">
        <f t="shared" si="20"/>
        <v/>
      </c>
      <c r="AK74" s="2" t="str">
        <f t="shared" si="21"/>
        <v/>
      </c>
      <c r="AL74" s="2" t="str">
        <f t="shared" si="22"/>
        <v/>
      </c>
      <c r="AM74" s="2" t="str">
        <f t="shared" si="23"/>
        <v/>
      </c>
      <c r="AN74" s="2" t="str">
        <f t="shared" si="24"/>
        <v/>
      </c>
      <c r="AP74" s="2" t="str" cm="1">
        <f t="array" ref="AP74">IF('NILAI CPL'!$B74&lt;&gt;"",IFERROR(_xlfn.IFS(S74&gt;='NILAI CPL'!$B$3,4,S74&gt;='NILAI CPL'!$B$4,3,S74&gt;='NILAI CPL'!$B$5,2,S74&gt;'NILAI CPL'!$B$6,1),0),"")</f>
        <v/>
      </c>
      <c r="AQ74" s="2" t="str" cm="1">
        <f t="array" ref="AQ74">IF('NILAI CPL'!$B74&lt;&gt;"",IFERROR(_xlfn.IFS(T74&gt;='NILAI CPL'!$B$3,4,T74&gt;='NILAI CPL'!$B$4,3,T74&gt;='NILAI CPL'!$B$5,2,T74&gt;'NILAI CPL'!$B$6,1),0),"")</f>
        <v/>
      </c>
      <c r="AR74" s="2" t="str" cm="1">
        <f t="array" ref="AR74">IF('NILAI CPL'!$B74&lt;&gt;"",IFERROR(_xlfn.IFS(U74&gt;='NILAI CPL'!$B$3,4,U74&gt;='NILAI CPL'!$B$4,3,U74&gt;='NILAI CPL'!$B$5,2,U74&gt;'NILAI CPL'!$B$6,1),0),"")</f>
        <v/>
      </c>
      <c r="AS74" s="2" t="str" cm="1">
        <f t="array" ref="AS74">IF('NILAI CPL'!$B74&lt;&gt;"",IFERROR(_xlfn.IFS(V74&gt;='NILAI CPL'!$B$3,4,V74&gt;='NILAI CPL'!$B$4,3,V74&gt;='NILAI CPL'!$B$5,2,V74&gt;'NILAI CPL'!$B$6,1),0),"")</f>
        <v/>
      </c>
      <c r="AT74" s="2" t="str" cm="1">
        <f t="array" ref="AT74">IF('NILAI CPL'!$B74&lt;&gt;"",IFERROR(_xlfn.IFS(W74&gt;='NILAI CPL'!$B$3,4,W74&gt;='NILAI CPL'!$B$4,3,W74&gt;='NILAI CPL'!$B$5,2,W74&gt;'NILAI CPL'!$B$6,1),0),"")</f>
        <v/>
      </c>
      <c r="AU74" s="2" t="str" cm="1">
        <f t="array" ref="AU74">IF('NILAI CPL'!$B74&lt;&gt;"",IFERROR(_xlfn.IFS(X74&gt;='NILAI CPL'!$B$3,4,X74&gt;='NILAI CPL'!$B$4,3,X74&gt;='NILAI CPL'!$B$5,2,X74&gt;'NILAI CPL'!$B$6,1),0),"")</f>
        <v/>
      </c>
      <c r="AV74" s="2" t="str" cm="1">
        <f t="array" ref="AV74">IF('NILAI CPL'!$B74&lt;&gt;"",IFERROR(_xlfn.IFS(Y74&gt;='NILAI CPL'!$B$3,4,Y74&gt;='NILAI CPL'!$B$4,3,Y74&gt;='NILAI CPL'!$B$5,2,Y74&gt;'NILAI CPL'!$B$6,1),0),"")</f>
        <v/>
      </c>
      <c r="AW74" s="2" t="str" cm="1">
        <f t="array" ref="AW74">IF('NILAI CPL'!$B74&lt;&gt;"",IFERROR(_xlfn.IFS(Z74&gt;='NILAI CPL'!$B$3,4,Z74&gt;='NILAI CPL'!$B$4,3,Z74&gt;='NILAI CPL'!$B$5,2,Z74&gt;'NILAI CPL'!$B$6,1),0),"")</f>
        <v/>
      </c>
      <c r="AX74" s="2" t="str" cm="1">
        <f t="array" ref="AX74">IF('NILAI CPL'!$B74&lt;&gt;"",IFERROR(_xlfn.IFS(AA74&gt;='NILAI CPL'!$B$3,4,AA74&gt;='NILAI CPL'!$B$4,3,AA74&gt;='NILAI CPL'!$B$5,2,AA74&gt;'NILAI CPL'!$B$6,1),0),"")</f>
        <v/>
      </c>
      <c r="AY74" s="2" t="str" cm="1">
        <f t="array" ref="AY74">IF('NILAI CPL'!$B74&lt;&gt;"",IFERROR(_xlfn.IFS(AB74&gt;='NILAI CPL'!$B$3,4,AB74&gt;='NILAI CPL'!$B$4,3,AB74&gt;='NILAI CPL'!$B$5,2,AB74&gt;'NILAI CPL'!$B$6,1),0),"")</f>
        <v/>
      </c>
      <c r="AZ74" s="2" t="str" cm="1">
        <f t="array" ref="AZ74">IF('NILAI CPL'!$B74&lt;&gt;"",IFERROR(_xlfn.IFS(AC74&gt;='NILAI CPL'!$B$3,4,AC74&gt;='NILAI CPL'!$B$4,3,AC74&gt;='NILAI CPL'!$B$5,2,AC74&gt;'NILAI CPL'!$B$6,1),0),"")</f>
        <v/>
      </c>
      <c r="BA74" s="2" t="str" cm="1">
        <f t="array" ref="BA74">IF('NILAI CPL'!$B74&lt;&gt;"",IFERROR(_xlfn.IFS(AD74&gt;='NILAI CPL'!$B$3,4,AD74&gt;='NILAI CPL'!$B$4,3,AD74&gt;='NILAI CPL'!$B$5,2,AD74&gt;'NILAI CPL'!$B$6,1),0),"")</f>
        <v/>
      </c>
      <c r="BB74" s="2" t="str" cm="1">
        <f t="array" ref="BB74">IF('NILAI CPL'!$B74&lt;&gt;"",IFERROR(_xlfn.IFS(AE74&gt;='NILAI CPL'!$B$3,4,AE74&gt;='NILAI CPL'!$B$4,3,AE74&gt;='NILAI CPL'!$B$5,2,AE74&gt;'NILAI CPL'!$B$6,1),0),"")</f>
        <v/>
      </c>
      <c r="BC74" s="2" t="str" cm="1">
        <f t="array" ref="BC74">IF('NILAI CPL'!$B74&lt;&gt;"",IFERROR(_xlfn.IFS(AF74&gt;='NILAI CPL'!$B$3,4,AF74&gt;='NILAI CPL'!$B$4,3,AF74&gt;='NILAI CPL'!$B$5,2,AF74&gt;'NILAI CPL'!$B$6,1),0),"")</f>
        <v/>
      </c>
      <c r="BD74" s="2" t="str" cm="1">
        <f t="array" ref="BD74">IF('NILAI CPL'!$B74&lt;&gt;"",IFERROR(_xlfn.IFS(AG74&gt;='NILAI CPL'!$B$3,4,AG74&gt;='NILAI CPL'!$B$4,3,AG74&gt;='NILAI CPL'!$B$5,2,AG74&gt;'NILAI CPL'!$B$6,1),0),"")</f>
        <v/>
      </c>
      <c r="BE74" s="2" t="str" cm="1">
        <f t="array" ref="BE74">IF('NILAI CPL'!$B74&lt;&gt;"",IFERROR(_xlfn.IFS(AH74&gt;='NILAI CPL'!$B$3,4,AH74&gt;='NILAI CPL'!$B$4,3,AH74&gt;='NILAI CPL'!$B$5,2,AH74&gt;'NILAI CPL'!$B$6,1),0),"")</f>
        <v/>
      </c>
      <c r="BF74" s="2" t="str" cm="1">
        <f t="array" ref="BF74">IF('NILAI CPL'!$B74&lt;&gt;"",IFERROR(_xlfn.IFS(AI74&gt;='NILAI CPL'!$B$3,4,AI74&gt;='NILAI CPL'!$B$4,3,AI74&gt;='NILAI CPL'!$B$5,2,AI74&gt;'NILAI CPL'!$B$6,1),0),"")</f>
        <v/>
      </c>
      <c r="BG74" s="2" t="str" cm="1">
        <f t="array" ref="BG74">IF('NILAI CPL'!$B74&lt;&gt;"",IFERROR(_xlfn.IFS(AJ74&gt;='NILAI CPL'!$B$3,4,AJ74&gt;='NILAI CPL'!$B$4,3,AJ74&gt;='NILAI CPL'!$B$5,2,AJ74&gt;'NILAI CPL'!$B$6,1),0),"")</f>
        <v/>
      </c>
      <c r="BH74" s="2" t="str" cm="1">
        <f t="array" ref="BH74">IF('NILAI CPL'!$B74&lt;&gt;"",IFERROR(_xlfn.IFS(AK74&gt;='NILAI CPL'!$B$3,4,AK74&gt;='NILAI CPL'!$B$4,3,AK74&gt;='NILAI CPL'!$B$5,2,AK74&gt;'NILAI CPL'!$B$6,1),0),"")</f>
        <v/>
      </c>
      <c r="BI74" s="2" t="str" cm="1">
        <f t="array" ref="BI74">IF('NILAI CPL'!$B74&lt;&gt;"",IFERROR(_xlfn.IFS(AL74&gt;='NILAI CPL'!$B$3,4,AL74&gt;='NILAI CPL'!$B$4,3,AL74&gt;='NILAI CPL'!$B$5,2,AL74&gt;'NILAI CPL'!$B$6,1),0),"")</f>
        <v/>
      </c>
      <c r="BJ74" s="2" t="str" cm="1">
        <f t="array" ref="BJ74">IF('NILAI CPL'!$B74&lt;&gt;"",IFERROR(_xlfn.IFS(AM74&gt;='NILAI CPL'!$B$3,4,AM74&gt;='NILAI CPL'!$B$4,3,AM74&gt;='NILAI CPL'!$B$5,2,AM74&gt;'NILAI CPL'!$B$6,1),0),"")</f>
        <v/>
      </c>
      <c r="BK74" s="2" t="str" cm="1">
        <f t="array" ref="BK74">IF('NILAI CPL'!$B74&lt;&gt;"",IFERROR(_xlfn.IFS(AN74&gt;='NILAI CPL'!$B$3,4,AN74&gt;='NILAI CPL'!$B$4,3,AN74&gt;='NILAI CPL'!$B$5,2,AN74&gt;'NILAI CPL'!$B$6,1),0),"")</f>
        <v/>
      </c>
    </row>
    <row r="75" spans="1:63" x14ac:dyDescent="0.2">
      <c r="A75" s="2">
        <v>65</v>
      </c>
      <c r="B75" s="2" t="str">
        <f>IF(LEN(SUMMARY!B75)&gt;0, SUMMARY!B75, "")</f>
        <v/>
      </c>
      <c r="C75" s="2" t="str">
        <f>IF(LEN(SUMMARY!C75)&gt;0, SUMMARY!C75, "")</f>
        <v/>
      </c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" t="str">
        <f t="shared" si="2"/>
        <v/>
      </c>
      <c r="S75" s="2" t="str">
        <f t="shared" si="3"/>
        <v/>
      </c>
      <c r="T75" s="2" t="str">
        <f t="shared" si="4"/>
        <v/>
      </c>
      <c r="U75" s="2" t="str">
        <f t="shared" si="5"/>
        <v/>
      </c>
      <c r="V75" s="2" t="str">
        <f t="shared" si="6"/>
        <v/>
      </c>
      <c r="W75" s="2" t="str">
        <f t="shared" si="7"/>
        <v/>
      </c>
      <c r="X75" s="2" t="str">
        <f t="shared" si="8"/>
        <v/>
      </c>
      <c r="Y75" s="2" t="str">
        <f t="shared" si="9"/>
        <v/>
      </c>
      <c r="Z75" s="2" t="str">
        <f t="shared" si="10"/>
        <v/>
      </c>
      <c r="AA75" s="2" t="str">
        <f t="shared" si="11"/>
        <v/>
      </c>
      <c r="AB75" s="2" t="str">
        <f t="shared" si="12"/>
        <v/>
      </c>
      <c r="AC75" s="2" t="str">
        <f t="shared" si="13"/>
        <v/>
      </c>
      <c r="AD75" s="2" t="str">
        <f t="shared" si="14"/>
        <v/>
      </c>
      <c r="AE75" s="2" t="str">
        <f t="shared" si="15"/>
        <v/>
      </c>
      <c r="AF75" s="2" t="str">
        <f t="shared" si="16"/>
        <v/>
      </c>
      <c r="AG75" s="2" t="str">
        <f t="shared" si="17"/>
        <v/>
      </c>
      <c r="AH75" s="2" t="str">
        <f t="shared" si="18"/>
        <v/>
      </c>
      <c r="AI75" s="2" t="str">
        <f t="shared" si="19"/>
        <v/>
      </c>
      <c r="AJ75" s="2" t="str">
        <f t="shared" si="20"/>
        <v/>
      </c>
      <c r="AK75" s="2" t="str">
        <f t="shared" si="21"/>
        <v/>
      </c>
      <c r="AL75" s="2" t="str">
        <f t="shared" si="22"/>
        <v/>
      </c>
      <c r="AM75" s="2" t="str">
        <f t="shared" si="23"/>
        <v/>
      </c>
      <c r="AN75" s="2" t="str">
        <f t="shared" si="24"/>
        <v/>
      </c>
      <c r="AP75" s="2" t="str" cm="1">
        <f t="array" ref="AP75">IF('NILAI CPL'!$B75&lt;&gt;"",IFERROR(_xlfn.IFS(S75&gt;='NILAI CPL'!$B$3,4,S75&gt;='NILAI CPL'!$B$4,3,S75&gt;='NILAI CPL'!$B$5,2,S75&gt;'NILAI CPL'!$B$6,1),0),"")</f>
        <v/>
      </c>
      <c r="AQ75" s="2" t="str" cm="1">
        <f t="array" ref="AQ75">IF('NILAI CPL'!$B75&lt;&gt;"",IFERROR(_xlfn.IFS(T75&gt;='NILAI CPL'!$B$3,4,T75&gt;='NILAI CPL'!$B$4,3,T75&gt;='NILAI CPL'!$B$5,2,T75&gt;'NILAI CPL'!$B$6,1),0),"")</f>
        <v/>
      </c>
      <c r="AR75" s="2" t="str" cm="1">
        <f t="array" ref="AR75">IF('NILAI CPL'!$B75&lt;&gt;"",IFERROR(_xlfn.IFS(U75&gt;='NILAI CPL'!$B$3,4,U75&gt;='NILAI CPL'!$B$4,3,U75&gt;='NILAI CPL'!$B$5,2,U75&gt;'NILAI CPL'!$B$6,1),0),"")</f>
        <v/>
      </c>
      <c r="AS75" s="2" t="str" cm="1">
        <f t="array" ref="AS75">IF('NILAI CPL'!$B75&lt;&gt;"",IFERROR(_xlfn.IFS(V75&gt;='NILAI CPL'!$B$3,4,V75&gt;='NILAI CPL'!$B$4,3,V75&gt;='NILAI CPL'!$B$5,2,V75&gt;'NILAI CPL'!$B$6,1),0),"")</f>
        <v/>
      </c>
      <c r="AT75" s="2" t="str" cm="1">
        <f t="array" ref="AT75">IF('NILAI CPL'!$B75&lt;&gt;"",IFERROR(_xlfn.IFS(W75&gt;='NILAI CPL'!$B$3,4,W75&gt;='NILAI CPL'!$B$4,3,W75&gt;='NILAI CPL'!$B$5,2,W75&gt;'NILAI CPL'!$B$6,1),0),"")</f>
        <v/>
      </c>
      <c r="AU75" s="2" t="str" cm="1">
        <f t="array" ref="AU75">IF('NILAI CPL'!$B75&lt;&gt;"",IFERROR(_xlfn.IFS(X75&gt;='NILAI CPL'!$B$3,4,X75&gt;='NILAI CPL'!$B$4,3,X75&gt;='NILAI CPL'!$B$5,2,X75&gt;'NILAI CPL'!$B$6,1),0),"")</f>
        <v/>
      </c>
      <c r="AV75" s="2" t="str" cm="1">
        <f t="array" ref="AV75">IF('NILAI CPL'!$B75&lt;&gt;"",IFERROR(_xlfn.IFS(Y75&gt;='NILAI CPL'!$B$3,4,Y75&gt;='NILAI CPL'!$B$4,3,Y75&gt;='NILAI CPL'!$B$5,2,Y75&gt;'NILAI CPL'!$B$6,1),0),"")</f>
        <v/>
      </c>
      <c r="AW75" s="2" t="str" cm="1">
        <f t="array" ref="AW75">IF('NILAI CPL'!$B75&lt;&gt;"",IFERROR(_xlfn.IFS(Z75&gt;='NILAI CPL'!$B$3,4,Z75&gt;='NILAI CPL'!$B$4,3,Z75&gt;='NILAI CPL'!$B$5,2,Z75&gt;'NILAI CPL'!$B$6,1),0),"")</f>
        <v/>
      </c>
      <c r="AX75" s="2" t="str" cm="1">
        <f t="array" ref="AX75">IF('NILAI CPL'!$B75&lt;&gt;"",IFERROR(_xlfn.IFS(AA75&gt;='NILAI CPL'!$B$3,4,AA75&gt;='NILAI CPL'!$B$4,3,AA75&gt;='NILAI CPL'!$B$5,2,AA75&gt;'NILAI CPL'!$B$6,1),0),"")</f>
        <v/>
      </c>
      <c r="AY75" s="2" t="str" cm="1">
        <f t="array" ref="AY75">IF('NILAI CPL'!$B75&lt;&gt;"",IFERROR(_xlfn.IFS(AB75&gt;='NILAI CPL'!$B$3,4,AB75&gt;='NILAI CPL'!$B$4,3,AB75&gt;='NILAI CPL'!$B$5,2,AB75&gt;'NILAI CPL'!$B$6,1),0),"")</f>
        <v/>
      </c>
      <c r="AZ75" s="2" t="str" cm="1">
        <f t="array" ref="AZ75">IF('NILAI CPL'!$B75&lt;&gt;"",IFERROR(_xlfn.IFS(AC75&gt;='NILAI CPL'!$B$3,4,AC75&gt;='NILAI CPL'!$B$4,3,AC75&gt;='NILAI CPL'!$B$5,2,AC75&gt;'NILAI CPL'!$B$6,1),0),"")</f>
        <v/>
      </c>
      <c r="BA75" s="2" t="str" cm="1">
        <f t="array" ref="BA75">IF('NILAI CPL'!$B75&lt;&gt;"",IFERROR(_xlfn.IFS(AD75&gt;='NILAI CPL'!$B$3,4,AD75&gt;='NILAI CPL'!$B$4,3,AD75&gt;='NILAI CPL'!$B$5,2,AD75&gt;'NILAI CPL'!$B$6,1),0),"")</f>
        <v/>
      </c>
      <c r="BB75" s="2" t="str" cm="1">
        <f t="array" ref="BB75">IF('NILAI CPL'!$B75&lt;&gt;"",IFERROR(_xlfn.IFS(AE75&gt;='NILAI CPL'!$B$3,4,AE75&gt;='NILAI CPL'!$B$4,3,AE75&gt;='NILAI CPL'!$B$5,2,AE75&gt;'NILAI CPL'!$B$6,1),0),"")</f>
        <v/>
      </c>
      <c r="BC75" s="2" t="str" cm="1">
        <f t="array" ref="BC75">IF('NILAI CPL'!$B75&lt;&gt;"",IFERROR(_xlfn.IFS(AF75&gt;='NILAI CPL'!$B$3,4,AF75&gt;='NILAI CPL'!$B$4,3,AF75&gt;='NILAI CPL'!$B$5,2,AF75&gt;'NILAI CPL'!$B$6,1),0),"")</f>
        <v/>
      </c>
      <c r="BD75" s="2" t="str" cm="1">
        <f t="array" ref="BD75">IF('NILAI CPL'!$B75&lt;&gt;"",IFERROR(_xlfn.IFS(AG75&gt;='NILAI CPL'!$B$3,4,AG75&gt;='NILAI CPL'!$B$4,3,AG75&gt;='NILAI CPL'!$B$5,2,AG75&gt;'NILAI CPL'!$B$6,1),0),"")</f>
        <v/>
      </c>
      <c r="BE75" s="2" t="str" cm="1">
        <f t="array" ref="BE75">IF('NILAI CPL'!$B75&lt;&gt;"",IFERROR(_xlfn.IFS(AH75&gt;='NILAI CPL'!$B$3,4,AH75&gt;='NILAI CPL'!$B$4,3,AH75&gt;='NILAI CPL'!$B$5,2,AH75&gt;'NILAI CPL'!$B$6,1),0),"")</f>
        <v/>
      </c>
      <c r="BF75" s="2" t="str" cm="1">
        <f t="array" ref="BF75">IF('NILAI CPL'!$B75&lt;&gt;"",IFERROR(_xlfn.IFS(AI75&gt;='NILAI CPL'!$B$3,4,AI75&gt;='NILAI CPL'!$B$4,3,AI75&gt;='NILAI CPL'!$B$5,2,AI75&gt;'NILAI CPL'!$B$6,1),0),"")</f>
        <v/>
      </c>
      <c r="BG75" s="2" t="str" cm="1">
        <f t="array" ref="BG75">IF('NILAI CPL'!$B75&lt;&gt;"",IFERROR(_xlfn.IFS(AJ75&gt;='NILAI CPL'!$B$3,4,AJ75&gt;='NILAI CPL'!$B$4,3,AJ75&gt;='NILAI CPL'!$B$5,2,AJ75&gt;'NILAI CPL'!$B$6,1),0),"")</f>
        <v/>
      </c>
      <c r="BH75" s="2" t="str" cm="1">
        <f t="array" ref="BH75">IF('NILAI CPL'!$B75&lt;&gt;"",IFERROR(_xlfn.IFS(AK75&gt;='NILAI CPL'!$B$3,4,AK75&gt;='NILAI CPL'!$B$4,3,AK75&gt;='NILAI CPL'!$B$5,2,AK75&gt;'NILAI CPL'!$B$6,1),0),"")</f>
        <v/>
      </c>
      <c r="BI75" s="2" t="str" cm="1">
        <f t="array" ref="BI75">IF('NILAI CPL'!$B75&lt;&gt;"",IFERROR(_xlfn.IFS(AL75&gt;='NILAI CPL'!$B$3,4,AL75&gt;='NILAI CPL'!$B$4,3,AL75&gt;='NILAI CPL'!$B$5,2,AL75&gt;'NILAI CPL'!$B$6,1),0),"")</f>
        <v/>
      </c>
      <c r="BJ75" s="2" t="str" cm="1">
        <f t="array" ref="BJ75">IF('NILAI CPL'!$B75&lt;&gt;"",IFERROR(_xlfn.IFS(AM75&gt;='NILAI CPL'!$B$3,4,AM75&gt;='NILAI CPL'!$B$4,3,AM75&gt;='NILAI CPL'!$B$5,2,AM75&gt;'NILAI CPL'!$B$6,1),0),"")</f>
        <v/>
      </c>
      <c r="BK75" s="2" t="str" cm="1">
        <f t="array" ref="BK75">IF('NILAI CPL'!$B75&lt;&gt;"",IFERROR(_xlfn.IFS(AN75&gt;='NILAI CPL'!$B$3,4,AN75&gt;='NILAI CPL'!$B$4,3,AN75&gt;='NILAI CPL'!$B$5,2,AN75&gt;'NILAI CPL'!$B$6,1),0),"")</f>
        <v/>
      </c>
    </row>
    <row r="76" spans="1:63" x14ac:dyDescent="0.2">
      <c r="A76" s="2">
        <v>66</v>
      </c>
      <c r="B76" s="2" t="str">
        <f>IF(LEN(SUMMARY!B76)&gt;0, SUMMARY!B76, "")</f>
        <v/>
      </c>
      <c r="C76" s="2" t="str">
        <f>IF(LEN(SUMMARY!C76)&gt;0, SUMMARY!C76, "")</f>
        <v/>
      </c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" t="str">
        <f t="shared" ref="Q76:Q90" si="25">IF(B76&lt;&gt;"",IFERROR(ROUNDUP(SUMPRODUCT($E$10:$P$10,E76:P76)/SUM($E$10:$P$10),2),0),"")</f>
        <v/>
      </c>
      <c r="S76" s="2" t="str">
        <f t="shared" ref="S76:S90" si="26">IF(B76&lt;&gt;"",IFERROR(ROUNDUP(SUMPRODUCT(E76:P76,$E$95:$P$95)/SUM($E$95:$P$95),2),0),"")</f>
        <v/>
      </c>
      <c r="T76" s="2" t="str">
        <f t="shared" ref="T76:T90" si="27">IF(B76&lt;&gt;"",IFERROR(ROUNDUP(SUMPRODUCT(E76:P76,$E$96:$P$96)/SUM($E$96:$P$96),2),0),"")</f>
        <v/>
      </c>
      <c r="U76" s="2" t="str">
        <f t="shared" ref="U76:U90" si="28">IF(B76&lt;&gt;"",IFERROR(ROUNDUP(SUMPRODUCT(E76:P76,$E$97:$P$97)/SUM($E$97:$P$97),2),0),"")</f>
        <v/>
      </c>
      <c r="V76" s="2" t="str">
        <f t="shared" ref="V76:V90" si="29">IF(B76&lt;&gt;"",IFERROR(ROUNDUP(SUMPRODUCT(E76:P76,$E$98:$P$98)/SUM($E$98:$P$98),2),0),"")</f>
        <v/>
      </c>
      <c r="W76" s="2" t="str">
        <f t="shared" ref="W76:W90" si="30">IF(B76&lt;&gt;"",IFERROR(ROUNDUP(SUMPRODUCT(E76:P76,$E$99:$P$99)/SUM($E$99:$P$99),2),0),"")</f>
        <v/>
      </c>
      <c r="X76" s="2" t="str">
        <f t="shared" ref="X76:X90" si="31">IF(B76&lt;&gt;"",IFERROR(ROUNDUP(SUMPRODUCT(E76:P76,$E$100:$P$100)/SUM($E$100:$P$100),2),0),"")</f>
        <v/>
      </c>
      <c r="Y76" s="2" t="str">
        <f t="shared" ref="Y76:Y90" si="32">IF(B76&lt;&gt;"",IFERROR(ROUNDUP(SUMPRODUCT(E76:P76,$E$101:$P$101)/SUM($E$101:$P$101),2),0),"")</f>
        <v/>
      </c>
      <c r="Z76" s="2" t="str">
        <f t="shared" ref="Z76:Z90" si="33">IF(B76&lt;&gt;"",IFERROR(ROUNDUP(SUMPRODUCT(E76:P76,$E$102:$P$102)/SUM($E$102:$P$102),2),0),"")</f>
        <v/>
      </c>
      <c r="AA76" s="2" t="str">
        <f t="shared" ref="AA76:AA90" si="34">IF(B76&lt;&gt;"",IFERROR(ROUNDUP(SUMPRODUCT(E76:P76,$E$103:$P$103)/SUM($E$103:$P$103),2),0),"")</f>
        <v/>
      </c>
      <c r="AB76" s="2" t="str">
        <f t="shared" ref="AB76:AB90" si="35">IF(B76&lt;&gt;"",IFERROR(ROUNDUP(SUMPRODUCT(E76:P76,$E$104:$P$104)/SUM($E$104:$P$104),2),0),"")</f>
        <v/>
      </c>
      <c r="AC76" s="2" t="str">
        <f t="shared" ref="AC76:AC90" si="36">IF(B76&lt;&gt;"",IFERROR(ROUNDUP(SUMPRODUCT(E76:P76,$E$105:$P$105)/SUM($E$105:$P$105),2),0),"")</f>
        <v/>
      </c>
      <c r="AD76" s="2" t="str">
        <f t="shared" ref="AD76:AD90" si="37">IF(B76&lt;&gt;"",IFERROR(ROUNDUP(SUMPRODUCT(E76:P76,$E$106:$P$106)/SUM($E$106:$P$106),2),0),"")</f>
        <v/>
      </c>
      <c r="AE76" s="2" t="str">
        <f t="shared" ref="AE76:AE90" si="38">IF(B76&lt;&gt;"",IFERROR(ROUNDUP(SUMPRODUCT(E76:P76,$E$107:$P$107)/SUM($E$107:$P$107),2),0),"")</f>
        <v/>
      </c>
      <c r="AF76" s="2" t="str">
        <f t="shared" ref="AF76:AF90" si="39">IF(B76&lt;&gt;"",IFERROR(ROUNDUP(SUMPRODUCT(E76:P76,$E$108:$P$108)/SUM($E$108:$P$108),2),0),"")</f>
        <v/>
      </c>
      <c r="AG76" s="2" t="str">
        <f t="shared" ref="AG76:AG90" si="40">IF(B76&lt;&gt;"",IFERROR(ROUNDUP(SUMPRODUCT(E76:P76,$E$109:$P$109)/SUM($E$109:$P$109),2),0),"")</f>
        <v/>
      </c>
      <c r="AH76" s="2" t="str">
        <f t="shared" ref="AH76:AH90" si="41">IF(B76&lt;&gt;"",IFERROR(ROUNDUP(SUMPRODUCT(E76:P76,$E$110:$P$110)/SUM($E$110:$P$110),2),0),"")</f>
        <v/>
      </c>
      <c r="AI76" s="2" t="str">
        <f t="shared" ref="AI76:AI90" si="42">IF(B76&lt;&gt;"",IFERROR(ROUNDUP(SUMPRODUCT(E76:P76,$E$111:$P$111)/SUM($E$111:$P$111),2),0),"")</f>
        <v/>
      </c>
      <c r="AJ76" s="2" t="str">
        <f t="shared" ref="AJ76:AJ90" si="43">IF(B76&lt;&gt;"",IFERROR(ROUNDUP(SUMPRODUCT(E76:P76,$E$112:$P$112)/SUM($E$112:$P$112),2),0),"")</f>
        <v/>
      </c>
      <c r="AK76" s="2" t="str">
        <f t="shared" ref="AK76:AK90" si="44">IF(B76&lt;&gt;"",IFERROR(ROUNDUP(SUMPRODUCT(E76:P76,$E$113:$P$113)/SUM($E$113:$P$113),2),0),"")</f>
        <v/>
      </c>
      <c r="AL76" s="2" t="str">
        <f t="shared" ref="AL76:AL90" si="45">IF(B76&lt;&gt;"",IFERROR(ROUNDUP(SUMPRODUCT(E76:P76,$E$114:$P$114)/SUM($E$114:$P$114),2),0),"")</f>
        <v/>
      </c>
      <c r="AM76" s="2" t="str">
        <f t="shared" ref="AM76:AM90" si="46">IF(B76&lt;&gt;"",IFERROR(ROUNDUP(SUMPRODUCT(E76:P76,$E$115:$P$115)/SUM($E$115:$P$115),2),0),"")</f>
        <v/>
      </c>
      <c r="AN76" s="2" t="str">
        <f t="shared" ref="AN76:AN90" si="47">IF(B76&lt;&gt;"",IFERROR(ROUNDUP(SUMPRODUCT(E76:P76,$E$116:$P$116)/SUM($E$116:$P$116),2),0),"")</f>
        <v/>
      </c>
      <c r="AP76" s="2" t="str" cm="1">
        <f t="array" ref="AP76">IF('NILAI CPL'!$B76&lt;&gt;"",IFERROR(_xlfn.IFS(S76&gt;='NILAI CPL'!$B$3,4,S76&gt;='NILAI CPL'!$B$4,3,S76&gt;='NILAI CPL'!$B$5,2,S76&gt;'NILAI CPL'!$B$6,1),0),"")</f>
        <v/>
      </c>
      <c r="AQ76" s="2" t="str" cm="1">
        <f t="array" ref="AQ76">IF('NILAI CPL'!$B76&lt;&gt;"",IFERROR(_xlfn.IFS(T76&gt;='NILAI CPL'!$B$3,4,T76&gt;='NILAI CPL'!$B$4,3,T76&gt;='NILAI CPL'!$B$5,2,T76&gt;'NILAI CPL'!$B$6,1),0),"")</f>
        <v/>
      </c>
      <c r="AR76" s="2" t="str" cm="1">
        <f t="array" ref="AR76">IF('NILAI CPL'!$B76&lt;&gt;"",IFERROR(_xlfn.IFS(U76&gt;='NILAI CPL'!$B$3,4,U76&gt;='NILAI CPL'!$B$4,3,U76&gt;='NILAI CPL'!$B$5,2,U76&gt;'NILAI CPL'!$B$6,1),0),"")</f>
        <v/>
      </c>
      <c r="AS76" s="2" t="str" cm="1">
        <f t="array" ref="AS76">IF('NILAI CPL'!$B76&lt;&gt;"",IFERROR(_xlfn.IFS(V76&gt;='NILAI CPL'!$B$3,4,V76&gt;='NILAI CPL'!$B$4,3,V76&gt;='NILAI CPL'!$B$5,2,V76&gt;'NILAI CPL'!$B$6,1),0),"")</f>
        <v/>
      </c>
      <c r="AT76" s="2" t="str" cm="1">
        <f t="array" ref="AT76">IF('NILAI CPL'!$B76&lt;&gt;"",IFERROR(_xlfn.IFS(W76&gt;='NILAI CPL'!$B$3,4,W76&gt;='NILAI CPL'!$B$4,3,W76&gt;='NILAI CPL'!$B$5,2,W76&gt;'NILAI CPL'!$B$6,1),0),"")</f>
        <v/>
      </c>
      <c r="AU76" s="2" t="str" cm="1">
        <f t="array" ref="AU76">IF('NILAI CPL'!$B76&lt;&gt;"",IFERROR(_xlfn.IFS(X76&gt;='NILAI CPL'!$B$3,4,X76&gt;='NILAI CPL'!$B$4,3,X76&gt;='NILAI CPL'!$B$5,2,X76&gt;'NILAI CPL'!$B$6,1),0),"")</f>
        <v/>
      </c>
      <c r="AV76" s="2" t="str" cm="1">
        <f t="array" ref="AV76">IF('NILAI CPL'!$B76&lt;&gt;"",IFERROR(_xlfn.IFS(Y76&gt;='NILAI CPL'!$B$3,4,Y76&gt;='NILAI CPL'!$B$4,3,Y76&gt;='NILAI CPL'!$B$5,2,Y76&gt;'NILAI CPL'!$B$6,1),0),"")</f>
        <v/>
      </c>
      <c r="AW76" s="2" t="str" cm="1">
        <f t="array" ref="AW76">IF('NILAI CPL'!$B76&lt;&gt;"",IFERROR(_xlfn.IFS(Z76&gt;='NILAI CPL'!$B$3,4,Z76&gt;='NILAI CPL'!$B$4,3,Z76&gt;='NILAI CPL'!$B$5,2,Z76&gt;'NILAI CPL'!$B$6,1),0),"")</f>
        <v/>
      </c>
      <c r="AX76" s="2" t="str" cm="1">
        <f t="array" ref="AX76">IF('NILAI CPL'!$B76&lt;&gt;"",IFERROR(_xlfn.IFS(AA76&gt;='NILAI CPL'!$B$3,4,AA76&gt;='NILAI CPL'!$B$4,3,AA76&gt;='NILAI CPL'!$B$5,2,AA76&gt;'NILAI CPL'!$B$6,1),0),"")</f>
        <v/>
      </c>
      <c r="AY76" s="2" t="str" cm="1">
        <f t="array" ref="AY76">IF('NILAI CPL'!$B76&lt;&gt;"",IFERROR(_xlfn.IFS(AB76&gt;='NILAI CPL'!$B$3,4,AB76&gt;='NILAI CPL'!$B$4,3,AB76&gt;='NILAI CPL'!$B$5,2,AB76&gt;'NILAI CPL'!$B$6,1),0),"")</f>
        <v/>
      </c>
      <c r="AZ76" s="2" t="str" cm="1">
        <f t="array" ref="AZ76">IF('NILAI CPL'!$B76&lt;&gt;"",IFERROR(_xlfn.IFS(AC76&gt;='NILAI CPL'!$B$3,4,AC76&gt;='NILAI CPL'!$B$4,3,AC76&gt;='NILAI CPL'!$B$5,2,AC76&gt;'NILAI CPL'!$B$6,1),0),"")</f>
        <v/>
      </c>
      <c r="BA76" s="2" t="str" cm="1">
        <f t="array" ref="BA76">IF('NILAI CPL'!$B76&lt;&gt;"",IFERROR(_xlfn.IFS(AD76&gt;='NILAI CPL'!$B$3,4,AD76&gt;='NILAI CPL'!$B$4,3,AD76&gt;='NILAI CPL'!$B$5,2,AD76&gt;'NILAI CPL'!$B$6,1),0),"")</f>
        <v/>
      </c>
      <c r="BB76" s="2" t="str" cm="1">
        <f t="array" ref="BB76">IF('NILAI CPL'!$B76&lt;&gt;"",IFERROR(_xlfn.IFS(AE76&gt;='NILAI CPL'!$B$3,4,AE76&gt;='NILAI CPL'!$B$4,3,AE76&gt;='NILAI CPL'!$B$5,2,AE76&gt;'NILAI CPL'!$B$6,1),0),"")</f>
        <v/>
      </c>
      <c r="BC76" s="2" t="str" cm="1">
        <f t="array" ref="BC76">IF('NILAI CPL'!$B76&lt;&gt;"",IFERROR(_xlfn.IFS(AF76&gt;='NILAI CPL'!$B$3,4,AF76&gt;='NILAI CPL'!$B$4,3,AF76&gt;='NILAI CPL'!$B$5,2,AF76&gt;'NILAI CPL'!$B$6,1),0),"")</f>
        <v/>
      </c>
      <c r="BD76" s="2" t="str" cm="1">
        <f t="array" ref="BD76">IF('NILAI CPL'!$B76&lt;&gt;"",IFERROR(_xlfn.IFS(AG76&gt;='NILAI CPL'!$B$3,4,AG76&gt;='NILAI CPL'!$B$4,3,AG76&gt;='NILAI CPL'!$B$5,2,AG76&gt;'NILAI CPL'!$B$6,1),0),"")</f>
        <v/>
      </c>
      <c r="BE76" s="2" t="str" cm="1">
        <f t="array" ref="BE76">IF('NILAI CPL'!$B76&lt;&gt;"",IFERROR(_xlfn.IFS(AH76&gt;='NILAI CPL'!$B$3,4,AH76&gt;='NILAI CPL'!$B$4,3,AH76&gt;='NILAI CPL'!$B$5,2,AH76&gt;'NILAI CPL'!$B$6,1),0),"")</f>
        <v/>
      </c>
      <c r="BF76" s="2" t="str" cm="1">
        <f t="array" ref="BF76">IF('NILAI CPL'!$B76&lt;&gt;"",IFERROR(_xlfn.IFS(AI76&gt;='NILAI CPL'!$B$3,4,AI76&gt;='NILAI CPL'!$B$4,3,AI76&gt;='NILAI CPL'!$B$5,2,AI76&gt;'NILAI CPL'!$B$6,1),0),"")</f>
        <v/>
      </c>
      <c r="BG76" s="2" t="str" cm="1">
        <f t="array" ref="BG76">IF('NILAI CPL'!$B76&lt;&gt;"",IFERROR(_xlfn.IFS(AJ76&gt;='NILAI CPL'!$B$3,4,AJ76&gt;='NILAI CPL'!$B$4,3,AJ76&gt;='NILAI CPL'!$B$5,2,AJ76&gt;'NILAI CPL'!$B$6,1),0),"")</f>
        <v/>
      </c>
      <c r="BH76" s="2" t="str" cm="1">
        <f t="array" ref="BH76">IF('NILAI CPL'!$B76&lt;&gt;"",IFERROR(_xlfn.IFS(AK76&gt;='NILAI CPL'!$B$3,4,AK76&gt;='NILAI CPL'!$B$4,3,AK76&gt;='NILAI CPL'!$B$5,2,AK76&gt;'NILAI CPL'!$B$6,1),0),"")</f>
        <v/>
      </c>
      <c r="BI76" s="2" t="str" cm="1">
        <f t="array" ref="BI76">IF('NILAI CPL'!$B76&lt;&gt;"",IFERROR(_xlfn.IFS(AL76&gt;='NILAI CPL'!$B$3,4,AL76&gt;='NILAI CPL'!$B$4,3,AL76&gt;='NILAI CPL'!$B$5,2,AL76&gt;'NILAI CPL'!$B$6,1),0),"")</f>
        <v/>
      </c>
      <c r="BJ76" s="2" t="str" cm="1">
        <f t="array" ref="BJ76">IF('NILAI CPL'!$B76&lt;&gt;"",IFERROR(_xlfn.IFS(AM76&gt;='NILAI CPL'!$B$3,4,AM76&gt;='NILAI CPL'!$B$4,3,AM76&gt;='NILAI CPL'!$B$5,2,AM76&gt;'NILAI CPL'!$B$6,1),0),"")</f>
        <v/>
      </c>
      <c r="BK76" s="2" t="str" cm="1">
        <f t="array" ref="BK76">IF('NILAI CPL'!$B76&lt;&gt;"",IFERROR(_xlfn.IFS(AN76&gt;='NILAI CPL'!$B$3,4,AN76&gt;='NILAI CPL'!$B$4,3,AN76&gt;='NILAI CPL'!$B$5,2,AN76&gt;'NILAI CPL'!$B$6,1),0),"")</f>
        <v/>
      </c>
    </row>
    <row r="77" spans="1:63" x14ac:dyDescent="0.2">
      <c r="A77" s="2">
        <v>67</v>
      </c>
      <c r="B77" s="2" t="str">
        <f>IF(LEN(SUMMARY!B77)&gt;0, SUMMARY!B77, "")</f>
        <v/>
      </c>
      <c r="C77" s="2" t="str">
        <f>IF(LEN(SUMMARY!C77)&gt;0, SUMMARY!C77, "")</f>
        <v/>
      </c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" t="str">
        <f t="shared" si="25"/>
        <v/>
      </c>
      <c r="S77" s="2" t="str">
        <f t="shared" si="26"/>
        <v/>
      </c>
      <c r="T77" s="2" t="str">
        <f t="shared" si="27"/>
        <v/>
      </c>
      <c r="U77" s="2" t="str">
        <f t="shared" si="28"/>
        <v/>
      </c>
      <c r="V77" s="2" t="str">
        <f t="shared" si="29"/>
        <v/>
      </c>
      <c r="W77" s="2" t="str">
        <f t="shared" si="30"/>
        <v/>
      </c>
      <c r="X77" s="2" t="str">
        <f t="shared" si="31"/>
        <v/>
      </c>
      <c r="Y77" s="2" t="str">
        <f t="shared" si="32"/>
        <v/>
      </c>
      <c r="Z77" s="2" t="str">
        <f t="shared" si="33"/>
        <v/>
      </c>
      <c r="AA77" s="2" t="str">
        <f t="shared" si="34"/>
        <v/>
      </c>
      <c r="AB77" s="2" t="str">
        <f t="shared" si="35"/>
        <v/>
      </c>
      <c r="AC77" s="2" t="str">
        <f t="shared" si="36"/>
        <v/>
      </c>
      <c r="AD77" s="2" t="str">
        <f t="shared" si="37"/>
        <v/>
      </c>
      <c r="AE77" s="2" t="str">
        <f t="shared" si="38"/>
        <v/>
      </c>
      <c r="AF77" s="2" t="str">
        <f t="shared" si="39"/>
        <v/>
      </c>
      <c r="AG77" s="2" t="str">
        <f t="shared" si="40"/>
        <v/>
      </c>
      <c r="AH77" s="2" t="str">
        <f t="shared" si="41"/>
        <v/>
      </c>
      <c r="AI77" s="2" t="str">
        <f t="shared" si="42"/>
        <v/>
      </c>
      <c r="AJ77" s="2" t="str">
        <f t="shared" si="43"/>
        <v/>
      </c>
      <c r="AK77" s="2" t="str">
        <f t="shared" si="44"/>
        <v/>
      </c>
      <c r="AL77" s="2" t="str">
        <f t="shared" si="45"/>
        <v/>
      </c>
      <c r="AM77" s="2" t="str">
        <f t="shared" si="46"/>
        <v/>
      </c>
      <c r="AN77" s="2" t="str">
        <f t="shared" si="47"/>
        <v/>
      </c>
      <c r="AP77" s="2" t="str" cm="1">
        <f t="array" ref="AP77">IF('NILAI CPL'!$B77&lt;&gt;"",IFERROR(_xlfn.IFS(S77&gt;='NILAI CPL'!$B$3,4,S77&gt;='NILAI CPL'!$B$4,3,S77&gt;='NILAI CPL'!$B$5,2,S77&gt;'NILAI CPL'!$B$6,1),0),"")</f>
        <v/>
      </c>
      <c r="AQ77" s="2" t="str" cm="1">
        <f t="array" ref="AQ77">IF('NILAI CPL'!$B77&lt;&gt;"",IFERROR(_xlfn.IFS(T77&gt;='NILAI CPL'!$B$3,4,T77&gt;='NILAI CPL'!$B$4,3,T77&gt;='NILAI CPL'!$B$5,2,T77&gt;'NILAI CPL'!$B$6,1),0),"")</f>
        <v/>
      </c>
      <c r="AR77" s="2" t="str" cm="1">
        <f t="array" ref="AR77">IF('NILAI CPL'!$B77&lt;&gt;"",IFERROR(_xlfn.IFS(U77&gt;='NILAI CPL'!$B$3,4,U77&gt;='NILAI CPL'!$B$4,3,U77&gt;='NILAI CPL'!$B$5,2,U77&gt;'NILAI CPL'!$B$6,1),0),"")</f>
        <v/>
      </c>
      <c r="AS77" s="2" t="str" cm="1">
        <f t="array" ref="AS77">IF('NILAI CPL'!$B77&lt;&gt;"",IFERROR(_xlfn.IFS(V77&gt;='NILAI CPL'!$B$3,4,V77&gt;='NILAI CPL'!$B$4,3,V77&gt;='NILAI CPL'!$B$5,2,V77&gt;'NILAI CPL'!$B$6,1),0),"")</f>
        <v/>
      </c>
      <c r="AT77" s="2" t="str" cm="1">
        <f t="array" ref="AT77">IF('NILAI CPL'!$B77&lt;&gt;"",IFERROR(_xlfn.IFS(W77&gt;='NILAI CPL'!$B$3,4,W77&gt;='NILAI CPL'!$B$4,3,W77&gt;='NILAI CPL'!$B$5,2,W77&gt;'NILAI CPL'!$B$6,1),0),"")</f>
        <v/>
      </c>
      <c r="AU77" s="2" t="str" cm="1">
        <f t="array" ref="AU77">IF('NILAI CPL'!$B77&lt;&gt;"",IFERROR(_xlfn.IFS(X77&gt;='NILAI CPL'!$B$3,4,X77&gt;='NILAI CPL'!$B$4,3,X77&gt;='NILAI CPL'!$B$5,2,X77&gt;'NILAI CPL'!$B$6,1),0),"")</f>
        <v/>
      </c>
      <c r="AV77" s="2" t="str" cm="1">
        <f t="array" ref="AV77">IF('NILAI CPL'!$B77&lt;&gt;"",IFERROR(_xlfn.IFS(Y77&gt;='NILAI CPL'!$B$3,4,Y77&gt;='NILAI CPL'!$B$4,3,Y77&gt;='NILAI CPL'!$B$5,2,Y77&gt;'NILAI CPL'!$B$6,1),0),"")</f>
        <v/>
      </c>
      <c r="AW77" s="2" t="str" cm="1">
        <f t="array" ref="AW77">IF('NILAI CPL'!$B77&lt;&gt;"",IFERROR(_xlfn.IFS(Z77&gt;='NILAI CPL'!$B$3,4,Z77&gt;='NILAI CPL'!$B$4,3,Z77&gt;='NILAI CPL'!$B$5,2,Z77&gt;'NILAI CPL'!$B$6,1),0),"")</f>
        <v/>
      </c>
      <c r="AX77" s="2" t="str" cm="1">
        <f t="array" ref="AX77">IF('NILAI CPL'!$B77&lt;&gt;"",IFERROR(_xlfn.IFS(AA77&gt;='NILAI CPL'!$B$3,4,AA77&gt;='NILAI CPL'!$B$4,3,AA77&gt;='NILAI CPL'!$B$5,2,AA77&gt;'NILAI CPL'!$B$6,1),0),"")</f>
        <v/>
      </c>
      <c r="AY77" s="2" t="str" cm="1">
        <f t="array" ref="AY77">IF('NILAI CPL'!$B77&lt;&gt;"",IFERROR(_xlfn.IFS(AB77&gt;='NILAI CPL'!$B$3,4,AB77&gt;='NILAI CPL'!$B$4,3,AB77&gt;='NILAI CPL'!$B$5,2,AB77&gt;'NILAI CPL'!$B$6,1),0),"")</f>
        <v/>
      </c>
      <c r="AZ77" s="2" t="str" cm="1">
        <f t="array" ref="AZ77">IF('NILAI CPL'!$B77&lt;&gt;"",IFERROR(_xlfn.IFS(AC77&gt;='NILAI CPL'!$B$3,4,AC77&gt;='NILAI CPL'!$B$4,3,AC77&gt;='NILAI CPL'!$B$5,2,AC77&gt;'NILAI CPL'!$B$6,1),0),"")</f>
        <v/>
      </c>
      <c r="BA77" s="2" t="str" cm="1">
        <f t="array" ref="BA77">IF('NILAI CPL'!$B77&lt;&gt;"",IFERROR(_xlfn.IFS(AD77&gt;='NILAI CPL'!$B$3,4,AD77&gt;='NILAI CPL'!$B$4,3,AD77&gt;='NILAI CPL'!$B$5,2,AD77&gt;'NILAI CPL'!$B$6,1),0),"")</f>
        <v/>
      </c>
      <c r="BB77" s="2" t="str" cm="1">
        <f t="array" ref="BB77">IF('NILAI CPL'!$B77&lt;&gt;"",IFERROR(_xlfn.IFS(AE77&gt;='NILAI CPL'!$B$3,4,AE77&gt;='NILAI CPL'!$B$4,3,AE77&gt;='NILAI CPL'!$B$5,2,AE77&gt;'NILAI CPL'!$B$6,1),0),"")</f>
        <v/>
      </c>
      <c r="BC77" s="2" t="str" cm="1">
        <f t="array" ref="BC77">IF('NILAI CPL'!$B77&lt;&gt;"",IFERROR(_xlfn.IFS(AF77&gt;='NILAI CPL'!$B$3,4,AF77&gt;='NILAI CPL'!$B$4,3,AF77&gt;='NILAI CPL'!$B$5,2,AF77&gt;'NILAI CPL'!$B$6,1),0),"")</f>
        <v/>
      </c>
      <c r="BD77" s="2" t="str" cm="1">
        <f t="array" ref="BD77">IF('NILAI CPL'!$B77&lt;&gt;"",IFERROR(_xlfn.IFS(AG77&gt;='NILAI CPL'!$B$3,4,AG77&gt;='NILAI CPL'!$B$4,3,AG77&gt;='NILAI CPL'!$B$5,2,AG77&gt;'NILAI CPL'!$B$6,1),0),"")</f>
        <v/>
      </c>
      <c r="BE77" s="2" t="str" cm="1">
        <f t="array" ref="BE77">IF('NILAI CPL'!$B77&lt;&gt;"",IFERROR(_xlfn.IFS(AH77&gt;='NILAI CPL'!$B$3,4,AH77&gt;='NILAI CPL'!$B$4,3,AH77&gt;='NILAI CPL'!$B$5,2,AH77&gt;'NILAI CPL'!$B$6,1),0),"")</f>
        <v/>
      </c>
      <c r="BF77" s="2" t="str" cm="1">
        <f t="array" ref="BF77">IF('NILAI CPL'!$B77&lt;&gt;"",IFERROR(_xlfn.IFS(AI77&gt;='NILAI CPL'!$B$3,4,AI77&gt;='NILAI CPL'!$B$4,3,AI77&gt;='NILAI CPL'!$B$5,2,AI77&gt;'NILAI CPL'!$B$6,1),0),"")</f>
        <v/>
      </c>
      <c r="BG77" s="2" t="str" cm="1">
        <f t="array" ref="BG77">IF('NILAI CPL'!$B77&lt;&gt;"",IFERROR(_xlfn.IFS(AJ77&gt;='NILAI CPL'!$B$3,4,AJ77&gt;='NILAI CPL'!$B$4,3,AJ77&gt;='NILAI CPL'!$B$5,2,AJ77&gt;'NILAI CPL'!$B$6,1),0),"")</f>
        <v/>
      </c>
      <c r="BH77" s="2" t="str" cm="1">
        <f t="array" ref="BH77">IF('NILAI CPL'!$B77&lt;&gt;"",IFERROR(_xlfn.IFS(AK77&gt;='NILAI CPL'!$B$3,4,AK77&gt;='NILAI CPL'!$B$4,3,AK77&gt;='NILAI CPL'!$B$5,2,AK77&gt;'NILAI CPL'!$B$6,1),0),"")</f>
        <v/>
      </c>
      <c r="BI77" s="2" t="str" cm="1">
        <f t="array" ref="BI77">IF('NILAI CPL'!$B77&lt;&gt;"",IFERROR(_xlfn.IFS(AL77&gt;='NILAI CPL'!$B$3,4,AL77&gt;='NILAI CPL'!$B$4,3,AL77&gt;='NILAI CPL'!$B$5,2,AL77&gt;'NILAI CPL'!$B$6,1),0),"")</f>
        <v/>
      </c>
      <c r="BJ77" s="2" t="str" cm="1">
        <f t="array" ref="BJ77">IF('NILAI CPL'!$B77&lt;&gt;"",IFERROR(_xlfn.IFS(AM77&gt;='NILAI CPL'!$B$3,4,AM77&gt;='NILAI CPL'!$B$4,3,AM77&gt;='NILAI CPL'!$B$5,2,AM77&gt;'NILAI CPL'!$B$6,1),0),"")</f>
        <v/>
      </c>
      <c r="BK77" s="2" t="str" cm="1">
        <f t="array" ref="BK77">IF('NILAI CPL'!$B77&lt;&gt;"",IFERROR(_xlfn.IFS(AN77&gt;='NILAI CPL'!$B$3,4,AN77&gt;='NILAI CPL'!$B$4,3,AN77&gt;='NILAI CPL'!$B$5,2,AN77&gt;'NILAI CPL'!$B$6,1),0),"")</f>
        <v/>
      </c>
    </row>
    <row r="78" spans="1:63" x14ac:dyDescent="0.2">
      <c r="A78" s="2">
        <v>68</v>
      </c>
      <c r="B78" s="2" t="str">
        <f>IF(LEN(SUMMARY!B78)&gt;0, SUMMARY!B78, "")</f>
        <v/>
      </c>
      <c r="C78" s="2" t="str">
        <f>IF(LEN(SUMMARY!C78)&gt;0, SUMMARY!C78, "")</f>
        <v/>
      </c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" t="str">
        <f t="shared" si="25"/>
        <v/>
      </c>
      <c r="S78" s="2" t="str">
        <f t="shared" si="26"/>
        <v/>
      </c>
      <c r="T78" s="2" t="str">
        <f t="shared" si="27"/>
        <v/>
      </c>
      <c r="U78" s="2" t="str">
        <f t="shared" si="28"/>
        <v/>
      </c>
      <c r="V78" s="2" t="str">
        <f t="shared" si="29"/>
        <v/>
      </c>
      <c r="W78" s="2" t="str">
        <f t="shared" si="30"/>
        <v/>
      </c>
      <c r="X78" s="2" t="str">
        <f t="shared" si="31"/>
        <v/>
      </c>
      <c r="Y78" s="2" t="str">
        <f t="shared" si="32"/>
        <v/>
      </c>
      <c r="Z78" s="2" t="str">
        <f t="shared" si="33"/>
        <v/>
      </c>
      <c r="AA78" s="2" t="str">
        <f t="shared" si="34"/>
        <v/>
      </c>
      <c r="AB78" s="2" t="str">
        <f t="shared" si="35"/>
        <v/>
      </c>
      <c r="AC78" s="2" t="str">
        <f t="shared" si="36"/>
        <v/>
      </c>
      <c r="AD78" s="2" t="str">
        <f t="shared" si="37"/>
        <v/>
      </c>
      <c r="AE78" s="2" t="str">
        <f t="shared" si="38"/>
        <v/>
      </c>
      <c r="AF78" s="2" t="str">
        <f t="shared" si="39"/>
        <v/>
      </c>
      <c r="AG78" s="2" t="str">
        <f t="shared" si="40"/>
        <v/>
      </c>
      <c r="AH78" s="2" t="str">
        <f t="shared" si="41"/>
        <v/>
      </c>
      <c r="AI78" s="2" t="str">
        <f t="shared" si="42"/>
        <v/>
      </c>
      <c r="AJ78" s="2" t="str">
        <f t="shared" si="43"/>
        <v/>
      </c>
      <c r="AK78" s="2" t="str">
        <f t="shared" si="44"/>
        <v/>
      </c>
      <c r="AL78" s="2" t="str">
        <f t="shared" si="45"/>
        <v/>
      </c>
      <c r="AM78" s="2" t="str">
        <f t="shared" si="46"/>
        <v/>
      </c>
      <c r="AN78" s="2" t="str">
        <f t="shared" si="47"/>
        <v/>
      </c>
      <c r="AP78" s="2" t="str" cm="1">
        <f t="array" ref="AP78">IF('NILAI CPL'!$B78&lt;&gt;"",IFERROR(_xlfn.IFS(S78&gt;='NILAI CPL'!$B$3,4,S78&gt;='NILAI CPL'!$B$4,3,S78&gt;='NILAI CPL'!$B$5,2,S78&gt;'NILAI CPL'!$B$6,1),0),"")</f>
        <v/>
      </c>
      <c r="AQ78" s="2" t="str" cm="1">
        <f t="array" ref="AQ78">IF('NILAI CPL'!$B78&lt;&gt;"",IFERROR(_xlfn.IFS(T78&gt;='NILAI CPL'!$B$3,4,T78&gt;='NILAI CPL'!$B$4,3,T78&gt;='NILAI CPL'!$B$5,2,T78&gt;'NILAI CPL'!$B$6,1),0),"")</f>
        <v/>
      </c>
      <c r="AR78" s="2" t="str" cm="1">
        <f t="array" ref="AR78">IF('NILAI CPL'!$B78&lt;&gt;"",IFERROR(_xlfn.IFS(U78&gt;='NILAI CPL'!$B$3,4,U78&gt;='NILAI CPL'!$B$4,3,U78&gt;='NILAI CPL'!$B$5,2,U78&gt;'NILAI CPL'!$B$6,1),0),"")</f>
        <v/>
      </c>
      <c r="AS78" s="2" t="str" cm="1">
        <f t="array" ref="AS78">IF('NILAI CPL'!$B78&lt;&gt;"",IFERROR(_xlfn.IFS(V78&gt;='NILAI CPL'!$B$3,4,V78&gt;='NILAI CPL'!$B$4,3,V78&gt;='NILAI CPL'!$B$5,2,V78&gt;'NILAI CPL'!$B$6,1),0),"")</f>
        <v/>
      </c>
      <c r="AT78" s="2" t="str" cm="1">
        <f t="array" ref="AT78">IF('NILAI CPL'!$B78&lt;&gt;"",IFERROR(_xlfn.IFS(W78&gt;='NILAI CPL'!$B$3,4,W78&gt;='NILAI CPL'!$B$4,3,W78&gt;='NILAI CPL'!$B$5,2,W78&gt;'NILAI CPL'!$B$6,1),0),"")</f>
        <v/>
      </c>
      <c r="AU78" s="2" t="str" cm="1">
        <f t="array" ref="AU78">IF('NILAI CPL'!$B78&lt;&gt;"",IFERROR(_xlfn.IFS(X78&gt;='NILAI CPL'!$B$3,4,X78&gt;='NILAI CPL'!$B$4,3,X78&gt;='NILAI CPL'!$B$5,2,X78&gt;'NILAI CPL'!$B$6,1),0),"")</f>
        <v/>
      </c>
      <c r="AV78" s="2" t="str" cm="1">
        <f t="array" ref="AV78">IF('NILAI CPL'!$B78&lt;&gt;"",IFERROR(_xlfn.IFS(Y78&gt;='NILAI CPL'!$B$3,4,Y78&gt;='NILAI CPL'!$B$4,3,Y78&gt;='NILAI CPL'!$B$5,2,Y78&gt;'NILAI CPL'!$B$6,1),0),"")</f>
        <v/>
      </c>
      <c r="AW78" s="2" t="str" cm="1">
        <f t="array" ref="AW78">IF('NILAI CPL'!$B78&lt;&gt;"",IFERROR(_xlfn.IFS(Z78&gt;='NILAI CPL'!$B$3,4,Z78&gt;='NILAI CPL'!$B$4,3,Z78&gt;='NILAI CPL'!$B$5,2,Z78&gt;'NILAI CPL'!$B$6,1),0),"")</f>
        <v/>
      </c>
      <c r="AX78" s="2" t="str" cm="1">
        <f t="array" ref="AX78">IF('NILAI CPL'!$B78&lt;&gt;"",IFERROR(_xlfn.IFS(AA78&gt;='NILAI CPL'!$B$3,4,AA78&gt;='NILAI CPL'!$B$4,3,AA78&gt;='NILAI CPL'!$B$5,2,AA78&gt;'NILAI CPL'!$B$6,1),0),"")</f>
        <v/>
      </c>
      <c r="AY78" s="2" t="str" cm="1">
        <f t="array" ref="AY78">IF('NILAI CPL'!$B78&lt;&gt;"",IFERROR(_xlfn.IFS(AB78&gt;='NILAI CPL'!$B$3,4,AB78&gt;='NILAI CPL'!$B$4,3,AB78&gt;='NILAI CPL'!$B$5,2,AB78&gt;'NILAI CPL'!$B$6,1),0),"")</f>
        <v/>
      </c>
      <c r="AZ78" s="2" t="str" cm="1">
        <f t="array" ref="AZ78">IF('NILAI CPL'!$B78&lt;&gt;"",IFERROR(_xlfn.IFS(AC78&gt;='NILAI CPL'!$B$3,4,AC78&gt;='NILAI CPL'!$B$4,3,AC78&gt;='NILAI CPL'!$B$5,2,AC78&gt;'NILAI CPL'!$B$6,1),0),"")</f>
        <v/>
      </c>
      <c r="BA78" s="2" t="str" cm="1">
        <f t="array" ref="BA78">IF('NILAI CPL'!$B78&lt;&gt;"",IFERROR(_xlfn.IFS(AD78&gt;='NILAI CPL'!$B$3,4,AD78&gt;='NILAI CPL'!$B$4,3,AD78&gt;='NILAI CPL'!$B$5,2,AD78&gt;'NILAI CPL'!$B$6,1),0),"")</f>
        <v/>
      </c>
      <c r="BB78" s="2" t="str" cm="1">
        <f t="array" ref="BB78">IF('NILAI CPL'!$B78&lt;&gt;"",IFERROR(_xlfn.IFS(AE78&gt;='NILAI CPL'!$B$3,4,AE78&gt;='NILAI CPL'!$B$4,3,AE78&gt;='NILAI CPL'!$B$5,2,AE78&gt;'NILAI CPL'!$B$6,1),0),"")</f>
        <v/>
      </c>
      <c r="BC78" s="2" t="str" cm="1">
        <f t="array" ref="BC78">IF('NILAI CPL'!$B78&lt;&gt;"",IFERROR(_xlfn.IFS(AF78&gt;='NILAI CPL'!$B$3,4,AF78&gt;='NILAI CPL'!$B$4,3,AF78&gt;='NILAI CPL'!$B$5,2,AF78&gt;'NILAI CPL'!$B$6,1),0),"")</f>
        <v/>
      </c>
      <c r="BD78" s="2" t="str" cm="1">
        <f t="array" ref="BD78">IF('NILAI CPL'!$B78&lt;&gt;"",IFERROR(_xlfn.IFS(AG78&gt;='NILAI CPL'!$B$3,4,AG78&gt;='NILAI CPL'!$B$4,3,AG78&gt;='NILAI CPL'!$B$5,2,AG78&gt;'NILAI CPL'!$B$6,1),0),"")</f>
        <v/>
      </c>
      <c r="BE78" s="2" t="str" cm="1">
        <f t="array" ref="BE78">IF('NILAI CPL'!$B78&lt;&gt;"",IFERROR(_xlfn.IFS(AH78&gt;='NILAI CPL'!$B$3,4,AH78&gt;='NILAI CPL'!$B$4,3,AH78&gt;='NILAI CPL'!$B$5,2,AH78&gt;'NILAI CPL'!$B$6,1),0),"")</f>
        <v/>
      </c>
      <c r="BF78" s="2" t="str" cm="1">
        <f t="array" ref="BF78">IF('NILAI CPL'!$B78&lt;&gt;"",IFERROR(_xlfn.IFS(AI78&gt;='NILAI CPL'!$B$3,4,AI78&gt;='NILAI CPL'!$B$4,3,AI78&gt;='NILAI CPL'!$B$5,2,AI78&gt;'NILAI CPL'!$B$6,1),0),"")</f>
        <v/>
      </c>
      <c r="BG78" s="2" t="str" cm="1">
        <f t="array" ref="BG78">IF('NILAI CPL'!$B78&lt;&gt;"",IFERROR(_xlfn.IFS(AJ78&gt;='NILAI CPL'!$B$3,4,AJ78&gt;='NILAI CPL'!$B$4,3,AJ78&gt;='NILAI CPL'!$B$5,2,AJ78&gt;'NILAI CPL'!$B$6,1),0),"")</f>
        <v/>
      </c>
      <c r="BH78" s="2" t="str" cm="1">
        <f t="array" ref="BH78">IF('NILAI CPL'!$B78&lt;&gt;"",IFERROR(_xlfn.IFS(AK78&gt;='NILAI CPL'!$B$3,4,AK78&gt;='NILAI CPL'!$B$4,3,AK78&gt;='NILAI CPL'!$B$5,2,AK78&gt;'NILAI CPL'!$B$6,1),0),"")</f>
        <v/>
      </c>
      <c r="BI78" s="2" t="str" cm="1">
        <f t="array" ref="BI78">IF('NILAI CPL'!$B78&lt;&gt;"",IFERROR(_xlfn.IFS(AL78&gt;='NILAI CPL'!$B$3,4,AL78&gt;='NILAI CPL'!$B$4,3,AL78&gt;='NILAI CPL'!$B$5,2,AL78&gt;'NILAI CPL'!$B$6,1),0),"")</f>
        <v/>
      </c>
      <c r="BJ78" s="2" t="str" cm="1">
        <f t="array" ref="BJ78">IF('NILAI CPL'!$B78&lt;&gt;"",IFERROR(_xlfn.IFS(AM78&gt;='NILAI CPL'!$B$3,4,AM78&gt;='NILAI CPL'!$B$4,3,AM78&gt;='NILAI CPL'!$B$5,2,AM78&gt;'NILAI CPL'!$B$6,1),0),"")</f>
        <v/>
      </c>
      <c r="BK78" s="2" t="str" cm="1">
        <f t="array" ref="BK78">IF('NILAI CPL'!$B78&lt;&gt;"",IFERROR(_xlfn.IFS(AN78&gt;='NILAI CPL'!$B$3,4,AN78&gt;='NILAI CPL'!$B$4,3,AN78&gt;='NILAI CPL'!$B$5,2,AN78&gt;'NILAI CPL'!$B$6,1),0),"")</f>
        <v/>
      </c>
    </row>
    <row r="79" spans="1:63" x14ac:dyDescent="0.2">
      <c r="A79" s="2">
        <v>69</v>
      </c>
      <c r="B79" s="2" t="str">
        <f>IF(LEN(SUMMARY!B79)&gt;0, SUMMARY!B79, "")</f>
        <v/>
      </c>
      <c r="C79" s="2" t="str">
        <f>IF(LEN(SUMMARY!C79)&gt;0, SUMMARY!C79, "")</f>
        <v/>
      </c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" t="str">
        <f t="shared" si="25"/>
        <v/>
      </c>
      <c r="S79" s="2" t="str">
        <f t="shared" si="26"/>
        <v/>
      </c>
      <c r="T79" s="2" t="str">
        <f t="shared" si="27"/>
        <v/>
      </c>
      <c r="U79" s="2" t="str">
        <f t="shared" si="28"/>
        <v/>
      </c>
      <c r="V79" s="2" t="str">
        <f t="shared" si="29"/>
        <v/>
      </c>
      <c r="W79" s="2" t="str">
        <f t="shared" si="30"/>
        <v/>
      </c>
      <c r="X79" s="2" t="str">
        <f t="shared" si="31"/>
        <v/>
      </c>
      <c r="Y79" s="2" t="str">
        <f t="shared" si="32"/>
        <v/>
      </c>
      <c r="Z79" s="2" t="str">
        <f t="shared" si="33"/>
        <v/>
      </c>
      <c r="AA79" s="2" t="str">
        <f t="shared" si="34"/>
        <v/>
      </c>
      <c r="AB79" s="2" t="str">
        <f t="shared" si="35"/>
        <v/>
      </c>
      <c r="AC79" s="2" t="str">
        <f t="shared" si="36"/>
        <v/>
      </c>
      <c r="AD79" s="2" t="str">
        <f t="shared" si="37"/>
        <v/>
      </c>
      <c r="AE79" s="2" t="str">
        <f t="shared" si="38"/>
        <v/>
      </c>
      <c r="AF79" s="2" t="str">
        <f t="shared" si="39"/>
        <v/>
      </c>
      <c r="AG79" s="2" t="str">
        <f t="shared" si="40"/>
        <v/>
      </c>
      <c r="AH79" s="2" t="str">
        <f t="shared" si="41"/>
        <v/>
      </c>
      <c r="AI79" s="2" t="str">
        <f t="shared" si="42"/>
        <v/>
      </c>
      <c r="AJ79" s="2" t="str">
        <f t="shared" si="43"/>
        <v/>
      </c>
      <c r="AK79" s="2" t="str">
        <f t="shared" si="44"/>
        <v/>
      </c>
      <c r="AL79" s="2" t="str">
        <f t="shared" si="45"/>
        <v/>
      </c>
      <c r="AM79" s="2" t="str">
        <f t="shared" si="46"/>
        <v/>
      </c>
      <c r="AN79" s="2" t="str">
        <f t="shared" si="47"/>
        <v/>
      </c>
      <c r="AP79" s="2" t="str" cm="1">
        <f t="array" ref="AP79">IF('NILAI CPL'!$B79&lt;&gt;"",IFERROR(_xlfn.IFS(S79&gt;='NILAI CPL'!$B$3,4,S79&gt;='NILAI CPL'!$B$4,3,S79&gt;='NILAI CPL'!$B$5,2,S79&gt;'NILAI CPL'!$B$6,1),0),"")</f>
        <v/>
      </c>
      <c r="AQ79" s="2" t="str" cm="1">
        <f t="array" ref="AQ79">IF('NILAI CPL'!$B79&lt;&gt;"",IFERROR(_xlfn.IFS(T79&gt;='NILAI CPL'!$B$3,4,T79&gt;='NILAI CPL'!$B$4,3,T79&gt;='NILAI CPL'!$B$5,2,T79&gt;'NILAI CPL'!$B$6,1),0),"")</f>
        <v/>
      </c>
      <c r="AR79" s="2" t="str" cm="1">
        <f t="array" ref="AR79">IF('NILAI CPL'!$B79&lt;&gt;"",IFERROR(_xlfn.IFS(U79&gt;='NILAI CPL'!$B$3,4,U79&gt;='NILAI CPL'!$B$4,3,U79&gt;='NILAI CPL'!$B$5,2,U79&gt;'NILAI CPL'!$B$6,1),0),"")</f>
        <v/>
      </c>
      <c r="AS79" s="2" t="str" cm="1">
        <f t="array" ref="AS79">IF('NILAI CPL'!$B79&lt;&gt;"",IFERROR(_xlfn.IFS(V79&gt;='NILAI CPL'!$B$3,4,V79&gt;='NILAI CPL'!$B$4,3,V79&gt;='NILAI CPL'!$B$5,2,V79&gt;'NILAI CPL'!$B$6,1),0),"")</f>
        <v/>
      </c>
      <c r="AT79" s="2" t="str" cm="1">
        <f t="array" ref="AT79">IF('NILAI CPL'!$B79&lt;&gt;"",IFERROR(_xlfn.IFS(W79&gt;='NILAI CPL'!$B$3,4,W79&gt;='NILAI CPL'!$B$4,3,W79&gt;='NILAI CPL'!$B$5,2,W79&gt;'NILAI CPL'!$B$6,1),0),"")</f>
        <v/>
      </c>
      <c r="AU79" s="2" t="str" cm="1">
        <f t="array" ref="AU79">IF('NILAI CPL'!$B79&lt;&gt;"",IFERROR(_xlfn.IFS(X79&gt;='NILAI CPL'!$B$3,4,X79&gt;='NILAI CPL'!$B$4,3,X79&gt;='NILAI CPL'!$B$5,2,X79&gt;'NILAI CPL'!$B$6,1),0),"")</f>
        <v/>
      </c>
      <c r="AV79" s="2" t="str" cm="1">
        <f t="array" ref="AV79">IF('NILAI CPL'!$B79&lt;&gt;"",IFERROR(_xlfn.IFS(Y79&gt;='NILAI CPL'!$B$3,4,Y79&gt;='NILAI CPL'!$B$4,3,Y79&gt;='NILAI CPL'!$B$5,2,Y79&gt;'NILAI CPL'!$B$6,1),0),"")</f>
        <v/>
      </c>
      <c r="AW79" s="2" t="str" cm="1">
        <f t="array" ref="AW79">IF('NILAI CPL'!$B79&lt;&gt;"",IFERROR(_xlfn.IFS(Z79&gt;='NILAI CPL'!$B$3,4,Z79&gt;='NILAI CPL'!$B$4,3,Z79&gt;='NILAI CPL'!$B$5,2,Z79&gt;'NILAI CPL'!$B$6,1),0),"")</f>
        <v/>
      </c>
      <c r="AX79" s="2" t="str" cm="1">
        <f t="array" ref="AX79">IF('NILAI CPL'!$B79&lt;&gt;"",IFERROR(_xlfn.IFS(AA79&gt;='NILAI CPL'!$B$3,4,AA79&gt;='NILAI CPL'!$B$4,3,AA79&gt;='NILAI CPL'!$B$5,2,AA79&gt;'NILAI CPL'!$B$6,1),0),"")</f>
        <v/>
      </c>
      <c r="AY79" s="2" t="str" cm="1">
        <f t="array" ref="AY79">IF('NILAI CPL'!$B79&lt;&gt;"",IFERROR(_xlfn.IFS(AB79&gt;='NILAI CPL'!$B$3,4,AB79&gt;='NILAI CPL'!$B$4,3,AB79&gt;='NILAI CPL'!$B$5,2,AB79&gt;'NILAI CPL'!$B$6,1),0),"")</f>
        <v/>
      </c>
      <c r="AZ79" s="2" t="str" cm="1">
        <f t="array" ref="AZ79">IF('NILAI CPL'!$B79&lt;&gt;"",IFERROR(_xlfn.IFS(AC79&gt;='NILAI CPL'!$B$3,4,AC79&gt;='NILAI CPL'!$B$4,3,AC79&gt;='NILAI CPL'!$B$5,2,AC79&gt;'NILAI CPL'!$B$6,1),0),"")</f>
        <v/>
      </c>
      <c r="BA79" s="2" t="str" cm="1">
        <f t="array" ref="BA79">IF('NILAI CPL'!$B79&lt;&gt;"",IFERROR(_xlfn.IFS(AD79&gt;='NILAI CPL'!$B$3,4,AD79&gt;='NILAI CPL'!$B$4,3,AD79&gt;='NILAI CPL'!$B$5,2,AD79&gt;'NILAI CPL'!$B$6,1),0),"")</f>
        <v/>
      </c>
      <c r="BB79" s="2" t="str" cm="1">
        <f t="array" ref="BB79">IF('NILAI CPL'!$B79&lt;&gt;"",IFERROR(_xlfn.IFS(AE79&gt;='NILAI CPL'!$B$3,4,AE79&gt;='NILAI CPL'!$B$4,3,AE79&gt;='NILAI CPL'!$B$5,2,AE79&gt;'NILAI CPL'!$B$6,1),0),"")</f>
        <v/>
      </c>
      <c r="BC79" s="2" t="str" cm="1">
        <f t="array" ref="BC79">IF('NILAI CPL'!$B79&lt;&gt;"",IFERROR(_xlfn.IFS(AF79&gt;='NILAI CPL'!$B$3,4,AF79&gt;='NILAI CPL'!$B$4,3,AF79&gt;='NILAI CPL'!$B$5,2,AF79&gt;'NILAI CPL'!$B$6,1),0),"")</f>
        <v/>
      </c>
      <c r="BD79" s="2" t="str" cm="1">
        <f t="array" ref="BD79">IF('NILAI CPL'!$B79&lt;&gt;"",IFERROR(_xlfn.IFS(AG79&gt;='NILAI CPL'!$B$3,4,AG79&gt;='NILAI CPL'!$B$4,3,AG79&gt;='NILAI CPL'!$B$5,2,AG79&gt;'NILAI CPL'!$B$6,1),0),"")</f>
        <v/>
      </c>
      <c r="BE79" s="2" t="str" cm="1">
        <f t="array" ref="BE79">IF('NILAI CPL'!$B79&lt;&gt;"",IFERROR(_xlfn.IFS(AH79&gt;='NILAI CPL'!$B$3,4,AH79&gt;='NILAI CPL'!$B$4,3,AH79&gt;='NILAI CPL'!$B$5,2,AH79&gt;'NILAI CPL'!$B$6,1),0),"")</f>
        <v/>
      </c>
      <c r="BF79" s="2" t="str" cm="1">
        <f t="array" ref="BF79">IF('NILAI CPL'!$B79&lt;&gt;"",IFERROR(_xlfn.IFS(AI79&gt;='NILAI CPL'!$B$3,4,AI79&gt;='NILAI CPL'!$B$4,3,AI79&gt;='NILAI CPL'!$B$5,2,AI79&gt;'NILAI CPL'!$B$6,1),0),"")</f>
        <v/>
      </c>
      <c r="BG79" s="2" t="str" cm="1">
        <f t="array" ref="BG79">IF('NILAI CPL'!$B79&lt;&gt;"",IFERROR(_xlfn.IFS(AJ79&gt;='NILAI CPL'!$B$3,4,AJ79&gt;='NILAI CPL'!$B$4,3,AJ79&gt;='NILAI CPL'!$B$5,2,AJ79&gt;'NILAI CPL'!$B$6,1),0),"")</f>
        <v/>
      </c>
      <c r="BH79" s="2" t="str" cm="1">
        <f t="array" ref="BH79">IF('NILAI CPL'!$B79&lt;&gt;"",IFERROR(_xlfn.IFS(AK79&gt;='NILAI CPL'!$B$3,4,AK79&gt;='NILAI CPL'!$B$4,3,AK79&gt;='NILAI CPL'!$B$5,2,AK79&gt;'NILAI CPL'!$B$6,1),0),"")</f>
        <v/>
      </c>
      <c r="BI79" s="2" t="str" cm="1">
        <f t="array" ref="BI79">IF('NILAI CPL'!$B79&lt;&gt;"",IFERROR(_xlfn.IFS(AL79&gt;='NILAI CPL'!$B$3,4,AL79&gt;='NILAI CPL'!$B$4,3,AL79&gt;='NILAI CPL'!$B$5,2,AL79&gt;'NILAI CPL'!$B$6,1),0),"")</f>
        <v/>
      </c>
      <c r="BJ79" s="2" t="str" cm="1">
        <f t="array" ref="BJ79">IF('NILAI CPL'!$B79&lt;&gt;"",IFERROR(_xlfn.IFS(AM79&gt;='NILAI CPL'!$B$3,4,AM79&gt;='NILAI CPL'!$B$4,3,AM79&gt;='NILAI CPL'!$B$5,2,AM79&gt;'NILAI CPL'!$B$6,1),0),"")</f>
        <v/>
      </c>
      <c r="BK79" s="2" t="str" cm="1">
        <f t="array" ref="BK79">IF('NILAI CPL'!$B79&lt;&gt;"",IFERROR(_xlfn.IFS(AN79&gt;='NILAI CPL'!$B$3,4,AN79&gt;='NILAI CPL'!$B$4,3,AN79&gt;='NILAI CPL'!$B$5,2,AN79&gt;'NILAI CPL'!$B$6,1),0),"")</f>
        <v/>
      </c>
    </row>
    <row r="80" spans="1:63" x14ac:dyDescent="0.2">
      <c r="A80" s="2">
        <v>70</v>
      </c>
      <c r="B80" s="2" t="str">
        <f>IF(LEN(SUMMARY!B80)&gt;0, SUMMARY!B80, "")</f>
        <v/>
      </c>
      <c r="C80" s="2" t="str">
        <f>IF(LEN(SUMMARY!C80)&gt;0, SUMMARY!C80, "")</f>
        <v/>
      </c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" t="str">
        <f t="shared" si="25"/>
        <v/>
      </c>
      <c r="S80" s="2" t="str">
        <f t="shared" si="26"/>
        <v/>
      </c>
      <c r="T80" s="2" t="str">
        <f t="shared" si="27"/>
        <v/>
      </c>
      <c r="U80" s="2" t="str">
        <f t="shared" si="28"/>
        <v/>
      </c>
      <c r="V80" s="2" t="str">
        <f t="shared" si="29"/>
        <v/>
      </c>
      <c r="W80" s="2" t="str">
        <f t="shared" si="30"/>
        <v/>
      </c>
      <c r="X80" s="2" t="str">
        <f t="shared" si="31"/>
        <v/>
      </c>
      <c r="Y80" s="2" t="str">
        <f t="shared" si="32"/>
        <v/>
      </c>
      <c r="Z80" s="2" t="str">
        <f t="shared" si="33"/>
        <v/>
      </c>
      <c r="AA80" s="2" t="str">
        <f t="shared" si="34"/>
        <v/>
      </c>
      <c r="AB80" s="2" t="str">
        <f t="shared" si="35"/>
        <v/>
      </c>
      <c r="AC80" s="2" t="str">
        <f t="shared" si="36"/>
        <v/>
      </c>
      <c r="AD80" s="2" t="str">
        <f t="shared" si="37"/>
        <v/>
      </c>
      <c r="AE80" s="2" t="str">
        <f t="shared" si="38"/>
        <v/>
      </c>
      <c r="AF80" s="2" t="str">
        <f t="shared" si="39"/>
        <v/>
      </c>
      <c r="AG80" s="2" t="str">
        <f t="shared" si="40"/>
        <v/>
      </c>
      <c r="AH80" s="2" t="str">
        <f t="shared" si="41"/>
        <v/>
      </c>
      <c r="AI80" s="2" t="str">
        <f t="shared" si="42"/>
        <v/>
      </c>
      <c r="AJ80" s="2" t="str">
        <f t="shared" si="43"/>
        <v/>
      </c>
      <c r="AK80" s="2" t="str">
        <f t="shared" si="44"/>
        <v/>
      </c>
      <c r="AL80" s="2" t="str">
        <f t="shared" si="45"/>
        <v/>
      </c>
      <c r="AM80" s="2" t="str">
        <f t="shared" si="46"/>
        <v/>
      </c>
      <c r="AN80" s="2" t="str">
        <f t="shared" si="47"/>
        <v/>
      </c>
      <c r="AP80" s="2" t="str" cm="1">
        <f t="array" ref="AP80">IF('NILAI CPL'!$B80&lt;&gt;"",IFERROR(_xlfn.IFS(S80&gt;='NILAI CPL'!$B$3,4,S80&gt;='NILAI CPL'!$B$4,3,S80&gt;='NILAI CPL'!$B$5,2,S80&gt;'NILAI CPL'!$B$6,1),0),"")</f>
        <v/>
      </c>
      <c r="AQ80" s="2" t="str" cm="1">
        <f t="array" ref="AQ80">IF('NILAI CPL'!$B80&lt;&gt;"",IFERROR(_xlfn.IFS(T80&gt;='NILAI CPL'!$B$3,4,T80&gt;='NILAI CPL'!$B$4,3,T80&gt;='NILAI CPL'!$B$5,2,T80&gt;'NILAI CPL'!$B$6,1),0),"")</f>
        <v/>
      </c>
      <c r="AR80" s="2" t="str" cm="1">
        <f t="array" ref="AR80">IF('NILAI CPL'!$B80&lt;&gt;"",IFERROR(_xlfn.IFS(U80&gt;='NILAI CPL'!$B$3,4,U80&gt;='NILAI CPL'!$B$4,3,U80&gt;='NILAI CPL'!$B$5,2,U80&gt;'NILAI CPL'!$B$6,1),0),"")</f>
        <v/>
      </c>
      <c r="AS80" s="2" t="str" cm="1">
        <f t="array" ref="AS80">IF('NILAI CPL'!$B80&lt;&gt;"",IFERROR(_xlfn.IFS(V80&gt;='NILAI CPL'!$B$3,4,V80&gt;='NILAI CPL'!$B$4,3,V80&gt;='NILAI CPL'!$B$5,2,V80&gt;'NILAI CPL'!$B$6,1),0),"")</f>
        <v/>
      </c>
      <c r="AT80" s="2" t="str" cm="1">
        <f t="array" ref="AT80">IF('NILAI CPL'!$B80&lt;&gt;"",IFERROR(_xlfn.IFS(W80&gt;='NILAI CPL'!$B$3,4,W80&gt;='NILAI CPL'!$B$4,3,W80&gt;='NILAI CPL'!$B$5,2,W80&gt;'NILAI CPL'!$B$6,1),0),"")</f>
        <v/>
      </c>
      <c r="AU80" s="2" t="str" cm="1">
        <f t="array" ref="AU80">IF('NILAI CPL'!$B80&lt;&gt;"",IFERROR(_xlfn.IFS(X80&gt;='NILAI CPL'!$B$3,4,X80&gt;='NILAI CPL'!$B$4,3,X80&gt;='NILAI CPL'!$B$5,2,X80&gt;'NILAI CPL'!$B$6,1),0),"")</f>
        <v/>
      </c>
      <c r="AV80" s="2" t="str" cm="1">
        <f t="array" ref="AV80">IF('NILAI CPL'!$B80&lt;&gt;"",IFERROR(_xlfn.IFS(Y80&gt;='NILAI CPL'!$B$3,4,Y80&gt;='NILAI CPL'!$B$4,3,Y80&gt;='NILAI CPL'!$B$5,2,Y80&gt;'NILAI CPL'!$B$6,1),0),"")</f>
        <v/>
      </c>
      <c r="AW80" s="2" t="str" cm="1">
        <f t="array" ref="AW80">IF('NILAI CPL'!$B80&lt;&gt;"",IFERROR(_xlfn.IFS(Z80&gt;='NILAI CPL'!$B$3,4,Z80&gt;='NILAI CPL'!$B$4,3,Z80&gt;='NILAI CPL'!$B$5,2,Z80&gt;'NILAI CPL'!$B$6,1),0),"")</f>
        <v/>
      </c>
      <c r="AX80" s="2" t="str" cm="1">
        <f t="array" ref="AX80">IF('NILAI CPL'!$B80&lt;&gt;"",IFERROR(_xlfn.IFS(AA80&gt;='NILAI CPL'!$B$3,4,AA80&gt;='NILAI CPL'!$B$4,3,AA80&gt;='NILAI CPL'!$B$5,2,AA80&gt;'NILAI CPL'!$B$6,1),0),"")</f>
        <v/>
      </c>
      <c r="AY80" s="2" t="str" cm="1">
        <f t="array" ref="AY80">IF('NILAI CPL'!$B80&lt;&gt;"",IFERROR(_xlfn.IFS(AB80&gt;='NILAI CPL'!$B$3,4,AB80&gt;='NILAI CPL'!$B$4,3,AB80&gt;='NILAI CPL'!$B$5,2,AB80&gt;'NILAI CPL'!$B$6,1),0),"")</f>
        <v/>
      </c>
      <c r="AZ80" s="2" t="str" cm="1">
        <f t="array" ref="AZ80">IF('NILAI CPL'!$B80&lt;&gt;"",IFERROR(_xlfn.IFS(AC80&gt;='NILAI CPL'!$B$3,4,AC80&gt;='NILAI CPL'!$B$4,3,AC80&gt;='NILAI CPL'!$B$5,2,AC80&gt;'NILAI CPL'!$B$6,1),0),"")</f>
        <v/>
      </c>
      <c r="BA80" s="2" t="str" cm="1">
        <f t="array" ref="BA80">IF('NILAI CPL'!$B80&lt;&gt;"",IFERROR(_xlfn.IFS(AD80&gt;='NILAI CPL'!$B$3,4,AD80&gt;='NILAI CPL'!$B$4,3,AD80&gt;='NILAI CPL'!$B$5,2,AD80&gt;'NILAI CPL'!$B$6,1),0),"")</f>
        <v/>
      </c>
      <c r="BB80" s="2" t="str" cm="1">
        <f t="array" ref="BB80">IF('NILAI CPL'!$B80&lt;&gt;"",IFERROR(_xlfn.IFS(AE80&gt;='NILAI CPL'!$B$3,4,AE80&gt;='NILAI CPL'!$B$4,3,AE80&gt;='NILAI CPL'!$B$5,2,AE80&gt;'NILAI CPL'!$B$6,1),0),"")</f>
        <v/>
      </c>
      <c r="BC80" s="2" t="str" cm="1">
        <f t="array" ref="BC80">IF('NILAI CPL'!$B80&lt;&gt;"",IFERROR(_xlfn.IFS(AF80&gt;='NILAI CPL'!$B$3,4,AF80&gt;='NILAI CPL'!$B$4,3,AF80&gt;='NILAI CPL'!$B$5,2,AF80&gt;'NILAI CPL'!$B$6,1),0),"")</f>
        <v/>
      </c>
      <c r="BD80" s="2" t="str" cm="1">
        <f t="array" ref="BD80">IF('NILAI CPL'!$B80&lt;&gt;"",IFERROR(_xlfn.IFS(AG80&gt;='NILAI CPL'!$B$3,4,AG80&gt;='NILAI CPL'!$B$4,3,AG80&gt;='NILAI CPL'!$B$5,2,AG80&gt;'NILAI CPL'!$B$6,1),0),"")</f>
        <v/>
      </c>
      <c r="BE80" s="2" t="str" cm="1">
        <f t="array" ref="BE80">IF('NILAI CPL'!$B80&lt;&gt;"",IFERROR(_xlfn.IFS(AH80&gt;='NILAI CPL'!$B$3,4,AH80&gt;='NILAI CPL'!$B$4,3,AH80&gt;='NILAI CPL'!$B$5,2,AH80&gt;'NILAI CPL'!$B$6,1),0),"")</f>
        <v/>
      </c>
      <c r="BF80" s="2" t="str" cm="1">
        <f t="array" ref="BF80">IF('NILAI CPL'!$B80&lt;&gt;"",IFERROR(_xlfn.IFS(AI80&gt;='NILAI CPL'!$B$3,4,AI80&gt;='NILAI CPL'!$B$4,3,AI80&gt;='NILAI CPL'!$B$5,2,AI80&gt;'NILAI CPL'!$B$6,1),0),"")</f>
        <v/>
      </c>
      <c r="BG80" s="2" t="str" cm="1">
        <f t="array" ref="BG80">IF('NILAI CPL'!$B80&lt;&gt;"",IFERROR(_xlfn.IFS(AJ80&gt;='NILAI CPL'!$B$3,4,AJ80&gt;='NILAI CPL'!$B$4,3,AJ80&gt;='NILAI CPL'!$B$5,2,AJ80&gt;'NILAI CPL'!$B$6,1),0),"")</f>
        <v/>
      </c>
      <c r="BH80" s="2" t="str" cm="1">
        <f t="array" ref="BH80">IF('NILAI CPL'!$B80&lt;&gt;"",IFERROR(_xlfn.IFS(AK80&gt;='NILAI CPL'!$B$3,4,AK80&gt;='NILAI CPL'!$B$4,3,AK80&gt;='NILAI CPL'!$B$5,2,AK80&gt;'NILAI CPL'!$B$6,1),0),"")</f>
        <v/>
      </c>
      <c r="BI80" s="2" t="str" cm="1">
        <f t="array" ref="BI80">IF('NILAI CPL'!$B80&lt;&gt;"",IFERROR(_xlfn.IFS(AL80&gt;='NILAI CPL'!$B$3,4,AL80&gt;='NILAI CPL'!$B$4,3,AL80&gt;='NILAI CPL'!$B$5,2,AL80&gt;'NILAI CPL'!$B$6,1),0),"")</f>
        <v/>
      </c>
      <c r="BJ80" s="2" t="str" cm="1">
        <f t="array" ref="BJ80">IF('NILAI CPL'!$B80&lt;&gt;"",IFERROR(_xlfn.IFS(AM80&gt;='NILAI CPL'!$B$3,4,AM80&gt;='NILAI CPL'!$B$4,3,AM80&gt;='NILAI CPL'!$B$5,2,AM80&gt;'NILAI CPL'!$B$6,1),0),"")</f>
        <v/>
      </c>
      <c r="BK80" s="2" t="str" cm="1">
        <f t="array" ref="BK80">IF('NILAI CPL'!$B80&lt;&gt;"",IFERROR(_xlfn.IFS(AN80&gt;='NILAI CPL'!$B$3,4,AN80&gt;='NILAI CPL'!$B$4,3,AN80&gt;='NILAI CPL'!$B$5,2,AN80&gt;'NILAI CPL'!$B$6,1),0),"")</f>
        <v/>
      </c>
    </row>
    <row r="81" spans="1:63" x14ac:dyDescent="0.2">
      <c r="A81" s="2">
        <v>71</v>
      </c>
      <c r="B81" s="2" t="str">
        <f>IF(LEN(SUMMARY!B81)&gt;0, SUMMARY!B81, "")</f>
        <v/>
      </c>
      <c r="C81" s="2" t="str">
        <f>IF(LEN(SUMMARY!C81)&gt;0, SUMMARY!C81, "")</f>
        <v/>
      </c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" t="str">
        <f t="shared" si="25"/>
        <v/>
      </c>
      <c r="S81" s="2" t="str">
        <f t="shared" si="26"/>
        <v/>
      </c>
      <c r="T81" s="2" t="str">
        <f t="shared" si="27"/>
        <v/>
      </c>
      <c r="U81" s="2" t="str">
        <f t="shared" si="28"/>
        <v/>
      </c>
      <c r="V81" s="2" t="str">
        <f t="shared" si="29"/>
        <v/>
      </c>
      <c r="W81" s="2" t="str">
        <f t="shared" si="30"/>
        <v/>
      </c>
      <c r="X81" s="2" t="str">
        <f t="shared" si="31"/>
        <v/>
      </c>
      <c r="Y81" s="2" t="str">
        <f t="shared" si="32"/>
        <v/>
      </c>
      <c r="Z81" s="2" t="str">
        <f t="shared" si="33"/>
        <v/>
      </c>
      <c r="AA81" s="2" t="str">
        <f t="shared" si="34"/>
        <v/>
      </c>
      <c r="AB81" s="2" t="str">
        <f t="shared" si="35"/>
        <v/>
      </c>
      <c r="AC81" s="2" t="str">
        <f t="shared" si="36"/>
        <v/>
      </c>
      <c r="AD81" s="2" t="str">
        <f t="shared" si="37"/>
        <v/>
      </c>
      <c r="AE81" s="2" t="str">
        <f t="shared" si="38"/>
        <v/>
      </c>
      <c r="AF81" s="2" t="str">
        <f t="shared" si="39"/>
        <v/>
      </c>
      <c r="AG81" s="2" t="str">
        <f t="shared" si="40"/>
        <v/>
      </c>
      <c r="AH81" s="2" t="str">
        <f t="shared" si="41"/>
        <v/>
      </c>
      <c r="AI81" s="2" t="str">
        <f t="shared" si="42"/>
        <v/>
      </c>
      <c r="AJ81" s="2" t="str">
        <f t="shared" si="43"/>
        <v/>
      </c>
      <c r="AK81" s="2" t="str">
        <f t="shared" si="44"/>
        <v/>
      </c>
      <c r="AL81" s="2" t="str">
        <f t="shared" si="45"/>
        <v/>
      </c>
      <c r="AM81" s="2" t="str">
        <f t="shared" si="46"/>
        <v/>
      </c>
      <c r="AN81" s="2" t="str">
        <f t="shared" si="47"/>
        <v/>
      </c>
      <c r="AP81" s="2" t="str" cm="1">
        <f t="array" ref="AP81">IF('NILAI CPL'!$B81&lt;&gt;"",IFERROR(_xlfn.IFS(S81&gt;='NILAI CPL'!$B$3,4,S81&gt;='NILAI CPL'!$B$4,3,S81&gt;='NILAI CPL'!$B$5,2,S81&gt;'NILAI CPL'!$B$6,1),0),"")</f>
        <v/>
      </c>
      <c r="AQ81" s="2" t="str" cm="1">
        <f t="array" ref="AQ81">IF('NILAI CPL'!$B81&lt;&gt;"",IFERROR(_xlfn.IFS(T81&gt;='NILAI CPL'!$B$3,4,T81&gt;='NILAI CPL'!$B$4,3,T81&gt;='NILAI CPL'!$B$5,2,T81&gt;'NILAI CPL'!$B$6,1),0),"")</f>
        <v/>
      </c>
      <c r="AR81" s="2" t="str" cm="1">
        <f t="array" ref="AR81">IF('NILAI CPL'!$B81&lt;&gt;"",IFERROR(_xlfn.IFS(U81&gt;='NILAI CPL'!$B$3,4,U81&gt;='NILAI CPL'!$B$4,3,U81&gt;='NILAI CPL'!$B$5,2,U81&gt;'NILAI CPL'!$B$6,1),0),"")</f>
        <v/>
      </c>
      <c r="AS81" s="2" t="str" cm="1">
        <f t="array" ref="AS81">IF('NILAI CPL'!$B81&lt;&gt;"",IFERROR(_xlfn.IFS(V81&gt;='NILAI CPL'!$B$3,4,V81&gt;='NILAI CPL'!$B$4,3,V81&gt;='NILAI CPL'!$B$5,2,V81&gt;'NILAI CPL'!$B$6,1),0),"")</f>
        <v/>
      </c>
      <c r="AT81" s="2" t="str" cm="1">
        <f t="array" ref="AT81">IF('NILAI CPL'!$B81&lt;&gt;"",IFERROR(_xlfn.IFS(W81&gt;='NILAI CPL'!$B$3,4,W81&gt;='NILAI CPL'!$B$4,3,W81&gt;='NILAI CPL'!$B$5,2,W81&gt;'NILAI CPL'!$B$6,1),0),"")</f>
        <v/>
      </c>
      <c r="AU81" s="2" t="str" cm="1">
        <f t="array" ref="AU81">IF('NILAI CPL'!$B81&lt;&gt;"",IFERROR(_xlfn.IFS(X81&gt;='NILAI CPL'!$B$3,4,X81&gt;='NILAI CPL'!$B$4,3,X81&gt;='NILAI CPL'!$B$5,2,X81&gt;'NILAI CPL'!$B$6,1),0),"")</f>
        <v/>
      </c>
      <c r="AV81" s="2" t="str" cm="1">
        <f t="array" ref="AV81">IF('NILAI CPL'!$B81&lt;&gt;"",IFERROR(_xlfn.IFS(Y81&gt;='NILAI CPL'!$B$3,4,Y81&gt;='NILAI CPL'!$B$4,3,Y81&gt;='NILAI CPL'!$B$5,2,Y81&gt;'NILAI CPL'!$B$6,1),0),"")</f>
        <v/>
      </c>
      <c r="AW81" s="2" t="str" cm="1">
        <f t="array" ref="AW81">IF('NILAI CPL'!$B81&lt;&gt;"",IFERROR(_xlfn.IFS(Z81&gt;='NILAI CPL'!$B$3,4,Z81&gt;='NILAI CPL'!$B$4,3,Z81&gt;='NILAI CPL'!$B$5,2,Z81&gt;'NILAI CPL'!$B$6,1),0),"")</f>
        <v/>
      </c>
      <c r="AX81" s="2" t="str" cm="1">
        <f t="array" ref="AX81">IF('NILAI CPL'!$B81&lt;&gt;"",IFERROR(_xlfn.IFS(AA81&gt;='NILAI CPL'!$B$3,4,AA81&gt;='NILAI CPL'!$B$4,3,AA81&gt;='NILAI CPL'!$B$5,2,AA81&gt;'NILAI CPL'!$B$6,1),0),"")</f>
        <v/>
      </c>
      <c r="AY81" s="2" t="str" cm="1">
        <f t="array" ref="AY81">IF('NILAI CPL'!$B81&lt;&gt;"",IFERROR(_xlfn.IFS(AB81&gt;='NILAI CPL'!$B$3,4,AB81&gt;='NILAI CPL'!$B$4,3,AB81&gt;='NILAI CPL'!$B$5,2,AB81&gt;'NILAI CPL'!$B$6,1),0),"")</f>
        <v/>
      </c>
      <c r="AZ81" s="2" t="str" cm="1">
        <f t="array" ref="AZ81">IF('NILAI CPL'!$B81&lt;&gt;"",IFERROR(_xlfn.IFS(AC81&gt;='NILAI CPL'!$B$3,4,AC81&gt;='NILAI CPL'!$B$4,3,AC81&gt;='NILAI CPL'!$B$5,2,AC81&gt;'NILAI CPL'!$B$6,1),0),"")</f>
        <v/>
      </c>
      <c r="BA81" s="2" t="str" cm="1">
        <f t="array" ref="BA81">IF('NILAI CPL'!$B81&lt;&gt;"",IFERROR(_xlfn.IFS(AD81&gt;='NILAI CPL'!$B$3,4,AD81&gt;='NILAI CPL'!$B$4,3,AD81&gt;='NILAI CPL'!$B$5,2,AD81&gt;'NILAI CPL'!$B$6,1),0),"")</f>
        <v/>
      </c>
      <c r="BB81" s="2" t="str" cm="1">
        <f t="array" ref="BB81">IF('NILAI CPL'!$B81&lt;&gt;"",IFERROR(_xlfn.IFS(AE81&gt;='NILAI CPL'!$B$3,4,AE81&gt;='NILAI CPL'!$B$4,3,AE81&gt;='NILAI CPL'!$B$5,2,AE81&gt;'NILAI CPL'!$B$6,1),0),"")</f>
        <v/>
      </c>
      <c r="BC81" s="2" t="str" cm="1">
        <f t="array" ref="BC81">IF('NILAI CPL'!$B81&lt;&gt;"",IFERROR(_xlfn.IFS(AF81&gt;='NILAI CPL'!$B$3,4,AF81&gt;='NILAI CPL'!$B$4,3,AF81&gt;='NILAI CPL'!$B$5,2,AF81&gt;'NILAI CPL'!$B$6,1),0),"")</f>
        <v/>
      </c>
      <c r="BD81" s="2" t="str" cm="1">
        <f t="array" ref="BD81">IF('NILAI CPL'!$B81&lt;&gt;"",IFERROR(_xlfn.IFS(AG81&gt;='NILAI CPL'!$B$3,4,AG81&gt;='NILAI CPL'!$B$4,3,AG81&gt;='NILAI CPL'!$B$5,2,AG81&gt;'NILAI CPL'!$B$6,1),0),"")</f>
        <v/>
      </c>
      <c r="BE81" s="2" t="str" cm="1">
        <f t="array" ref="BE81">IF('NILAI CPL'!$B81&lt;&gt;"",IFERROR(_xlfn.IFS(AH81&gt;='NILAI CPL'!$B$3,4,AH81&gt;='NILAI CPL'!$B$4,3,AH81&gt;='NILAI CPL'!$B$5,2,AH81&gt;'NILAI CPL'!$B$6,1),0),"")</f>
        <v/>
      </c>
      <c r="BF81" s="2" t="str" cm="1">
        <f t="array" ref="BF81">IF('NILAI CPL'!$B81&lt;&gt;"",IFERROR(_xlfn.IFS(AI81&gt;='NILAI CPL'!$B$3,4,AI81&gt;='NILAI CPL'!$B$4,3,AI81&gt;='NILAI CPL'!$B$5,2,AI81&gt;'NILAI CPL'!$B$6,1),0),"")</f>
        <v/>
      </c>
      <c r="BG81" s="2" t="str" cm="1">
        <f t="array" ref="BG81">IF('NILAI CPL'!$B81&lt;&gt;"",IFERROR(_xlfn.IFS(AJ81&gt;='NILAI CPL'!$B$3,4,AJ81&gt;='NILAI CPL'!$B$4,3,AJ81&gt;='NILAI CPL'!$B$5,2,AJ81&gt;'NILAI CPL'!$B$6,1),0),"")</f>
        <v/>
      </c>
      <c r="BH81" s="2" t="str" cm="1">
        <f t="array" ref="BH81">IF('NILAI CPL'!$B81&lt;&gt;"",IFERROR(_xlfn.IFS(AK81&gt;='NILAI CPL'!$B$3,4,AK81&gt;='NILAI CPL'!$B$4,3,AK81&gt;='NILAI CPL'!$B$5,2,AK81&gt;'NILAI CPL'!$B$6,1),0),"")</f>
        <v/>
      </c>
      <c r="BI81" s="2" t="str" cm="1">
        <f t="array" ref="BI81">IF('NILAI CPL'!$B81&lt;&gt;"",IFERROR(_xlfn.IFS(AL81&gt;='NILAI CPL'!$B$3,4,AL81&gt;='NILAI CPL'!$B$4,3,AL81&gt;='NILAI CPL'!$B$5,2,AL81&gt;'NILAI CPL'!$B$6,1),0),"")</f>
        <v/>
      </c>
      <c r="BJ81" s="2" t="str" cm="1">
        <f t="array" ref="BJ81">IF('NILAI CPL'!$B81&lt;&gt;"",IFERROR(_xlfn.IFS(AM81&gt;='NILAI CPL'!$B$3,4,AM81&gt;='NILAI CPL'!$B$4,3,AM81&gt;='NILAI CPL'!$B$5,2,AM81&gt;'NILAI CPL'!$B$6,1),0),"")</f>
        <v/>
      </c>
      <c r="BK81" s="2" t="str" cm="1">
        <f t="array" ref="BK81">IF('NILAI CPL'!$B81&lt;&gt;"",IFERROR(_xlfn.IFS(AN81&gt;='NILAI CPL'!$B$3,4,AN81&gt;='NILAI CPL'!$B$4,3,AN81&gt;='NILAI CPL'!$B$5,2,AN81&gt;'NILAI CPL'!$B$6,1),0),"")</f>
        <v/>
      </c>
    </row>
    <row r="82" spans="1:63" x14ac:dyDescent="0.2">
      <c r="A82" s="2">
        <v>72</v>
      </c>
      <c r="B82" s="2" t="str">
        <f>IF(LEN(SUMMARY!B82)&gt;0, SUMMARY!B82, "")</f>
        <v/>
      </c>
      <c r="C82" s="2" t="str">
        <f>IF(LEN(SUMMARY!C82)&gt;0, SUMMARY!C82, "")</f>
        <v/>
      </c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" t="str">
        <f t="shared" si="25"/>
        <v/>
      </c>
      <c r="S82" s="2" t="str">
        <f t="shared" si="26"/>
        <v/>
      </c>
      <c r="T82" s="2" t="str">
        <f t="shared" si="27"/>
        <v/>
      </c>
      <c r="U82" s="2" t="str">
        <f t="shared" si="28"/>
        <v/>
      </c>
      <c r="V82" s="2" t="str">
        <f t="shared" si="29"/>
        <v/>
      </c>
      <c r="W82" s="2" t="str">
        <f t="shared" si="30"/>
        <v/>
      </c>
      <c r="X82" s="2" t="str">
        <f t="shared" si="31"/>
        <v/>
      </c>
      <c r="Y82" s="2" t="str">
        <f t="shared" si="32"/>
        <v/>
      </c>
      <c r="Z82" s="2" t="str">
        <f t="shared" si="33"/>
        <v/>
      </c>
      <c r="AA82" s="2" t="str">
        <f t="shared" si="34"/>
        <v/>
      </c>
      <c r="AB82" s="2" t="str">
        <f t="shared" si="35"/>
        <v/>
      </c>
      <c r="AC82" s="2" t="str">
        <f t="shared" si="36"/>
        <v/>
      </c>
      <c r="AD82" s="2" t="str">
        <f t="shared" si="37"/>
        <v/>
      </c>
      <c r="AE82" s="2" t="str">
        <f t="shared" si="38"/>
        <v/>
      </c>
      <c r="AF82" s="2" t="str">
        <f t="shared" si="39"/>
        <v/>
      </c>
      <c r="AG82" s="2" t="str">
        <f t="shared" si="40"/>
        <v/>
      </c>
      <c r="AH82" s="2" t="str">
        <f t="shared" si="41"/>
        <v/>
      </c>
      <c r="AI82" s="2" t="str">
        <f t="shared" si="42"/>
        <v/>
      </c>
      <c r="AJ82" s="2" t="str">
        <f t="shared" si="43"/>
        <v/>
      </c>
      <c r="AK82" s="2" t="str">
        <f t="shared" si="44"/>
        <v/>
      </c>
      <c r="AL82" s="2" t="str">
        <f t="shared" si="45"/>
        <v/>
      </c>
      <c r="AM82" s="2" t="str">
        <f t="shared" si="46"/>
        <v/>
      </c>
      <c r="AN82" s="2" t="str">
        <f t="shared" si="47"/>
        <v/>
      </c>
      <c r="AP82" s="2" t="str" cm="1">
        <f t="array" ref="AP82">IF('NILAI CPL'!$B82&lt;&gt;"",IFERROR(_xlfn.IFS(S82&gt;='NILAI CPL'!$B$3,4,S82&gt;='NILAI CPL'!$B$4,3,S82&gt;='NILAI CPL'!$B$5,2,S82&gt;'NILAI CPL'!$B$6,1),0),"")</f>
        <v/>
      </c>
      <c r="AQ82" s="2" t="str" cm="1">
        <f t="array" ref="AQ82">IF('NILAI CPL'!$B82&lt;&gt;"",IFERROR(_xlfn.IFS(T82&gt;='NILAI CPL'!$B$3,4,T82&gt;='NILAI CPL'!$B$4,3,T82&gt;='NILAI CPL'!$B$5,2,T82&gt;'NILAI CPL'!$B$6,1),0),"")</f>
        <v/>
      </c>
      <c r="AR82" s="2" t="str" cm="1">
        <f t="array" ref="AR82">IF('NILAI CPL'!$B82&lt;&gt;"",IFERROR(_xlfn.IFS(U82&gt;='NILAI CPL'!$B$3,4,U82&gt;='NILAI CPL'!$B$4,3,U82&gt;='NILAI CPL'!$B$5,2,U82&gt;'NILAI CPL'!$B$6,1),0),"")</f>
        <v/>
      </c>
      <c r="AS82" s="2" t="str" cm="1">
        <f t="array" ref="AS82">IF('NILAI CPL'!$B82&lt;&gt;"",IFERROR(_xlfn.IFS(V82&gt;='NILAI CPL'!$B$3,4,V82&gt;='NILAI CPL'!$B$4,3,V82&gt;='NILAI CPL'!$B$5,2,V82&gt;'NILAI CPL'!$B$6,1),0),"")</f>
        <v/>
      </c>
      <c r="AT82" s="2" t="str" cm="1">
        <f t="array" ref="AT82">IF('NILAI CPL'!$B82&lt;&gt;"",IFERROR(_xlfn.IFS(W82&gt;='NILAI CPL'!$B$3,4,W82&gt;='NILAI CPL'!$B$4,3,W82&gt;='NILAI CPL'!$B$5,2,W82&gt;'NILAI CPL'!$B$6,1),0),"")</f>
        <v/>
      </c>
      <c r="AU82" s="2" t="str" cm="1">
        <f t="array" ref="AU82">IF('NILAI CPL'!$B82&lt;&gt;"",IFERROR(_xlfn.IFS(X82&gt;='NILAI CPL'!$B$3,4,X82&gt;='NILAI CPL'!$B$4,3,X82&gt;='NILAI CPL'!$B$5,2,X82&gt;'NILAI CPL'!$B$6,1),0),"")</f>
        <v/>
      </c>
      <c r="AV82" s="2" t="str" cm="1">
        <f t="array" ref="AV82">IF('NILAI CPL'!$B82&lt;&gt;"",IFERROR(_xlfn.IFS(Y82&gt;='NILAI CPL'!$B$3,4,Y82&gt;='NILAI CPL'!$B$4,3,Y82&gt;='NILAI CPL'!$B$5,2,Y82&gt;'NILAI CPL'!$B$6,1),0),"")</f>
        <v/>
      </c>
      <c r="AW82" s="2" t="str" cm="1">
        <f t="array" ref="AW82">IF('NILAI CPL'!$B82&lt;&gt;"",IFERROR(_xlfn.IFS(Z82&gt;='NILAI CPL'!$B$3,4,Z82&gt;='NILAI CPL'!$B$4,3,Z82&gt;='NILAI CPL'!$B$5,2,Z82&gt;'NILAI CPL'!$B$6,1),0),"")</f>
        <v/>
      </c>
      <c r="AX82" s="2" t="str" cm="1">
        <f t="array" ref="AX82">IF('NILAI CPL'!$B82&lt;&gt;"",IFERROR(_xlfn.IFS(AA82&gt;='NILAI CPL'!$B$3,4,AA82&gt;='NILAI CPL'!$B$4,3,AA82&gt;='NILAI CPL'!$B$5,2,AA82&gt;'NILAI CPL'!$B$6,1),0),"")</f>
        <v/>
      </c>
      <c r="AY82" s="2" t="str" cm="1">
        <f t="array" ref="AY82">IF('NILAI CPL'!$B82&lt;&gt;"",IFERROR(_xlfn.IFS(AB82&gt;='NILAI CPL'!$B$3,4,AB82&gt;='NILAI CPL'!$B$4,3,AB82&gt;='NILAI CPL'!$B$5,2,AB82&gt;'NILAI CPL'!$B$6,1),0),"")</f>
        <v/>
      </c>
      <c r="AZ82" s="2" t="str" cm="1">
        <f t="array" ref="AZ82">IF('NILAI CPL'!$B82&lt;&gt;"",IFERROR(_xlfn.IFS(AC82&gt;='NILAI CPL'!$B$3,4,AC82&gt;='NILAI CPL'!$B$4,3,AC82&gt;='NILAI CPL'!$B$5,2,AC82&gt;'NILAI CPL'!$B$6,1),0),"")</f>
        <v/>
      </c>
      <c r="BA82" s="2" t="str" cm="1">
        <f t="array" ref="BA82">IF('NILAI CPL'!$B82&lt;&gt;"",IFERROR(_xlfn.IFS(AD82&gt;='NILAI CPL'!$B$3,4,AD82&gt;='NILAI CPL'!$B$4,3,AD82&gt;='NILAI CPL'!$B$5,2,AD82&gt;'NILAI CPL'!$B$6,1),0),"")</f>
        <v/>
      </c>
      <c r="BB82" s="2" t="str" cm="1">
        <f t="array" ref="BB82">IF('NILAI CPL'!$B82&lt;&gt;"",IFERROR(_xlfn.IFS(AE82&gt;='NILAI CPL'!$B$3,4,AE82&gt;='NILAI CPL'!$B$4,3,AE82&gt;='NILAI CPL'!$B$5,2,AE82&gt;'NILAI CPL'!$B$6,1),0),"")</f>
        <v/>
      </c>
      <c r="BC82" s="2" t="str" cm="1">
        <f t="array" ref="BC82">IF('NILAI CPL'!$B82&lt;&gt;"",IFERROR(_xlfn.IFS(AF82&gt;='NILAI CPL'!$B$3,4,AF82&gt;='NILAI CPL'!$B$4,3,AF82&gt;='NILAI CPL'!$B$5,2,AF82&gt;'NILAI CPL'!$B$6,1),0),"")</f>
        <v/>
      </c>
      <c r="BD82" s="2" t="str" cm="1">
        <f t="array" ref="BD82">IF('NILAI CPL'!$B82&lt;&gt;"",IFERROR(_xlfn.IFS(AG82&gt;='NILAI CPL'!$B$3,4,AG82&gt;='NILAI CPL'!$B$4,3,AG82&gt;='NILAI CPL'!$B$5,2,AG82&gt;'NILAI CPL'!$B$6,1),0),"")</f>
        <v/>
      </c>
      <c r="BE82" s="2" t="str" cm="1">
        <f t="array" ref="BE82">IF('NILAI CPL'!$B82&lt;&gt;"",IFERROR(_xlfn.IFS(AH82&gt;='NILAI CPL'!$B$3,4,AH82&gt;='NILAI CPL'!$B$4,3,AH82&gt;='NILAI CPL'!$B$5,2,AH82&gt;'NILAI CPL'!$B$6,1),0),"")</f>
        <v/>
      </c>
      <c r="BF82" s="2" t="str" cm="1">
        <f t="array" ref="BF82">IF('NILAI CPL'!$B82&lt;&gt;"",IFERROR(_xlfn.IFS(AI82&gt;='NILAI CPL'!$B$3,4,AI82&gt;='NILAI CPL'!$B$4,3,AI82&gt;='NILAI CPL'!$B$5,2,AI82&gt;'NILAI CPL'!$B$6,1),0),"")</f>
        <v/>
      </c>
      <c r="BG82" s="2" t="str" cm="1">
        <f t="array" ref="BG82">IF('NILAI CPL'!$B82&lt;&gt;"",IFERROR(_xlfn.IFS(AJ82&gt;='NILAI CPL'!$B$3,4,AJ82&gt;='NILAI CPL'!$B$4,3,AJ82&gt;='NILAI CPL'!$B$5,2,AJ82&gt;'NILAI CPL'!$B$6,1),0),"")</f>
        <v/>
      </c>
      <c r="BH82" s="2" t="str" cm="1">
        <f t="array" ref="BH82">IF('NILAI CPL'!$B82&lt;&gt;"",IFERROR(_xlfn.IFS(AK82&gt;='NILAI CPL'!$B$3,4,AK82&gt;='NILAI CPL'!$B$4,3,AK82&gt;='NILAI CPL'!$B$5,2,AK82&gt;'NILAI CPL'!$B$6,1),0),"")</f>
        <v/>
      </c>
      <c r="BI82" s="2" t="str" cm="1">
        <f t="array" ref="BI82">IF('NILAI CPL'!$B82&lt;&gt;"",IFERROR(_xlfn.IFS(AL82&gt;='NILAI CPL'!$B$3,4,AL82&gt;='NILAI CPL'!$B$4,3,AL82&gt;='NILAI CPL'!$B$5,2,AL82&gt;'NILAI CPL'!$B$6,1),0),"")</f>
        <v/>
      </c>
      <c r="BJ82" s="2" t="str" cm="1">
        <f t="array" ref="BJ82">IF('NILAI CPL'!$B82&lt;&gt;"",IFERROR(_xlfn.IFS(AM82&gt;='NILAI CPL'!$B$3,4,AM82&gt;='NILAI CPL'!$B$4,3,AM82&gt;='NILAI CPL'!$B$5,2,AM82&gt;'NILAI CPL'!$B$6,1),0),"")</f>
        <v/>
      </c>
      <c r="BK82" s="2" t="str" cm="1">
        <f t="array" ref="BK82">IF('NILAI CPL'!$B82&lt;&gt;"",IFERROR(_xlfn.IFS(AN82&gt;='NILAI CPL'!$B$3,4,AN82&gt;='NILAI CPL'!$B$4,3,AN82&gt;='NILAI CPL'!$B$5,2,AN82&gt;'NILAI CPL'!$B$6,1),0),"")</f>
        <v/>
      </c>
    </row>
    <row r="83" spans="1:63" x14ac:dyDescent="0.2">
      <c r="A83" s="2">
        <v>73</v>
      </c>
      <c r="B83" s="2" t="str">
        <f>IF(LEN(SUMMARY!B83)&gt;0, SUMMARY!B83, "")</f>
        <v/>
      </c>
      <c r="C83" s="2" t="str">
        <f>IF(LEN(SUMMARY!C83)&gt;0, SUMMARY!C83, "")</f>
        <v/>
      </c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" t="str">
        <f t="shared" si="25"/>
        <v/>
      </c>
      <c r="S83" s="2" t="str">
        <f t="shared" si="26"/>
        <v/>
      </c>
      <c r="T83" s="2" t="str">
        <f t="shared" si="27"/>
        <v/>
      </c>
      <c r="U83" s="2" t="str">
        <f t="shared" si="28"/>
        <v/>
      </c>
      <c r="V83" s="2" t="str">
        <f t="shared" si="29"/>
        <v/>
      </c>
      <c r="W83" s="2" t="str">
        <f t="shared" si="30"/>
        <v/>
      </c>
      <c r="X83" s="2" t="str">
        <f t="shared" si="31"/>
        <v/>
      </c>
      <c r="Y83" s="2" t="str">
        <f t="shared" si="32"/>
        <v/>
      </c>
      <c r="Z83" s="2" t="str">
        <f t="shared" si="33"/>
        <v/>
      </c>
      <c r="AA83" s="2" t="str">
        <f t="shared" si="34"/>
        <v/>
      </c>
      <c r="AB83" s="2" t="str">
        <f t="shared" si="35"/>
        <v/>
      </c>
      <c r="AC83" s="2" t="str">
        <f t="shared" si="36"/>
        <v/>
      </c>
      <c r="AD83" s="2" t="str">
        <f t="shared" si="37"/>
        <v/>
      </c>
      <c r="AE83" s="2" t="str">
        <f t="shared" si="38"/>
        <v/>
      </c>
      <c r="AF83" s="2" t="str">
        <f t="shared" si="39"/>
        <v/>
      </c>
      <c r="AG83" s="2" t="str">
        <f t="shared" si="40"/>
        <v/>
      </c>
      <c r="AH83" s="2" t="str">
        <f t="shared" si="41"/>
        <v/>
      </c>
      <c r="AI83" s="2" t="str">
        <f t="shared" si="42"/>
        <v/>
      </c>
      <c r="AJ83" s="2" t="str">
        <f t="shared" si="43"/>
        <v/>
      </c>
      <c r="AK83" s="2" t="str">
        <f t="shared" si="44"/>
        <v/>
      </c>
      <c r="AL83" s="2" t="str">
        <f t="shared" si="45"/>
        <v/>
      </c>
      <c r="AM83" s="2" t="str">
        <f t="shared" si="46"/>
        <v/>
      </c>
      <c r="AN83" s="2" t="str">
        <f t="shared" si="47"/>
        <v/>
      </c>
      <c r="AP83" s="2" t="str" cm="1">
        <f t="array" ref="AP83">IF('NILAI CPL'!$B83&lt;&gt;"",IFERROR(_xlfn.IFS(S83&gt;='NILAI CPL'!$B$3,4,S83&gt;='NILAI CPL'!$B$4,3,S83&gt;='NILAI CPL'!$B$5,2,S83&gt;'NILAI CPL'!$B$6,1),0),"")</f>
        <v/>
      </c>
      <c r="AQ83" s="2" t="str" cm="1">
        <f t="array" ref="AQ83">IF('NILAI CPL'!$B83&lt;&gt;"",IFERROR(_xlfn.IFS(T83&gt;='NILAI CPL'!$B$3,4,T83&gt;='NILAI CPL'!$B$4,3,T83&gt;='NILAI CPL'!$B$5,2,T83&gt;'NILAI CPL'!$B$6,1),0),"")</f>
        <v/>
      </c>
      <c r="AR83" s="2" t="str" cm="1">
        <f t="array" ref="AR83">IF('NILAI CPL'!$B83&lt;&gt;"",IFERROR(_xlfn.IFS(U83&gt;='NILAI CPL'!$B$3,4,U83&gt;='NILAI CPL'!$B$4,3,U83&gt;='NILAI CPL'!$B$5,2,U83&gt;'NILAI CPL'!$B$6,1),0),"")</f>
        <v/>
      </c>
      <c r="AS83" s="2" t="str" cm="1">
        <f t="array" ref="AS83">IF('NILAI CPL'!$B83&lt;&gt;"",IFERROR(_xlfn.IFS(V83&gt;='NILAI CPL'!$B$3,4,V83&gt;='NILAI CPL'!$B$4,3,V83&gt;='NILAI CPL'!$B$5,2,V83&gt;'NILAI CPL'!$B$6,1),0),"")</f>
        <v/>
      </c>
      <c r="AT83" s="2" t="str" cm="1">
        <f t="array" ref="AT83">IF('NILAI CPL'!$B83&lt;&gt;"",IFERROR(_xlfn.IFS(W83&gt;='NILAI CPL'!$B$3,4,W83&gt;='NILAI CPL'!$B$4,3,W83&gt;='NILAI CPL'!$B$5,2,W83&gt;'NILAI CPL'!$B$6,1),0),"")</f>
        <v/>
      </c>
      <c r="AU83" s="2" t="str" cm="1">
        <f t="array" ref="AU83">IF('NILAI CPL'!$B83&lt;&gt;"",IFERROR(_xlfn.IFS(X83&gt;='NILAI CPL'!$B$3,4,X83&gt;='NILAI CPL'!$B$4,3,X83&gt;='NILAI CPL'!$B$5,2,X83&gt;'NILAI CPL'!$B$6,1),0),"")</f>
        <v/>
      </c>
      <c r="AV83" s="2" t="str" cm="1">
        <f t="array" ref="AV83">IF('NILAI CPL'!$B83&lt;&gt;"",IFERROR(_xlfn.IFS(Y83&gt;='NILAI CPL'!$B$3,4,Y83&gt;='NILAI CPL'!$B$4,3,Y83&gt;='NILAI CPL'!$B$5,2,Y83&gt;'NILAI CPL'!$B$6,1),0),"")</f>
        <v/>
      </c>
      <c r="AW83" s="2" t="str" cm="1">
        <f t="array" ref="AW83">IF('NILAI CPL'!$B83&lt;&gt;"",IFERROR(_xlfn.IFS(Z83&gt;='NILAI CPL'!$B$3,4,Z83&gt;='NILAI CPL'!$B$4,3,Z83&gt;='NILAI CPL'!$B$5,2,Z83&gt;'NILAI CPL'!$B$6,1),0),"")</f>
        <v/>
      </c>
      <c r="AX83" s="2" t="str" cm="1">
        <f t="array" ref="AX83">IF('NILAI CPL'!$B83&lt;&gt;"",IFERROR(_xlfn.IFS(AA83&gt;='NILAI CPL'!$B$3,4,AA83&gt;='NILAI CPL'!$B$4,3,AA83&gt;='NILAI CPL'!$B$5,2,AA83&gt;'NILAI CPL'!$B$6,1),0),"")</f>
        <v/>
      </c>
      <c r="AY83" s="2" t="str" cm="1">
        <f t="array" ref="AY83">IF('NILAI CPL'!$B83&lt;&gt;"",IFERROR(_xlfn.IFS(AB83&gt;='NILAI CPL'!$B$3,4,AB83&gt;='NILAI CPL'!$B$4,3,AB83&gt;='NILAI CPL'!$B$5,2,AB83&gt;'NILAI CPL'!$B$6,1),0),"")</f>
        <v/>
      </c>
      <c r="AZ83" s="2" t="str" cm="1">
        <f t="array" ref="AZ83">IF('NILAI CPL'!$B83&lt;&gt;"",IFERROR(_xlfn.IFS(AC83&gt;='NILAI CPL'!$B$3,4,AC83&gt;='NILAI CPL'!$B$4,3,AC83&gt;='NILAI CPL'!$B$5,2,AC83&gt;'NILAI CPL'!$B$6,1),0),"")</f>
        <v/>
      </c>
      <c r="BA83" s="2" t="str" cm="1">
        <f t="array" ref="BA83">IF('NILAI CPL'!$B83&lt;&gt;"",IFERROR(_xlfn.IFS(AD83&gt;='NILAI CPL'!$B$3,4,AD83&gt;='NILAI CPL'!$B$4,3,AD83&gt;='NILAI CPL'!$B$5,2,AD83&gt;'NILAI CPL'!$B$6,1),0),"")</f>
        <v/>
      </c>
      <c r="BB83" s="2" t="str" cm="1">
        <f t="array" ref="BB83">IF('NILAI CPL'!$B83&lt;&gt;"",IFERROR(_xlfn.IFS(AE83&gt;='NILAI CPL'!$B$3,4,AE83&gt;='NILAI CPL'!$B$4,3,AE83&gt;='NILAI CPL'!$B$5,2,AE83&gt;'NILAI CPL'!$B$6,1),0),"")</f>
        <v/>
      </c>
      <c r="BC83" s="2" t="str" cm="1">
        <f t="array" ref="BC83">IF('NILAI CPL'!$B83&lt;&gt;"",IFERROR(_xlfn.IFS(AF83&gt;='NILAI CPL'!$B$3,4,AF83&gt;='NILAI CPL'!$B$4,3,AF83&gt;='NILAI CPL'!$B$5,2,AF83&gt;'NILAI CPL'!$B$6,1),0),"")</f>
        <v/>
      </c>
      <c r="BD83" s="2" t="str" cm="1">
        <f t="array" ref="BD83">IF('NILAI CPL'!$B83&lt;&gt;"",IFERROR(_xlfn.IFS(AG83&gt;='NILAI CPL'!$B$3,4,AG83&gt;='NILAI CPL'!$B$4,3,AG83&gt;='NILAI CPL'!$B$5,2,AG83&gt;'NILAI CPL'!$B$6,1),0),"")</f>
        <v/>
      </c>
      <c r="BE83" s="2" t="str" cm="1">
        <f t="array" ref="BE83">IF('NILAI CPL'!$B83&lt;&gt;"",IFERROR(_xlfn.IFS(AH83&gt;='NILAI CPL'!$B$3,4,AH83&gt;='NILAI CPL'!$B$4,3,AH83&gt;='NILAI CPL'!$B$5,2,AH83&gt;'NILAI CPL'!$B$6,1),0),"")</f>
        <v/>
      </c>
      <c r="BF83" s="2" t="str" cm="1">
        <f t="array" ref="BF83">IF('NILAI CPL'!$B83&lt;&gt;"",IFERROR(_xlfn.IFS(AI83&gt;='NILAI CPL'!$B$3,4,AI83&gt;='NILAI CPL'!$B$4,3,AI83&gt;='NILAI CPL'!$B$5,2,AI83&gt;'NILAI CPL'!$B$6,1),0),"")</f>
        <v/>
      </c>
      <c r="BG83" s="2" t="str" cm="1">
        <f t="array" ref="BG83">IF('NILAI CPL'!$B83&lt;&gt;"",IFERROR(_xlfn.IFS(AJ83&gt;='NILAI CPL'!$B$3,4,AJ83&gt;='NILAI CPL'!$B$4,3,AJ83&gt;='NILAI CPL'!$B$5,2,AJ83&gt;'NILAI CPL'!$B$6,1),0),"")</f>
        <v/>
      </c>
      <c r="BH83" s="2" t="str" cm="1">
        <f t="array" ref="BH83">IF('NILAI CPL'!$B83&lt;&gt;"",IFERROR(_xlfn.IFS(AK83&gt;='NILAI CPL'!$B$3,4,AK83&gt;='NILAI CPL'!$B$4,3,AK83&gt;='NILAI CPL'!$B$5,2,AK83&gt;'NILAI CPL'!$B$6,1),0),"")</f>
        <v/>
      </c>
      <c r="BI83" s="2" t="str" cm="1">
        <f t="array" ref="BI83">IF('NILAI CPL'!$B83&lt;&gt;"",IFERROR(_xlfn.IFS(AL83&gt;='NILAI CPL'!$B$3,4,AL83&gt;='NILAI CPL'!$B$4,3,AL83&gt;='NILAI CPL'!$B$5,2,AL83&gt;'NILAI CPL'!$B$6,1),0),"")</f>
        <v/>
      </c>
      <c r="BJ83" s="2" t="str" cm="1">
        <f t="array" ref="BJ83">IF('NILAI CPL'!$B83&lt;&gt;"",IFERROR(_xlfn.IFS(AM83&gt;='NILAI CPL'!$B$3,4,AM83&gt;='NILAI CPL'!$B$4,3,AM83&gt;='NILAI CPL'!$B$5,2,AM83&gt;'NILAI CPL'!$B$6,1),0),"")</f>
        <v/>
      </c>
      <c r="BK83" s="2" t="str" cm="1">
        <f t="array" ref="BK83">IF('NILAI CPL'!$B83&lt;&gt;"",IFERROR(_xlfn.IFS(AN83&gt;='NILAI CPL'!$B$3,4,AN83&gt;='NILAI CPL'!$B$4,3,AN83&gt;='NILAI CPL'!$B$5,2,AN83&gt;'NILAI CPL'!$B$6,1),0),"")</f>
        <v/>
      </c>
    </row>
    <row r="84" spans="1:63" x14ac:dyDescent="0.2">
      <c r="A84" s="2">
        <v>74</v>
      </c>
      <c r="B84" s="2" t="str">
        <f>IF(LEN(SUMMARY!B84)&gt;0, SUMMARY!B84, "")</f>
        <v/>
      </c>
      <c r="C84" s="2" t="str">
        <f>IF(LEN(SUMMARY!C84)&gt;0, SUMMARY!C84, "")</f>
        <v/>
      </c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" t="str">
        <f t="shared" si="25"/>
        <v/>
      </c>
      <c r="S84" s="2" t="str">
        <f t="shared" si="26"/>
        <v/>
      </c>
      <c r="T84" s="2" t="str">
        <f t="shared" si="27"/>
        <v/>
      </c>
      <c r="U84" s="2" t="str">
        <f t="shared" si="28"/>
        <v/>
      </c>
      <c r="V84" s="2" t="str">
        <f t="shared" si="29"/>
        <v/>
      </c>
      <c r="W84" s="2" t="str">
        <f t="shared" si="30"/>
        <v/>
      </c>
      <c r="X84" s="2" t="str">
        <f t="shared" si="31"/>
        <v/>
      </c>
      <c r="Y84" s="2" t="str">
        <f t="shared" si="32"/>
        <v/>
      </c>
      <c r="Z84" s="2" t="str">
        <f t="shared" si="33"/>
        <v/>
      </c>
      <c r="AA84" s="2" t="str">
        <f t="shared" si="34"/>
        <v/>
      </c>
      <c r="AB84" s="2" t="str">
        <f t="shared" si="35"/>
        <v/>
      </c>
      <c r="AC84" s="2" t="str">
        <f t="shared" si="36"/>
        <v/>
      </c>
      <c r="AD84" s="2" t="str">
        <f t="shared" si="37"/>
        <v/>
      </c>
      <c r="AE84" s="2" t="str">
        <f t="shared" si="38"/>
        <v/>
      </c>
      <c r="AF84" s="2" t="str">
        <f t="shared" si="39"/>
        <v/>
      </c>
      <c r="AG84" s="2" t="str">
        <f t="shared" si="40"/>
        <v/>
      </c>
      <c r="AH84" s="2" t="str">
        <f t="shared" si="41"/>
        <v/>
      </c>
      <c r="AI84" s="2" t="str">
        <f t="shared" si="42"/>
        <v/>
      </c>
      <c r="AJ84" s="2" t="str">
        <f t="shared" si="43"/>
        <v/>
      </c>
      <c r="AK84" s="2" t="str">
        <f t="shared" si="44"/>
        <v/>
      </c>
      <c r="AL84" s="2" t="str">
        <f t="shared" si="45"/>
        <v/>
      </c>
      <c r="AM84" s="2" t="str">
        <f t="shared" si="46"/>
        <v/>
      </c>
      <c r="AN84" s="2" t="str">
        <f t="shared" si="47"/>
        <v/>
      </c>
      <c r="AP84" s="2" t="str" cm="1">
        <f t="array" ref="AP84">IF('NILAI CPL'!$B84&lt;&gt;"",IFERROR(_xlfn.IFS(S84&gt;='NILAI CPL'!$B$3,4,S84&gt;='NILAI CPL'!$B$4,3,S84&gt;='NILAI CPL'!$B$5,2,S84&gt;'NILAI CPL'!$B$6,1),0),"")</f>
        <v/>
      </c>
      <c r="AQ84" s="2" t="str" cm="1">
        <f t="array" ref="AQ84">IF('NILAI CPL'!$B84&lt;&gt;"",IFERROR(_xlfn.IFS(T84&gt;='NILAI CPL'!$B$3,4,T84&gt;='NILAI CPL'!$B$4,3,T84&gt;='NILAI CPL'!$B$5,2,T84&gt;'NILAI CPL'!$B$6,1),0),"")</f>
        <v/>
      </c>
      <c r="AR84" s="2" t="str" cm="1">
        <f t="array" ref="AR84">IF('NILAI CPL'!$B84&lt;&gt;"",IFERROR(_xlfn.IFS(U84&gt;='NILAI CPL'!$B$3,4,U84&gt;='NILAI CPL'!$B$4,3,U84&gt;='NILAI CPL'!$B$5,2,U84&gt;'NILAI CPL'!$B$6,1),0),"")</f>
        <v/>
      </c>
      <c r="AS84" s="2" t="str" cm="1">
        <f t="array" ref="AS84">IF('NILAI CPL'!$B84&lt;&gt;"",IFERROR(_xlfn.IFS(V84&gt;='NILAI CPL'!$B$3,4,V84&gt;='NILAI CPL'!$B$4,3,V84&gt;='NILAI CPL'!$B$5,2,V84&gt;'NILAI CPL'!$B$6,1),0),"")</f>
        <v/>
      </c>
      <c r="AT84" s="2" t="str" cm="1">
        <f t="array" ref="AT84">IF('NILAI CPL'!$B84&lt;&gt;"",IFERROR(_xlfn.IFS(W84&gt;='NILAI CPL'!$B$3,4,W84&gt;='NILAI CPL'!$B$4,3,W84&gt;='NILAI CPL'!$B$5,2,W84&gt;'NILAI CPL'!$B$6,1),0),"")</f>
        <v/>
      </c>
      <c r="AU84" s="2" t="str" cm="1">
        <f t="array" ref="AU84">IF('NILAI CPL'!$B84&lt;&gt;"",IFERROR(_xlfn.IFS(X84&gt;='NILAI CPL'!$B$3,4,X84&gt;='NILAI CPL'!$B$4,3,X84&gt;='NILAI CPL'!$B$5,2,X84&gt;'NILAI CPL'!$B$6,1),0),"")</f>
        <v/>
      </c>
      <c r="AV84" s="2" t="str" cm="1">
        <f t="array" ref="AV84">IF('NILAI CPL'!$B84&lt;&gt;"",IFERROR(_xlfn.IFS(Y84&gt;='NILAI CPL'!$B$3,4,Y84&gt;='NILAI CPL'!$B$4,3,Y84&gt;='NILAI CPL'!$B$5,2,Y84&gt;'NILAI CPL'!$B$6,1),0),"")</f>
        <v/>
      </c>
      <c r="AW84" s="2" t="str" cm="1">
        <f t="array" ref="AW84">IF('NILAI CPL'!$B84&lt;&gt;"",IFERROR(_xlfn.IFS(Z84&gt;='NILAI CPL'!$B$3,4,Z84&gt;='NILAI CPL'!$B$4,3,Z84&gt;='NILAI CPL'!$B$5,2,Z84&gt;'NILAI CPL'!$B$6,1),0),"")</f>
        <v/>
      </c>
      <c r="AX84" s="2" t="str" cm="1">
        <f t="array" ref="AX84">IF('NILAI CPL'!$B84&lt;&gt;"",IFERROR(_xlfn.IFS(AA84&gt;='NILAI CPL'!$B$3,4,AA84&gt;='NILAI CPL'!$B$4,3,AA84&gt;='NILAI CPL'!$B$5,2,AA84&gt;'NILAI CPL'!$B$6,1),0),"")</f>
        <v/>
      </c>
      <c r="AY84" s="2" t="str" cm="1">
        <f t="array" ref="AY84">IF('NILAI CPL'!$B84&lt;&gt;"",IFERROR(_xlfn.IFS(AB84&gt;='NILAI CPL'!$B$3,4,AB84&gt;='NILAI CPL'!$B$4,3,AB84&gt;='NILAI CPL'!$B$5,2,AB84&gt;'NILAI CPL'!$B$6,1),0),"")</f>
        <v/>
      </c>
      <c r="AZ84" s="2" t="str" cm="1">
        <f t="array" ref="AZ84">IF('NILAI CPL'!$B84&lt;&gt;"",IFERROR(_xlfn.IFS(AC84&gt;='NILAI CPL'!$B$3,4,AC84&gt;='NILAI CPL'!$B$4,3,AC84&gt;='NILAI CPL'!$B$5,2,AC84&gt;'NILAI CPL'!$B$6,1),0),"")</f>
        <v/>
      </c>
      <c r="BA84" s="2" t="str" cm="1">
        <f t="array" ref="BA84">IF('NILAI CPL'!$B84&lt;&gt;"",IFERROR(_xlfn.IFS(AD84&gt;='NILAI CPL'!$B$3,4,AD84&gt;='NILAI CPL'!$B$4,3,AD84&gt;='NILAI CPL'!$B$5,2,AD84&gt;'NILAI CPL'!$B$6,1),0),"")</f>
        <v/>
      </c>
      <c r="BB84" s="2" t="str" cm="1">
        <f t="array" ref="BB84">IF('NILAI CPL'!$B84&lt;&gt;"",IFERROR(_xlfn.IFS(AE84&gt;='NILAI CPL'!$B$3,4,AE84&gt;='NILAI CPL'!$B$4,3,AE84&gt;='NILAI CPL'!$B$5,2,AE84&gt;'NILAI CPL'!$B$6,1),0),"")</f>
        <v/>
      </c>
      <c r="BC84" s="2" t="str" cm="1">
        <f t="array" ref="BC84">IF('NILAI CPL'!$B84&lt;&gt;"",IFERROR(_xlfn.IFS(AF84&gt;='NILAI CPL'!$B$3,4,AF84&gt;='NILAI CPL'!$B$4,3,AF84&gt;='NILAI CPL'!$B$5,2,AF84&gt;'NILAI CPL'!$B$6,1),0),"")</f>
        <v/>
      </c>
      <c r="BD84" s="2" t="str" cm="1">
        <f t="array" ref="BD84">IF('NILAI CPL'!$B84&lt;&gt;"",IFERROR(_xlfn.IFS(AG84&gt;='NILAI CPL'!$B$3,4,AG84&gt;='NILAI CPL'!$B$4,3,AG84&gt;='NILAI CPL'!$B$5,2,AG84&gt;'NILAI CPL'!$B$6,1),0),"")</f>
        <v/>
      </c>
      <c r="BE84" s="2" t="str" cm="1">
        <f t="array" ref="BE84">IF('NILAI CPL'!$B84&lt;&gt;"",IFERROR(_xlfn.IFS(AH84&gt;='NILAI CPL'!$B$3,4,AH84&gt;='NILAI CPL'!$B$4,3,AH84&gt;='NILAI CPL'!$B$5,2,AH84&gt;'NILAI CPL'!$B$6,1),0),"")</f>
        <v/>
      </c>
      <c r="BF84" s="2" t="str" cm="1">
        <f t="array" ref="BF84">IF('NILAI CPL'!$B84&lt;&gt;"",IFERROR(_xlfn.IFS(AI84&gt;='NILAI CPL'!$B$3,4,AI84&gt;='NILAI CPL'!$B$4,3,AI84&gt;='NILAI CPL'!$B$5,2,AI84&gt;'NILAI CPL'!$B$6,1),0),"")</f>
        <v/>
      </c>
      <c r="BG84" s="2" t="str" cm="1">
        <f t="array" ref="BG84">IF('NILAI CPL'!$B84&lt;&gt;"",IFERROR(_xlfn.IFS(AJ84&gt;='NILAI CPL'!$B$3,4,AJ84&gt;='NILAI CPL'!$B$4,3,AJ84&gt;='NILAI CPL'!$B$5,2,AJ84&gt;'NILAI CPL'!$B$6,1),0),"")</f>
        <v/>
      </c>
      <c r="BH84" s="2" t="str" cm="1">
        <f t="array" ref="BH84">IF('NILAI CPL'!$B84&lt;&gt;"",IFERROR(_xlfn.IFS(AK84&gt;='NILAI CPL'!$B$3,4,AK84&gt;='NILAI CPL'!$B$4,3,AK84&gt;='NILAI CPL'!$B$5,2,AK84&gt;'NILAI CPL'!$B$6,1),0),"")</f>
        <v/>
      </c>
      <c r="BI84" s="2" t="str" cm="1">
        <f t="array" ref="BI84">IF('NILAI CPL'!$B84&lt;&gt;"",IFERROR(_xlfn.IFS(AL84&gt;='NILAI CPL'!$B$3,4,AL84&gt;='NILAI CPL'!$B$4,3,AL84&gt;='NILAI CPL'!$B$5,2,AL84&gt;'NILAI CPL'!$B$6,1),0),"")</f>
        <v/>
      </c>
      <c r="BJ84" s="2" t="str" cm="1">
        <f t="array" ref="BJ84">IF('NILAI CPL'!$B84&lt;&gt;"",IFERROR(_xlfn.IFS(AM84&gt;='NILAI CPL'!$B$3,4,AM84&gt;='NILAI CPL'!$B$4,3,AM84&gt;='NILAI CPL'!$B$5,2,AM84&gt;'NILAI CPL'!$B$6,1),0),"")</f>
        <v/>
      </c>
      <c r="BK84" s="2" t="str" cm="1">
        <f t="array" ref="BK84">IF('NILAI CPL'!$B84&lt;&gt;"",IFERROR(_xlfn.IFS(AN84&gt;='NILAI CPL'!$B$3,4,AN84&gt;='NILAI CPL'!$B$4,3,AN84&gt;='NILAI CPL'!$B$5,2,AN84&gt;'NILAI CPL'!$B$6,1),0),"")</f>
        <v/>
      </c>
    </row>
    <row r="85" spans="1:63" x14ac:dyDescent="0.2">
      <c r="A85" s="2">
        <v>75</v>
      </c>
      <c r="B85" s="2" t="str">
        <f>IF(LEN(SUMMARY!B85)&gt;0, SUMMARY!B85, "")</f>
        <v/>
      </c>
      <c r="C85" s="2" t="str">
        <f>IF(LEN(SUMMARY!C85)&gt;0, SUMMARY!C85, "")</f>
        <v/>
      </c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" t="str">
        <f t="shared" si="25"/>
        <v/>
      </c>
      <c r="S85" s="2" t="str">
        <f t="shared" si="26"/>
        <v/>
      </c>
      <c r="T85" s="2" t="str">
        <f t="shared" si="27"/>
        <v/>
      </c>
      <c r="U85" s="2" t="str">
        <f t="shared" si="28"/>
        <v/>
      </c>
      <c r="V85" s="2" t="str">
        <f t="shared" si="29"/>
        <v/>
      </c>
      <c r="W85" s="2" t="str">
        <f t="shared" si="30"/>
        <v/>
      </c>
      <c r="X85" s="2" t="str">
        <f t="shared" si="31"/>
        <v/>
      </c>
      <c r="Y85" s="2" t="str">
        <f t="shared" si="32"/>
        <v/>
      </c>
      <c r="Z85" s="2" t="str">
        <f t="shared" si="33"/>
        <v/>
      </c>
      <c r="AA85" s="2" t="str">
        <f t="shared" si="34"/>
        <v/>
      </c>
      <c r="AB85" s="2" t="str">
        <f t="shared" si="35"/>
        <v/>
      </c>
      <c r="AC85" s="2" t="str">
        <f t="shared" si="36"/>
        <v/>
      </c>
      <c r="AD85" s="2" t="str">
        <f t="shared" si="37"/>
        <v/>
      </c>
      <c r="AE85" s="2" t="str">
        <f t="shared" si="38"/>
        <v/>
      </c>
      <c r="AF85" s="2" t="str">
        <f t="shared" si="39"/>
        <v/>
      </c>
      <c r="AG85" s="2" t="str">
        <f t="shared" si="40"/>
        <v/>
      </c>
      <c r="AH85" s="2" t="str">
        <f t="shared" si="41"/>
        <v/>
      </c>
      <c r="AI85" s="2" t="str">
        <f t="shared" si="42"/>
        <v/>
      </c>
      <c r="AJ85" s="2" t="str">
        <f t="shared" si="43"/>
        <v/>
      </c>
      <c r="AK85" s="2" t="str">
        <f t="shared" si="44"/>
        <v/>
      </c>
      <c r="AL85" s="2" t="str">
        <f t="shared" si="45"/>
        <v/>
      </c>
      <c r="AM85" s="2" t="str">
        <f t="shared" si="46"/>
        <v/>
      </c>
      <c r="AN85" s="2" t="str">
        <f t="shared" si="47"/>
        <v/>
      </c>
      <c r="AP85" s="2" t="str" cm="1">
        <f t="array" ref="AP85">IF('NILAI CPL'!$B85&lt;&gt;"",IFERROR(_xlfn.IFS(S85&gt;='NILAI CPL'!$B$3,4,S85&gt;='NILAI CPL'!$B$4,3,S85&gt;='NILAI CPL'!$B$5,2,S85&gt;'NILAI CPL'!$B$6,1),0),"")</f>
        <v/>
      </c>
      <c r="AQ85" s="2" t="str" cm="1">
        <f t="array" ref="AQ85">IF('NILAI CPL'!$B85&lt;&gt;"",IFERROR(_xlfn.IFS(T85&gt;='NILAI CPL'!$B$3,4,T85&gt;='NILAI CPL'!$B$4,3,T85&gt;='NILAI CPL'!$B$5,2,T85&gt;'NILAI CPL'!$B$6,1),0),"")</f>
        <v/>
      </c>
      <c r="AR85" s="2" t="str" cm="1">
        <f t="array" ref="AR85">IF('NILAI CPL'!$B85&lt;&gt;"",IFERROR(_xlfn.IFS(U85&gt;='NILAI CPL'!$B$3,4,U85&gt;='NILAI CPL'!$B$4,3,U85&gt;='NILAI CPL'!$B$5,2,U85&gt;'NILAI CPL'!$B$6,1),0),"")</f>
        <v/>
      </c>
      <c r="AS85" s="2" t="str" cm="1">
        <f t="array" ref="AS85">IF('NILAI CPL'!$B85&lt;&gt;"",IFERROR(_xlfn.IFS(V85&gt;='NILAI CPL'!$B$3,4,V85&gt;='NILAI CPL'!$B$4,3,V85&gt;='NILAI CPL'!$B$5,2,V85&gt;'NILAI CPL'!$B$6,1),0),"")</f>
        <v/>
      </c>
      <c r="AT85" s="2" t="str" cm="1">
        <f t="array" ref="AT85">IF('NILAI CPL'!$B85&lt;&gt;"",IFERROR(_xlfn.IFS(W85&gt;='NILAI CPL'!$B$3,4,W85&gt;='NILAI CPL'!$B$4,3,W85&gt;='NILAI CPL'!$B$5,2,W85&gt;'NILAI CPL'!$B$6,1),0),"")</f>
        <v/>
      </c>
      <c r="AU85" s="2" t="str" cm="1">
        <f t="array" ref="AU85">IF('NILAI CPL'!$B85&lt;&gt;"",IFERROR(_xlfn.IFS(X85&gt;='NILAI CPL'!$B$3,4,X85&gt;='NILAI CPL'!$B$4,3,X85&gt;='NILAI CPL'!$B$5,2,X85&gt;'NILAI CPL'!$B$6,1),0),"")</f>
        <v/>
      </c>
      <c r="AV85" s="2" t="str" cm="1">
        <f t="array" ref="AV85">IF('NILAI CPL'!$B85&lt;&gt;"",IFERROR(_xlfn.IFS(Y85&gt;='NILAI CPL'!$B$3,4,Y85&gt;='NILAI CPL'!$B$4,3,Y85&gt;='NILAI CPL'!$B$5,2,Y85&gt;'NILAI CPL'!$B$6,1),0),"")</f>
        <v/>
      </c>
      <c r="AW85" s="2" t="str" cm="1">
        <f t="array" ref="AW85">IF('NILAI CPL'!$B85&lt;&gt;"",IFERROR(_xlfn.IFS(Z85&gt;='NILAI CPL'!$B$3,4,Z85&gt;='NILAI CPL'!$B$4,3,Z85&gt;='NILAI CPL'!$B$5,2,Z85&gt;'NILAI CPL'!$B$6,1),0),"")</f>
        <v/>
      </c>
      <c r="AX85" s="2" t="str" cm="1">
        <f t="array" ref="AX85">IF('NILAI CPL'!$B85&lt;&gt;"",IFERROR(_xlfn.IFS(AA85&gt;='NILAI CPL'!$B$3,4,AA85&gt;='NILAI CPL'!$B$4,3,AA85&gt;='NILAI CPL'!$B$5,2,AA85&gt;'NILAI CPL'!$B$6,1),0),"")</f>
        <v/>
      </c>
      <c r="AY85" s="2" t="str" cm="1">
        <f t="array" ref="AY85">IF('NILAI CPL'!$B85&lt;&gt;"",IFERROR(_xlfn.IFS(AB85&gt;='NILAI CPL'!$B$3,4,AB85&gt;='NILAI CPL'!$B$4,3,AB85&gt;='NILAI CPL'!$B$5,2,AB85&gt;'NILAI CPL'!$B$6,1),0),"")</f>
        <v/>
      </c>
      <c r="AZ85" s="2" t="str" cm="1">
        <f t="array" ref="AZ85">IF('NILAI CPL'!$B85&lt;&gt;"",IFERROR(_xlfn.IFS(AC85&gt;='NILAI CPL'!$B$3,4,AC85&gt;='NILAI CPL'!$B$4,3,AC85&gt;='NILAI CPL'!$B$5,2,AC85&gt;'NILAI CPL'!$B$6,1),0),"")</f>
        <v/>
      </c>
      <c r="BA85" s="2" t="str" cm="1">
        <f t="array" ref="BA85">IF('NILAI CPL'!$B85&lt;&gt;"",IFERROR(_xlfn.IFS(AD85&gt;='NILAI CPL'!$B$3,4,AD85&gt;='NILAI CPL'!$B$4,3,AD85&gt;='NILAI CPL'!$B$5,2,AD85&gt;'NILAI CPL'!$B$6,1),0),"")</f>
        <v/>
      </c>
      <c r="BB85" s="2" t="str" cm="1">
        <f t="array" ref="BB85">IF('NILAI CPL'!$B85&lt;&gt;"",IFERROR(_xlfn.IFS(AE85&gt;='NILAI CPL'!$B$3,4,AE85&gt;='NILAI CPL'!$B$4,3,AE85&gt;='NILAI CPL'!$B$5,2,AE85&gt;'NILAI CPL'!$B$6,1),0),"")</f>
        <v/>
      </c>
      <c r="BC85" s="2" t="str" cm="1">
        <f t="array" ref="BC85">IF('NILAI CPL'!$B85&lt;&gt;"",IFERROR(_xlfn.IFS(AF85&gt;='NILAI CPL'!$B$3,4,AF85&gt;='NILAI CPL'!$B$4,3,AF85&gt;='NILAI CPL'!$B$5,2,AF85&gt;'NILAI CPL'!$B$6,1),0),"")</f>
        <v/>
      </c>
      <c r="BD85" s="2" t="str" cm="1">
        <f t="array" ref="BD85">IF('NILAI CPL'!$B85&lt;&gt;"",IFERROR(_xlfn.IFS(AG85&gt;='NILAI CPL'!$B$3,4,AG85&gt;='NILAI CPL'!$B$4,3,AG85&gt;='NILAI CPL'!$B$5,2,AG85&gt;'NILAI CPL'!$B$6,1),0),"")</f>
        <v/>
      </c>
      <c r="BE85" s="2" t="str" cm="1">
        <f t="array" ref="BE85">IF('NILAI CPL'!$B85&lt;&gt;"",IFERROR(_xlfn.IFS(AH85&gt;='NILAI CPL'!$B$3,4,AH85&gt;='NILAI CPL'!$B$4,3,AH85&gt;='NILAI CPL'!$B$5,2,AH85&gt;'NILAI CPL'!$B$6,1),0),"")</f>
        <v/>
      </c>
      <c r="BF85" s="2" t="str" cm="1">
        <f t="array" ref="BF85">IF('NILAI CPL'!$B85&lt;&gt;"",IFERROR(_xlfn.IFS(AI85&gt;='NILAI CPL'!$B$3,4,AI85&gt;='NILAI CPL'!$B$4,3,AI85&gt;='NILAI CPL'!$B$5,2,AI85&gt;'NILAI CPL'!$B$6,1),0),"")</f>
        <v/>
      </c>
      <c r="BG85" s="2" t="str" cm="1">
        <f t="array" ref="BG85">IF('NILAI CPL'!$B85&lt;&gt;"",IFERROR(_xlfn.IFS(AJ85&gt;='NILAI CPL'!$B$3,4,AJ85&gt;='NILAI CPL'!$B$4,3,AJ85&gt;='NILAI CPL'!$B$5,2,AJ85&gt;'NILAI CPL'!$B$6,1),0),"")</f>
        <v/>
      </c>
      <c r="BH85" s="2" t="str" cm="1">
        <f t="array" ref="BH85">IF('NILAI CPL'!$B85&lt;&gt;"",IFERROR(_xlfn.IFS(AK85&gt;='NILAI CPL'!$B$3,4,AK85&gt;='NILAI CPL'!$B$4,3,AK85&gt;='NILAI CPL'!$B$5,2,AK85&gt;'NILAI CPL'!$B$6,1),0),"")</f>
        <v/>
      </c>
      <c r="BI85" s="2" t="str" cm="1">
        <f t="array" ref="BI85">IF('NILAI CPL'!$B85&lt;&gt;"",IFERROR(_xlfn.IFS(AL85&gt;='NILAI CPL'!$B$3,4,AL85&gt;='NILAI CPL'!$B$4,3,AL85&gt;='NILAI CPL'!$B$5,2,AL85&gt;'NILAI CPL'!$B$6,1),0),"")</f>
        <v/>
      </c>
      <c r="BJ85" s="2" t="str" cm="1">
        <f t="array" ref="BJ85">IF('NILAI CPL'!$B85&lt;&gt;"",IFERROR(_xlfn.IFS(AM85&gt;='NILAI CPL'!$B$3,4,AM85&gt;='NILAI CPL'!$B$4,3,AM85&gt;='NILAI CPL'!$B$5,2,AM85&gt;'NILAI CPL'!$B$6,1),0),"")</f>
        <v/>
      </c>
      <c r="BK85" s="2" t="str" cm="1">
        <f t="array" ref="BK85">IF('NILAI CPL'!$B85&lt;&gt;"",IFERROR(_xlfn.IFS(AN85&gt;='NILAI CPL'!$B$3,4,AN85&gt;='NILAI CPL'!$B$4,3,AN85&gt;='NILAI CPL'!$B$5,2,AN85&gt;'NILAI CPL'!$B$6,1),0),"")</f>
        <v/>
      </c>
    </row>
    <row r="86" spans="1:63" x14ac:dyDescent="0.2">
      <c r="A86" s="2">
        <v>76</v>
      </c>
      <c r="B86" s="2" t="str">
        <f>IF(LEN(SUMMARY!B86)&gt;0, SUMMARY!B86, "")</f>
        <v/>
      </c>
      <c r="C86" s="2" t="str">
        <f>IF(LEN(SUMMARY!C86)&gt;0, SUMMARY!C86, "")</f>
        <v/>
      </c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" t="str">
        <f t="shared" si="25"/>
        <v/>
      </c>
      <c r="S86" s="2" t="str">
        <f t="shared" si="26"/>
        <v/>
      </c>
      <c r="T86" s="2" t="str">
        <f t="shared" si="27"/>
        <v/>
      </c>
      <c r="U86" s="2" t="str">
        <f t="shared" si="28"/>
        <v/>
      </c>
      <c r="V86" s="2" t="str">
        <f t="shared" si="29"/>
        <v/>
      </c>
      <c r="W86" s="2" t="str">
        <f t="shared" si="30"/>
        <v/>
      </c>
      <c r="X86" s="2" t="str">
        <f t="shared" si="31"/>
        <v/>
      </c>
      <c r="Y86" s="2" t="str">
        <f t="shared" si="32"/>
        <v/>
      </c>
      <c r="Z86" s="2" t="str">
        <f t="shared" si="33"/>
        <v/>
      </c>
      <c r="AA86" s="2" t="str">
        <f t="shared" si="34"/>
        <v/>
      </c>
      <c r="AB86" s="2" t="str">
        <f t="shared" si="35"/>
        <v/>
      </c>
      <c r="AC86" s="2" t="str">
        <f t="shared" si="36"/>
        <v/>
      </c>
      <c r="AD86" s="2" t="str">
        <f t="shared" si="37"/>
        <v/>
      </c>
      <c r="AE86" s="2" t="str">
        <f t="shared" si="38"/>
        <v/>
      </c>
      <c r="AF86" s="2" t="str">
        <f t="shared" si="39"/>
        <v/>
      </c>
      <c r="AG86" s="2" t="str">
        <f t="shared" si="40"/>
        <v/>
      </c>
      <c r="AH86" s="2" t="str">
        <f t="shared" si="41"/>
        <v/>
      </c>
      <c r="AI86" s="2" t="str">
        <f t="shared" si="42"/>
        <v/>
      </c>
      <c r="AJ86" s="2" t="str">
        <f t="shared" si="43"/>
        <v/>
      </c>
      <c r="AK86" s="2" t="str">
        <f t="shared" si="44"/>
        <v/>
      </c>
      <c r="AL86" s="2" t="str">
        <f t="shared" si="45"/>
        <v/>
      </c>
      <c r="AM86" s="2" t="str">
        <f t="shared" si="46"/>
        <v/>
      </c>
      <c r="AN86" s="2" t="str">
        <f t="shared" si="47"/>
        <v/>
      </c>
      <c r="AP86" s="2" t="str" cm="1">
        <f t="array" ref="AP86">IF('NILAI CPL'!$B86&lt;&gt;"",IFERROR(_xlfn.IFS(S86&gt;='NILAI CPL'!$B$3,4,S86&gt;='NILAI CPL'!$B$4,3,S86&gt;='NILAI CPL'!$B$5,2,S86&gt;'NILAI CPL'!$B$6,1),0),"")</f>
        <v/>
      </c>
      <c r="AQ86" s="2" t="str" cm="1">
        <f t="array" ref="AQ86">IF('NILAI CPL'!$B86&lt;&gt;"",IFERROR(_xlfn.IFS(T86&gt;='NILAI CPL'!$B$3,4,T86&gt;='NILAI CPL'!$B$4,3,T86&gt;='NILAI CPL'!$B$5,2,T86&gt;'NILAI CPL'!$B$6,1),0),"")</f>
        <v/>
      </c>
      <c r="AR86" s="2" t="str" cm="1">
        <f t="array" ref="AR86">IF('NILAI CPL'!$B86&lt;&gt;"",IFERROR(_xlfn.IFS(U86&gt;='NILAI CPL'!$B$3,4,U86&gt;='NILAI CPL'!$B$4,3,U86&gt;='NILAI CPL'!$B$5,2,U86&gt;'NILAI CPL'!$B$6,1),0),"")</f>
        <v/>
      </c>
      <c r="AS86" s="2" t="str" cm="1">
        <f t="array" ref="AS86">IF('NILAI CPL'!$B86&lt;&gt;"",IFERROR(_xlfn.IFS(V86&gt;='NILAI CPL'!$B$3,4,V86&gt;='NILAI CPL'!$B$4,3,V86&gt;='NILAI CPL'!$B$5,2,V86&gt;'NILAI CPL'!$B$6,1),0),"")</f>
        <v/>
      </c>
      <c r="AT86" s="2" t="str" cm="1">
        <f t="array" ref="AT86">IF('NILAI CPL'!$B86&lt;&gt;"",IFERROR(_xlfn.IFS(W86&gt;='NILAI CPL'!$B$3,4,W86&gt;='NILAI CPL'!$B$4,3,W86&gt;='NILAI CPL'!$B$5,2,W86&gt;'NILAI CPL'!$B$6,1),0),"")</f>
        <v/>
      </c>
      <c r="AU86" s="2" t="str" cm="1">
        <f t="array" ref="AU86">IF('NILAI CPL'!$B86&lt;&gt;"",IFERROR(_xlfn.IFS(X86&gt;='NILAI CPL'!$B$3,4,X86&gt;='NILAI CPL'!$B$4,3,X86&gt;='NILAI CPL'!$B$5,2,X86&gt;'NILAI CPL'!$B$6,1),0),"")</f>
        <v/>
      </c>
      <c r="AV86" s="2" t="str" cm="1">
        <f t="array" ref="AV86">IF('NILAI CPL'!$B86&lt;&gt;"",IFERROR(_xlfn.IFS(Y86&gt;='NILAI CPL'!$B$3,4,Y86&gt;='NILAI CPL'!$B$4,3,Y86&gt;='NILAI CPL'!$B$5,2,Y86&gt;'NILAI CPL'!$B$6,1),0),"")</f>
        <v/>
      </c>
      <c r="AW86" s="2" t="str" cm="1">
        <f t="array" ref="AW86">IF('NILAI CPL'!$B86&lt;&gt;"",IFERROR(_xlfn.IFS(Z86&gt;='NILAI CPL'!$B$3,4,Z86&gt;='NILAI CPL'!$B$4,3,Z86&gt;='NILAI CPL'!$B$5,2,Z86&gt;'NILAI CPL'!$B$6,1),0),"")</f>
        <v/>
      </c>
      <c r="AX86" s="2" t="str" cm="1">
        <f t="array" ref="AX86">IF('NILAI CPL'!$B86&lt;&gt;"",IFERROR(_xlfn.IFS(AA86&gt;='NILAI CPL'!$B$3,4,AA86&gt;='NILAI CPL'!$B$4,3,AA86&gt;='NILAI CPL'!$B$5,2,AA86&gt;'NILAI CPL'!$B$6,1),0),"")</f>
        <v/>
      </c>
      <c r="AY86" s="2" t="str" cm="1">
        <f t="array" ref="AY86">IF('NILAI CPL'!$B86&lt;&gt;"",IFERROR(_xlfn.IFS(AB86&gt;='NILAI CPL'!$B$3,4,AB86&gt;='NILAI CPL'!$B$4,3,AB86&gt;='NILAI CPL'!$B$5,2,AB86&gt;'NILAI CPL'!$B$6,1),0),"")</f>
        <v/>
      </c>
      <c r="AZ86" s="2" t="str" cm="1">
        <f t="array" ref="AZ86">IF('NILAI CPL'!$B86&lt;&gt;"",IFERROR(_xlfn.IFS(AC86&gt;='NILAI CPL'!$B$3,4,AC86&gt;='NILAI CPL'!$B$4,3,AC86&gt;='NILAI CPL'!$B$5,2,AC86&gt;'NILAI CPL'!$B$6,1),0),"")</f>
        <v/>
      </c>
      <c r="BA86" s="2" t="str" cm="1">
        <f t="array" ref="BA86">IF('NILAI CPL'!$B86&lt;&gt;"",IFERROR(_xlfn.IFS(AD86&gt;='NILAI CPL'!$B$3,4,AD86&gt;='NILAI CPL'!$B$4,3,AD86&gt;='NILAI CPL'!$B$5,2,AD86&gt;'NILAI CPL'!$B$6,1),0),"")</f>
        <v/>
      </c>
      <c r="BB86" s="2" t="str" cm="1">
        <f t="array" ref="BB86">IF('NILAI CPL'!$B86&lt;&gt;"",IFERROR(_xlfn.IFS(AE86&gt;='NILAI CPL'!$B$3,4,AE86&gt;='NILAI CPL'!$B$4,3,AE86&gt;='NILAI CPL'!$B$5,2,AE86&gt;'NILAI CPL'!$B$6,1),0),"")</f>
        <v/>
      </c>
      <c r="BC86" s="2" t="str" cm="1">
        <f t="array" ref="BC86">IF('NILAI CPL'!$B86&lt;&gt;"",IFERROR(_xlfn.IFS(AF86&gt;='NILAI CPL'!$B$3,4,AF86&gt;='NILAI CPL'!$B$4,3,AF86&gt;='NILAI CPL'!$B$5,2,AF86&gt;'NILAI CPL'!$B$6,1),0),"")</f>
        <v/>
      </c>
      <c r="BD86" s="2" t="str" cm="1">
        <f t="array" ref="BD86">IF('NILAI CPL'!$B86&lt;&gt;"",IFERROR(_xlfn.IFS(AG86&gt;='NILAI CPL'!$B$3,4,AG86&gt;='NILAI CPL'!$B$4,3,AG86&gt;='NILAI CPL'!$B$5,2,AG86&gt;'NILAI CPL'!$B$6,1),0),"")</f>
        <v/>
      </c>
      <c r="BE86" s="2" t="str" cm="1">
        <f t="array" ref="BE86">IF('NILAI CPL'!$B86&lt;&gt;"",IFERROR(_xlfn.IFS(AH86&gt;='NILAI CPL'!$B$3,4,AH86&gt;='NILAI CPL'!$B$4,3,AH86&gt;='NILAI CPL'!$B$5,2,AH86&gt;'NILAI CPL'!$B$6,1),0),"")</f>
        <v/>
      </c>
      <c r="BF86" s="2" t="str" cm="1">
        <f t="array" ref="BF86">IF('NILAI CPL'!$B86&lt;&gt;"",IFERROR(_xlfn.IFS(AI86&gt;='NILAI CPL'!$B$3,4,AI86&gt;='NILAI CPL'!$B$4,3,AI86&gt;='NILAI CPL'!$B$5,2,AI86&gt;'NILAI CPL'!$B$6,1),0),"")</f>
        <v/>
      </c>
      <c r="BG86" s="2" t="str" cm="1">
        <f t="array" ref="BG86">IF('NILAI CPL'!$B86&lt;&gt;"",IFERROR(_xlfn.IFS(AJ86&gt;='NILAI CPL'!$B$3,4,AJ86&gt;='NILAI CPL'!$B$4,3,AJ86&gt;='NILAI CPL'!$B$5,2,AJ86&gt;'NILAI CPL'!$B$6,1),0),"")</f>
        <v/>
      </c>
      <c r="BH86" s="2" t="str" cm="1">
        <f t="array" ref="BH86">IF('NILAI CPL'!$B86&lt;&gt;"",IFERROR(_xlfn.IFS(AK86&gt;='NILAI CPL'!$B$3,4,AK86&gt;='NILAI CPL'!$B$4,3,AK86&gt;='NILAI CPL'!$B$5,2,AK86&gt;'NILAI CPL'!$B$6,1),0),"")</f>
        <v/>
      </c>
      <c r="BI86" s="2" t="str" cm="1">
        <f t="array" ref="BI86">IF('NILAI CPL'!$B86&lt;&gt;"",IFERROR(_xlfn.IFS(AL86&gt;='NILAI CPL'!$B$3,4,AL86&gt;='NILAI CPL'!$B$4,3,AL86&gt;='NILAI CPL'!$B$5,2,AL86&gt;'NILAI CPL'!$B$6,1),0),"")</f>
        <v/>
      </c>
      <c r="BJ86" s="2" t="str" cm="1">
        <f t="array" ref="BJ86">IF('NILAI CPL'!$B86&lt;&gt;"",IFERROR(_xlfn.IFS(AM86&gt;='NILAI CPL'!$B$3,4,AM86&gt;='NILAI CPL'!$B$4,3,AM86&gt;='NILAI CPL'!$B$5,2,AM86&gt;'NILAI CPL'!$B$6,1),0),"")</f>
        <v/>
      </c>
      <c r="BK86" s="2" t="str" cm="1">
        <f t="array" ref="BK86">IF('NILAI CPL'!$B86&lt;&gt;"",IFERROR(_xlfn.IFS(AN86&gt;='NILAI CPL'!$B$3,4,AN86&gt;='NILAI CPL'!$B$4,3,AN86&gt;='NILAI CPL'!$B$5,2,AN86&gt;'NILAI CPL'!$B$6,1),0),"")</f>
        <v/>
      </c>
    </row>
    <row r="87" spans="1:63" x14ac:dyDescent="0.2">
      <c r="A87" s="2">
        <v>77</v>
      </c>
      <c r="B87" s="2" t="str">
        <f>IF(LEN(SUMMARY!B87)&gt;0, SUMMARY!B87, "")</f>
        <v/>
      </c>
      <c r="C87" s="2" t="str">
        <f>IF(LEN(SUMMARY!C87)&gt;0, SUMMARY!C87, "")</f>
        <v/>
      </c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" t="str">
        <f t="shared" si="25"/>
        <v/>
      </c>
      <c r="S87" s="2" t="str">
        <f t="shared" si="26"/>
        <v/>
      </c>
      <c r="T87" s="2" t="str">
        <f t="shared" si="27"/>
        <v/>
      </c>
      <c r="U87" s="2" t="str">
        <f t="shared" si="28"/>
        <v/>
      </c>
      <c r="V87" s="2" t="str">
        <f t="shared" si="29"/>
        <v/>
      </c>
      <c r="W87" s="2" t="str">
        <f t="shared" si="30"/>
        <v/>
      </c>
      <c r="X87" s="2" t="str">
        <f t="shared" si="31"/>
        <v/>
      </c>
      <c r="Y87" s="2" t="str">
        <f t="shared" si="32"/>
        <v/>
      </c>
      <c r="Z87" s="2" t="str">
        <f t="shared" si="33"/>
        <v/>
      </c>
      <c r="AA87" s="2" t="str">
        <f t="shared" si="34"/>
        <v/>
      </c>
      <c r="AB87" s="2" t="str">
        <f t="shared" si="35"/>
        <v/>
      </c>
      <c r="AC87" s="2" t="str">
        <f t="shared" si="36"/>
        <v/>
      </c>
      <c r="AD87" s="2" t="str">
        <f t="shared" si="37"/>
        <v/>
      </c>
      <c r="AE87" s="2" t="str">
        <f t="shared" si="38"/>
        <v/>
      </c>
      <c r="AF87" s="2" t="str">
        <f t="shared" si="39"/>
        <v/>
      </c>
      <c r="AG87" s="2" t="str">
        <f t="shared" si="40"/>
        <v/>
      </c>
      <c r="AH87" s="2" t="str">
        <f t="shared" si="41"/>
        <v/>
      </c>
      <c r="AI87" s="2" t="str">
        <f t="shared" si="42"/>
        <v/>
      </c>
      <c r="AJ87" s="2" t="str">
        <f t="shared" si="43"/>
        <v/>
      </c>
      <c r="AK87" s="2" t="str">
        <f t="shared" si="44"/>
        <v/>
      </c>
      <c r="AL87" s="2" t="str">
        <f t="shared" si="45"/>
        <v/>
      </c>
      <c r="AM87" s="2" t="str">
        <f t="shared" si="46"/>
        <v/>
      </c>
      <c r="AN87" s="2" t="str">
        <f t="shared" si="47"/>
        <v/>
      </c>
      <c r="AP87" s="2" t="str" cm="1">
        <f t="array" ref="AP87">IF('NILAI CPL'!$B87&lt;&gt;"",IFERROR(_xlfn.IFS(S87&gt;='NILAI CPL'!$B$3,4,S87&gt;='NILAI CPL'!$B$4,3,S87&gt;='NILAI CPL'!$B$5,2,S87&gt;'NILAI CPL'!$B$6,1),0),"")</f>
        <v/>
      </c>
      <c r="AQ87" s="2" t="str" cm="1">
        <f t="array" ref="AQ87">IF('NILAI CPL'!$B87&lt;&gt;"",IFERROR(_xlfn.IFS(T87&gt;='NILAI CPL'!$B$3,4,T87&gt;='NILAI CPL'!$B$4,3,T87&gt;='NILAI CPL'!$B$5,2,T87&gt;'NILAI CPL'!$B$6,1),0),"")</f>
        <v/>
      </c>
      <c r="AR87" s="2" t="str" cm="1">
        <f t="array" ref="AR87">IF('NILAI CPL'!$B87&lt;&gt;"",IFERROR(_xlfn.IFS(U87&gt;='NILAI CPL'!$B$3,4,U87&gt;='NILAI CPL'!$B$4,3,U87&gt;='NILAI CPL'!$B$5,2,U87&gt;'NILAI CPL'!$B$6,1),0),"")</f>
        <v/>
      </c>
      <c r="AS87" s="2" t="str" cm="1">
        <f t="array" ref="AS87">IF('NILAI CPL'!$B87&lt;&gt;"",IFERROR(_xlfn.IFS(V87&gt;='NILAI CPL'!$B$3,4,V87&gt;='NILAI CPL'!$B$4,3,V87&gt;='NILAI CPL'!$B$5,2,V87&gt;'NILAI CPL'!$B$6,1),0),"")</f>
        <v/>
      </c>
      <c r="AT87" s="2" t="str" cm="1">
        <f t="array" ref="AT87">IF('NILAI CPL'!$B87&lt;&gt;"",IFERROR(_xlfn.IFS(W87&gt;='NILAI CPL'!$B$3,4,W87&gt;='NILAI CPL'!$B$4,3,W87&gt;='NILAI CPL'!$B$5,2,W87&gt;'NILAI CPL'!$B$6,1),0),"")</f>
        <v/>
      </c>
      <c r="AU87" s="2" t="str" cm="1">
        <f t="array" ref="AU87">IF('NILAI CPL'!$B87&lt;&gt;"",IFERROR(_xlfn.IFS(X87&gt;='NILAI CPL'!$B$3,4,X87&gt;='NILAI CPL'!$B$4,3,X87&gt;='NILAI CPL'!$B$5,2,X87&gt;'NILAI CPL'!$B$6,1),0),"")</f>
        <v/>
      </c>
      <c r="AV87" s="2" t="str" cm="1">
        <f t="array" ref="AV87">IF('NILAI CPL'!$B87&lt;&gt;"",IFERROR(_xlfn.IFS(Y87&gt;='NILAI CPL'!$B$3,4,Y87&gt;='NILAI CPL'!$B$4,3,Y87&gt;='NILAI CPL'!$B$5,2,Y87&gt;'NILAI CPL'!$B$6,1),0),"")</f>
        <v/>
      </c>
      <c r="AW87" s="2" t="str" cm="1">
        <f t="array" ref="AW87">IF('NILAI CPL'!$B87&lt;&gt;"",IFERROR(_xlfn.IFS(Z87&gt;='NILAI CPL'!$B$3,4,Z87&gt;='NILAI CPL'!$B$4,3,Z87&gt;='NILAI CPL'!$B$5,2,Z87&gt;'NILAI CPL'!$B$6,1),0),"")</f>
        <v/>
      </c>
      <c r="AX87" s="2" t="str" cm="1">
        <f t="array" ref="AX87">IF('NILAI CPL'!$B87&lt;&gt;"",IFERROR(_xlfn.IFS(AA87&gt;='NILAI CPL'!$B$3,4,AA87&gt;='NILAI CPL'!$B$4,3,AA87&gt;='NILAI CPL'!$B$5,2,AA87&gt;'NILAI CPL'!$B$6,1),0),"")</f>
        <v/>
      </c>
      <c r="AY87" s="2" t="str" cm="1">
        <f t="array" ref="AY87">IF('NILAI CPL'!$B87&lt;&gt;"",IFERROR(_xlfn.IFS(AB87&gt;='NILAI CPL'!$B$3,4,AB87&gt;='NILAI CPL'!$B$4,3,AB87&gt;='NILAI CPL'!$B$5,2,AB87&gt;'NILAI CPL'!$B$6,1),0),"")</f>
        <v/>
      </c>
      <c r="AZ87" s="2" t="str" cm="1">
        <f t="array" ref="AZ87">IF('NILAI CPL'!$B87&lt;&gt;"",IFERROR(_xlfn.IFS(AC87&gt;='NILAI CPL'!$B$3,4,AC87&gt;='NILAI CPL'!$B$4,3,AC87&gt;='NILAI CPL'!$B$5,2,AC87&gt;'NILAI CPL'!$B$6,1),0),"")</f>
        <v/>
      </c>
      <c r="BA87" s="2" t="str" cm="1">
        <f t="array" ref="BA87">IF('NILAI CPL'!$B87&lt;&gt;"",IFERROR(_xlfn.IFS(AD87&gt;='NILAI CPL'!$B$3,4,AD87&gt;='NILAI CPL'!$B$4,3,AD87&gt;='NILAI CPL'!$B$5,2,AD87&gt;'NILAI CPL'!$B$6,1),0),"")</f>
        <v/>
      </c>
      <c r="BB87" s="2" t="str" cm="1">
        <f t="array" ref="BB87">IF('NILAI CPL'!$B87&lt;&gt;"",IFERROR(_xlfn.IFS(AE87&gt;='NILAI CPL'!$B$3,4,AE87&gt;='NILAI CPL'!$B$4,3,AE87&gt;='NILAI CPL'!$B$5,2,AE87&gt;'NILAI CPL'!$B$6,1),0),"")</f>
        <v/>
      </c>
      <c r="BC87" s="2" t="str" cm="1">
        <f t="array" ref="BC87">IF('NILAI CPL'!$B87&lt;&gt;"",IFERROR(_xlfn.IFS(AF87&gt;='NILAI CPL'!$B$3,4,AF87&gt;='NILAI CPL'!$B$4,3,AF87&gt;='NILAI CPL'!$B$5,2,AF87&gt;'NILAI CPL'!$B$6,1),0),"")</f>
        <v/>
      </c>
      <c r="BD87" s="2" t="str" cm="1">
        <f t="array" ref="BD87">IF('NILAI CPL'!$B87&lt;&gt;"",IFERROR(_xlfn.IFS(AG87&gt;='NILAI CPL'!$B$3,4,AG87&gt;='NILAI CPL'!$B$4,3,AG87&gt;='NILAI CPL'!$B$5,2,AG87&gt;'NILAI CPL'!$B$6,1),0),"")</f>
        <v/>
      </c>
      <c r="BE87" s="2" t="str" cm="1">
        <f t="array" ref="BE87">IF('NILAI CPL'!$B87&lt;&gt;"",IFERROR(_xlfn.IFS(AH87&gt;='NILAI CPL'!$B$3,4,AH87&gt;='NILAI CPL'!$B$4,3,AH87&gt;='NILAI CPL'!$B$5,2,AH87&gt;'NILAI CPL'!$B$6,1),0),"")</f>
        <v/>
      </c>
      <c r="BF87" s="2" t="str" cm="1">
        <f t="array" ref="BF87">IF('NILAI CPL'!$B87&lt;&gt;"",IFERROR(_xlfn.IFS(AI87&gt;='NILAI CPL'!$B$3,4,AI87&gt;='NILAI CPL'!$B$4,3,AI87&gt;='NILAI CPL'!$B$5,2,AI87&gt;'NILAI CPL'!$B$6,1),0),"")</f>
        <v/>
      </c>
      <c r="BG87" s="2" t="str" cm="1">
        <f t="array" ref="BG87">IF('NILAI CPL'!$B87&lt;&gt;"",IFERROR(_xlfn.IFS(AJ87&gt;='NILAI CPL'!$B$3,4,AJ87&gt;='NILAI CPL'!$B$4,3,AJ87&gt;='NILAI CPL'!$B$5,2,AJ87&gt;'NILAI CPL'!$B$6,1),0),"")</f>
        <v/>
      </c>
      <c r="BH87" s="2" t="str" cm="1">
        <f t="array" ref="BH87">IF('NILAI CPL'!$B87&lt;&gt;"",IFERROR(_xlfn.IFS(AK87&gt;='NILAI CPL'!$B$3,4,AK87&gt;='NILAI CPL'!$B$4,3,AK87&gt;='NILAI CPL'!$B$5,2,AK87&gt;'NILAI CPL'!$B$6,1),0),"")</f>
        <v/>
      </c>
      <c r="BI87" s="2" t="str" cm="1">
        <f t="array" ref="BI87">IF('NILAI CPL'!$B87&lt;&gt;"",IFERROR(_xlfn.IFS(AL87&gt;='NILAI CPL'!$B$3,4,AL87&gt;='NILAI CPL'!$B$4,3,AL87&gt;='NILAI CPL'!$B$5,2,AL87&gt;'NILAI CPL'!$B$6,1),0),"")</f>
        <v/>
      </c>
      <c r="BJ87" s="2" t="str" cm="1">
        <f t="array" ref="BJ87">IF('NILAI CPL'!$B87&lt;&gt;"",IFERROR(_xlfn.IFS(AM87&gt;='NILAI CPL'!$B$3,4,AM87&gt;='NILAI CPL'!$B$4,3,AM87&gt;='NILAI CPL'!$B$5,2,AM87&gt;'NILAI CPL'!$B$6,1),0),"")</f>
        <v/>
      </c>
      <c r="BK87" s="2" t="str" cm="1">
        <f t="array" ref="BK87">IF('NILAI CPL'!$B87&lt;&gt;"",IFERROR(_xlfn.IFS(AN87&gt;='NILAI CPL'!$B$3,4,AN87&gt;='NILAI CPL'!$B$4,3,AN87&gt;='NILAI CPL'!$B$5,2,AN87&gt;'NILAI CPL'!$B$6,1),0),"")</f>
        <v/>
      </c>
    </row>
    <row r="88" spans="1:63" x14ac:dyDescent="0.2">
      <c r="A88" s="2">
        <v>78</v>
      </c>
      <c r="B88" s="2" t="str">
        <f>IF(LEN(SUMMARY!B88)&gt;0, SUMMARY!B88, "")</f>
        <v/>
      </c>
      <c r="C88" s="2" t="str">
        <f>IF(LEN(SUMMARY!C88)&gt;0, SUMMARY!C88, "")</f>
        <v/>
      </c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" t="str">
        <f t="shared" si="25"/>
        <v/>
      </c>
      <c r="S88" s="2" t="str">
        <f t="shared" si="26"/>
        <v/>
      </c>
      <c r="T88" s="2" t="str">
        <f t="shared" si="27"/>
        <v/>
      </c>
      <c r="U88" s="2" t="str">
        <f t="shared" si="28"/>
        <v/>
      </c>
      <c r="V88" s="2" t="str">
        <f t="shared" si="29"/>
        <v/>
      </c>
      <c r="W88" s="2" t="str">
        <f t="shared" si="30"/>
        <v/>
      </c>
      <c r="X88" s="2" t="str">
        <f t="shared" si="31"/>
        <v/>
      </c>
      <c r="Y88" s="2" t="str">
        <f t="shared" si="32"/>
        <v/>
      </c>
      <c r="Z88" s="2" t="str">
        <f t="shared" si="33"/>
        <v/>
      </c>
      <c r="AA88" s="2" t="str">
        <f t="shared" si="34"/>
        <v/>
      </c>
      <c r="AB88" s="2" t="str">
        <f t="shared" si="35"/>
        <v/>
      </c>
      <c r="AC88" s="2" t="str">
        <f t="shared" si="36"/>
        <v/>
      </c>
      <c r="AD88" s="2" t="str">
        <f t="shared" si="37"/>
        <v/>
      </c>
      <c r="AE88" s="2" t="str">
        <f t="shared" si="38"/>
        <v/>
      </c>
      <c r="AF88" s="2" t="str">
        <f t="shared" si="39"/>
        <v/>
      </c>
      <c r="AG88" s="2" t="str">
        <f t="shared" si="40"/>
        <v/>
      </c>
      <c r="AH88" s="2" t="str">
        <f t="shared" si="41"/>
        <v/>
      </c>
      <c r="AI88" s="2" t="str">
        <f t="shared" si="42"/>
        <v/>
      </c>
      <c r="AJ88" s="2" t="str">
        <f t="shared" si="43"/>
        <v/>
      </c>
      <c r="AK88" s="2" t="str">
        <f t="shared" si="44"/>
        <v/>
      </c>
      <c r="AL88" s="2" t="str">
        <f t="shared" si="45"/>
        <v/>
      </c>
      <c r="AM88" s="2" t="str">
        <f t="shared" si="46"/>
        <v/>
      </c>
      <c r="AN88" s="2" t="str">
        <f t="shared" si="47"/>
        <v/>
      </c>
      <c r="AP88" s="2" t="str" cm="1">
        <f t="array" ref="AP88">IF('NILAI CPL'!$B88&lt;&gt;"",IFERROR(_xlfn.IFS(S88&gt;='NILAI CPL'!$B$3,4,S88&gt;='NILAI CPL'!$B$4,3,S88&gt;='NILAI CPL'!$B$5,2,S88&gt;'NILAI CPL'!$B$6,1),0),"")</f>
        <v/>
      </c>
      <c r="AQ88" s="2" t="str" cm="1">
        <f t="array" ref="AQ88">IF('NILAI CPL'!$B88&lt;&gt;"",IFERROR(_xlfn.IFS(T88&gt;='NILAI CPL'!$B$3,4,T88&gt;='NILAI CPL'!$B$4,3,T88&gt;='NILAI CPL'!$B$5,2,T88&gt;'NILAI CPL'!$B$6,1),0),"")</f>
        <v/>
      </c>
      <c r="AR88" s="2" t="str" cm="1">
        <f t="array" ref="AR88">IF('NILAI CPL'!$B88&lt;&gt;"",IFERROR(_xlfn.IFS(U88&gt;='NILAI CPL'!$B$3,4,U88&gt;='NILAI CPL'!$B$4,3,U88&gt;='NILAI CPL'!$B$5,2,U88&gt;'NILAI CPL'!$B$6,1),0),"")</f>
        <v/>
      </c>
      <c r="AS88" s="2" t="str" cm="1">
        <f t="array" ref="AS88">IF('NILAI CPL'!$B88&lt;&gt;"",IFERROR(_xlfn.IFS(V88&gt;='NILAI CPL'!$B$3,4,V88&gt;='NILAI CPL'!$B$4,3,V88&gt;='NILAI CPL'!$B$5,2,V88&gt;'NILAI CPL'!$B$6,1),0),"")</f>
        <v/>
      </c>
      <c r="AT88" s="2" t="str" cm="1">
        <f t="array" ref="AT88">IF('NILAI CPL'!$B88&lt;&gt;"",IFERROR(_xlfn.IFS(W88&gt;='NILAI CPL'!$B$3,4,W88&gt;='NILAI CPL'!$B$4,3,W88&gt;='NILAI CPL'!$B$5,2,W88&gt;'NILAI CPL'!$B$6,1),0),"")</f>
        <v/>
      </c>
      <c r="AU88" s="2" t="str" cm="1">
        <f t="array" ref="AU88">IF('NILAI CPL'!$B88&lt;&gt;"",IFERROR(_xlfn.IFS(X88&gt;='NILAI CPL'!$B$3,4,X88&gt;='NILAI CPL'!$B$4,3,X88&gt;='NILAI CPL'!$B$5,2,X88&gt;'NILAI CPL'!$B$6,1),0),"")</f>
        <v/>
      </c>
      <c r="AV88" s="2" t="str" cm="1">
        <f t="array" ref="AV88">IF('NILAI CPL'!$B88&lt;&gt;"",IFERROR(_xlfn.IFS(Y88&gt;='NILAI CPL'!$B$3,4,Y88&gt;='NILAI CPL'!$B$4,3,Y88&gt;='NILAI CPL'!$B$5,2,Y88&gt;'NILAI CPL'!$B$6,1),0),"")</f>
        <v/>
      </c>
      <c r="AW88" s="2" t="str" cm="1">
        <f t="array" ref="AW88">IF('NILAI CPL'!$B88&lt;&gt;"",IFERROR(_xlfn.IFS(Z88&gt;='NILAI CPL'!$B$3,4,Z88&gt;='NILAI CPL'!$B$4,3,Z88&gt;='NILAI CPL'!$B$5,2,Z88&gt;'NILAI CPL'!$B$6,1),0),"")</f>
        <v/>
      </c>
      <c r="AX88" s="2" t="str" cm="1">
        <f t="array" ref="AX88">IF('NILAI CPL'!$B88&lt;&gt;"",IFERROR(_xlfn.IFS(AA88&gt;='NILAI CPL'!$B$3,4,AA88&gt;='NILAI CPL'!$B$4,3,AA88&gt;='NILAI CPL'!$B$5,2,AA88&gt;'NILAI CPL'!$B$6,1),0),"")</f>
        <v/>
      </c>
      <c r="AY88" s="2" t="str" cm="1">
        <f t="array" ref="AY88">IF('NILAI CPL'!$B88&lt;&gt;"",IFERROR(_xlfn.IFS(AB88&gt;='NILAI CPL'!$B$3,4,AB88&gt;='NILAI CPL'!$B$4,3,AB88&gt;='NILAI CPL'!$B$5,2,AB88&gt;'NILAI CPL'!$B$6,1),0),"")</f>
        <v/>
      </c>
      <c r="AZ88" s="2" t="str" cm="1">
        <f t="array" ref="AZ88">IF('NILAI CPL'!$B88&lt;&gt;"",IFERROR(_xlfn.IFS(AC88&gt;='NILAI CPL'!$B$3,4,AC88&gt;='NILAI CPL'!$B$4,3,AC88&gt;='NILAI CPL'!$B$5,2,AC88&gt;'NILAI CPL'!$B$6,1),0),"")</f>
        <v/>
      </c>
      <c r="BA88" s="2" t="str" cm="1">
        <f t="array" ref="BA88">IF('NILAI CPL'!$B88&lt;&gt;"",IFERROR(_xlfn.IFS(AD88&gt;='NILAI CPL'!$B$3,4,AD88&gt;='NILAI CPL'!$B$4,3,AD88&gt;='NILAI CPL'!$B$5,2,AD88&gt;'NILAI CPL'!$B$6,1),0),"")</f>
        <v/>
      </c>
      <c r="BB88" s="2" t="str" cm="1">
        <f t="array" ref="BB88">IF('NILAI CPL'!$B88&lt;&gt;"",IFERROR(_xlfn.IFS(AE88&gt;='NILAI CPL'!$B$3,4,AE88&gt;='NILAI CPL'!$B$4,3,AE88&gt;='NILAI CPL'!$B$5,2,AE88&gt;'NILAI CPL'!$B$6,1),0),"")</f>
        <v/>
      </c>
      <c r="BC88" s="2" t="str" cm="1">
        <f t="array" ref="BC88">IF('NILAI CPL'!$B88&lt;&gt;"",IFERROR(_xlfn.IFS(AF88&gt;='NILAI CPL'!$B$3,4,AF88&gt;='NILAI CPL'!$B$4,3,AF88&gt;='NILAI CPL'!$B$5,2,AF88&gt;'NILAI CPL'!$B$6,1),0),"")</f>
        <v/>
      </c>
      <c r="BD88" s="2" t="str" cm="1">
        <f t="array" ref="BD88">IF('NILAI CPL'!$B88&lt;&gt;"",IFERROR(_xlfn.IFS(AG88&gt;='NILAI CPL'!$B$3,4,AG88&gt;='NILAI CPL'!$B$4,3,AG88&gt;='NILAI CPL'!$B$5,2,AG88&gt;'NILAI CPL'!$B$6,1),0),"")</f>
        <v/>
      </c>
      <c r="BE88" s="2" t="str" cm="1">
        <f t="array" ref="BE88">IF('NILAI CPL'!$B88&lt;&gt;"",IFERROR(_xlfn.IFS(AH88&gt;='NILAI CPL'!$B$3,4,AH88&gt;='NILAI CPL'!$B$4,3,AH88&gt;='NILAI CPL'!$B$5,2,AH88&gt;'NILAI CPL'!$B$6,1),0),"")</f>
        <v/>
      </c>
      <c r="BF88" s="2" t="str" cm="1">
        <f t="array" ref="BF88">IF('NILAI CPL'!$B88&lt;&gt;"",IFERROR(_xlfn.IFS(AI88&gt;='NILAI CPL'!$B$3,4,AI88&gt;='NILAI CPL'!$B$4,3,AI88&gt;='NILAI CPL'!$B$5,2,AI88&gt;'NILAI CPL'!$B$6,1),0),"")</f>
        <v/>
      </c>
      <c r="BG88" s="2" t="str" cm="1">
        <f t="array" ref="BG88">IF('NILAI CPL'!$B88&lt;&gt;"",IFERROR(_xlfn.IFS(AJ88&gt;='NILAI CPL'!$B$3,4,AJ88&gt;='NILAI CPL'!$B$4,3,AJ88&gt;='NILAI CPL'!$B$5,2,AJ88&gt;'NILAI CPL'!$B$6,1),0),"")</f>
        <v/>
      </c>
      <c r="BH88" s="2" t="str" cm="1">
        <f t="array" ref="BH88">IF('NILAI CPL'!$B88&lt;&gt;"",IFERROR(_xlfn.IFS(AK88&gt;='NILAI CPL'!$B$3,4,AK88&gt;='NILAI CPL'!$B$4,3,AK88&gt;='NILAI CPL'!$B$5,2,AK88&gt;'NILAI CPL'!$B$6,1),0),"")</f>
        <v/>
      </c>
      <c r="BI88" s="2" t="str" cm="1">
        <f t="array" ref="BI88">IF('NILAI CPL'!$B88&lt;&gt;"",IFERROR(_xlfn.IFS(AL88&gt;='NILAI CPL'!$B$3,4,AL88&gt;='NILAI CPL'!$B$4,3,AL88&gt;='NILAI CPL'!$B$5,2,AL88&gt;'NILAI CPL'!$B$6,1),0),"")</f>
        <v/>
      </c>
      <c r="BJ88" s="2" t="str" cm="1">
        <f t="array" ref="BJ88">IF('NILAI CPL'!$B88&lt;&gt;"",IFERROR(_xlfn.IFS(AM88&gt;='NILAI CPL'!$B$3,4,AM88&gt;='NILAI CPL'!$B$4,3,AM88&gt;='NILAI CPL'!$B$5,2,AM88&gt;'NILAI CPL'!$B$6,1),0),"")</f>
        <v/>
      </c>
      <c r="BK88" s="2" t="str" cm="1">
        <f t="array" ref="BK88">IF('NILAI CPL'!$B88&lt;&gt;"",IFERROR(_xlfn.IFS(AN88&gt;='NILAI CPL'!$B$3,4,AN88&gt;='NILAI CPL'!$B$4,3,AN88&gt;='NILAI CPL'!$B$5,2,AN88&gt;'NILAI CPL'!$B$6,1),0),"")</f>
        <v/>
      </c>
    </row>
    <row r="89" spans="1:63" x14ac:dyDescent="0.2">
      <c r="A89" s="2">
        <v>79</v>
      </c>
      <c r="B89" s="2" t="str">
        <f>IF(LEN(SUMMARY!B89)&gt;0, SUMMARY!B89, "")</f>
        <v/>
      </c>
      <c r="C89" s="2" t="str">
        <f>IF(LEN(SUMMARY!C89)&gt;0, SUMMARY!C89, "")</f>
        <v/>
      </c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" t="str">
        <f t="shared" si="25"/>
        <v/>
      </c>
      <c r="S89" s="2" t="str">
        <f t="shared" si="26"/>
        <v/>
      </c>
      <c r="T89" s="2" t="str">
        <f t="shared" si="27"/>
        <v/>
      </c>
      <c r="U89" s="2" t="str">
        <f t="shared" si="28"/>
        <v/>
      </c>
      <c r="V89" s="2" t="str">
        <f t="shared" si="29"/>
        <v/>
      </c>
      <c r="W89" s="2" t="str">
        <f t="shared" si="30"/>
        <v/>
      </c>
      <c r="X89" s="2" t="str">
        <f t="shared" si="31"/>
        <v/>
      </c>
      <c r="Y89" s="2" t="str">
        <f t="shared" si="32"/>
        <v/>
      </c>
      <c r="Z89" s="2" t="str">
        <f t="shared" si="33"/>
        <v/>
      </c>
      <c r="AA89" s="2" t="str">
        <f t="shared" si="34"/>
        <v/>
      </c>
      <c r="AB89" s="2" t="str">
        <f t="shared" si="35"/>
        <v/>
      </c>
      <c r="AC89" s="2" t="str">
        <f t="shared" si="36"/>
        <v/>
      </c>
      <c r="AD89" s="2" t="str">
        <f t="shared" si="37"/>
        <v/>
      </c>
      <c r="AE89" s="2" t="str">
        <f t="shared" si="38"/>
        <v/>
      </c>
      <c r="AF89" s="2" t="str">
        <f t="shared" si="39"/>
        <v/>
      </c>
      <c r="AG89" s="2" t="str">
        <f t="shared" si="40"/>
        <v/>
      </c>
      <c r="AH89" s="2" t="str">
        <f t="shared" si="41"/>
        <v/>
      </c>
      <c r="AI89" s="2" t="str">
        <f t="shared" si="42"/>
        <v/>
      </c>
      <c r="AJ89" s="2" t="str">
        <f t="shared" si="43"/>
        <v/>
      </c>
      <c r="AK89" s="2" t="str">
        <f t="shared" si="44"/>
        <v/>
      </c>
      <c r="AL89" s="2" t="str">
        <f t="shared" si="45"/>
        <v/>
      </c>
      <c r="AM89" s="2" t="str">
        <f t="shared" si="46"/>
        <v/>
      </c>
      <c r="AN89" s="2" t="str">
        <f t="shared" si="47"/>
        <v/>
      </c>
      <c r="AP89" s="2" t="str" cm="1">
        <f t="array" ref="AP89">IF('NILAI CPL'!$B89&lt;&gt;"",IFERROR(_xlfn.IFS(S89&gt;='NILAI CPL'!$B$3,4,S89&gt;='NILAI CPL'!$B$4,3,S89&gt;='NILAI CPL'!$B$5,2,S89&gt;'NILAI CPL'!$B$6,1),0),"")</f>
        <v/>
      </c>
      <c r="AQ89" s="2" t="str" cm="1">
        <f t="array" ref="AQ89">IF('NILAI CPL'!$B89&lt;&gt;"",IFERROR(_xlfn.IFS(T89&gt;='NILAI CPL'!$B$3,4,T89&gt;='NILAI CPL'!$B$4,3,T89&gt;='NILAI CPL'!$B$5,2,T89&gt;'NILAI CPL'!$B$6,1),0),"")</f>
        <v/>
      </c>
      <c r="AR89" s="2" t="str" cm="1">
        <f t="array" ref="AR89">IF('NILAI CPL'!$B89&lt;&gt;"",IFERROR(_xlfn.IFS(U89&gt;='NILAI CPL'!$B$3,4,U89&gt;='NILAI CPL'!$B$4,3,U89&gt;='NILAI CPL'!$B$5,2,U89&gt;'NILAI CPL'!$B$6,1),0),"")</f>
        <v/>
      </c>
      <c r="AS89" s="2" t="str" cm="1">
        <f t="array" ref="AS89">IF('NILAI CPL'!$B89&lt;&gt;"",IFERROR(_xlfn.IFS(V89&gt;='NILAI CPL'!$B$3,4,V89&gt;='NILAI CPL'!$B$4,3,V89&gt;='NILAI CPL'!$B$5,2,V89&gt;'NILAI CPL'!$B$6,1),0),"")</f>
        <v/>
      </c>
      <c r="AT89" s="2" t="str" cm="1">
        <f t="array" ref="AT89">IF('NILAI CPL'!$B89&lt;&gt;"",IFERROR(_xlfn.IFS(W89&gt;='NILAI CPL'!$B$3,4,W89&gt;='NILAI CPL'!$B$4,3,W89&gt;='NILAI CPL'!$B$5,2,W89&gt;'NILAI CPL'!$B$6,1),0),"")</f>
        <v/>
      </c>
      <c r="AU89" s="2" t="str" cm="1">
        <f t="array" ref="AU89">IF('NILAI CPL'!$B89&lt;&gt;"",IFERROR(_xlfn.IFS(X89&gt;='NILAI CPL'!$B$3,4,X89&gt;='NILAI CPL'!$B$4,3,X89&gt;='NILAI CPL'!$B$5,2,X89&gt;'NILAI CPL'!$B$6,1),0),"")</f>
        <v/>
      </c>
      <c r="AV89" s="2" t="str" cm="1">
        <f t="array" ref="AV89">IF('NILAI CPL'!$B89&lt;&gt;"",IFERROR(_xlfn.IFS(Y89&gt;='NILAI CPL'!$B$3,4,Y89&gt;='NILAI CPL'!$B$4,3,Y89&gt;='NILAI CPL'!$B$5,2,Y89&gt;'NILAI CPL'!$B$6,1),0),"")</f>
        <v/>
      </c>
      <c r="AW89" s="2" t="str" cm="1">
        <f t="array" ref="AW89">IF('NILAI CPL'!$B89&lt;&gt;"",IFERROR(_xlfn.IFS(Z89&gt;='NILAI CPL'!$B$3,4,Z89&gt;='NILAI CPL'!$B$4,3,Z89&gt;='NILAI CPL'!$B$5,2,Z89&gt;'NILAI CPL'!$B$6,1),0),"")</f>
        <v/>
      </c>
      <c r="AX89" s="2" t="str" cm="1">
        <f t="array" ref="AX89">IF('NILAI CPL'!$B89&lt;&gt;"",IFERROR(_xlfn.IFS(AA89&gt;='NILAI CPL'!$B$3,4,AA89&gt;='NILAI CPL'!$B$4,3,AA89&gt;='NILAI CPL'!$B$5,2,AA89&gt;'NILAI CPL'!$B$6,1),0),"")</f>
        <v/>
      </c>
      <c r="AY89" s="2" t="str" cm="1">
        <f t="array" ref="AY89">IF('NILAI CPL'!$B89&lt;&gt;"",IFERROR(_xlfn.IFS(AB89&gt;='NILAI CPL'!$B$3,4,AB89&gt;='NILAI CPL'!$B$4,3,AB89&gt;='NILAI CPL'!$B$5,2,AB89&gt;'NILAI CPL'!$B$6,1),0),"")</f>
        <v/>
      </c>
      <c r="AZ89" s="2" t="str" cm="1">
        <f t="array" ref="AZ89">IF('NILAI CPL'!$B89&lt;&gt;"",IFERROR(_xlfn.IFS(AC89&gt;='NILAI CPL'!$B$3,4,AC89&gt;='NILAI CPL'!$B$4,3,AC89&gt;='NILAI CPL'!$B$5,2,AC89&gt;'NILAI CPL'!$B$6,1),0),"")</f>
        <v/>
      </c>
      <c r="BA89" s="2" t="str" cm="1">
        <f t="array" ref="BA89">IF('NILAI CPL'!$B89&lt;&gt;"",IFERROR(_xlfn.IFS(AD89&gt;='NILAI CPL'!$B$3,4,AD89&gt;='NILAI CPL'!$B$4,3,AD89&gt;='NILAI CPL'!$B$5,2,AD89&gt;'NILAI CPL'!$B$6,1),0),"")</f>
        <v/>
      </c>
      <c r="BB89" s="2" t="str" cm="1">
        <f t="array" ref="BB89">IF('NILAI CPL'!$B89&lt;&gt;"",IFERROR(_xlfn.IFS(AE89&gt;='NILAI CPL'!$B$3,4,AE89&gt;='NILAI CPL'!$B$4,3,AE89&gt;='NILAI CPL'!$B$5,2,AE89&gt;'NILAI CPL'!$B$6,1),0),"")</f>
        <v/>
      </c>
      <c r="BC89" s="2" t="str" cm="1">
        <f t="array" ref="BC89">IF('NILAI CPL'!$B89&lt;&gt;"",IFERROR(_xlfn.IFS(AF89&gt;='NILAI CPL'!$B$3,4,AF89&gt;='NILAI CPL'!$B$4,3,AF89&gt;='NILAI CPL'!$B$5,2,AF89&gt;'NILAI CPL'!$B$6,1),0),"")</f>
        <v/>
      </c>
      <c r="BD89" s="2" t="str" cm="1">
        <f t="array" ref="BD89">IF('NILAI CPL'!$B89&lt;&gt;"",IFERROR(_xlfn.IFS(AG89&gt;='NILAI CPL'!$B$3,4,AG89&gt;='NILAI CPL'!$B$4,3,AG89&gt;='NILAI CPL'!$B$5,2,AG89&gt;'NILAI CPL'!$B$6,1),0),"")</f>
        <v/>
      </c>
      <c r="BE89" s="2" t="str" cm="1">
        <f t="array" ref="BE89">IF('NILAI CPL'!$B89&lt;&gt;"",IFERROR(_xlfn.IFS(AH89&gt;='NILAI CPL'!$B$3,4,AH89&gt;='NILAI CPL'!$B$4,3,AH89&gt;='NILAI CPL'!$B$5,2,AH89&gt;'NILAI CPL'!$B$6,1),0),"")</f>
        <v/>
      </c>
      <c r="BF89" s="2" t="str" cm="1">
        <f t="array" ref="BF89">IF('NILAI CPL'!$B89&lt;&gt;"",IFERROR(_xlfn.IFS(AI89&gt;='NILAI CPL'!$B$3,4,AI89&gt;='NILAI CPL'!$B$4,3,AI89&gt;='NILAI CPL'!$B$5,2,AI89&gt;'NILAI CPL'!$B$6,1),0),"")</f>
        <v/>
      </c>
      <c r="BG89" s="2" t="str" cm="1">
        <f t="array" ref="BG89">IF('NILAI CPL'!$B89&lt;&gt;"",IFERROR(_xlfn.IFS(AJ89&gt;='NILAI CPL'!$B$3,4,AJ89&gt;='NILAI CPL'!$B$4,3,AJ89&gt;='NILAI CPL'!$B$5,2,AJ89&gt;'NILAI CPL'!$B$6,1),0),"")</f>
        <v/>
      </c>
      <c r="BH89" s="2" t="str" cm="1">
        <f t="array" ref="BH89">IF('NILAI CPL'!$B89&lt;&gt;"",IFERROR(_xlfn.IFS(AK89&gt;='NILAI CPL'!$B$3,4,AK89&gt;='NILAI CPL'!$B$4,3,AK89&gt;='NILAI CPL'!$B$5,2,AK89&gt;'NILAI CPL'!$B$6,1),0),"")</f>
        <v/>
      </c>
      <c r="BI89" s="2" t="str" cm="1">
        <f t="array" ref="BI89">IF('NILAI CPL'!$B89&lt;&gt;"",IFERROR(_xlfn.IFS(AL89&gt;='NILAI CPL'!$B$3,4,AL89&gt;='NILAI CPL'!$B$4,3,AL89&gt;='NILAI CPL'!$B$5,2,AL89&gt;'NILAI CPL'!$B$6,1),0),"")</f>
        <v/>
      </c>
      <c r="BJ89" s="2" t="str" cm="1">
        <f t="array" ref="BJ89">IF('NILAI CPL'!$B89&lt;&gt;"",IFERROR(_xlfn.IFS(AM89&gt;='NILAI CPL'!$B$3,4,AM89&gt;='NILAI CPL'!$B$4,3,AM89&gt;='NILAI CPL'!$B$5,2,AM89&gt;'NILAI CPL'!$B$6,1),0),"")</f>
        <v/>
      </c>
      <c r="BK89" s="2" t="str" cm="1">
        <f t="array" ref="BK89">IF('NILAI CPL'!$B89&lt;&gt;"",IFERROR(_xlfn.IFS(AN89&gt;='NILAI CPL'!$B$3,4,AN89&gt;='NILAI CPL'!$B$4,3,AN89&gt;='NILAI CPL'!$B$5,2,AN89&gt;'NILAI CPL'!$B$6,1),0),"")</f>
        <v/>
      </c>
    </row>
    <row r="90" spans="1:63" x14ac:dyDescent="0.2">
      <c r="A90" s="2">
        <v>80</v>
      </c>
      <c r="B90" s="2" t="str">
        <f>IF(LEN(SUMMARY!B90)&gt;0, SUMMARY!B90, "")</f>
        <v/>
      </c>
      <c r="C90" s="2" t="str">
        <f>IF(LEN(SUMMARY!C90)&gt;0, SUMMARY!C90, "")</f>
        <v/>
      </c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" t="str">
        <f t="shared" si="25"/>
        <v/>
      </c>
      <c r="S90" s="2" t="str">
        <f t="shared" si="26"/>
        <v/>
      </c>
      <c r="T90" s="2" t="str">
        <f t="shared" si="27"/>
        <v/>
      </c>
      <c r="U90" s="2" t="str">
        <f t="shared" si="28"/>
        <v/>
      </c>
      <c r="V90" s="2" t="str">
        <f t="shared" si="29"/>
        <v/>
      </c>
      <c r="W90" s="2" t="str">
        <f t="shared" si="30"/>
        <v/>
      </c>
      <c r="X90" s="2" t="str">
        <f t="shared" si="31"/>
        <v/>
      </c>
      <c r="Y90" s="2" t="str">
        <f t="shared" si="32"/>
        <v/>
      </c>
      <c r="Z90" s="2" t="str">
        <f t="shared" si="33"/>
        <v/>
      </c>
      <c r="AA90" s="2" t="str">
        <f t="shared" si="34"/>
        <v/>
      </c>
      <c r="AB90" s="2" t="str">
        <f t="shared" si="35"/>
        <v/>
      </c>
      <c r="AC90" s="2" t="str">
        <f t="shared" si="36"/>
        <v/>
      </c>
      <c r="AD90" s="2" t="str">
        <f t="shared" si="37"/>
        <v/>
      </c>
      <c r="AE90" s="2" t="str">
        <f t="shared" si="38"/>
        <v/>
      </c>
      <c r="AF90" s="2" t="str">
        <f t="shared" si="39"/>
        <v/>
      </c>
      <c r="AG90" s="2" t="str">
        <f t="shared" si="40"/>
        <v/>
      </c>
      <c r="AH90" s="2" t="str">
        <f t="shared" si="41"/>
        <v/>
      </c>
      <c r="AI90" s="2" t="str">
        <f t="shared" si="42"/>
        <v/>
      </c>
      <c r="AJ90" s="2" t="str">
        <f t="shared" si="43"/>
        <v/>
      </c>
      <c r="AK90" s="2" t="str">
        <f t="shared" si="44"/>
        <v/>
      </c>
      <c r="AL90" s="2" t="str">
        <f t="shared" si="45"/>
        <v/>
      </c>
      <c r="AM90" s="2" t="str">
        <f t="shared" si="46"/>
        <v/>
      </c>
      <c r="AN90" s="2" t="str">
        <f t="shared" si="47"/>
        <v/>
      </c>
      <c r="AP90" s="2" t="str" cm="1">
        <f t="array" ref="AP90">IF('NILAI CPL'!$B90&lt;&gt;"",IFERROR(_xlfn.IFS(S90&gt;='NILAI CPL'!$B$3,4,S90&gt;='NILAI CPL'!$B$4,3,S90&gt;='NILAI CPL'!$B$5,2,S90&gt;'NILAI CPL'!$B$6,1),0),"")</f>
        <v/>
      </c>
      <c r="AQ90" s="2" t="str" cm="1">
        <f t="array" ref="AQ90">IF('NILAI CPL'!$B90&lt;&gt;"",IFERROR(_xlfn.IFS(T90&gt;='NILAI CPL'!$B$3,4,T90&gt;='NILAI CPL'!$B$4,3,T90&gt;='NILAI CPL'!$B$5,2,T90&gt;'NILAI CPL'!$B$6,1),0),"")</f>
        <v/>
      </c>
      <c r="AR90" s="2" t="str" cm="1">
        <f t="array" ref="AR90">IF('NILAI CPL'!$B90&lt;&gt;"",IFERROR(_xlfn.IFS(U90&gt;='NILAI CPL'!$B$3,4,U90&gt;='NILAI CPL'!$B$4,3,U90&gt;='NILAI CPL'!$B$5,2,U90&gt;'NILAI CPL'!$B$6,1),0),"")</f>
        <v/>
      </c>
      <c r="AS90" s="2" t="str" cm="1">
        <f t="array" ref="AS90">IF('NILAI CPL'!$B90&lt;&gt;"",IFERROR(_xlfn.IFS(V90&gt;='NILAI CPL'!$B$3,4,V90&gt;='NILAI CPL'!$B$4,3,V90&gt;='NILAI CPL'!$B$5,2,V90&gt;'NILAI CPL'!$B$6,1),0),"")</f>
        <v/>
      </c>
      <c r="AT90" s="2" t="str" cm="1">
        <f t="array" ref="AT90">IF('NILAI CPL'!$B90&lt;&gt;"",IFERROR(_xlfn.IFS(W90&gt;='NILAI CPL'!$B$3,4,W90&gt;='NILAI CPL'!$B$4,3,W90&gt;='NILAI CPL'!$B$5,2,W90&gt;'NILAI CPL'!$B$6,1),0),"")</f>
        <v/>
      </c>
      <c r="AU90" s="2" t="str" cm="1">
        <f t="array" ref="AU90">IF('NILAI CPL'!$B90&lt;&gt;"",IFERROR(_xlfn.IFS(X90&gt;='NILAI CPL'!$B$3,4,X90&gt;='NILAI CPL'!$B$4,3,X90&gt;='NILAI CPL'!$B$5,2,X90&gt;'NILAI CPL'!$B$6,1),0),"")</f>
        <v/>
      </c>
      <c r="AV90" s="2" t="str" cm="1">
        <f t="array" ref="AV90">IF('NILAI CPL'!$B90&lt;&gt;"",IFERROR(_xlfn.IFS(Y90&gt;='NILAI CPL'!$B$3,4,Y90&gt;='NILAI CPL'!$B$4,3,Y90&gt;='NILAI CPL'!$B$5,2,Y90&gt;'NILAI CPL'!$B$6,1),0),"")</f>
        <v/>
      </c>
      <c r="AW90" s="2" t="str" cm="1">
        <f t="array" ref="AW90">IF('NILAI CPL'!$B90&lt;&gt;"",IFERROR(_xlfn.IFS(Z90&gt;='NILAI CPL'!$B$3,4,Z90&gt;='NILAI CPL'!$B$4,3,Z90&gt;='NILAI CPL'!$B$5,2,Z90&gt;'NILAI CPL'!$B$6,1),0),"")</f>
        <v/>
      </c>
      <c r="AX90" s="2" t="str" cm="1">
        <f t="array" ref="AX90">IF('NILAI CPL'!$B90&lt;&gt;"",IFERROR(_xlfn.IFS(AA90&gt;='NILAI CPL'!$B$3,4,AA90&gt;='NILAI CPL'!$B$4,3,AA90&gt;='NILAI CPL'!$B$5,2,AA90&gt;'NILAI CPL'!$B$6,1),0),"")</f>
        <v/>
      </c>
      <c r="AY90" s="2" t="str" cm="1">
        <f t="array" ref="AY90">IF('NILAI CPL'!$B90&lt;&gt;"",IFERROR(_xlfn.IFS(AB90&gt;='NILAI CPL'!$B$3,4,AB90&gt;='NILAI CPL'!$B$4,3,AB90&gt;='NILAI CPL'!$B$5,2,AB90&gt;'NILAI CPL'!$B$6,1),0),"")</f>
        <v/>
      </c>
      <c r="AZ90" s="2" t="str" cm="1">
        <f t="array" ref="AZ90">IF('NILAI CPL'!$B90&lt;&gt;"",IFERROR(_xlfn.IFS(AC90&gt;='NILAI CPL'!$B$3,4,AC90&gt;='NILAI CPL'!$B$4,3,AC90&gt;='NILAI CPL'!$B$5,2,AC90&gt;'NILAI CPL'!$B$6,1),0),"")</f>
        <v/>
      </c>
      <c r="BA90" s="2" t="str" cm="1">
        <f t="array" ref="BA90">IF('NILAI CPL'!$B90&lt;&gt;"",IFERROR(_xlfn.IFS(AD90&gt;='NILAI CPL'!$B$3,4,AD90&gt;='NILAI CPL'!$B$4,3,AD90&gt;='NILAI CPL'!$B$5,2,AD90&gt;'NILAI CPL'!$B$6,1),0),"")</f>
        <v/>
      </c>
      <c r="BB90" s="2" t="str" cm="1">
        <f t="array" ref="BB90">IF('NILAI CPL'!$B90&lt;&gt;"",IFERROR(_xlfn.IFS(AE90&gt;='NILAI CPL'!$B$3,4,AE90&gt;='NILAI CPL'!$B$4,3,AE90&gt;='NILAI CPL'!$B$5,2,AE90&gt;'NILAI CPL'!$B$6,1),0),"")</f>
        <v/>
      </c>
      <c r="BC90" s="2" t="str" cm="1">
        <f t="array" ref="BC90">IF('NILAI CPL'!$B90&lt;&gt;"",IFERROR(_xlfn.IFS(AF90&gt;='NILAI CPL'!$B$3,4,AF90&gt;='NILAI CPL'!$B$4,3,AF90&gt;='NILAI CPL'!$B$5,2,AF90&gt;'NILAI CPL'!$B$6,1),0),"")</f>
        <v/>
      </c>
      <c r="BD90" s="2" t="str" cm="1">
        <f t="array" ref="BD90">IF('NILAI CPL'!$B90&lt;&gt;"",IFERROR(_xlfn.IFS(AG90&gt;='NILAI CPL'!$B$3,4,AG90&gt;='NILAI CPL'!$B$4,3,AG90&gt;='NILAI CPL'!$B$5,2,AG90&gt;'NILAI CPL'!$B$6,1),0),"")</f>
        <v/>
      </c>
      <c r="BE90" s="2" t="str" cm="1">
        <f t="array" ref="BE90">IF('NILAI CPL'!$B90&lt;&gt;"",IFERROR(_xlfn.IFS(AH90&gt;='NILAI CPL'!$B$3,4,AH90&gt;='NILAI CPL'!$B$4,3,AH90&gt;='NILAI CPL'!$B$5,2,AH90&gt;'NILAI CPL'!$B$6,1),0),"")</f>
        <v/>
      </c>
      <c r="BF90" s="2" t="str" cm="1">
        <f t="array" ref="BF90">IF('NILAI CPL'!$B90&lt;&gt;"",IFERROR(_xlfn.IFS(AI90&gt;='NILAI CPL'!$B$3,4,AI90&gt;='NILAI CPL'!$B$4,3,AI90&gt;='NILAI CPL'!$B$5,2,AI90&gt;'NILAI CPL'!$B$6,1),0),"")</f>
        <v/>
      </c>
      <c r="BG90" s="2" t="str" cm="1">
        <f t="array" ref="BG90">IF('NILAI CPL'!$B90&lt;&gt;"",IFERROR(_xlfn.IFS(AJ90&gt;='NILAI CPL'!$B$3,4,AJ90&gt;='NILAI CPL'!$B$4,3,AJ90&gt;='NILAI CPL'!$B$5,2,AJ90&gt;'NILAI CPL'!$B$6,1),0),"")</f>
        <v/>
      </c>
      <c r="BH90" s="2" t="str" cm="1">
        <f t="array" ref="BH90">IF('NILAI CPL'!$B90&lt;&gt;"",IFERROR(_xlfn.IFS(AK90&gt;='NILAI CPL'!$B$3,4,AK90&gt;='NILAI CPL'!$B$4,3,AK90&gt;='NILAI CPL'!$B$5,2,AK90&gt;'NILAI CPL'!$B$6,1),0),"")</f>
        <v/>
      </c>
      <c r="BI90" s="2" t="str" cm="1">
        <f t="array" ref="BI90">IF('NILAI CPL'!$B90&lt;&gt;"",IFERROR(_xlfn.IFS(AL90&gt;='NILAI CPL'!$B$3,4,AL90&gt;='NILAI CPL'!$B$4,3,AL90&gt;='NILAI CPL'!$B$5,2,AL90&gt;'NILAI CPL'!$B$6,1),0),"")</f>
        <v/>
      </c>
      <c r="BJ90" s="2" t="str" cm="1">
        <f t="array" ref="BJ90">IF('NILAI CPL'!$B90&lt;&gt;"",IFERROR(_xlfn.IFS(AM90&gt;='NILAI CPL'!$B$3,4,AM90&gt;='NILAI CPL'!$B$4,3,AM90&gt;='NILAI CPL'!$B$5,2,AM90&gt;'NILAI CPL'!$B$6,1),0),"")</f>
        <v/>
      </c>
      <c r="BK90" s="2" t="str" cm="1">
        <f t="array" ref="BK90">IF('NILAI CPL'!$B90&lt;&gt;"",IFERROR(_xlfn.IFS(AN90&gt;='NILAI CPL'!$B$3,4,AN90&gt;='NILAI CPL'!$B$4,3,AN90&gt;='NILAI CPL'!$B$5,2,AN90&gt;'NILAI CPL'!$B$6,1),0),"")</f>
        <v/>
      </c>
    </row>
    <row r="93" spans="1:63" x14ac:dyDescent="0.2"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</row>
    <row r="94" spans="1:63" x14ac:dyDescent="0.2">
      <c r="B94" s="11" t="s">
        <v>6</v>
      </c>
      <c r="C94" s="11" t="s">
        <v>16</v>
      </c>
      <c r="D94" s="3" t="s">
        <v>79</v>
      </c>
      <c r="E94" s="11" t="s">
        <v>67</v>
      </c>
      <c r="F94" s="11" t="s">
        <v>68</v>
      </c>
      <c r="G94" s="11" t="s">
        <v>69</v>
      </c>
      <c r="H94" s="11" t="s">
        <v>70</v>
      </c>
      <c r="I94" s="11" t="s">
        <v>71</v>
      </c>
      <c r="J94" s="11" t="s">
        <v>72</v>
      </c>
      <c r="K94" s="11" t="s">
        <v>73</v>
      </c>
      <c r="L94" s="11" t="s">
        <v>74</v>
      </c>
      <c r="M94" s="11" t="s">
        <v>75</v>
      </c>
      <c r="N94" s="11" t="s">
        <v>76</v>
      </c>
      <c r="O94" s="11" t="s">
        <v>77</v>
      </c>
      <c r="P94" s="11" t="s">
        <v>78</v>
      </c>
    </row>
    <row r="95" spans="1:63" ht="17" x14ac:dyDescent="0.2">
      <c r="B95" s="55">
        <v>1</v>
      </c>
      <c r="C95" s="5" t="s">
        <v>39</v>
      </c>
      <c r="D95" s="10"/>
      <c r="E95" s="25">
        <v>0</v>
      </c>
      <c r="F95" s="25">
        <v>0</v>
      </c>
      <c r="G95" s="25">
        <v>0</v>
      </c>
      <c r="H95" s="25">
        <v>0</v>
      </c>
      <c r="I95" s="25">
        <v>0</v>
      </c>
      <c r="J95" s="25">
        <v>0</v>
      </c>
      <c r="K95" s="25">
        <v>0</v>
      </c>
      <c r="L95" s="25">
        <v>0</v>
      </c>
      <c r="M95" s="25">
        <v>0</v>
      </c>
      <c r="N95" s="25">
        <v>0</v>
      </c>
      <c r="O95" s="25">
        <v>0</v>
      </c>
      <c r="P95" s="25">
        <v>0</v>
      </c>
    </row>
    <row r="96" spans="1:63" ht="17" x14ac:dyDescent="0.2">
      <c r="B96" s="56"/>
      <c r="C96" s="5" t="s">
        <v>40</v>
      </c>
      <c r="D96" s="10"/>
      <c r="E96" s="25">
        <v>0</v>
      </c>
      <c r="F96" s="25">
        <v>0</v>
      </c>
      <c r="G96" s="25">
        <v>0</v>
      </c>
      <c r="H96" s="25">
        <v>0</v>
      </c>
      <c r="I96" s="25">
        <v>0</v>
      </c>
      <c r="J96" s="25">
        <v>0</v>
      </c>
      <c r="K96" s="25">
        <v>0</v>
      </c>
      <c r="L96" s="25">
        <v>0</v>
      </c>
      <c r="M96" s="25">
        <v>0</v>
      </c>
      <c r="N96" s="25">
        <v>0</v>
      </c>
      <c r="O96" s="25">
        <v>0</v>
      </c>
      <c r="P96" s="25">
        <v>0</v>
      </c>
    </row>
    <row r="97" spans="2:16" ht="17" x14ac:dyDescent="0.2">
      <c r="B97" s="55">
        <v>2</v>
      </c>
      <c r="C97" s="5" t="s">
        <v>41</v>
      </c>
      <c r="D97" s="10"/>
      <c r="E97" s="25">
        <v>0</v>
      </c>
      <c r="F97" s="25">
        <v>0</v>
      </c>
      <c r="G97" s="25">
        <v>0</v>
      </c>
      <c r="H97" s="25">
        <v>0</v>
      </c>
      <c r="I97" s="25">
        <v>0</v>
      </c>
      <c r="J97" s="25">
        <v>0</v>
      </c>
      <c r="K97" s="25">
        <v>0</v>
      </c>
      <c r="L97" s="25">
        <v>0</v>
      </c>
      <c r="M97" s="25">
        <v>0</v>
      </c>
      <c r="N97" s="25">
        <v>0</v>
      </c>
      <c r="O97" s="25">
        <v>0</v>
      </c>
      <c r="P97" s="25">
        <v>0</v>
      </c>
    </row>
    <row r="98" spans="2:16" ht="17" x14ac:dyDescent="0.2">
      <c r="B98" s="57"/>
      <c r="C98" s="5" t="s">
        <v>42</v>
      </c>
      <c r="D98" s="10"/>
      <c r="E98" s="25">
        <v>0</v>
      </c>
      <c r="F98" s="25">
        <v>0</v>
      </c>
      <c r="G98" s="25">
        <v>0</v>
      </c>
      <c r="H98" s="25">
        <v>0</v>
      </c>
      <c r="I98" s="25">
        <v>0</v>
      </c>
      <c r="J98" s="25">
        <v>0</v>
      </c>
      <c r="K98" s="25">
        <v>0</v>
      </c>
      <c r="L98" s="25">
        <v>0</v>
      </c>
      <c r="M98" s="25">
        <v>0</v>
      </c>
      <c r="N98" s="25">
        <v>0</v>
      </c>
      <c r="O98" s="25">
        <v>0</v>
      </c>
      <c r="P98" s="25">
        <v>0</v>
      </c>
    </row>
    <row r="99" spans="2:16" ht="17" x14ac:dyDescent="0.2">
      <c r="B99" s="57"/>
      <c r="C99" s="5" t="s">
        <v>43</v>
      </c>
      <c r="D99" s="10"/>
      <c r="E99" s="25">
        <v>0</v>
      </c>
      <c r="F99" s="25">
        <v>0</v>
      </c>
      <c r="G99" s="25">
        <v>0</v>
      </c>
      <c r="H99" s="25">
        <v>0</v>
      </c>
      <c r="I99" s="25">
        <v>0</v>
      </c>
      <c r="J99" s="25">
        <v>0</v>
      </c>
      <c r="K99" s="25">
        <v>0</v>
      </c>
      <c r="L99" s="25">
        <v>0</v>
      </c>
      <c r="M99" s="25">
        <v>0</v>
      </c>
      <c r="N99" s="25">
        <v>0</v>
      </c>
      <c r="O99" s="25">
        <v>0</v>
      </c>
      <c r="P99" s="25">
        <v>0</v>
      </c>
    </row>
    <row r="100" spans="2:16" ht="17" x14ac:dyDescent="0.2">
      <c r="B100" s="56"/>
      <c r="C100" s="5" t="s">
        <v>44</v>
      </c>
      <c r="D100" s="10"/>
      <c r="E100" s="25">
        <v>0</v>
      </c>
      <c r="F100" s="25">
        <v>0</v>
      </c>
      <c r="G100" s="25">
        <v>0</v>
      </c>
      <c r="H100" s="25">
        <v>0</v>
      </c>
      <c r="I100" s="25">
        <v>0</v>
      </c>
      <c r="J100" s="25">
        <v>0</v>
      </c>
      <c r="K100" s="25">
        <v>0</v>
      </c>
      <c r="L100" s="25">
        <v>0</v>
      </c>
      <c r="M100" s="25">
        <v>0</v>
      </c>
      <c r="N100" s="25">
        <v>0</v>
      </c>
      <c r="O100" s="25">
        <v>0</v>
      </c>
      <c r="P100" s="25">
        <v>0</v>
      </c>
    </row>
    <row r="101" spans="2:16" ht="17" x14ac:dyDescent="0.2">
      <c r="B101" s="55">
        <v>3</v>
      </c>
      <c r="C101" s="5" t="s">
        <v>45</v>
      </c>
      <c r="D101" s="10"/>
      <c r="E101" s="25">
        <v>0</v>
      </c>
      <c r="F101" s="25">
        <v>0</v>
      </c>
      <c r="G101" s="25">
        <v>0</v>
      </c>
      <c r="H101" s="25">
        <v>0</v>
      </c>
      <c r="I101" s="25">
        <v>0</v>
      </c>
      <c r="J101" s="25">
        <v>0</v>
      </c>
      <c r="K101" s="25">
        <v>0</v>
      </c>
      <c r="L101" s="25">
        <v>0</v>
      </c>
      <c r="M101" s="25">
        <v>0</v>
      </c>
      <c r="N101" s="25">
        <v>0</v>
      </c>
      <c r="O101" s="25">
        <v>0</v>
      </c>
      <c r="P101" s="25">
        <v>0</v>
      </c>
    </row>
    <row r="102" spans="2:16" ht="17" x14ac:dyDescent="0.2">
      <c r="B102" s="56"/>
      <c r="C102" s="5" t="s">
        <v>46</v>
      </c>
      <c r="D102" s="10"/>
      <c r="E102" s="25">
        <v>0</v>
      </c>
      <c r="F102" s="25">
        <v>0</v>
      </c>
      <c r="G102" s="25">
        <v>0</v>
      </c>
      <c r="H102" s="25">
        <v>0</v>
      </c>
      <c r="I102" s="25">
        <v>0</v>
      </c>
      <c r="J102" s="25">
        <v>0</v>
      </c>
      <c r="K102" s="25">
        <v>0</v>
      </c>
      <c r="L102" s="25">
        <v>0</v>
      </c>
      <c r="M102" s="25">
        <v>0</v>
      </c>
      <c r="N102" s="25">
        <v>0</v>
      </c>
      <c r="O102" s="25">
        <v>0</v>
      </c>
      <c r="P102" s="25">
        <v>0</v>
      </c>
    </row>
    <row r="103" spans="2:16" ht="17" x14ac:dyDescent="0.2">
      <c r="B103" s="55">
        <v>4</v>
      </c>
      <c r="C103" s="5" t="s">
        <v>47</v>
      </c>
      <c r="D103" s="10"/>
      <c r="E103" s="25">
        <v>0</v>
      </c>
      <c r="F103" s="25">
        <v>0</v>
      </c>
      <c r="G103" s="25">
        <v>0</v>
      </c>
      <c r="H103" s="25">
        <v>0</v>
      </c>
      <c r="I103" s="25">
        <v>0</v>
      </c>
      <c r="J103" s="25">
        <v>0</v>
      </c>
      <c r="K103" s="25">
        <v>0</v>
      </c>
      <c r="L103" s="25">
        <v>0</v>
      </c>
      <c r="M103" s="25">
        <v>0</v>
      </c>
      <c r="N103" s="25">
        <v>0</v>
      </c>
      <c r="O103" s="25">
        <v>0</v>
      </c>
      <c r="P103" s="25">
        <v>0</v>
      </c>
    </row>
    <row r="104" spans="2:16" ht="17" x14ac:dyDescent="0.2">
      <c r="B104" s="56"/>
      <c r="C104" s="5" t="s">
        <v>48</v>
      </c>
      <c r="D104" s="10"/>
      <c r="E104" s="25">
        <v>0</v>
      </c>
      <c r="F104" s="25">
        <v>0</v>
      </c>
      <c r="G104" s="25">
        <v>0</v>
      </c>
      <c r="H104" s="25">
        <v>0</v>
      </c>
      <c r="I104" s="25">
        <v>0</v>
      </c>
      <c r="J104" s="25">
        <v>0</v>
      </c>
      <c r="K104" s="25">
        <v>0</v>
      </c>
      <c r="L104" s="25">
        <v>0</v>
      </c>
      <c r="M104" s="25">
        <v>0</v>
      </c>
      <c r="N104" s="25">
        <v>0</v>
      </c>
      <c r="O104" s="25">
        <v>0</v>
      </c>
      <c r="P104" s="25">
        <v>0</v>
      </c>
    </row>
    <row r="105" spans="2:16" ht="17" x14ac:dyDescent="0.2">
      <c r="B105" s="55">
        <v>5</v>
      </c>
      <c r="C105" s="5" t="s">
        <v>49</v>
      </c>
      <c r="D105" s="10"/>
      <c r="E105" s="25">
        <v>0</v>
      </c>
      <c r="F105" s="25">
        <v>0</v>
      </c>
      <c r="G105" s="25">
        <v>0</v>
      </c>
      <c r="H105" s="25">
        <v>0</v>
      </c>
      <c r="I105" s="25">
        <v>0</v>
      </c>
      <c r="J105" s="25">
        <v>0</v>
      </c>
      <c r="K105" s="25">
        <v>0</v>
      </c>
      <c r="L105" s="25">
        <v>0</v>
      </c>
      <c r="M105" s="25">
        <v>0</v>
      </c>
      <c r="N105" s="25">
        <v>0</v>
      </c>
      <c r="O105" s="25">
        <v>0</v>
      </c>
      <c r="P105" s="25">
        <v>0</v>
      </c>
    </row>
    <row r="106" spans="2:16" ht="17" x14ac:dyDescent="0.2">
      <c r="B106" s="56"/>
      <c r="C106" s="5" t="s">
        <v>50</v>
      </c>
      <c r="D106" s="10"/>
      <c r="E106" s="25">
        <v>0</v>
      </c>
      <c r="F106" s="25">
        <v>0</v>
      </c>
      <c r="G106" s="25">
        <v>0</v>
      </c>
      <c r="H106" s="25">
        <v>0</v>
      </c>
      <c r="I106" s="25">
        <v>0</v>
      </c>
      <c r="J106" s="25">
        <v>0</v>
      </c>
      <c r="K106" s="25">
        <v>0</v>
      </c>
      <c r="L106" s="25">
        <v>0</v>
      </c>
      <c r="M106" s="25">
        <v>0</v>
      </c>
      <c r="N106" s="25">
        <v>0</v>
      </c>
      <c r="O106" s="25">
        <v>0</v>
      </c>
      <c r="P106" s="25">
        <v>0</v>
      </c>
    </row>
    <row r="107" spans="2:16" ht="17" x14ac:dyDescent="0.2">
      <c r="B107" s="55">
        <v>6</v>
      </c>
      <c r="C107" s="5" t="s">
        <v>51</v>
      </c>
      <c r="D107" s="10"/>
      <c r="E107" s="25">
        <v>0</v>
      </c>
      <c r="F107" s="25">
        <v>0</v>
      </c>
      <c r="G107" s="25">
        <v>0</v>
      </c>
      <c r="H107" s="25">
        <v>0</v>
      </c>
      <c r="I107" s="25">
        <v>0</v>
      </c>
      <c r="J107" s="25">
        <v>0</v>
      </c>
      <c r="K107" s="25">
        <v>0</v>
      </c>
      <c r="L107" s="25">
        <v>0</v>
      </c>
      <c r="M107" s="25">
        <v>0</v>
      </c>
      <c r="N107" s="25">
        <v>0</v>
      </c>
      <c r="O107" s="25">
        <v>0</v>
      </c>
      <c r="P107" s="25">
        <v>0</v>
      </c>
    </row>
    <row r="108" spans="2:16" ht="17" x14ac:dyDescent="0.2">
      <c r="B108" s="56"/>
      <c r="C108" s="5" t="s">
        <v>52</v>
      </c>
      <c r="D108" s="10"/>
      <c r="E108" s="25">
        <v>0</v>
      </c>
      <c r="F108" s="25">
        <v>0</v>
      </c>
      <c r="G108" s="25">
        <v>0</v>
      </c>
      <c r="H108" s="25">
        <v>0</v>
      </c>
      <c r="I108" s="25">
        <v>0</v>
      </c>
      <c r="J108" s="25">
        <v>0</v>
      </c>
      <c r="K108" s="25">
        <v>0</v>
      </c>
      <c r="L108" s="25">
        <v>0</v>
      </c>
      <c r="M108" s="25">
        <v>0</v>
      </c>
      <c r="N108" s="25">
        <v>0</v>
      </c>
      <c r="O108" s="25">
        <v>0</v>
      </c>
      <c r="P108" s="25">
        <v>0</v>
      </c>
    </row>
    <row r="109" spans="2:16" ht="17" x14ac:dyDescent="0.2">
      <c r="B109" s="55">
        <v>7</v>
      </c>
      <c r="C109" s="5" t="s">
        <v>53</v>
      </c>
      <c r="D109" s="10"/>
      <c r="E109" s="25">
        <v>0</v>
      </c>
      <c r="F109" s="25">
        <v>0</v>
      </c>
      <c r="G109" s="25">
        <v>0</v>
      </c>
      <c r="H109" s="25">
        <v>0</v>
      </c>
      <c r="I109" s="25">
        <v>0</v>
      </c>
      <c r="J109" s="25">
        <v>0</v>
      </c>
      <c r="K109" s="25">
        <v>0</v>
      </c>
      <c r="L109" s="25">
        <v>0</v>
      </c>
      <c r="M109" s="25">
        <v>0</v>
      </c>
      <c r="N109" s="25">
        <v>0</v>
      </c>
      <c r="O109" s="25">
        <v>0</v>
      </c>
      <c r="P109" s="25">
        <v>0</v>
      </c>
    </row>
    <row r="110" spans="2:16" ht="17" x14ac:dyDescent="0.2">
      <c r="B110" s="56"/>
      <c r="C110" s="5" t="s">
        <v>54</v>
      </c>
      <c r="D110" s="10"/>
      <c r="E110" s="25">
        <v>0</v>
      </c>
      <c r="F110" s="25">
        <v>0</v>
      </c>
      <c r="G110" s="25">
        <v>0</v>
      </c>
      <c r="H110" s="25">
        <v>0</v>
      </c>
      <c r="I110" s="25">
        <v>0</v>
      </c>
      <c r="J110" s="25">
        <v>0</v>
      </c>
      <c r="K110" s="25">
        <v>0</v>
      </c>
      <c r="L110" s="25">
        <v>0</v>
      </c>
      <c r="M110" s="25">
        <v>0</v>
      </c>
      <c r="N110" s="25">
        <v>0</v>
      </c>
      <c r="O110" s="25">
        <v>0</v>
      </c>
      <c r="P110" s="25">
        <v>0</v>
      </c>
    </row>
    <row r="111" spans="2:16" ht="17" x14ac:dyDescent="0.2">
      <c r="B111" s="55">
        <v>8</v>
      </c>
      <c r="C111" s="5" t="s">
        <v>55</v>
      </c>
      <c r="D111" s="10"/>
      <c r="E111" s="25">
        <v>0</v>
      </c>
      <c r="F111" s="25">
        <v>0</v>
      </c>
      <c r="G111" s="25">
        <v>0</v>
      </c>
      <c r="H111" s="25">
        <v>0</v>
      </c>
      <c r="I111" s="25">
        <v>0</v>
      </c>
      <c r="J111" s="25">
        <v>0</v>
      </c>
      <c r="K111" s="25">
        <v>0</v>
      </c>
      <c r="L111" s="25">
        <v>0</v>
      </c>
      <c r="M111" s="25">
        <v>0</v>
      </c>
      <c r="N111" s="25">
        <v>0</v>
      </c>
      <c r="O111" s="25">
        <v>0</v>
      </c>
      <c r="P111" s="25">
        <v>0</v>
      </c>
    </row>
    <row r="112" spans="2:16" ht="17" x14ac:dyDescent="0.2">
      <c r="B112" s="56"/>
      <c r="C112" s="5" t="s">
        <v>56</v>
      </c>
      <c r="D112" s="10"/>
      <c r="E112" s="25">
        <v>0</v>
      </c>
      <c r="F112" s="25">
        <v>0</v>
      </c>
      <c r="G112" s="25">
        <v>0</v>
      </c>
      <c r="H112" s="25">
        <v>0</v>
      </c>
      <c r="I112" s="25">
        <v>0</v>
      </c>
      <c r="J112" s="25">
        <v>0</v>
      </c>
      <c r="K112" s="25">
        <v>0</v>
      </c>
      <c r="L112" s="25">
        <v>0</v>
      </c>
      <c r="M112" s="25">
        <v>0</v>
      </c>
      <c r="N112" s="25">
        <v>0</v>
      </c>
      <c r="O112" s="25">
        <v>0</v>
      </c>
      <c r="P112" s="25">
        <v>0</v>
      </c>
    </row>
    <row r="113" spans="2:16" ht="17" x14ac:dyDescent="0.2">
      <c r="B113" s="55">
        <v>9</v>
      </c>
      <c r="C113" s="5" t="s">
        <v>57</v>
      </c>
      <c r="D113" s="10"/>
      <c r="E113" s="25">
        <v>0</v>
      </c>
      <c r="F113" s="25">
        <v>0</v>
      </c>
      <c r="G113" s="25">
        <v>0</v>
      </c>
      <c r="H113" s="25">
        <v>0</v>
      </c>
      <c r="I113" s="25">
        <v>0</v>
      </c>
      <c r="J113" s="25">
        <v>0</v>
      </c>
      <c r="K113" s="25">
        <v>0</v>
      </c>
      <c r="L113" s="25">
        <v>0</v>
      </c>
      <c r="M113" s="25">
        <v>0</v>
      </c>
      <c r="N113" s="25">
        <v>0</v>
      </c>
      <c r="O113" s="25">
        <v>0</v>
      </c>
      <c r="P113" s="25">
        <v>0</v>
      </c>
    </row>
    <row r="114" spans="2:16" ht="17" x14ac:dyDescent="0.2">
      <c r="B114" s="56"/>
      <c r="C114" s="5" t="s">
        <v>58</v>
      </c>
      <c r="D114" s="10"/>
      <c r="E114" s="25">
        <v>0</v>
      </c>
      <c r="F114" s="25">
        <v>0</v>
      </c>
      <c r="G114" s="25">
        <v>0</v>
      </c>
      <c r="H114" s="25">
        <v>0</v>
      </c>
      <c r="I114" s="25">
        <v>0</v>
      </c>
      <c r="J114" s="25">
        <v>0</v>
      </c>
      <c r="K114" s="25">
        <v>0</v>
      </c>
      <c r="L114" s="25">
        <v>0</v>
      </c>
      <c r="M114" s="25">
        <v>0</v>
      </c>
      <c r="N114" s="25">
        <v>0</v>
      </c>
      <c r="O114" s="25">
        <v>0</v>
      </c>
      <c r="P114" s="25">
        <v>0</v>
      </c>
    </row>
    <row r="115" spans="2:16" ht="17" x14ac:dyDescent="0.2">
      <c r="B115" s="55">
        <v>10</v>
      </c>
      <c r="C115" s="5" t="s">
        <v>59</v>
      </c>
      <c r="D115" s="10"/>
      <c r="E115" s="25">
        <v>0</v>
      </c>
      <c r="F115" s="25">
        <v>0</v>
      </c>
      <c r="G115" s="25">
        <v>0</v>
      </c>
      <c r="H115" s="25">
        <v>0</v>
      </c>
      <c r="I115" s="25">
        <v>0</v>
      </c>
      <c r="J115" s="25">
        <v>0</v>
      </c>
      <c r="K115" s="25">
        <v>0</v>
      </c>
      <c r="L115" s="25">
        <v>0</v>
      </c>
      <c r="M115" s="25">
        <v>0</v>
      </c>
      <c r="N115" s="25">
        <v>0</v>
      </c>
      <c r="O115" s="25">
        <v>0</v>
      </c>
      <c r="P115" s="25">
        <v>0</v>
      </c>
    </row>
    <row r="116" spans="2:16" ht="17" x14ac:dyDescent="0.2">
      <c r="B116" s="56"/>
      <c r="C116" s="5" t="s">
        <v>60</v>
      </c>
      <c r="D116" s="10"/>
      <c r="E116" s="25">
        <v>0</v>
      </c>
      <c r="F116" s="25">
        <v>0</v>
      </c>
      <c r="G116" s="25">
        <v>0</v>
      </c>
      <c r="H116" s="25">
        <v>0</v>
      </c>
      <c r="I116" s="25">
        <v>0</v>
      </c>
      <c r="J116" s="25">
        <v>0</v>
      </c>
      <c r="K116" s="25">
        <v>0</v>
      </c>
      <c r="L116" s="25">
        <v>0</v>
      </c>
      <c r="M116" s="25">
        <v>0</v>
      </c>
      <c r="N116" s="25">
        <v>0</v>
      </c>
      <c r="O116" s="25">
        <v>0</v>
      </c>
      <c r="P116" s="25">
        <v>0</v>
      </c>
    </row>
  </sheetData>
  <mergeCells count="31">
    <mergeCell ref="B111:B112"/>
    <mergeCell ref="B113:B114"/>
    <mergeCell ref="B115:B116"/>
    <mergeCell ref="B97:B100"/>
    <mergeCell ref="B101:B102"/>
    <mergeCell ref="B103:B104"/>
    <mergeCell ref="B105:B106"/>
    <mergeCell ref="B107:B108"/>
    <mergeCell ref="B109:B110"/>
    <mergeCell ref="AG9:AH9"/>
    <mergeCell ref="AI9:AJ9"/>
    <mergeCell ref="AK9:AL9"/>
    <mergeCell ref="AM9:AN9"/>
    <mergeCell ref="E93:P93"/>
    <mergeCell ref="AC9:AD9"/>
    <mergeCell ref="AE9:AF9"/>
    <mergeCell ref="B95:B96"/>
    <mergeCell ref="S9:T9"/>
    <mergeCell ref="U9:X9"/>
    <mergeCell ref="Y9:Z9"/>
    <mergeCell ref="AA9:AB9"/>
    <mergeCell ref="AP9:AQ9"/>
    <mergeCell ref="AR9:AU9"/>
    <mergeCell ref="AV9:AW9"/>
    <mergeCell ref="AX9:AY9"/>
    <mergeCell ref="AZ9:BA9"/>
    <mergeCell ref="BB9:BC9"/>
    <mergeCell ref="BD9:BE9"/>
    <mergeCell ref="BF9:BG9"/>
    <mergeCell ref="BH9:BI9"/>
    <mergeCell ref="BJ9:BK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343D8-B5A2-DE4B-A771-20022F16F2B3}">
  <sheetPr codeName="Sheet6"/>
  <dimension ref="A1:BK116"/>
  <sheetViews>
    <sheetView showGridLines="0" zoomScale="91" zoomScaleNormal="100" workbookViewId="0"/>
  </sheetViews>
  <sheetFormatPr baseColWidth="10" defaultRowHeight="16" x14ac:dyDescent="0.2"/>
  <cols>
    <col min="1" max="2" width="10.83203125" style="6"/>
    <col min="3" max="3" width="22.83203125" style="6" bestFit="1" customWidth="1"/>
    <col min="4" max="16384" width="10.83203125" style="6"/>
  </cols>
  <sheetData>
    <row r="1" spans="1:63" x14ac:dyDescent="0.2">
      <c r="A1" s="3" t="s">
        <v>66</v>
      </c>
      <c r="B1" s="14" t="str" cm="1">
        <f t="array" aca="1" ref="B1" ca="1">GetCurrentSheetName()</f>
        <v>UJIAN 1</v>
      </c>
    </row>
    <row r="2" spans="1:63" x14ac:dyDescent="0.2">
      <c r="A2" s="3" t="s">
        <v>61</v>
      </c>
      <c r="B2" s="25">
        <v>1</v>
      </c>
    </row>
    <row r="3" spans="1:63" x14ac:dyDescent="0.2">
      <c r="A3" s="3" t="s">
        <v>80</v>
      </c>
      <c r="B3" s="25">
        <v>1</v>
      </c>
    </row>
    <row r="7" spans="1:63" x14ac:dyDescent="0.2">
      <c r="A7" s="3"/>
      <c r="B7" s="3"/>
      <c r="C7" s="3"/>
      <c r="D7" s="3" t="s">
        <v>79</v>
      </c>
      <c r="E7" s="11" t="s">
        <v>93</v>
      </c>
      <c r="F7" s="11" t="s">
        <v>94</v>
      </c>
      <c r="G7" s="11" t="s">
        <v>95</v>
      </c>
      <c r="H7" s="11" t="s">
        <v>96</v>
      </c>
      <c r="I7" s="11" t="s">
        <v>71</v>
      </c>
      <c r="J7" s="11" t="s">
        <v>72</v>
      </c>
      <c r="K7" s="11" t="s">
        <v>73</v>
      </c>
      <c r="L7" s="11" t="s">
        <v>74</v>
      </c>
      <c r="M7" s="11" t="s">
        <v>75</v>
      </c>
      <c r="N7" s="11" t="s">
        <v>76</v>
      </c>
      <c r="O7" s="11" t="s">
        <v>77</v>
      </c>
      <c r="P7" s="11" t="s">
        <v>78</v>
      </c>
      <c r="Q7" s="21" t="s">
        <v>65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63" x14ac:dyDescent="0.2">
      <c r="A8" s="3"/>
      <c r="B8" s="3"/>
      <c r="C8" s="3"/>
      <c r="D8" s="3" t="s">
        <v>63</v>
      </c>
      <c r="E8" s="19">
        <f>IFERROR(ROUNDUP(STDEV(E11:E90),2),0)</f>
        <v>0</v>
      </c>
      <c r="F8" s="19">
        <f t="shared" ref="F8:Q8" si="0">IFERROR(ROUNDUP(STDEV(F11:F90),2),0)</f>
        <v>0</v>
      </c>
      <c r="G8" s="19">
        <f t="shared" si="0"/>
        <v>0</v>
      </c>
      <c r="H8" s="19">
        <f t="shared" si="0"/>
        <v>0</v>
      </c>
      <c r="I8" s="19">
        <f t="shared" si="0"/>
        <v>0</v>
      </c>
      <c r="J8" s="19">
        <f t="shared" si="0"/>
        <v>0</v>
      </c>
      <c r="K8" s="19">
        <f t="shared" si="0"/>
        <v>0</v>
      </c>
      <c r="L8" s="19">
        <f t="shared" si="0"/>
        <v>0</v>
      </c>
      <c r="M8" s="19">
        <f t="shared" si="0"/>
        <v>0</v>
      </c>
      <c r="N8" s="19">
        <f t="shared" si="0"/>
        <v>0</v>
      </c>
      <c r="O8" s="19">
        <f t="shared" si="0"/>
        <v>0</v>
      </c>
      <c r="P8" s="19">
        <f t="shared" si="0"/>
        <v>0</v>
      </c>
      <c r="Q8" s="19">
        <f t="shared" si="0"/>
        <v>0</v>
      </c>
      <c r="R8" s="3"/>
      <c r="S8" s="3"/>
      <c r="T8" s="9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</row>
    <row r="9" spans="1:63" x14ac:dyDescent="0.2">
      <c r="A9" s="3"/>
      <c r="B9" s="3"/>
      <c r="C9" s="3"/>
      <c r="D9" s="3" t="s">
        <v>62</v>
      </c>
      <c r="E9" s="20">
        <f>IFERROR(ROUNDUP(AVERAGE(E11:E90),2),0)</f>
        <v>0</v>
      </c>
      <c r="F9" s="20">
        <f t="shared" ref="F9:Q9" si="1">IFERROR(ROUNDUP(AVERAGE(F11:F90),2),0)</f>
        <v>0</v>
      </c>
      <c r="G9" s="20">
        <f t="shared" si="1"/>
        <v>0</v>
      </c>
      <c r="H9" s="20">
        <f t="shared" si="1"/>
        <v>0</v>
      </c>
      <c r="I9" s="20">
        <f t="shared" si="1"/>
        <v>0</v>
      </c>
      <c r="J9" s="20">
        <f t="shared" si="1"/>
        <v>0</v>
      </c>
      <c r="K9" s="20">
        <f t="shared" si="1"/>
        <v>0</v>
      </c>
      <c r="L9" s="20">
        <f t="shared" si="1"/>
        <v>0</v>
      </c>
      <c r="M9" s="20">
        <f t="shared" si="1"/>
        <v>0</v>
      </c>
      <c r="N9" s="20">
        <f t="shared" si="1"/>
        <v>0</v>
      </c>
      <c r="O9" s="20">
        <f t="shared" si="1"/>
        <v>0</v>
      </c>
      <c r="P9" s="20">
        <f t="shared" si="1"/>
        <v>0</v>
      </c>
      <c r="Q9" s="20">
        <f t="shared" si="1"/>
        <v>0</v>
      </c>
      <c r="R9" s="8" t="s">
        <v>6</v>
      </c>
      <c r="S9" s="48">
        <v>1</v>
      </c>
      <c r="T9" s="49"/>
      <c r="U9" s="52">
        <v>2</v>
      </c>
      <c r="V9" s="53"/>
      <c r="W9" s="53"/>
      <c r="X9" s="54"/>
      <c r="Y9" s="52">
        <v>3</v>
      </c>
      <c r="Z9" s="54"/>
      <c r="AA9" s="52">
        <v>4</v>
      </c>
      <c r="AB9" s="54"/>
      <c r="AC9" s="52">
        <v>5</v>
      </c>
      <c r="AD9" s="54"/>
      <c r="AE9" s="52">
        <v>6</v>
      </c>
      <c r="AF9" s="54"/>
      <c r="AG9" s="48">
        <v>7</v>
      </c>
      <c r="AH9" s="49"/>
      <c r="AI9" s="48">
        <v>8</v>
      </c>
      <c r="AJ9" s="49"/>
      <c r="AK9" s="48">
        <v>9</v>
      </c>
      <c r="AL9" s="49"/>
      <c r="AM9" s="48">
        <v>10</v>
      </c>
      <c r="AN9" s="49"/>
      <c r="AO9" s="8" t="s">
        <v>6</v>
      </c>
      <c r="AP9" s="42">
        <v>1</v>
      </c>
      <c r="AQ9" s="42"/>
      <c r="AR9" s="41">
        <v>2</v>
      </c>
      <c r="AS9" s="41"/>
      <c r="AT9" s="41"/>
      <c r="AU9" s="41"/>
      <c r="AV9" s="41">
        <v>3</v>
      </c>
      <c r="AW9" s="41"/>
      <c r="AX9" s="41">
        <v>4</v>
      </c>
      <c r="AY9" s="41"/>
      <c r="AZ9" s="41">
        <v>5</v>
      </c>
      <c r="BA9" s="41"/>
      <c r="BB9" s="41">
        <v>6</v>
      </c>
      <c r="BC9" s="41"/>
      <c r="BD9" s="42">
        <v>7</v>
      </c>
      <c r="BE9" s="42"/>
      <c r="BF9" s="42">
        <v>8</v>
      </c>
      <c r="BG9" s="42"/>
      <c r="BH9" s="42">
        <v>9</v>
      </c>
      <c r="BI9" s="42"/>
      <c r="BJ9" s="42">
        <v>10</v>
      </c>
      <c r="BK9" s="42"/>
    </row>
    <row r="10" spans="1:63" x14ac:dyDescent="0.2">
      <c r="A10" s="11" t="s">
        <v>5</v>
      </c>
      <c r="B10" s="11" t="s">
        <v>0</v>
      </c>
      <c r="C10" s="11" t="s">
        <v>1</v>
      </c>
      <c r="D10" s="3" t="s">
        <v>61</v>
      </c>
      <c r="E10" s="26">
        <v>1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2"/>
      <c r="R10" s="8" t="s">
        <v>16</v>
      </c>
      <c r="S10" s="16" t="s">
        <v>39</v>
      </c>
      <c r="T10" s="16" t="s">
        <v>40</v>
      </c>
      <c r="U10" s="16" t="s">
        <v>41</v>
      </c>
      <c r="V10" s="16" t="s">
        <v>42</v>
      </c>
      <c r="W10" s="16" t="s">
        <v>43</v>
      </c>
      <c r="X10" s="16" t="s">
        <v>44</v>
      </c>
      <c r="Y10" s="16" t="s">
        <v>45</v>
      </c>
      <c r="Z10" s="16" t="s">
        <v>46</v>
      </c>
      <c r="AA10" s="16" t="s">
        <v>47</v>
      </c>
      <c r="AB10" s="16" t="s">
        <v>48</v>
      </c>
      <c r="AC10" s="16" t="s">
        <v>49</v>
      </c>
      <c r="AD10" s="16" t="s">
        <v>50</v>
      </c>
      <c r="AE10" s="16" t="s">
        <v>51</v>
      </c>
      <c r="AF10" s="16" t="s">
        <v>52</v>
      </c>
      <c r="AG10" s="16" t="s">
        <v>53</v>
      </c>
      <c r="AH10" s="16" t="s">
        <v>54</v>
      </c>
      <c r="AI10" s="16" t="s">
        <v>55</v>
      </c>
      <c r="AJ10" s="16" t="s">
        <v>56</v>
      </c>
      <c r="AK10" s="16" t="s">
        <v>57</v>
      </c>
      <c r="AL10" s="16" t="s">
        <v>58</v>
      </c>
      <c r="AM10" s="16" t="s">
        <v>59</v>
      </c>
      <c r="AN10" s="16" t="s">
        <v>60</v>
      </c>
      <c r="AO10" s="8" t="s">
        <v>16</v>
      </c>
      <c r="AP10" s="31" t="s">
        <v>39</v>
      </c>
      <c r="AQ10" s="31" t="s">
        <v>40</v>
      </c>
      <c r="AR10" s="31" t="s">
        <v>41</v>
      </c>
      <c r="AS10" s="31" t="s">
        <v>42</v>
      </c>
      <c r="AT10" s="31" t="s">
        <v>43</v>
      </c>
      <c r="AU10" s="31" t="s">
        <v>44</v>
      </c>
      <c r="AV10" s="31" t="s">
        <v>45</v>
      </c>
      <c r="AW10" s="31" t="s">
        <v>46</v>
      </c>
      <c r="AX10" s="31" t="s">
        <v>47</v>
      </c>
      <c r="AY10" s="31" t="s">
        <v>48</v>
      </c>
      <c r="AZ10" s="31" t="s">
        <v>49</v>
      </c>
      <c r="BA10" s="31" t="s">
        <v>50</v>
      </c>
      <c r="BB10" s="31" t="s">
        <v>51</v>
      </c>
      <c r="BC10" s="31" t="s">
        <v>52</v>
      </c>
      <c r="BD10" s="31" t="s">
        <v>53</v>
      </c>
      <c r="BE10" s="31" t="s">
        <v>54</v>
      </c>
      <c r="BF10" s="31" t="s">
        <v>55</v>
      </c>
      <c r="BG10" s="31" t="s">
        <v>56</v>
      </c>
      <c r="BH10" s="31" t="s">
        <v>57</v>
      </c>
      <c r="BI10" s="31" t="s">
        <v>58</v>
      </c>
      <c r="BJ10" s="31" t="s">
        <v>59</v>
      </c>
      <c r="BK10" s="31" t="s">
        <v>60</v>
      </c>
    </row>
    <row r="11" spans="1:63" x14ac:dyDescent="0.2">
      <c r="A11" s="2">
        <v>1</v>
      </c>
      <c r="B11" s="2" t="str">
        <f>IF(LEN(SUMMARY!B11)&gt;0, SUMMARY!B11, "")</f>
        <v/>
      </c>
      <c r="C11" s="2" t="str">
        <f>IF(LEN(SUMMARY!C11)&gt;0, SUMMARY!C11, "")</f>
        <v/>
      </c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" t="str">
        <f>IF(B11&lt;&gt;"",IFERROR(ROUNDUP(SUMPRODUCT($E$10:$P$10,E11:P11)/SUM($E$10:$P$10),2),0),"")</f>
        <v/>
      </c>
      <c r="S11" s="2" t="str">
        <f>IF(B11&lt;&gt;"",IFERROR(ROUNDUP(SUMPRODUCT(E11:P11,$E$95:$P$95)/SUM($E$95:$P$95),2),0),"")</f>
        <v/>
      </c>
      <c r="T11" s="2" t="str">
        <f>IF(B11&lt;&gt;"",IFERROR(ROUNDUP(SUMPRODUCT(E11:P11,$E$96:$P$96)/SUM($E$96:$P$96),2),0),"")</f>
        <v/>
      </c>
      <c r="U11" s="2" t="str">
        <f>IF(B11&lt;&gt;"",IFERROR(ROUNDUP(SUMPRODUCT(E11:P11,$E$97:$P$97)/SUM($E$97:$P$97),2),0),"")</f>
        <v/>
      </c>
      <c r="V11" s="2" t="str">
        <f>IF(B11&lt;&gt;"",IFERROR(ROUNDUP(SUMPRODUCT(E11:P11,$E$98:$P$98)/SUM($E$98:$P$98),2),0),"")</f>
        <v/>
      </c>
      <c r="W11" s="2" t="str">
        <f>IF(B11&lt;&gt;"",IFERROR(ROUNDUP(SUMPRODUCT(E11:P11,$E$99:$P$99)/SUM($E$99:$P$99),2),0),"")</f>
        <v/>
      </c>
      <c r="X11" s="2" t="str">
        <f>IF(B11&lt;&gt;"",IFERROR(ROUNDUP(SUMPRODUCT(E11:P11,$E$100:$P$100)/SUM($E$100:$P$100),2),0),"")</f>
        <v/>
      </c>
      <c r="Y11" s="2" t="str">
        <f>IF(B11&lt;&gt;"",IFERROR(ROUNDUP(SUMPRODUCT(E11:P11,$E$101:$P$101)/SUM($E$101:$P$101),2),0),"")</f>
        <v/>
      </c>
      <c r="Z11" s="2" t="str">
        <f>IF(B11&lt;&gt;"",IFERROR(ROUNDUP(SUMPRODUCT(E11:P11,$E$102:$P$102)/SUM($E$102:$P$102),2),0),"")</f>
        <v/>
      </c>
      <c r="AA11" s="2" t="str">
        <f>IF(B11&lt;&gt;"",IFERROR(ROUNDUP(SUMPRODUCT(E11:P11,$E$103:$P$103)/SUM($E$103:$P$103),2),0),"")</f>
        <v/>
      </c>
      <c r="AB11" s="2" t="str">
        <f>IF(B11&lt;&gt;"",IFERROR(ROUNDUP(SUMPRODUCT(E11:P11,$E$104:$P$104)/SUM($E$104:$P$104),2),0),"")</f>
        <v/>
      </c>
      <c r="AC11" s="2" t="str">
        <f>IF(B11&lt;&gt;"",IFERROR(ROUNDUP(SUMPRODUCT(E11:P11,$E$105:$P$105)/SUM($E$105:$P$105),2),0),"")</f>
        <v/>
      </c>
      <c r="AD11" s="2" t="str">
        <f>IF(B11&lt;&gt;"",IFERROR(ROUNDUP(SUMPRODUCT(E11:P11,$E$106:$P$106)/SUM($E$106:$P$106),2),0),"")</f>
        <v/>
      </c>
      <c r="AE11" s="2" t="str">
        <f>IF(B11&lt;&gt;"",IFERROR(ROUNDUP(SUMPRODUCT(E11:P11,$E$107:$P$107)/SUM($E$107:$P$107),2),0),"")</f>
        <v/>
      </c>
      <c r="AF11" s="2" t="str">
        <f>IF(B11&lt;&gt;"",IFERROR(ROUNDUP(SUMPRODUCT(E11:P11,$E$108:$P$108)/SUM($E$108:$P$108),2),0),"")</f>
        <v/>
      </c>
      <c r="AG11" s="2" t="str">
        <f>IF(B11&lt;&gt;"",IFERROR(ROUNDUP(SUMPRODUCT(E11:P11,$E$109:$P$109)/SUM($E$109:$P$109),2),0),"")</f>
        <v/>
      </c>
      <c r="AH11" s="2" t="str">
        <f>IF(B11&lt;&gt;"",IFERROR(ROUNDUP(SUMPRODUCT(E11:P11,$E$110:$P$110)/SUM($E$110:$P$110),2),0),"")</f>
        <v/>
      </c>
      <c r="AI11" s="2" t="str">
        <f>IF(B11&lt;&gt;"",IFERROR(ROUNDUP(SUMPRODUCT(E11:P11,$E$111:$P$111)/SUM($E$111:$P$111),2),0),"")</f>
        <v/>
      </c>
      <c r="AJ11" s="2" t="str">
        <f>IF(B11&lt;&gt;"",IFERROR(ROUNDUP(SUMPRODUCT(E11:P11,$E$112:$P$112)/SUM($E$112:$P$112),2),0),"")</f>
        <v/>
      </c>
      <c r="AK11" s="2" t="str">
        <f>IF(B11&lt;&gt;"",IFERROR(ROUNDUP(SUMPRODUCT(E11:P11,$E$113:$P$113)/SUM($E$113:$P$113),2),0),"")</f>
        <v/>
      </c>
      <c r="AL11" s="2" t="str">
        <f>IF(B11&lt;&gt;"",IFERROR(ROUNDUP(SUMPRODUCT(E11:P11,$E$114:$P$114)/SUM($E$114:$P$114),2),0),"")</f>
        <v/>
      </c>
      <c r="AM11" s="2" t="str">
        <f>IF(B11&lt;&gt;"",IFERROR(ROUNDUP(SUMPRODUCT(E11:P11,$E$115:$P$115)/SUM($E$115:$P$115),2),0),"")</f>
        <v/>
      </c>
      <c r="AN11" s="2" t="str">
        <f>IF(B11&lt;&gt;"",IFERROR(ROUNDUP(SUMPRODUCT(E11:P11,$E$116:$P$116)/SUM($E$116:$P$116),2),0),"")</f>
        <v/>
      </c>
      <c r="AP11" s="2" t="str" cm="1">
        <f t="array" ref="AP11">IF('NILAI CPL'!$B11&lt;&gt;"",IFERROR(_xlfn.IFS(S11&gt;='NILAI CPL'!$B$3,4,S11&gt;='NILAI CPL'!$B$4,3,S11&gt;='NILAI CPL'!$B$5,2,S11&gt;'NILAI CPL'!$B$6,1),0),"")</f>
        <v/>
      </c>
      <c r="AQ11" s="2" t="str" cm="1">
        <f t="array" ref="AQ11">IF('NILAI CPL'!$B11&lt;&gt;"",IFERROR(_xlfn.IFS(T11&gt;='NILAI CPL'!$B$3,4,T11&gt;='NILAI CPL'!$B$4,3,T11&gt;='NILAI CPL'!$B$5,2,T11&gt;'NILAI CPL'!$B$6,1),0),"")</f>
        <v/>
      </c>
      <c r="AR11" s="2" t="str" cm="1">
        <f t="array" ref="AR11">IF('NILAI CPL'!$B11&lt;&gt;"",IFERROR(_xlfn.IFS(U11&gt;='NILAI CPL'!$B$3,4,U11&gt;='NILAI CPL'!$B$4,3,U11&gt;='NILAI CPL'!$B$5,2,U11&gt;'NILAI CPL'!$B$6,1),0),"")</f>
        <v/>
      </c>
      <c r="AS11" s="2" t="str" cm="1">
        <f t="array" ref="AS11">IF('NILAI CPL'!$B11&lt;&gt;"",IFERROR(_xlfn.IFS(V11&gt;='NILAI CPL'!$B$3,4,V11&gt;='NILAI CPL'!$B$4,3,V11&gt;='NILAI CPL'!$B$5,2,V11&gt;'NILAI CPL'!$B$6,1),0),"")</f>
        <v/>
      </c>
      <c r="AT11" s="2" t="str" cm="1">
        <f t="array" ref="AT11">IF('NILAI CPL'!$B11&lt;&gt;"",IFERROR(_xlfn.IFS(W11&gt;='NILAI CPL'!$B$3,4,W11&gt;='NILAI CPL'!$B$4,3,W11&gt;='NILAI CPL'!$B$5,2,W11&gt;'NILAI CPL'!$B$6,1),0),"")</f>
        <v/>
      </c>
      <c r="AU11" s="2" t="str" cm="1">
        <f t="array" ref="AU11">IF('NILAI CPL'!$B11&lt;&gt;"",IFERROR(_xlfn.IFS(X11&gt;='NILAI CPL'!$B$3,4,X11&gt;='NILAI CPL'!$B$4,3,X11&gt;='NILAI CPL'!$B$5,2,X11&gt;'NILAI CPL'!$B$6,1),0),"")</f>
        <v/>
      </c>
      <c r="AV11" s="2" t="str" cm="1">
        <f t="array" ref="AV11">IF('NILAI CPL'!$B11&lt;&gt;"",IFERROR(_xlfn.IFS(Y11&gt;='NILAI CPL'!$B$3,4,Y11&gt;='NILAI CPL'!$B$4,3,Y11&gt;='NILAI CPL'!$B$5,2,Y11&gt;'NILAI CPL'!$B$6,1),0),"")</f>
        <v/>
      </c>
      <c r="AW11" s="2" t="str" cm="1">
        <f t="array" ref="AW11">IF('NILAI CPL'!$B11&lt;&gt;"",IFERROR(_xlfn.IFS(Z11&gt;='NILAI CPL'!$B$3,4,Z11&gt;='NILAI CPL'!$B$4,3,Z11&gt;='NILAI CPL'!$B$5,2,Z11&gt;'NILAI CPL'!$B$6,1),0),"")</f>
        <v/>
      </c>
      <c r="AX11" s="2" t="str" cm="1">
        <f t="array" ref="AX11">IF('NILAI CPL'!$B11&lt;&gt;"",IFERROR(_xlfn.IFS(AA11&gt;='NILAI CPL'!$B$3,4,AA11&gt;='NILAI CPL'!$B$4,3,AA11&gt;='NILAI CPL'!$B$5,2,AA11&gt;'NILAI CPL'!$B$6,1),0),"")</f>
        <v/>
      </c>
      <c r="AY11" s="2" t="str" cm="1">
        <f t="array" ref="AY11">IF('NILAI CPL'!$B11&lt;&gt;"",IFERROR(_xlfn.IFS(AB11&gt;='NILAI CPL'!$B$3,4,AB11&gt;='NILAI CPL'!$B$4,3,AB11&gt;='NILAI CPL'!$B$5,2,AB11&gt;'NILAI CPL'!$B$6,1),0),"")</f>
        <v/>
      </c>
      <c r="AZ11" s="2" t="str" cm="1">
        <f t="array" ref="AZ11">IF('NILAI CPL'!$B11&lt;&gt;"",IFERROR(_xlfn.IFS(AC11&gt;='NILAI CPL'!$B$3,4,AC11&gt;='NILAI CPL'!$B$4,3,AC11&gt;='NILAI CPL'!$B$5,2,AC11&gt;'NILAI CPL'!$B$6,1),0),"")</f>
        <v/>
      </c>
      <c r="BA11" s="2" t="str" cm="1">
        <f t="array" ref="BA11">IF('NILAI CPL'!$B11&lt;&gt;"",IFERROR(_xlfn.IFS(AD11&gt;='NILAI CPL'!$B$3,4,AD11&gt;='NILAI CPL'!$B$4,3,AD11&gt;='NILAI CPL'!$B$5,2,AD11&gt;'NILAI CPL'!$B$6,1),0),"")</f>
        <v/>
      </c>
      <c r="BB11" s="2" t="str" cm="1">
        <f t="array" ref="BB11">IF('NILAI CPL'!$B11&lt;&gt;"",IFERROR(_xlfn.IFS(AE11&gt;='NILAI CPL'!$B$3,4,AE11&gt;='NILAI CPL'!$B$4,3,AE11&gt;='NILAI CPL'!$B$5,2,AE11&gt;'NILAI CPL'!$B$6,1),0),"")</f>
        <v/>
      </c>
      <c r="BC11" s="2" t="str" cm="1">
        <f t="array" ref="BC11">IF('NILAI CPL'!$B11&lt;&gt;"",IFERROR(_xlfn.IFS(AF11&gt;='NILAI CPL'!$B$3,4,AF11&gt;='NILAI CPL'!$B$4,3,AF11&gt;='NILAI CPL'!$B$5,2,AF11&gt;'NILAI CPL'!$B$6,1),0),"")</f>
        <v/>
      </c>
      <c r="BD11" s="2" t="str" cm="1">
        <f t="array" ref="BD11">IF('NILAI CPL'!$B11&lt;&gt;"",IFERROR(_xlfn.IFS(AG11&gt;='NILAI CPL'!$B$3,4,AG11&gt;='NILAI CPL'!$B$4,3,AG11&gt;='NILAI CPL'!$B$5,2,AG11&gt;'NILAI CPL'!$B$6,1),0),"")</f>
        <v/>
      </c>
      <c r="BE11" s="2" t="str" cm="1">
        <f t="array" ref="BE11">IF('NILAI CPL'!$B11&lt;&gt;"",IFERROR(_xlfn.IFS(AH11&gt;='NILAI CPL'!$B$3,4,AH11&gt;='NILAI CPL'!$B$4,3,AH11&gt;='NILAI CPL'!$B$5,2,AH11&gt;'NILAI CPL'!$B$6,1),0),"")</f>
        <v/>
      </c>
      <c r="BF11" s="2" t="str" cm="1">
        <f t="array" ref="BF11">IF('NILAI CPL'!$B11&lt;&gt;"",IFERROR(_xlfn.IFS(AI11&gt;='NILAI CPL'!$B$3,4,AI11&gt;='NILAI CPL'!$B$4,3,AI11&gt;='NILAI CPL'!$B$5,2,AI11&gt;'NILAI CPL'!$B$6,1),0),"")</f>
        <v/>
      </c>
      <c r="BG11" s="2" t="str" cm="1">
        <f t="array" ref="BG11">IF('NILAI CPL'!$B11&lt;&gt;"",IFERROR(_xlfn.IFS(AJ11&gt;='NILAI CPL'!$B$3,4,AJ11&gt;='NILAI CPL'!$B$4,3,AJ11&gt;='NILAI CPL'!$B$5,2,AJ11&gt;'NILAI CPL'!$B$6,1),0),"")</f>
        <v/>
      </c>
      <c r="BH11" s="2" t="str" cm="1">
        <f t="array" ref="BH11">IF('NILAI CPL'!$B11&lt;&gt;"",IFERROR(_xlfn.IFS(AK11&gt;='NILAI CPL'!$B$3,4,AK11&gt;='NILAI CPL'!$B$4,3,AK11&gt;='NILAI CPL'!$B$5,2,AK11&gt;'NILAI CPL'!$B$6,1),0),"")</f>
        <v/>
      </c>
      <c r="BI11" s="2" t="str" cm="1">
        <f t="array" ref="BI11">IF('NILAI CPL'!$B11&lt;&gt;"",IFERROR(_xlfn.IFS(AL11&gt;='NILAI CPL'!$B$3,4,AL11&gt;='NILAI CPL'!$B$4,3,AL11&gt;='NILAI CPL'!$B$5,2,AL11&gt;'NILAI CPL'!$B$6,1),0),"")</f>
        <v/>
      </c>
      <c r="BJ11" s="2" t="str" cm="1">
        <f t="array" ref="BJ11">IF('NILAI CPL'!$B11&lt;&gt;"",IFERROR(_xlfn.IFS(AM11&gt;='NILAI CPL'!$B$3,4,AM11&gt;='NILAI CPL'!$B$4,3,AM11&gt;='NILAI CPL'!$B$5,2,AM11&gt;'NILAI CPL'!$B$6,1),0),"")</f>
        <v/>
      </c>
      <c r="BK11" s="2" t="str" cm="1">
        <f t="array" ref="BK11">IF('NILAI CPL'!$B11&lt;&gt;"",IFERROR(_xlfn.IFS(AN11&gt;='NILAI CPL'!$B$3,4,AN11&gt;='NILAI CPL'!$B$4,3,AN11&gt;='NILAI CPL'!$B$5,2,AN11&gt;'NILAI CPL'!$B$6,1),0),"")</f>
        <v/>
      </c>
    </row>
    <row r="12" spans="1:63" x14ac:dyDescent="0.2">
      <c r="A12" s="2">
        <v>2</v>
      </c>
      <c r="B12" s="2" t="str">
        <f>IF(LEN(SUMMARY!B12)&gt;0, SUMMARY!B12, "")</f>
        <v/>
      </c>
      <c r="C12" s="2" t="str">
        <f>IF(LEN(SUMMARY!C12)&gt;0, SUMMARY!C12, "")</f>
        <v/>
      </c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" t="str">
        <f t="shared" ref="Q12:Q75" si="2">IF(B12&lt;&gt;"",IFERROR(ROUNDUP(SUMPRODUCT($E$10:$P$10,E12:P12)/SUM($E$10:$P$10),2),0),"")</f>
        <v/>
      </c>
      <c r="S12" s="2" t="str">
        <f t="shared" ref="S12:S75" si="3">IF(B12&lt;&gt;"",IFERROR(ROUNDUP(SUMPRODUCT(E12:P12,$E$95:$P$95)/SUM($E$95:$P$95),2),0),"")</f>
        <v/>
      </c>
      <c r="T12" s="2" t="str">
        <f t="shared" ref="T12:T75" si="4">IF(B12&lt;&gt;"",IFERROR(ROUNDUP(SUMPRODUCT(E12:P12,$E$96:$P$96)/SUM($E$96:$P$96),2),0),"")</f>
        <v/>
      </c>
      <c r="U12" s="2" t="str">
        <f t="shared" ref="U12:U75" si="5">IF(B12&lt;&gt;"",IFERROR(ROUNDUP(SUMPRODUCT(E12:P12,$E$97:$P$97)/SUM($E$97:$P$97),2),0),"")</f>
        <v/>
      </c>
      <c r="V12" s="2" t="str">
        <f t="shared" ref="V12:V75" si="6">IF(B12&lt;&gt;"",IFERROR(ROUNDUP(SUMPRODUCT(E12:P12,$E$98:$P$98)/SUM($E$98:$P$98),2),0),"")</f>
        <v/>
      </c>
      <c r="W12" s="2" t="str">
        <f t="shared" ref="W12:W75" si="7">IF(B12&lt;&gt;"",IFERROR(ROUNDUP(SUMPRODUCT(E12:P12,$E$99:$P$99)/SUM($E$99:$P$99),2),0),"")</f>
        <v/>
      </c>
      <c r="X12" s="2" t="str">
        <f t="shared" ref="X12:X75" si="8">IF(B12&lt;&gt;"",IFERROR(ROUNDUP(SUMPRODUCT(E12:P12,$E$100:$P$100)/SUM($E$100:$P$100),2),0),"")</f>
        <v/>
      </c>
      <c r="Y12" s="2" t="str">
        <f t="shared" ref="Y12:Y75" si="9">IF(B12&lt;&gt;"",IFERROR(ROUNDUP(SUMPRODUCT(E12:P12,$E$101:$P$101)/SUM($E$101:$P$101),2),0),"")</f>
        <v/>
      </c>
      <c r="Z12" s="2" t="str">
        <f t="shared" ref="Z12:Z75" si="10">IF(B12&lt;&gt;"",IFERROR(ROUNDUP(SUMPRODUCT(E12:P12,$E$102:$P$102)/SUM($E$102:$P$102),2),0),"")</f>
        <v/>
      </c>
      <c r="AA12" s="2" t="str">
        <f t="shared" ref="AA12:AA75" si="11">IF(B12&lt;&gt;"",IFERROR(ROUNDUP(SUMPRODUCT(E12:P12,$E$103:$P$103)/SUM($E$103:$P$103),2),0),"")</f>
        <v/>
      </c>
      <c r="AB12" s="2" t="str">
        <f t="shared" ref="AB12:AB75" si="12">IF(B12&lt;&gt;"",IFERROR(ROUNDUP(SUMPRODUCT(E12:P12,$E$104:$P$104)/SUM($E$104:$P$104),2),0),"")</f>
        <v/>
      </c>
      <c r="AC12" s="2" t="str">
        <f t="shared" ref="AC12:AC75" si="13">IF(B12&lt;&gt;"",IFERROR(ROUNDUP(SUMPRODUCT(E12:P12,$E$105:$P$105)/SUM($E$105:$P$105),2),0),"")</f>
        <v/>
      </c>
      <c r="AD12" s="2" t="str">
        <f t="shared" ref="AD12:AD75" si="14">IF(B12&lt;&gt;"",IFERROR(ROUNDUP(SUMPRODUCT(E12:P12,$E$106:$P$106)/SUM($E$106:$P$106),2),0),"")</f>
        <v/>
      </c>
      <c r="AE12" s="2" t="str">
        <f t="shared" ref="AE12:AE75" si="15">IF(B12&lt;&gt;"",IFERROR(ROUNDUP(SUMPRODUCT(E12:P12,$E$107:$P$107)/SUM($E$107:$P$107),2),0),"")</f>
        <v/>
      </c>
      <c r="AF12" s="2" t="str">
        <f t="shared" ref="AF12:AF75" si="16">IF(B12&lt;&gt;"",IFERROR(ROUNDUP(SUMPRODUCT(E12:P12,$E$108:$P$108)/SUM($E$108:$P$108),2),0),"")</f>
        <v/>
      </c>
      <c r="AG12" s="2" t="str">
        <f t="shared" ref="AG12:AG75" si="17">IF(B12&lt;&gt;"",IFERROR(ROUNDUP(SUMPRODUCT(E12:P12,$E$109:$P$109)/SUM($E$109:$P$109),2),0),"")</f>
        <v/>
      </c>
      <c r="AH12" s="2" t="str">
        <f t="shared" ref="AH12:AH75" si="18">IF(B12&lt;&gt;"",IFERROR(ROUNDUP(SUMPRODUCT(E12:P12,$E$110:$P$110)/SUM($E$110:$P$110),2),0),"")</f>
        <v/>
      </c>
      <c r="AI12" s="2" t="str">
        <f t="shared" ref="AI12:AI75" si="19">IF(B12&lt;&gt;"",IFERROR(ROUNDUP(SUMPRODUCT(E12:P12,$E$111:$P$111)/SUM($E$111:$P$111),2),0),"")</f>
        <v/>
      </c>
      <c r="AJ12" s="2" t="str">
        <f t="shared" ref="AJ12:AJ75" si="20">IF(B12&lt;&gt;"",IFERROR(ROUNDUP(SUMPRODUCT(E12:P12,$E$112:$P$112)/SUM($E$112:$P$112),2),0),"")</f>
        <v/>
      </c>
      <c r="AK12" s="2" t="str">
        <f t="shared" ref="AK12:AK75" si="21">IF(B12&lt;&gt;"",IFERROR(ROUNDUP(SUMPRODUCT(E12:P12,$E$113:$P$113)/SUM($E$113:$P$113),2),0),"")</f>
        <v/>
      </c>
      <c r="AL12" s="2" t="str">
        <f t="shared" ref="AL12:AL75" si="22">IF(B12&lt;&gt;"",IFERROR(ROUNDUP(SUMPRODUCT(E12:P12,$E$114:$P$114)/SUM($E$114:$P$114),2),0),"")</f>
        <v/>
      </c>
      <c r="AM12" s="2" t="str">
        <f t="shared" ref="AM12:AM75" si="23">IF(B12&lt;&gt;"",IFERROR(ROUNDUP(SUMPRODUCT(E12:P12,$E$115:$P$115)/SUM($E$115:$P$115),2),0),"")</f>
        <v/>
      </c>
      <c r="AN12" s="2" t="str">
        <f t="shared" ref="AN12:AN75" si="24">IF(B12&lt;&gt;"",IFERROR(ROUNDUP(SUMPRODUCT(E12:P12,$E$116:$P$116)/SUM($E$116:$P$116),2),0),"")</f>
        <v/>
      </c>
      <c r="AP12" s="2" t="str" cm="1">
        <f t="array" ref="AP12">IF('NILAI CPL'!$B12&lt;&gt;"",IFERROR(_xlfn.IFS(S12&gt;='NILAI CPL'!$B$3,4,S12&gt;='NILAI CPL'!$B$4,3,S12&gt;='NILAI CPL'!$B$5,2,S12&gt;'NILAI CPL'!$B$6,1),0),"")</f>
        <v/>
      </c>
      <c r="AQ12" s="2" t="str" cm="1">
        <f t="array" ref="AQ12">IF('NILAI CPL'!$B12&lt;&gt;"",IFERROR(_xlfn.IFS(T12&gt;='NILAI CPL'!$B$3,4,T12&gt;='NILAI CPL'!$B$4,3,T12&gt;='NILAI CPL'!$B$5,2,T12&gt;'NILAI CPL'!$B$6,1),0),"")</f>
        <v/>
      </c>
      <c r="AR12" s="2" t="str" cm="1">
        <f t="array" ref="AR12">IF('NILAI CPL'!$B12&lt;&gt;"",IFERROR(_xlfn.IFS(U12&gt;='NILAI CPL'!$B$3,4,U12&gt;='NILAI CPL'!$B$4,3,U12&gt;='NILAI CPL'!$B$5,2,U12&gt;'NILAI CPL'!$B$6,1),0),"")</f>
        <v/>
      </c>
      <c r="AS12" s="2" t="str" cm="1">
        <f t="array" ref="AS12">IF('NILAI CPL'!$B12&lt;&gt;"",IFERROR(_xlfn.IFS(V12&gt;='NILAI CPL'!$B$3,4,V12&gt;='NILAI CPL'!$B$4,3,V12&gt;='NILAI CPL'!$B$5,2,V12&gt;'NILAI CPL'!$B$6,1),0),"")</f>
        <v/>
      </c>
      <c r="AT12" s="2" t="str" cm="1">
        <f t="array" ref="AT12">IF('NILAI CPL'!$B12&lt;&gt;"",IFERROR(_xlfn.IFS(W12&gt;='NILAI CPL'!$B$3,4,W12&gt;='NILAI CPL'!$B$4,3,W12&gt;='NILAI CPL'!$B$5,2,W12&gt;'NILAI CPL'!$B$6,1),0),"")</f>
        <v/>
      </c>
      <c r="AU12" s="2" t="str" cm="1">
        <f t="array" ref="AU12">IF('NILAI CPL'!$B12&lt;&gt;"",IFERROR(_xlfn.IFS(X12&gt;='NILAI CPL'!$B$3,4,X12&gt;='NILAI CPL'!$B$4,3,X12&gt;='NILAI CPL'!$B$5,2,X12&gt;'NILAI CPL'!$B$6,1),0),"")</f>
        <v/>
      </c>
      <c r="AV12" s="2" t="str" cm="1">
        <f t="array" ref="AV12">IF('NILAI CPL'!$B12&lt;&gt;"",IFERROR(_xlfn.IFS(Y12&gt;='NILAI CPL'!$B$3,4,Y12&gt;='NILAI CPL'!$B$4,3,Y12&gt;='NILAI CPL'!$B$5,2,Y12&gt;'NILAI CPL'!$B$6,1),0),"")</f>
        <v/>
      </c>
      <c r="AW12" s="2" t="str" cm="1">
        <f t="array" ref="AW12">IF('NILAI CPL'!$B12&lt;&gt;"",IFERROR(_xlfn.IFS(Z12&gt;='NILAI CPL'!$B$3,4,Z12&gt;='NILAI CPL'!$B$4,3,Z12&gt;='NILAI CPL'!$B$5,2,Z12&gt;'NILAI CPL'!$B$6,1),0),"")</f>
        <v/>
      </c>
      <c r="AX12" s="2" t="str" cm="1">
        <f t="array" ref="AX12">IF('NILAI CPL'!$B12&lt;&gt;"",IFERROR(_xlfn.IFS(AA12&gt;='NILAI CPL'!$B$3,4,AA12&gt;='NILAI CPL'!$B$4,3,AA12&gt;='NILAI CPL'!$B$5,2,AA12&gt;'NILAI CPL'!$B$6,1),0),"")</f>
        <v/>
      </c>
      <c r="AY12" s="2" t="str" cm="1">
        <f t="array" ref="AY12">IF('NILAI CPL'!$B12&lt;&gt;"",IFERROR(_xlfn.IFS(AB12&gt;='NILAI CPL'!$B$3,4,AB12&gt;='NILAI CPL'!$B$4,3,AB12&gt;='NILAI CPL'!$B$5,2,AB12&gt;'NILAI CPL'!$B$6,1),0),"")</f>
        <v/>
      </c>
      <c r="AZ12" s="2" t="str" cm="1">
        <f t="array" ref="AZ12">IF('NILAI CPL'!$B12&lt;&gt;"",IFERROR(_xlfn.IFS(AC12&gt;='NILAI CPL'!$B$3,4,AC12&gt;='NILAI CPL'!$B$4,3,AC12&gt;='NILAI CPL'!$B$5,2,AC12&gt;'NILAI CPL'!$B$6,1),0),"")</f>
        <v/>
      </c>
      <c r="BA12" s="2" t="str" cm="1">
        <f t="array" ref="BA12">IF('NILAI CPL'!$B12&lt;&gt;"",IFERROR(_xlfn.IFS(AD12&gt;='NILAI CPL'!$B$3,4,AD12&gt;='NILAI CPL'!$B$4,3,AD12&gt;='NILAI CPL'!$B$5,2,AD12&gt;'NILAI CPL'!$B$6,1),0),"")</f>
        <v/>
      </c>
      <c r="BB12" s="2" t="str" cm="1">
        <f t="array" ref="BB12">IF('NILAI CPL'!$B12&lt;&gt;"",IFERROR(_xlfn.IFS(AE12&gt;='NILAI CPL'!$B$3,4,AE12&gt;='NILAI CPL'!$B$4,3,AE12&gt;='NILAI CPL'!$B$5,2,AE12&gt;'NILAI CPL'!$B$6,1),0),"")</f>
        <v/>
      </c>
      <c r="BC12" s="2" t="str" cm="1">
        <f t="array" ref="BC12">IF('NILAI CPL'!$B12&lt;&gt;"",IFERROR(_xlfn.IFS(AF12&gt;='NILAI CPL'!$B$3,4,AF12&gt;='NILAI CPL'!$B$4,3,AF12&gt;='NILAI CPL'!$B$5,2,AF12&gt;'NILAI CPL'!$B$6,1),0),"")</f>
        <v/>
      </c>
      <c r="BD12" s="2" t="str" cm="1">
        <f t="array" ref="BD12">IF('NILAI CPL'!$B12&lt;&gt;"",IFERROR(_xlfn.IFS(AG12&gt;='NILAI CPL'!$B$3,4,AG12&gt;='NILAI CPL'!$B$4,3,AG12&gt;='NILAI CPL'!$B$5,2,AG12&gt;'NILAI CPL'!$B$6,1),0),"")</f>
        <v/>
      </c>
      <c r="BE12" s="2" t="str" cm="1">
        <f t="array" ref="BE12">IF('NILAI CPL'!$B12&lt;&gt;"",IFERROR(_xlfn.IFS(AH12&gt;='NILAI CPL'!$B$3,4,AH12&gt;='NILAI CPL'!$B$4,3,AH12&gt;='NILAI CPL'!$B$5,2,AH12&gt;'NILAI CPL'!$B$6,1),0),"")</f>
        <v/>
      </c>
      <c r="BF12" s="2" t="str" cm="1">
        <f t="array" ref="BF12">IF('NILAI CPL'!$B12&lt;&gt;"",IFERROR(_xlfn.IFS(AI12&gt;='NILAI CPL'!$B$3,4,AI12&gt;='NILAI CPL'!$B$4,3,AI12&gt;='NILAI CPL'!$B$5,2,AI12&gt;'NILAI CPL'!$B$6,1),0),"")</f>
        <v/>
      </c>
      <c r="BG12" s="2" t="str" cm="1">
        <f t="array" ref="BG12">IF('NILAI CPL'!$B12&lt;&gt;"",IFERROR(_xlfn.IFS(AJ12&gt;='NILAI CPL'!$B$3,4,AJ12&gt;='NILAI CPL'!$B$4,3,AJ12&gt;='NILAI CPL'!$B$5,2,AJ12&gt;'NILAI CPL'!$B$6,1),0),"")</f>
        <v/>
      </c>
      <c r="BH12" s="2" t="str" cm="1">
        <f t="array" ref="BH12">IF('NILAI CPL'!$B12&lt;&gt;"",IFERROR(_xlfn.IFS(AK12&gt;='NILAI CPL'!$B$3,4,AK12&gt;='NILAI CPL'!$B$4,3,AK12&gt;='NILAI CPL'!$B$5,2,AK12&gt;'NILAI CPL'!$B$6,1),0),"")</f>
        <v/>
      </c>
      <c r="BI12" s="2" t="str" cm="1">
        <f t="array" ref="BI12">IF('NILAI CPL'!$B12&lt;&gt;"",IFERROR(_xlfn.IFS(AL12&gt;='NILAI CPL'!$B$3,4,AL12&gt;='NILAI CPL'!$B$4,3,AL12&gt;='NILAI CPL'!$B$5,2,AL12&gt;'NILAI CPL'!$B$6,1),0),"")</f>
        <v/>
      </c>
      <c r="BJ12" s="2" t="str" cm="1">
        <f t="array" ref="BJ12">IF('NILAI CPL'!$B12&lt;&gt;"",IFERROR(_xlfn.IFS(AM12&gt;='NILAI CPL'!$B$3,4,AM12&gt;='NILAI CPL'!$B$4,3,AM12&gt;='NILAI CPL'!$B$5,2,AM12&gt;'NILAI CPL'!$B$6,1),0),"")</f>
        <v/>
      </c>
      <c r="BK12" s="2" t="str" cm="1">
        <f t="array" ref="BK12">IF('NILAI CPL'!$B12&lt;&gt;"",IFERROR(_xlfn.IFS(AN12&gt;='NILAI CPL'!$B$3,4,AN12&gt;='NILAI CPL'!$B$4,3,AN12&gt;='NILAI CPL'!$B$5,2,AN12&gt;'NILAI CPL'!$B$6,1),0),"")</f>
        <v/>
      </c>
    </row>
    <row r="13" spans="1:63" x14ac:dyDescent="0.2">
      <c r="A13" s="2">
        <v>3</v>
      </c>
      <c r="B13" s="2" t="str">
        <f>IF(LEN(SUMMARY!B13)&gt;0, SUMMARY!B13, "")</f>
        <v/>
      </c>
      <c r="C13" s="2" t="str">
        <f>IF(LEN(SUMMARY!C13)&gt;0, SUMMARY!C13, "")</f>
        <v/>
      </c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" t="str">
        <f t="shared" si="2"/>
        <v/>
      </c>
      <c r="S13" s="2" t="str">
        <f t="shared" si="3"/>
        <v/>
      </c>
      <c r="T13" s="2" t="str">
        <f t="shared" si="4"/>
        <v/>
      </c>
      <c r="U13" s="2" t="str">
        <f t="shared" si="5"/>
        <v/>
      </c>
      <c r="V13" s="2" t="str">
        <f t="shared" si="6"/>
        <v/>
      </c>
      <c r="W13" s="2" t="str">
        <f t="shared" si="7"/>
        <v/>
      </c>
      <c r="X13" s="2" t="str">
        <f t="shared" si="8"/>
        <v/>
      </c>
      <c r="Y13" s="2" t="str">
        <f t="shared" si="9"/>
        <v/>
      </c>
      <c r="Z13" s="2" t="str">
        <f t="shared" si="10"/>
        <v/>
      </c>
      <c r="AA13" s="2" t="str">
        <f t="shared" si="11"/>
        <v/>
      </c>
      <c r="AB13" s="2" t="str">
        <f t="shared" si="12"/>
        <v/>
      </c>
      <c r="AC13" s="2" t="str">
        <f t="shared" si="13"/>
        <v/>
      </c>
      <c r="AD13" s="2" t="str">
        <f t="shared" si="14"/>
        <v/>
      </c>
      <c r="AE13" s="2" t="str">
        <f t="shared" si="15"/>
        <v/>
      </c>
      <c r="AF13" s="2" t="str">
        <f t="shared" si="16"/>
        <v/>
      </c>
      <c r="AG13" s="2" t="str">
        <f t="shared" si="17"/>
        <v/>
      </c>
      <c r="AH13" s="2" t="str">
        <f t="shared" si="18"/>
        <v/>
      </c>
      <c r="AI13" s="2" t="str">
        <f t="shared" si="19"/>
        <v/>
      </c>
      <c r="AJ13" s="2" t="str">
        <f t="shared" si="20"/>
        <v/>
      </c>
      <c r="AK13" s="2" t="str">
        <f t="shared" si="21"/>
        <v/>
      </c>
      <c r="AL13" s="2" t="str">
        <f t="shared" si="22"/>
        <v/>
      </c>
      <c r="AM13" s="2" t="str">
        <f t="shared" si="23"/>
        <v/>
      </c>
      <c r="AN13" s="2" t="str">
        <f t="shared" si="24"/>
        <v/>
      </c>
      <c r="AP13" s="2" t="str" cm="1">
        <f t="array" ref="AP13">IF('NILAI CPL'!$B13&lt;&gt;"",IFERROR(_xlfn.IFS(S13&gt;='NILAI CPL'!$B$3,4,S13&gt;='NILAI CPL'!$B$4,3,S13&gt;='NILAI CPL'!$B$5,2,S13&gt;'NILAI CPL'!$B$6,1),0),"")</f>
        <v/>
      </c>
      <c r="AQ13" s="2" t="str" cm="1">
        <f t="array" ref="AQ13">IF('NILAI CPL'!$B13&lt;&gt;"",IFERROR(_xlfn.IFS(T13&gt;='NILAI CPL'!$B$3,4,T13&gt;='NILAI CPL'!$B$4,3,T13&gt;='NILAI CPL'!$B$5,2,T13&gt;'NILAI CPL'!$B$6,1),0),"")</f>
        <v/>
      </c>
      <c r="AR13" s="2" t="str" cm="1">
        <f t="array" ref="AR13">IF('NILAI CPL'!$B13&lt;&gt;"",IFERROR(_xlfn.IFS(U13&gt;='NILAI CPL'!$B$3,4,U13&gt;='NILAI CPL'!$B$4,3,U13&gt;='NILAI CPL'!$B$5,2,U13&gt;'NILAI CPL'!$B$6,1),0),"")</f>
        <v/>
      </c>
      <c r="AS13" s="2" t="str" cm="1">
        <f t="array" ref="AS13">IF('NILAI CPL'!$B13&lt;&gt;"",IFERROR(_xlfn.IFS(V13&gt;='NILAI CPL'!$B$3,4,V13&gt;='NILAI CPL'!$B$4,3,V13&gt;='NILAI CPL'!$B$5,2,V13&gt;'NILAI CPL'!$B$6,1),0),"")</f>
        <v/>
      </c>
      <c r="AT13" s="2" t="str" cm="1">
        <f t="array" ref="AT13">IF('NILAI CPL'!$B13&lt;&gt;"",IFERROR(_xlfn.IFS(W13&gt;='NILAI CPL'!$B$3,4,W13&gt;='NILAI CPL'!$B$4,3,W13&gt;='NILAI CPL'!$B$5,2,W13&gt;'NILAI CPL'!$B$6,1),0),"")</f>
        <v/>
      </c>
      <c r="AU13" s="2" t="str" cm="1">
        <f t="array" ref="AU13">IF('NILAI CPL'!$B13&lt;&gt;"",IFERROR(_xlfn.IFS(X13&gt;='NILAI CPL'!$B$3,4,X13&gt;='NILAI CPL'!$B$4,3,X13&gt;='NILAI CPL'!$B$5,2,X13&gt;'NILAI CPL'!$B$6,1),0),"")</f>
        <v/>
      </c>
      <c r="AV13" s="2" t="str" cm="1">
        <f t="array" ref="AV13">IF('NILAI CPL'!$B13&lt;&gt;"",IFERROR(_xlfn.IFS(Y13&gt;='NILAI CPL'!$B$3,4,Y13&gt;='NILAI CPL'!$B$4,3,Y13&gt;='NILAI CPL'!$B$5,2,Y13&gt;'NILAI CPL'!$B$6,1),0),"")</f>
        <v/>
      </c>
      <c r="AW13" s="2" t="str" cm="1">
        <f t="array" ref="AW13">IF('NILAI CPL'!$B13&lt;&gt;"",IFERROR(_xlfn.IFS(Z13&gt;='NILAI CPL'!$B$3,4,Z13&gt;='NILAI CPL'!$B$4,3,Z13&gt;='NILAI CPL'!$B$5,2,Z13&gt;'NILAI CPL'!$B$6,1),0),"")</f>
        <v/>
      </c>
      <c r="AX13" s="2" t="str" cm="1">
        <f t="array" ref="AX13">IF('NILAI CPL'!$B13&lt;&gt;"",IFERROR(_xlfn.IFS(AA13&gt;='NILAI CPL'!$B$3,4,AA13&gt;='NILAI CPL'!$B$4,3,AA13&gt;='NILAI CPL'!$B$5,2,AA13&gt;'NILAI CPL'!$B$6,1),0),"")</f>
        <v/>
      </c>
      <c r="AY13" s="2" t="str" cm="1">
        <f t="array" ref="AY13">IF('NILAI CPL'!$B13&lt;&gt;"",IFERROR(_xlfn.IFS(AB13&gt;='NILAI CPL'!$B$3,4,AB13&gt;='NILAI CPL'!$B$4,3,AB13&gt;='NILAI CPL'!$B$5,2,AB13&gt;'NILAI CPL'!$B$6,1),0),"")</f>
        <v/>
      </c>
      <c r="AZ13" s="2" t="str" cm="1">
        <f t="array" ref="AZ13">IF('NILAI CPL'!$B13&lt;&gt;"",IFERROR(_xlfn.IFS(AC13&gt;='NILAI CPL'!$B$3,4,AC13&gt;='NILAI CPL'!$B$4,3,AC13&gt;='NILAI CPL'!$B$5,2,AC13&gt;'NILAI CPL'!$B$6,1),0),"")</f>
        <v/>
      </c>
      <c r="BA13" s="2" t="str" cm="1">
        <f t="array" ref="BA13">IF('NILAI CPL'!$B13&lt;&gt;"",IFERROR(_xlfn.IFS(AD13&gt;='NILAI CPL'!$B$3,4,AD13&gt;='NILAI CPL'!$B$4,3,AD13&gt;='NILAI CPL'!$B$5,2,AD13&gt;'NILAI CPL'!$B$6,1),0),"")</f>
        <v/>
      </c>
      <c r="BB13" s="2" t="str" cm="1">
        <f t="array" ref="BB13">IF('NILAI CPL'!$B13&lt;&gt;"",IFERROR(_xlfn.IFS(AE13&gt;='NILAI CPL'!$B$3,4,AE13&gt;='NILAI CPL'!$B$4,3,AE13&gt;='NILAI CPL'!$B$5,2,AE13&gt;'NILAI CPL'!$B$6,1),0),"")</f>
        <v/>
      </c>
      <c r="BC13" s="2" t="str" cm="1">
        <f t="array" ref="BC13">IF('NILAI CPL'!$B13&lt;&gt;"",IFERROR(_xlfn.IFS(AF13&gt;='NILAI CPL'!$B$3,4,AF13&gt;='NILAI CPL'!$B$4,3,AF13&gt;='NILAI CPL'!$B$5,2,AF13&gt;'NILAI CPL'!$B$6,1),0),"")</f>
        <v/>
      </c>
      <c r="BD13" s="2" t="str" cm="1">
        <f t="array" ref="BD13">IF('NILAI CPL'!$B13&lt;&gt;"",IFERROR(_xlfn.IFS(AG13&gt;='NILAI CPL'!$B$3,4,AG13&gt;='NILAI CPL'!$B$4,3,AG13&gt;='NILAI CPL'!$B$5,2,AG13&gt;'NILAI CPL'!$B$6,1),0),"")</f>
        <v/>
      </c>
      <c r="BE13" s="2" t="str" cm="1">
        <f t="array" ref="BE13">IF('NILAI CPL'!$B13&lt;&gt;"",IFERROR(_xlfn.IFS(AH13&gt;='NILAI CPL'!$B$3,4,AH13&gt;='NILAI CPL'!$B$4,3,AH13&gt;='NILAI CPL'!$B$5,2,AH13&gt;'NILAI CPL'!$B$6,1),0),"")</f>
        <v/>
      </c>
      <c r="BF13" s="2" t="str" cm="1">
        <f t="array" ref="BF13">IF('NILAI CPL'!$B13&lt;&gt;"",IFERROR(_xlfn.IFS(AI13&gt;='NILAI CPL'!$B$3,4,AI13&gt;='NILAI CPL'!$B$4,3,AI13&gt;='NILAI CPL'!$B$5,2,AI13&gt;'NILAI CPL'!$B$6,1),0),"")</f>
        <v/>
      </c>
      <c r="BG13" s="2" t="str" cm="1">
        <f t="array" ref="BG13">IF('NILAI CPL'!$B13&lt;&gt;"",IFERROR(_xlfn.IFS(AJ13&gt;='NILAI CPL'!$B$3,4,AJ13&gt;='NILAI CPL'!$B$4,3,AJ13&gt;='NILAI CPL'!$B$5,2,AJ13&gt;'NILAI CPL'!$B$6,1),0),"")</f>
        <v/>
      </c>
      <c r="BH13" s="2" t="str" cm="1">
        <f t="array" ref="BH13">IF('NILAI CPL'!$B13&lt;&gt;"",IFERROR(_xlfn.IFS(AK13&gt;='NILAI CPL'!$B$3,4,AK13&gt;='NILAI CPL'!$B$4,3,AK13&gt;='NILAI CPL'!$B$5,2,AK13&gt;'NILAI CPL'!$B$6,1),0),"")</f>
        <v/>
      </c>
      <c r="BI13" s="2" t="str" cm="1">
        <f t="array" ref="BI13">IF('NILAI CPL'!$B13&lt;&gt;"",IFERROR(_xlfn.IFS(AL13&gt;='NILAI CPL'!$B$3,4,AL13&gt;='NILAI CPL'!$B$4,3,AL13&gt;='NILAI CPL'!$B$5,2,AL13&gt;'NILAI CPL'!$B$6,1),0),"")</f>
        <v/>
      </c>
      <c r="BJ13" s="2" t="str" cm="1">
        <f t="array" ref="BJ13">IF('NILAI CPL'!$B13&lt;&gt;"",IFERROR(_xlfn.IFS(AM13&gt;='NILAI CPL'!$B$3,4,AM13&gt;='NILAI CPL'!$B$4,3,AM13&gt;='NILAI CPL'!$B$5,2,AM13&gt;'NILAI CPL'!$B$6,1),0),"")</f>
        <v/>
      </c>
      <c r="BK13" s="2" t="str" cm="1">
        <f t="array" ref="BK13">IF('NILAI CPL'!$B13&lt;&gt;"",IFERROR(_xlfn.IFS(AN13&gt;='NILAI CPL'!$B$3,4,AN13&gt;='NILAI CPL'!$B$4,3,AN13&gt;='NILAI CPL'!$B$5,2,AN13&gt;'NILAI CPL'!$B$6,1),0),"")</f>
        <v/>
      </c>
    </row>
    <row r="14" spans="1:63" x14ac:dyDescent="0.2">
      <c r="A14" s="2">
        <v>4</v>
      </c>
      <c r="B14" s="2" t="str">
        <f>IF(LEN(SUMMARY!B14)&gt;0, SUMMARY!B14, "")</f>
        <v/>
      </c>
      <c r="C14" s="2" t="str">
        <f>IF(LEN(SUMMARY!C14)&gt;0, SUMMARY!C14, "")</f>
        <v/>
      </c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" t="str">
        <f t="shared" si="2"/>
        <v/>
      </c>
      <c r="S14" s="2" t="str">
        <f t="shared" si="3"/>
        <v/>
      </c>
      <c r="T14" s="2" t="str">
        <f t="shared" si="4"/>
        <v/>
      </c>
      <c r="U14" s="2" t="str">
        <f t="shared" si="5"/>
        <v/>
      </c>
      <c r="V14" s="2" t="str">
        <f t="shared" si="6"/>
        <v/>
      </c>
      <c r="W14" s="2" t="str">
        <f t="shared" si="7"/>
        <v/>
      </c>
      <c r="X14" s="2" t="str">
        <f t="shared" si="8"/>
        <v/>
      </c>
      <c r="Y14" s="2" t="str">
        <f t="shared" si="9"/>
        <v/>
      </c>
      <c r="Z14" s="2" t="str">
        <f t="shared" si="10"/>
        <v/>
      </c>
      <c r="AA14" s="2" t="str">
        <f t="shared" si="11"/>
        <v/>
      </c>
      <c r="AB14" s="2" t="str">
        <f t="shared" si="12"/>
        <v/>
      </c>
      <c r="AC14" s="2" t="str">
        <f t="shared" si="13"/>
        <v/>
      </c>
      <c r="AD14" s="2" t="str">
        <f t="shared" si="14"/>
        <v/>
      </c>
      <c r="AE14" s="2" t="str">
        <f t="shared" si="15"/>
        <v/>
      </c>
      <c r="AF14" s="2" t="str">
        <f t="shared" si="16"/>
        <v/>
      </c>
      <c r="AG14" s="2" t="str">
        <f t="shared" si="17"/>
        <v/>
      </c>
      <c r="AH14" s="2" t="str">
        <f t="shared" si="18"/>
        <v/>
      </c>
      <c r="AI14" s="2" t="str">
        <f t="shared" si="19"/>
        <v/>
      </c>
      <c r="AJ14" s="2" t="str">
        <f t="shared" si="20"/>
        <v/>
      </c>
      <c r="AK14" s="2" t="str">
        <f t="shared" si="21"/>
        <v/>
      </c>
      <c r="AL14" s="2" t="str">
        <f t="shared" si="22"/>
        <v/>
      </c>
      <c r="AM14" s="2" t="str">
        <f t="shared" si="23"/>
        <v/>
      </c>
      <c r="AN14" s="2" t="str">
        <f t="shared" si="24"/>
        <v/>
      </c>
      <c r="AP14" s="2" t="str" cm="1">
        <f t="array" ref="AP14">IF('NILAI CPL'!$B14&lt;&gt;"",IFERROR(_xlfn.IFS(S14&gt;='NILAI CPL'!$B$3,4,S14&gt;='NILAI CPL'!$B$4,3,S14&gt;='NILAI CPL'!$B$5,2,S14&gt;'NILAI CPL'!$B$6,1),0),"")</f>
        <v/>
      </c>
      <c r="AQ14" s="2" t="str" cm="1">
        <f t="array" ref="AQ14">IF('NILAI CPL'!$B14&lt;&gt;"",IFERROR(_xlfn.IFS(T14&gt;='NILAI CPL'!$B$3,4,T14&gt;='NILAI CPL'!$B$4,3,T14&gt;='NILAI CPL'!$B$5,2,T14&gt;'NILAI CPL'!$B$6,1),0),"")</f>
        <v/>
      </c>
      <c r="AR14" s="2" t="str" cm="1">
        <f t="array" ref="AR14">IF('NILAI CPL'!$B14&lt;&gt;"",IFERROR(_xlfn.IFS(U14&gt;='NILAI CPL'!$B$3,4,U14&gt;='NILAI CPL'!$B$4,3,U14&gt;='NILAI CPL'!$B$5,2,U14&gt;'NILAI CPL'!$B$6,1),0),"")</f>
        <v/>
      </c>
      <c r="AS14" s="2" t="str" cm="1">
        <f t="array" ref="AS14">IF('NILAI CPL'!$B14&lt;&gt;"",IFERROR(_xlfn.IFS(V14&gt;='NILAI CPL'!$B$3,4,V14&gt;='NILAI CPL'!$B$4,3,V14&gt;='NILAI CPL'!$B$5,2,V14&gt;'NILAI CPL'!$B$6,1),0),"")</f>
        <v/>
      </c>
      <c r="AT14" s="2" t="str" cm="1">
        <f t="array" ref="AT14">IF('NILAI CPL'!$B14&lt;&gt;"",IFERROR(_xlfn.IFS(W14&gt;='NILAI CPL'!$B$3,4,W14&gt;='NILAI CPL'!$B$4,3,W14&gt;='NILAI CPL'!$B$5,2,W14&gt;'NILAI CPL'!$B$6,1),0),"")</f>
        <v/>
      </c>
      <c r="AU14" s="2" t="str" cm="1">
        <f t="array" ref="AU14">IF('NILAI CPL'!$B14&lt;&gt;"",IFERROR(_xlfn.IFS(X14&gt;='NILAI CPL'!$B$3,4,X14&gt;='NILAI CPL'!$B$4,3,X14&gt;='NILAI CPL'!$B$5,2,X14&gt;'NILAI CPL'!$B$6,1),0),"")</f>
        <v/>
      </c>
      <c r="AV14" s="2" t="str" cm="1">
        <f t="array" ref="AV14">IF('NILAI CPL'!$B14&lt;&gt;"",IFERROR(_xlfn.IFS(Y14&gt;='NILAI CPL'!$B$3,4,Y14&gt;='NILAI CPL'!$B$4,3,Y14&gt;='NILAI CPL'!$B$5,2,Y14&gt;'NILAI CPL'!$B$6,1),0),"")</f>
        <v/>
      </c>
      <c r="AW14" s="2" t="str" cm="1">
        <f t="array" ref="AW14">IF('NILAI CPL'!$B14&lt;&gt;"",IFERROR(_xlfn.IFS(Z14&gt;='NILAI CPL'!$B$3,4,Z14&gt;='NILAI CPL'!$B$4,3,Z14&gt;='NILAI CPL'!$B$5,2,Z14&gt;'NILAI CPL'!$B$6,1),0),"")</f>
        <v/>
      </c>
      <c r="AX14" s="2" t="str" cm="1">
        <f t="array" ref="AX14">IF('NILAI CPL'!$B14&lt;&gt;"",IFERROR(_xlfn.IFS(AA14&gt;='NILAI CPL'!$B$3,4,AA14&gt;='NILAI CPL'!$B$4,3,AA14&gt;='NILAI CPL'!$B$5,2,AA14&gt;'NILAI CPL'!$B$6,1),0),"")</f>
        <v/>
      </c>
      <c r="AY14" s="2" t="str" cm="1">
        <f t="array" ref="AY14">IF('NILAI CPL'!$B14&lt;&gt;"",IFERROR(_xlfn.IFS(AB14&gt;='NILAI CPL'!$B$3,4,AB14&gt;='NILAI CPL'!$B$4,3,AB14&gt;='NILAI CPL'!$B$5,2,AB14&gt;'NILAI CPL'!$B$6,1),0),"")</f>
        <v/>
      </c>
      <c r="AZ14" s="2" t="str" cm="1">
        <f t="array" ref="AZ14">IF('NILAI CPL'!$B14&lt;&gt;"",IFERROR(_xlfn.IFS(AC14&gt;='NILAI CPL'!$B$3,4,AC14&gt;='NILAI CPL'!$B$4,3,AC14&gt;='NILAI CPL'!$B$5,2,AC14&gt;'NILAI CPL'!$B$6,1),0),"")</f>
        <v/>
      </c>
      <c r="BA14" s="2" t="str" cm="1">
        <f t="array" ref="BA14">IF('NILAI CPL'!$B14&lt;&gt;"",IFERROR(_xlfn.IFS(AD14&gt;='NILAI CPL'!$B$3,4,AD14&gt;='NILAI CPL'!$B$4,3,AD14&gt;='NILAI CPL'!$B$5,2,AD14&gt;'NILAI CPL'!$B$6,1),0),"")</f>
        <v/>
      </c>
      <c r="BB14" s="2" t="str" cm="1">
        <f t="array" ref="BB14">IF('NILAI CPL'!$B14&lt;&gt;"",IFERROR(_xlfn.IFS(AE14&gt;='NILAI CPL'!$B$3,4,AE14&gt;='NILAI CPL'!$B$4,3,AE14&gt;='NILAI CPL'!$B$5,2,AE14&gt;'NILAI CPL'!$B$6,1),0),"")</f>
        <v/>
      </c>
      <c r="BC14" s="2" t="str" cm="1">
        <f t="array" ref="BC14">IF('NILAI CPL'!$B14&lt;&gt;"",IFERROR(_xlfn.IFS(AF14&gt;='NILAI CPL'!$B$3,4,AF14&gt;='NILAI CPL'!$B$4,3,AF14&gt;='NILAI CPL'!$B$5,2,AF14&gt;'NILAI CPL'!$B$6,1),0),"")</f>
        <v/>
      </c>
      <c r="BD14" s="2" t="str" cm="1">
        <f t="array" ref="BD14">IF('NILAI CPL'!$B14&lt;&gt;"",IFERROR(_xlfn.IFS(AG14&gt;='NILAI CPL'!$B$3,4,AG14&gt;='NILAI CPL'!$B$4,3,AG14&gt;='NILAI CPL'!$B$5,2,AG14&gt;'NILAI CPL'!$B$6,1),0),"")</f>
        <v/>
      </c>
      <c r="BE14" s="2" t="str" cm="1">
        <f t="array" ref="BE14">IF('NILAI CPL'!$B14&lt;&gt;"",IFERROR(_xlfn.IFS(AH14&gt;='NILAI CPL'!$B$3,4,AH14&gt;='NILAI CPL'!$B$4,3,AH14&gt;='NILAI CPL'!$B$5,2,AH14&gt;'NILAI CPL'!$B$6,1),0),"")</f>
        <v/>
      </c>
      <c r="BF14" s="2" t="str" cm="1">
        <f t="array" ref="BF14">IF('NILAI CPL'!$B14&lt;&gt;"",IFERROR(_xlfn.IFS(AI14&gt;='NILAI CPL'!$B$3,4,AI14&gt;='NILAI CPL'!$B$4,3,AI14&gt;='NILAI CPL'!$B$5,2,AI14&gt;'NILAI CPL'!$B$6,1),0),"")</f>
        <v/>
      </c>
      <c r="BG14" s="2" t="str" cm="1">
        <f t="array" ref="BG14">IF('NILAI CPL'!$B14&lt;&gt;"",IFERROR(_xlfn.IFS(AJ14&gt;='NILAI CPL'!$B$3,4,AJ14&gt;='NILAI CPL'!$B$4,3,AJ14&gt;='NILAI CPL'!$B$5,2,AJ14&gt;'NILAI CPL'!$B$6,1),0),"")</f>
        <v/>
      </c>
      <c r="BH14" s="2" t="str" cm="1">
        <f t="array" ref="BH14">IF('NILAI CPL'!$B14&lt;&gt;"",IFERROR(_xlfn.IFS(AK14&gt;='NILAI CPL'!$B$3,4,AK14&gt;='NILAI CPL'!$B$4,3,AK14&gt;='NILAI CPL'!$B$5,2,AK14&gt;'NILAI CPL'!$B$6,1),0),"")</f>
        <v/>
      </c>
      <c r="BI14" s="2" t="str" cm="1">
        <f t="array" ref="BI14">IF('NILAI CPL'!$B14&lt;&gt;"",IFERROR(_xlfn.IFS(AL14&gt;='NILAI CPL'!$B$3,4,AL14&gt;='NILAI CPL'!$B$4,3,AL14&gt;='NILAI CPL'!$B$5,2,AL14&gt;'NILAI CPL'!$B$6,1),0),"")</f>
        <v/>
      </c>
      <c r="BJ14" s="2" t="str" cm="1">
        <f t="array" ref="BJ14">IF('NILAI CPL'!$B14&lt;&gt;"",IFERROR(_xlfn.IFS(AM14&gt;='NILAI CPL'!$B$3,4,AM14&gt;='NILAI CPL'!$B$4,3,AM14&gt;='NILAI CPL'!$B$5,2,AM14&gt;'NILAI CPL'!$B$6,1),0),"")</f>
        <v/>
      </c>
      <c r="BK14" s="2" t="str" cm="1">
        <f t="array" ref="BK14">IF('NILAI CPL'!$B14&lt;&gt;"",IFERROR(_xlfn.IFS(AN14&gt;='NILAI CPL'!$B$3,4,AN14&gt;='NILAI CPL'!$B$4,3,AN14&gt;='NILAI CPL'!$B$5,2,AN14&gt;'NILAI CPL'!$B$6,1),0),"")</f>
        <v/>
      </c>
    </row>
    <row r="15" spans="1:63" x14ac:dyDescent="0.2">
      <c r="A15" s="2">
        <v>5</v>
      </c>
      <c r="B15" s="2" t="str">
        <f>IF(LEN(SUMMARY!B15)&gt;0, SUMMARY!B15, "")</f>
        <v/>
      </c>
      <c r="C15" s="2" t="str">
        <f>IF(LEN(SUMMARY!C15)&gt;0, SUMMARY!C15, "")</f>
        <v/>
      </c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" t="str">
        <f t="shared" si="2"/>
        <v/>
      </c>
      <c r="S15" s="2" t="str">
        <f t="shared" si="3"/>
        <v/>
      </c>
      <c r="T15" s="2" t="str">
        <f t="shared" si="4"/>
        <v/>
      </c>
      <c r="U15" s="2" t="str">
        <f t="shared" si="5"/>
        <v/>
      </c>
      <c r="V15" s="2" t="str">
        <f t="shared" si="6"/>
        <v/>
      </c>
      <c r="W15" s="2" t="str">
        <f t="shared" si="7"/>
        <v/>
      </c>
      <c r="X15" s="2" t="str">
        <f t="shared" si="8"/>
        <v/>
      </c>
      <c r="Y15" s="2" t="str">
        <f t="shared" si="9"/>
        <v/>
      </c>
      <c r="Z15" s="2" t="str">
        <f t="shared" si="10"/>
        <v/>
      </c>
      <c r="AA15" s="2" t="str">
        <f t="shared" si="11"/>
        <v/>
      </c>
      <c r="AB15" s="2" t="str">
        <f t="shared" si="12"/>
        <v/>
      </c>
      <c r="AC15" s="2" t="str">
        <f t="shared" si="13"/>
        <v/>
      </c>
      <c r="AD15" s="2" t="str">
        <f t="shared" si="14"/>
        <v/>
      </c>
      <c r="AE15" s="2" t="str">
        <f t="shared" si="15"/>
        <v/>
      </c>
      <c r="AF15" s="2" t="str">
        <f t="shared" si="16"/>
        <v/>
      </c>
      <c r="AG15" s="2" t="str">
        <f t="shared" si="17"/>
        <v/>
      </c>
      <c r="AH15" s="2" t="str">
        <f t="shared" si="18"/>
        <v/>
      </c>
      <c r="AI15" s="2" t="str">
        <f t="shared" si="19"/>
        <v/>
      </c>
      <c r="AJ15" s="2" t="str">
        <f t="shared" si="20"/>
        <v/>
      </c>
      <c r="AK15" s="2" t="str">
        <f t="shared" si="21"/>
        <v/>
      </c>
      <c r="AL15" s="2" t="str">
        <f t="shared" si="22"/>
        <v/>
      </c>
      <c r="AM15" s="2" t="str">
        <f t="shared" si="23"/>
        <v/>
      </c>
      <c r="AN15" s="2" t="str">
        <f t="shared" si="24"/>
        <v/>
      </c>
      <c r="AP15" s="2" t="str" cm="1">
        <f t="array" ref="AP15">IF('NILAI CPL'!$B15&lt;&gt;"",IFERROR(_xlfn.IFS(S15&gt;='NILAI CPL'!$B$3,4,S15&gt;='NILAI CPL'!$B$4,3,S15&gt;='NILAI CPL'!$B$5,2,S15&gt;'NILAI CPL'!$B$6,1),0),"")</f>
        <v/>
      </c>
      <c r="AQ15" s="2" t="str" cm="1">
        <f t="array" ref="AQ15">IF('NILAI CPL'!$B15&lt;&gt;"",IFERROR(_xlfn.IFS(T15&gt;='NILAI CPL'!$B$3,4,T15&gt;='NILAI CPL'!$B$4,3,T15&gt;='NILAI CPL'!$B$5,2,T15&gt;'NILAI CPL'!$B$6,1),0),"")</f>
        <v/>
      </c>
      <c r="AR15" s="2" t="str" cm="1">
        <f t="array" ref="AR15">IF('NILAI CPL'!$B15&lt;&gt;"",IFERROR(_xlfn.IFS(U15&gt;='NILAI CPL'!$B$3,4,U15&gt;='NILAI CPL'!$B$4,3,U15&gt;='NILAI CPL'!$B$5,2,U15&gt;'NILAI CPL'!$B$6,1),0),"")</f>
        <v/>
      </c>
      <c r="AS15" s="2" t="str" cm="1">
        <f t="array" ref="AS15">IF('NILAI CPL'!$B15&lt;&gt;"",IFERROR(_xlfn.IFS(V15&gt;='NILAI CPL'!$B$3,4,V15&gt;='NILAI CPL'!$B$4,3,V15&gt;='NILAI CPL'!$B$5,2,V15&gt;'NILAI CPL'!$B$6,1),0),"")</f>
        <v/>
      </c>
      <c r="AT15" s="2" t="str" cm="1">
        <f t="array" ref="AT15">IF('NILAI CPL'!$B15&lt;&gt;"",IFERROR(_xlfn.IFS(W15&gt;='NILAI CPL'!$B$3,4,W15&gt;='NILAI CPL'!$B$4,3,W15&gt;='NILAI CPL'!$B$5,2,W15&gt;'NILAI CPL'!$B$6,1),0),"")</f>
        <v/>
      </c>
      <c r="AU15" s="2" t="str" cm="1">
        <f t="array" ref="AU15">IF('NILAI CPL'!$B15&lt;&gt;"",IFERROR(_xlfn.IFS(X15&gt;='NILAI CPL'!$B$3,4,X15&gt;='NILAI CPL'!$B$4,3,X15&gt;='NILAI CPL'!$B$5,2,X15&gt;'NILAI CPL'!$B$6,1),0),"")</f>
        <v/>
      </c>
      <c r="AV15" s="2" t="str" cm="1">
        <f t="array" ref="AV15">IF('NILAI CPL'!$B15&lt;&gt;"",IFERROR(_xlfn.IFS(Y15&gt;='NILAI CPL'!$B$3,4,Y15&gt;='NILAI CPL'!$B$4,3,Y15&gt;='NILAI CPL'!$B$5,2,Y15&gt;'NILAI CPL'!$B$6,1),0),"")</f>
        <v/>
      </c>
      <c r="AW15" s="2" t="str" cm="1">
        <f t="array" ref="AW15">IF('NILAI CPL'!$B15&lt;&gt;"",IFERROR(_xlfn.IFS(Z15&gt;='NILAI CPL'!$B$3,4,Z15&gt;='NILAI CPL'!$B$4,3,Z15&gt;='NILAI CPL'!$B$5,2,Z15&gt;'NILAI CPL'!$B$6,1),0),"")</f>
        <v/>
      </c>
      <c r="AX15" s="2" t="str" cm="1">
        <f t="array" ref="AX15">IF('NILAI CPL'!$B15&lt;&gt;"",IFERROR(_xlfn.IFS(AA15&gt;='NILAI CPL'!$B$3,4,AA15&gt;='NILAI CPL'!$B$4,3,AA15&gt;='NILAI CPL'!$B$5,2,AA15&gt;'NILAI CPL'!$B$6,1),0),"")</f>
        <v/>
      </c>
      <c r="AY15" s="2" t="str" cm="1">
        <f t="array" ref="AY15">IF('NILAI CPL'!$B15&lt;&gt;"",IFERROR(_xlfn.IFS(AB15&gt;='NILAI CPL'!$B$3,4,AB15&gt;='NILAI CPL'!$B$4,3,AB15&gt;='NILAI CPL'!$B$5,2,AB15&gt;'NILAI CPL'!$B$6,1),0),"")</f>
        <v/>
      </c>
      <c r="AZ15" s="2" t="str" cm="1">
        <f t="array" ref="AZ15">IF('NILAI CPL'!$B15&lt;&gt;"",IFERROR(_xlfn.IFS(AC15&gt;='NILAI CPL'!$B$3,4,AC15&gt;='NILAI CPL'!$B$4,3,AC15&gt;='NILAI CPL'!$B$5,2,AC15&gt;'NILAI CPL'!$B$6,1),0),"")</f>
        <v/>
      </c>
      <c r="BA15" s="2" t="str" cm="1">
        <f t="array" ref="BA15">IF('NILAI CPL'!$B15&lt;&gt;"",IFERROR(_xlfn.IFS(AD15&gt;='NILAI CPL'!$B$3,4,AD15&gt;='NILAI CPL'!$B$4,3,AD15&gt;='NILAI CPL'!$B$5,2,AD15&gt;'NILAI CPL'!$B$6,1),0),"")</f>
        <v/>
      </c>
      <c r="BB15" s="2" t="str" cm="1">
        <f t="array" ref="BB15">IF('NILAI CPL'!$B15&lt;&gt;"",IFERROR(_xlfn.IFS(AE15&gt;='NILAI CPL'!$B$3,4,AE15&gt;='NILAI CPL'!$B$4,3,AE15&gt;='NILAI CPL'!$B$5,2,AE15&gt;'NILAI CPL'!$B$6,1),0),"")</f>
        <v/>
      </c>
      <c r="BC15" s="2" t="str" cm="1">
        <f t="array" ref="BC15">IF('NILAI CPL'!$B15&lt;&gt;"",IFERROR(_xlfn.IFS(AF15&gt;='NILAI CPL'!$B$3,4,AF15&gt;='NILAI CPL'!$B$4,3,AF15&gt;='NILAI CPL'!$B$5,2,AF15&gt;'NILAI CPL'!$B$6,1),0),"")</f>
        <v/>
      </c>
      <c r="BD15" s="2" t="str" cm="1">
        <f t="array" ref="BD15">IF('NILAI CPL'!$B15&lt;&gt;"",IFERROR(_xlfn.IFS(AG15&gt;='NILAI CPL'!$B$3,4,AG15&gt;='NILAI CPL'!$B$4,3,AG15&gt;='NILAI CPL'!$B$5,2,AG15&gt;'NILAI CPL'!$B$6,1),0),"")</f>
        <v/>
      </c>
      <c r="BE15" s="2" t="str" cm="1">
        <f t="array" ref="BE15">IF('NILAI CPL'!$B15&lt;&gt;"",IFERROR(_xlfn.IFS(AH15&gt;='NILAI CPL'!$B$3,4,AH15&gt;='NILAI CPL'!$B$4,3,AH15&gt;='NILAI CPL'!$B$5,2,AH15&gt;'NILAI CPL'!$B$6,1),0),"")</f>
        <v/>
      </c>
      <c r="BF15" s="2" t="str" cm="1">
        <f t="array" ref="BF15">IF('NILAI CPL'!$B15&lt;&gt;"",IFERROR(_xlfn.IFS(AI15&gt;='NILAI CPL'!$B$3,4,AI15&gt;='NILAI CPL'!$B$4,3,AI15&gt;='NILAI CPL'!$B$5,2,AI15&gt;'NILAI CPL'!$B$6,1),0),"")</f>
        <v/>
      </c>
      <c r="BG15" s="2" t="str" cm="1">
        <f t="array" ref="BG15">IF('NILAI CPL'!$B15&lt;&gt;"",IFERROR(_xlfn.IFS(AJ15&gt;='NILAI CPL'!$B$3,4,AJ15&gt;='NILAI CPL'!$B$4,3,AJ15&gt;='NILAI CPL'!$B$5,2,AJ15&gt;'NILAI CPL'!$B$6,1),0),"")</f>
        <v/>
      </c>
      <c r="BH15" s="2" t="str" cm="1">
        <f t="array" ref="BH15">IF('NILAI CPL'!$B15&lt;&gt;"",IFERROR(_xlfn.IFS(AK15&gt;='NILAI CPL'!$B$3,4,AK15&gt;='NILAI CPL'!$B$4,3,AK15&gt;='NILAI CPL'!$B$5,2,AK15&gt;'NILAI CPL'!$B$6,1),0),"")</f>
        <v/>
      </c>
      <c r="BI15" s="2" t="str" cm="1">
        <f t="array" ref="BI15">IF('NILAI CPL'!$B15&lt;&gt;"",IFERROR(_xlfn.IFS(AL15&gt;='NILAI CPL'!$B$3,4,AL15&gt;='NILAI CPL'!$B$4,3,AL15&gt;='NILAI CPL'!$B$5,2,AL15&gt;'NILAI CPL'!$B$6,1),0),"")</f>
        <v/>
      </c>
      <c r="BJ15" s="2" t="str" cm="1">
        <f t="array" ref="BJ15">IF('NILAI CPL'!$B15&lt;&gt;"",IFERROR(_xlfn.IFS(AM15&gt;='NILAI CPL'!$B$3,4,AM15&gt;='NILAI CPL'!$B$4,3,AM15&gt;='NILAI CPL'!$B$5,2,AM15&gt;'NILAI CPL'!$B$6,1),0),"")</f>
        <v/>
      </c>
      <c r="BK15" s="2" t="str" cm="1">
        <f t="array" ref="BK15">IF('NILAI CPL'!$B15&lt;&gt;"",IFERROR(_xlfn.IFS(AN15&gt;='NILAI CPL'!$B$3,4,AN15&gt;='NILAI CPL'!$B$4,3,AN15&gt;='NILAI CPL'!$B$5,2,AN15&gt;'NILAI CPL'!$B$6,1),0),"")</f>
        <v/>
      </c>
    </row>
    <row r="16" spans="1:63" x14ac:dyDescent="0.2">
      <c r="A16" s="2">
        <v>6</v>
      </c>
      <c r="B16" s="2" t="str">
        <f>IF(LEN(SUMMARY!B16)&gt;0, SUMMARY!B16, "")</f>
        <v/>
      </c>
      <c r="C16" s="2" t="str">
        <f>IF(LEN(SUMMARY!C16)&gt;0, SUMMARY!C16, "")</f>
        <v/>
      </c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" t="str">
        <f t="shared" si="2"/>
        <v/>
      </c>
      <c r="S16" s="2" t="str">
        <f t="shared" si="3"/>
        <v/>
      </c>
      <c r="T16" s="2" t="str">
        <f t="shared" si="4"/>
        <v/>
      </c>
      <c r="U16" s="2" t="str">
        <f t="shared" si="5"/>
        <v/>
      </c>
      <c r="V16" s="2" t="str">
        <f t="shared" si="6"/>
        <v/>
      </c>
      <c r="W16" s="2" t="str">
        <f t="shared" si="7"/>
        <v/>
      </c>
      <c r="X16" s="2" t="str">
        <f t="shared" si="8"/>
        <v/>
      </c>
      <c r="Y16" s="2" t="str">
        <f t="shared" si="9"/>
        <v/>
      </c>
      <c r="Z16" s="2" t="str">
        <f t="shared" si="10"/>
        <v/>
      </c>
      <c r="AA16" s="2" t="str">
        <f t="shared" si="11"/>
        <v/>
      </c>
      <c r="AB16" s="2" t="str">
        <f t="shared" si="12"/>
        <v/>
      </c>
      <c r="AC16" s="2" t="str">
        <f t="shared" si="13"/>
        <v/>
      </c>
      <c r="AD16" s="2" t="str">
        <f t="shared" si="14"/>
        <v/>
      </c>
      <c r="AE16" s="2" t="str">
        <f t="shared" si="15"/>
        <v/>
      </c>
      <c r="AF16" s="2" t="str">
        <f t="shared" si="16"/>
        <v/>
      </c>
      <c r="AG16" s="2" t="str">
        <f t="shared" si="17"/>
        <v/>
      </c>
      <c r="AH16" s="2" t="str">
        <f t="shared" si="18"/>
        <v/>
      </c>
      <c r="AI16" s="2" t="str">
        <f t="shared" si="19"/>
        <v/>
      </c>
      <c r="AJ16" s="2" t="str">
        <f t="shared" si="20"/>
        <v/>
      </c>
      <c r="AK16" s="2" t="str">
        <f t="shared" si="21"/>
        <v/>
      </c>
      <c r="AL16" s="2" t="str">
        <f t="shared" si="22"/>
        <v/>
      </c>
      <c r="AM16" s="2" t="str">
        <f t="shared" si="23"/>
        <v/>
      </c>
      <c r="AN16" s="2" t="str">
        <f t="shared" si="24"/>
        <v/>
      </c>
      <c r="AP16" s="2" t="str" cm="1">
        <f t="array" ref="AP16">IF('NILAI CPL'!$B16&lt;&gt;"",IFERROR(_xlfn.IFS(S16&gt;='NILAI CPL'!$B$3,4,S16&gt;='NILAI CPL'!$B$4,3,S16&gt;='NILAI CPL'!$B$5,2,S16&gt;'NILAI CPL'!$B$6,1),0),"")</f>
        <v/>
      </c>
      <c r="AQ16" s="2" t="str" cm="1">
        <f t="array" ref="AQ16">IF('NILAI CPL'!$B16&lt;&gt;"",IFERROR(_xlfn.IFS(T16&gt;='NILAI CPL'!$B$3,4,T16&gt;='NILAI CPL'!$B$4,3,T16&gt;='NILAI CPL'!$B$5,2,T16&gt;'NILAI CPL'!$B$6,1),0),"")</f>
        <v/>
      </c>
      <c r="AR16" s="2" t="str" cm="1">
        <f t="array" ref="AR16">IF('NILAI CPL'!$B16&lt;&gt;"",IFERROR(_xlfn.IFS(U16&gt;='NILAI CPL'!$B$3,4,U16&gt;='NILAI CPL'!$B$4,3,U16&gt;='NILAI CPL'!$B$5,2,U16&gt;'NILAI CPL'!$B$6,1),0),"")</f>
        <v/>
      </c>
      <c r="AS16" s="2" t="str" cm="1">
        <f t="array" ref="AS16">IF('NILAI CPL'!$B16&lt;&gt;"",IFERROR(_xlfn.IFS(V16&gt;='NILAI CPL'!$B$3,4,V16&gt;='NILAI CPL'!$B$4,3,V16&gt;='NILAI CPL'!$B$5,2,V16&gt;'NILAI CPL'!$B$6,1),0),"")</f>
        <v/>
      </c>
      <c r="AT16" s="2" t="str" cm="1">
        <f t="array" ref="AT16">IF('NILAI CPL'!$B16&lt;&gt;"",IFERROR(_xlfn.IFS(W16&gt;='NILAI CPL'!$B$3,4,W16&gt;='NILAI CPL'!$B$4,3,W16&gt;='NILAI CPL'!$B$5,2,W16&gt;'NILAI CPL'!$B$6,1),0),"")</f>
        <v/>
      </c>
      <c r="AU16" s="2" t="str" cm="1">
        <f t="array" ref="AU16">IF('NILAI CPL'!$B16&lt;&gt;"",IFERROR(_xlfn.IFS(X16&gt;='NILAI CPL'!$B$3,4,X16&gt;='NILAI CPL'!$B$4,3,X16&gt;='NILAI CPL'!$B$5,2,X16&gt;'NILAI CPL'!$B$6,1),0),"")</f>
        <v/>
      </c>
      <c r="AV16" s="2" t="str" cm="1">
        <f t="array" ref="AV16">IF('NILAI CPL'!$B16&lt;&gt;"",IFERROR(_xlfn.IFS(Y16&gt;='NILAI CPL'!$B$3,4,Y16&gt;='NILAI CPL'!$B$4,3,Y16&gt;='NILAI CPL'!$B$5,2,Y16&gt;'NILAI CPL'!$B$6,1),0),"")</f>
        <v/>
      </c>
      <c r="AW16" s="2" t="str" cm="1">
        <f t="array" ref="AW16">IF('NILAI CPL'!$B16&lt;&gt;"",IFERROR(_xlfn.IFS(Z16&gt;='NILAI CPL'!$B$3,4,Z16&gt;='NILAI CPL'!$B$4,3,Z16&gt;='NILAI CPL'!$B$5,2,Z16&gt;'NILAI CPL'!$B$6,1),0),"")</f>
        <v/>
      </c>
      <c r="AX16" s="2" t="str" cm="1">
        <f t="array" ref="AX16">IF('NILAI CPL'!$B16&lt;&gt;"",IFERROR(_xlfn.IFS(AA16&gt;='NILAI CPL'!$B$3,4,AA16&gt;='NILAI CPL'!$B$4,3,AA16&gt;='NILAI CPL'!$B$5,2,AA16&gt;'NILAI CPL'!$B$6,1),0),"")</f>
        <v/>
      </c>
      <c r="AY16" s="2" t="str" cm="1">
        <f t="array" ref="AY16">IF('NILAI CPL'!$B16&lt;&gt;"",IFERROR(_xlfn.IFS(AB16&gt;='NILAI CPL'!$B$3,4,AB16&gt;='NILAI CPL'!$B$4,3,AB16&gt;='NILAI CPL'!$B$5,2,AB16&gt;'NILAI CPL'!$B$6,1),0),"")</f>
        <v/>
      </c>
      <c r="AZ16" s="2" t="str" cm="1">
        <f t="array" ref="AZ16">IF('NILAI CPL'!$B16&lt;&gt;"",IFERROR(_xlfn.IFS(AC16&gt;='NILAI CPL'!$B$3,4,AC16&gt;='NILAI CPL'!$B$4,3,AC16&gt;='NILAI CPL'!$B$5,2,AC16&gt;'NILAI CPL'!$B$6,1),0),"")</f>
        <v/>
      </c>
      <c r="BA16" s="2" t="str" cm="1">
        <f t="array" ref="BA16">IF('NILAI CPL'!$B16&lt;&gt;"",IFERROR(_xlfn.IFS(AD16&gt;='NILAI CPL'!$B$3,4,AD16&gt;='NILAI CPL'!$B$4,3,AD16&gt;='NILAI CPL'!$B$5,2,AD16&gt;'NILAI CPL'!$B$6,1),0),"")</f>
        <v/>
      </c>
      <c r="BB16" s="2" t="str" cm="1">
        <f t="array" ref="BB16">IF('NILAI CPL'!$B16&lt;&gt;"",IFERROR(_xlfn.IFS(AE16&gt;='NILAI CPL'!$B$3,4,AE16&gt;='NILAI CPL'!$B$4,3,AE16&gt;='NILAI CPL'!$B$5,2,AE16&gt;'NILAI CPL'!$B$6,1),0),"")</f>
        <v/>
      </c>
      <c r="BC16" s="2" t="str" cm="1">
        <f t="array" ref="BC16">IF('NILAI CPL'!$B16&lt;&gt;"",IFERROR(_xlfn.IFS(AF16&gt;='NILAI CPL'!$B$3,4,AF16&gt;='NILAI CPL'!$B$4,3,AF16&gt;='NILAI CPL'!$B$5,2,AF16&gt;'NILAI CPL'!$B$6,1),0),"")</f>
        <v/>
      </c>
      <c r="BD16" s="2" t="str" cm="1">
        <f t="array" ref="BD16">IF('NILAI CPL'!$B16&lt;&gt;"",IFERROR(_xlfn.IFS(AG16&gt;='NILAI CPL'!$B$3,4,AG16&gt;='NILAI CPL'!$B$4,3,AG16&gt;='NILAI CPL'!$B$5,2,AG16&gt;'NILAI CPL'!$B$6,1),0),"")</f>
        <v/>
      </c>
      <c r="BE16" s="2" t="str" cm="1">
        <f t="array" ref="BE16">IF('NILAI CPL'!$B16&lt;&gt;"",IFERROR(_xlfn.IFS(AH16&gt;='NILAI CPL'!$B$3,4,AH16&gt;='NILAI CPL'!$B$4,3,AH16&gt;='NILAI CPL'!$B$5,2,AH16&gt;'NILAI CPL'!$B$6,1),0),"")</f>
        <v/>
      </c>
      <c r="BF16" s="2" t="str" cm="1">
        <f t="array" ref="BF16">IF('NILAI CPL'!$B16&lt;&gt;"",IFERROR(_xlfn.IFS(AI16&gt;='NILAI CPL'!$B$3,4,AI16&gt;='NILAI CPL'!$B$4,3,AI16&gt;='NILAI CPL'!$B$5,2,AI16&gt;'NILAI CPL'!$B$6,1),0),"")</f>
        <v/>
      </c>
      <c r="BG16" s="2" t="str" cm="1">
        <f t="array" ref="BG16">IF('NILAI CPL'!$B16&lt;&gt;"",IFERROR(_xlfn.IFS(AJ16&gt;='NILAI CPL'!$B$3,4,AJ16&gt;='NILAI CPL'!$B$4,3,AJ16&gt;='NILAI CPL'!$B$5,2,AJ16&gt;'NILAI CPL'!$B$6,1),0),"")</f>
        <v/>
      </c>
      <c r="BH16" s="2" t="str" cm="1">
        <f t="array" ref="BH16">IF('NILAI CPL'!$B16&lt;&gt;"",IFERROR(_xlfn.IFS(AK16&gt;='NILAI CPL'!$B$3,4,AK16&gt;='NILAI CPL'!$B$4,3,AK16&gt;='NILAI CPL'!$B$5,2,AK16&gt;'NILAI CPL'!$B$6,1),0),"")</f>
        <v/>
      </c>
      <c r="BI16" s="2" t="str" cm="1">
        <f t="array" ref="BI16">IF('NILAI CPL'!$B16&lt;&gt;"",IFERROR(_xlfn.IFS(AL16&gt;='NILAI CPL'!$B$3,4,AL16&gt;='NILAI CPL'!$B$4,3,AL16&gt;='NILAI CPL'!$B$5,2,AL16&gt;'NILAI CPL'!$B$6,1),0),"")</f>
        <v/>
      </c>
      <c r="BJ16" s="2" t="str" cm="1">
        <f t="array" ref="BJ16">IF('NILAI CPL'!$B16&lt;&gt;"",IFERROR(_xlfn.IFS(AM16&gt;='NILAI CPL'!$B$3,4,AM16&gt;='NILAI CPL'!$B$4,3,AM16&gt;='NILAI CPL'!$B$5,2,AM16&gt;'NILAI CPL'!$B$6,1),0),"")</f>
        <v/>
      </c>
      <c r="BK16" s="2" t="str" cm="1">
        <f t="array" ref="BK16">IF('NILAI CPL'!$B16&lt;&gt;"",IFERROR(_xlfn.IFS(AN16&gt;='NILAI CPL'!$B$3,4,AN16&gt;='NILAI CPL'!$B$4,3,AN16&gt;='NILAI CPL'!$B$5,2,AN16&gt;'NILAI CPL'!$B$6,1),0),"")</f>
        <v/>
      </c>
    </row>
    <row r="17" spans="1:63" x14ac:dyDescent="0.2">
      <c r="A17" s="2">
        <v>7</v>
      </c>
      <c r="B17" s="2" t="str">
        <f>IF(LEN(SUMMARY!B17)&gt;0, SUMMARY!B17, "")</f>
        <v/>
      </c>
      <c r="C17" s="2" t="str">
        <f>IF(LEN(SUMMARY!C17)&gt;0, SUMMARY!C17, "")</f>
        <v/>
      </c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" t="str">
        <f t="shared" si="2"/>
        <v/>
      </c>
      <c r="S17" s="2" t="str">
        <f t="shared" si="3"/>
        <v/>
      </c>
      <c r="T17" s="2" t="str">
        <f t="shared" si="4"/>
        <v/>
      </c>
      <c r="U17" s="2" t="str">
        <f t="shared" si="5"/>
        <v/>
      </c>
      <c r="V17" s="2" t="str">
        <f t="shared" si="6"/>
        <v/>
      </c>
      <c r="W17" s="2" t="str">
        <f t="shared" si="7"/>
        <v/>
      </c>
      <c r="X17" s="2" t="str">
        <f t="shared" si="8"/>
        <v/>
      </c>
      <c r="Y17" s="2" t="str">
        <f t="shared" si="9"/>
        <v/>
      </c>
      <c r="Z17" s="2" t="str">
        <f t="shared" si="10"/>
        <v/>
      </c>
      <c r="AA17" s="2" t="str">
        <f t="shared" si="11"/>
        <v/>
      </c>
      <c r="AB17" s="2" t="str">
        <f t="shared" si="12"/>
        <v/>
      </c>
      <c r="AC17" s="2" t="str">
        <f t="shared" si="13"/>
        <v/>
      </c>
      <c r="AD17" s="2" t="str">
        <f t="shared" si="14"/>
        <v/>
      </c>
      <c r="AE17" s="2" t="str">
        <f t="shared" si="15"/>
        <v/>
      </c>
      <c r="AF17" s="2" t="str">
        <f t="shared" si="16"/>
        <v/>
      </c>
      <c r="AG17" s="2" t="str">
        <f t="shared" si="17"/>
        <v/>
      </c>
      <c r="AH17" s="2" t="str">
        <f t="shared" si="18"/>
        <v/>
      </c>
      <c r="AI17" s="2" t="str">
        <f t="shared" si="19"/>
        <v/>
      </c>
      <c r="AJ17" s="2" t="str">
        <f t="shared" si="20"/>
        <v/>
      </c>
      <c r="AK17" s="2" t="str">
        <f t="shared" si="21"/>
        <v/>
      </c>
      <c r="AL17" s="2" t="str">
        <f t="shared" si="22"/>
        <v/>
      </c>
      <c r="AM17" s="2" t="str">
        <f t="shared" si="23"/>
        <v/>
      </c>
      <c r="AN17" s="2" t="str">
        <f t="shared" si="24"/>
        <v/>
      </c>
      <c r="AP17" s="2" t="str" cm="1">
        <f t="array" ref="AP17">IF('NILAI CPL'!$B17&lt;&gt;"",IFERROR(_xlfn.IFS(S17&gt;='NILAI CPL'!$B$3,4,S17&gt;='NILAI CPL'!$B$4,3,S17&gt;='NILAI CPL'!$B$5,2,S17&gt;'NILAI CPL'!$B$6,1),0),"")</f>
        <v/>
      </c>
      <c r="AQ17" s="2" t="str" cm="1">
        <f t="array" ref="AQ17">IF('NILAI CPL'!$B17&lt;&gt;"",IFERROR(_xlfn.IFS(T17&gt;='NILAI CPL'!$B$3,4,T17&gt;='NILAI CPL'!$B$4,3,T17&gt;='NILAI CPL'!$B$5,2,T17&gt;'NILAI CPL'!$B$6,1),0),"")</f>
        <v/>
      </c>
      <c r="AR17" s="2" t="str" cm="1">
        <f t="array" ref="AR17">IF('NILAI CPL'!$B17&lt;&gt;"",IFERROR(_xlfn.IFS(U17&gt;='NILAI CPL'!$B$3,4,U17&gt;='NILAI CPL'!$B$4,3,U17&gt;='NILAI CPL'!$B$5,2,U17&gt;'NILAI CPL'!$B$6,1),0),"")</f>
        <v/>
      </c>
      <c r="AS17" s="2" t="str" cm="1">
        <f t="array" ref="AS17">IF('NILAI CPL'!$B17&lt;&gt;"",IFERROR(_xlfn.IFS(V17&gt;='NILAI CPL'!$B$3,4,V17&gt;='NILAI CPL'!$B$4,3,V17&gt;='NILAI CPL'!$B$5,2,V17&gt;'NILAI CPL'!$B$6,1),0),"")</f>
        <v/>
      </c>
      <c r="AT17" s="2" t="str" cm="1">
        <f t="array" ref="AT17">IF('NILAI CPL'!$B17&lt;&gt;"",IFERROR(_xlfn.IFS(W17&gt;='NILAI CPL'!$B$3,4,W17&gt;='NILAI CPL'!$B$4,3,W17&gt;='NILAI CPL'!$B$5,2,W17&gt;'NILAI CPL'!$B$6,1),0),"")</f>
        <v/>
      </c>
      <c r="AU17" s="2" t="str" cm="1">
        <f t="array" ref="AU17">IF('NILAI CPL'!$B17&lt;&gt;"",IFERROR(_xlfn.IFS(X17&gt;='NILAI CPL'!$B$3,4,X17&gt;='NILAI CPL'!$B$4,3,X17&gt;='NILAI CPL'!$B$5,2,X17&gt;'NILAI CPL'!$B$6,1),0),"")</f>
        <v/>
      </c>
      <c r="AV17" s="2" t="str" cm="1">
        <f t="array" ref="AV17">IF('NILAI CPL'!$B17&lt;&gt;"",IFERROR(_xlfn.IFS(Y17&gt;='NILAI CPL'!$B$3,4,Y17&gt;='NILAI CPL'!$B$4,3,Y17&gt;='NILAI CPL'!$B$5,2,Y17&gt;'NILAI CPL'!$B$6,1),0),"")</f>
        <v/>
      </c>
      <c r="AW17" s="2" t="str" cm="1">
        <f t="array" ref="AW17">IF('NILAI CPL'!$B17&lt;&gt;"",IFERROR(_xlfn.IFS(Z17&gt;='NILAI CPL'!$B$3,4,Z17&gt;='NILAI CPL'!$B$4,3,Z17&gt;='NILAI CPL'!$B$5,2,Z17&gt;'NILAI CPL'!$B$6,1),0),"")</f>
        <v/>
      </c>
      <c r="AX17" s="2" t="str" cm="1">
        <f t="array" ref="AX17">IF('NILAI CPL'!$B17&lt;&gt;"",IFERROR(_xlfn.IFS(AA17&gt;='NILAI CPL'!$B$3,4,AA17&gt;='NILAI CPL'!$B$4,3,AA17&gt;='NILAI CPL'!$B$5,2,AA17&gt;'NILAI CPL'!$B$6,1),0),"")</f>
        <v/>
      </c>
      <c r="AY17" s="2" t="str" cm="1">
        <f t="array" ref="AY17">IF('NILAI CPL'!$B17&lt;&gt;"",IFERROR(_xlfn.IFS(AB17&gt;='NILAI CPL'!$B$3,4,AB17&gt;='NILAI CPL'!$B$4,3,AB17&gt;='NILAI CPL'!$B$5,2,AB17&gt;'NILAI CPL'!$B$6,1),0),"")</f>
        <v/>
      </c>
      <c r="AZ17" s="2" t="str" cm="1">
        <f t="array" ref="AZ17">IF('NILAI CPL'!$B17&lt;&gt;"",IFERROR(_xlfn.IFS(AC17&gt;='NILAI CPL'!$B$3,4,AC17&gt;='NILAI CPL'!$B$4,3,AC17&gt;='NILAI CPL'!$B$5,2,AC17&gt;'NILAI CPL'!$B$6,1),0),"")</f>
        <v/>
      </c>
      <c r="BA17" s="2" t="str" cm="1">
        <f t="array" ref="BA17">IF('NILAI CPL'!$B17&lt;&gt;"",IFERROR(_xlfn.IFS(AD17&gt;='NILAI CPL'!$B$3,4,AD17&gt;='NILAI CPL'!$B$4,3,AD17&gt;='NILAI CPL'!$B$5,2,AD17&gt;'NILAI CPL'!$B$6,1),0),"")</f>
        <v/>
      </c>
      <c r="BB17" s="2" t="str" cm="1">
        <f t="array" ref="BB17">IF('NILAI CPL'!$B17&lt;&gt;"",IFERROR(_xlfn.IFS(AE17&gt;='NILAI CPL'!$B$3,4,AE17&gt;='NILAI CPL'!$B$4,3,AE17&gt;='NILAI CPL'!$B$5,2,AE17&gt;'NILAI CPL'!$B$6,1),0),"")</f>
        <v/>
      </c>
      <c r="BC17" s="2" t="str" cm="1">
        <f t="array" ref="BC17">IF('NILAI CPL'!$B17&lt;&gt;"",IFERROR(_xlfn.IFS(AF17&gt;='NILAI CPL'!$B$3,4,AF17&gt;='NILAI CPL'!$B$4,3,AF17&gt;='NILAI CPL'!$B$5,2,AF17&gt;'NILAI CPL'!$B$6,1),0),"")</f>
        <v/>
      </c>
      <c r="BD17" s="2" t="str" cm="1">
        <f t="array" ref="BD17">IF('NILAI CPL'!$B17&lt;&gt;"",IFERROR(_xlfn.IFS(AG17&gt;='NILAI CPL'!$B$3,4,AG17&gt;='NILAI CPL'!$B$4,3,AG17&gt;='NILAI CPL'!$B$5,2,AG17&gt;'NILAI CPL'!$B$6,1),0),"")</f>
        <v/>
      </c>
      <c r="BE17" s="2" t="str" cm="1">
        <f t="array" ref="BE17">IF('NILAI CPL'!$B17&lt;&gt;"",IFERROR(_xlfn.IFS(AH17&gt;='NILAI CPL'!$B$3,4,AH17&gt;='NILAI CPL'!$B$4,3,AH17&gt;='NILAI CPL'!$B$5,2,AH17&gt;'NILAI CPL'!$B$6,1),0),"")</f>
        <v/>
      </c>
      <c r="BF17" s="2" t="str" cm="1">
        <f t="array" ref="BF17">IF('NILAI CPL'!$B17&lt;&gt;"",IFERROR(_xlfn.IFS(AI17&gt;='NILAI CPL'!$B$3,4,AI17&gt;='NILAI CPL'!$B$4,3,AI17&gt;='NILAI CPL'!$B$5,2,AI17&gt;'NILAI CPL'!$B$6,1),0),"")</f>
        <v/>
      </c>
      <c r="BG17" s="2" t="str" cm="1">
        <f t="array" ref="BG17">IF('NILAI CPL'!$B17&lt;&gt;"",IFERROR(_xlfn.IFS(AJ17&gt;='NILAI CPL'!$B$3,4,AJ17&gt;='NILAI CPL'!$B$4,3,AJ17&gt;='NILAI CPL'!$B$5,2,AJ17&gt;'NILAI CPL'!$B$6,1),0),"")</f>
        <v/>
      </c>
      <c r="BH17" s="2" t="str" cm="1">
        <f t="array" ref="BH17">IF('NILAI CPL'!$B17&lt;&gt;"",IFERROR(_xlfn.IFS(AK17&gt;='NILAI CPL'!$B$3,4,AK17&gt;='NILAI CPL'!$B$4,3,AK17&gt;='NILAI CPL'!$B$5,2,AK17&gt;'NILAI CPL'!$B$6,1),0),"")</f>
        <v/>
      </c>
      <c r="BI17" s="2" t="str" cm="1">
        <f t="array" ref="BI17">IF('NILAI CPL'!$B17&lt;&gt;"",IFERROR(_xlfn.IFS(AL17&gt;='NILAI CPL'!$B$3,4,AL17&gt;='NILAI CPL'!$B$4,3,AL17&gt;='NILAI CPL'!$B$5,2,AL17&gt;'NILAI CPL'!$B$6,1),0),"")</f>
        <v/>
      </c>
      <c r="BJ17" s="2" t="str" cm="1">
        <f t="array" ref="BJ17">IF('NILAI CPL'!$B17&lt;&gt;"",IFERROR(_xlfn.IFS(AM17&gt;='NILAI CPL'!$B$3,4,AM17&gt;='NILAI CPL'!$B$4,3,AM17&gt;='NILAI CPL'!$B$5,2,AM17&gt;'NILAI CPL'!$B$6,1),0),"")</f>
        <v/>
      </c>
      <c r="BK17" s="2" t="str" cm="1">
        <f t="array" ref="BK17">IF('NILAI CPL'!$B17&lt;&gt;"",IFERROR(_xlfn.IFS(AN17&gt;='NILAI CPL'!$B$3,4,AN17&gt;='NILAI CPL'!$B$4,3,AN17&gt;='NILAI CPL'!$B$5,2,AN17&gt;'NILAI CPL'!$B$6,1),0),"")</f>
        <v/>
      </c>
    </row>
    <row r="18" spans="1:63" x14ac:dyDescent="0.2">
      <c r="A18" s="2">
        <v>8</v>
      </c>
      <c r="B18" s="2" t="str">
        <f>IF(LEN(SUMMARY!B18)&gt;0, SUMMARY!B18, "")</f>
        <v/>
      </c>
      <c r="C18" s="2" t="str">
        <f>IF(LEN(SUMMARY!C18)&gt;0, SUMMARY!C18, "")</f>
        <v/>
      </c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" t="str">
        <f t="shared" si="2"/>
        <v/>
      </c>
      <c r="S18" s="2" t="str">
        <f t="shared" si="3"/>
        <v/>
      </c>
      <c r="T18" s="2" t="str">
        <f t="shared" si="4"/>
        <v/>
      </c>
      <c r="U18" s="2" t="str">
        <f t="shared" si="5"/>
        <v/>
      </c>
      <c r="V18" s="2" t="str">
        <f t="shared" si="6"/>
        <v/>
      </c>
      <c r="W18" s="2" t="str">
        <f t="shared" si="7"/>
        <v/>
      </c>
      <c r="X18" s="2" t="str">
        <f t="shared" si="8"/>
        <v/>
      </c>
      <c r="Y18" s="2" t="str">
        <f t="shared" si="9"/>
        <v/>
      </c>
      <c r="Z18" s="2" t="str">
        <f t="shared" si="10"/>
        <v/>
      </c>
      <c r="AA18" s="2" t="str">
        <f t="shared" si="11"/>
        <v/>
      </c>
      <c r="AB18" s="2" t="str">
        <f t="shared" si="12"/>
        <v/>
      </c>
      <c r="AC18" s="2" t="str">
        <f t="shared" si="13"/>
        <v/>
      </c>
      <c r="AD18" s="2" t="str">
        <f t="shared" si="14"/>
        <v/>
      </c>
      <c r="AE18" s="2" t="str">
        <f t="shared" si="15"/>
        <v/>
      </c>
      <c r="AF18" s="2" t="str">
        <f t="shared" si="16"/>
        <v/>
      </c>
      <c r="AG18" s="2" t="str">
        <f t="shared" si="17"/>
        <v/>
      </c>
      <c r="AH18" s="2" t="str">
        <f t="shared" si="18"/>
        <v/>
      </c>
      <c r="AI18" s="2" t="str">
        <f t="shared" si="19"/>
        <v/>
      </c>
      <c r="AJ18" s="2" t="str">
        <f t="shared" si="20"/>
        <v/>
      </c>
      <c r="AK18" s="2" t="str">
        <f t="shared" si="21"/>
        <v/>
      </c>
      <c r="AL18" s="2" t="str">
        <f t="shared" si="22"/>
        <v/>
      </c>
      <c r="AM18" s="2" t="str">
        <f t="shared" si="23"/>
        <v/>
      </c>
      <c r="AN18" s="2" t="str">
        <f t="shared" si="24"/>
        <v/>
      </c>
      <c r="AP18" s="2" t="str" cm="1">
        <f t="array" ref="AP18">IF('NILAI CPL'!$B18&lt;&gt;"",IFERROR(_xlfn.IFS(S18&gt;='NILAI CPL'!$B$3,4,S18&gt;='NILAI CPL'!$B$4,3,S18&gt;='NILAI CPL'!$B$5,2,S18&gt;'NILAI CPL'!$B$6,1),0),"")</f>
        <v/>
      </c>
      <c r="AQ18" s="2" t="str" cm="1">
        <f t="array" ref="AQ18">IF('NILAI CPL'!$B18&lt;&gt;"",IFERROR(_xlfn.IFS(T18&gt;='NILAI CPL'!$B$3,4,T18&gt;='NILAI CPL'!$B$4,3,T18&gt;='NILAI CPL'!$B$5,2,T18&gt;'NILAI CPL'!$B$6,1),0),"")</f>
        <v/>
      </c>
      <c r="AR18" s="2" t="str" cm="1">
        <f t="array" ref="AR18">IF('NILAI CPL'!$B18&lt;&gt;"",IFERROR(_xlfn.IFS(U18&gt;='NILAI CPL'!$B$3,4,U18&gt;='NILAI CPL'!$B$4,3,U18&gt;='NILAI CPL'!$B$5,2,U18&gt;'NILAI CPL'!$B$6,1),0),"")</f>
        <v/>
      </c>
      <c r="AS18" s="2" t="str" cm="1">
        <f t="array" ref="AS18">IF('NILAI CPL'!$B18&lt;&gt;"",IFERROR(_xlfn.IFS(V18&gt;='NILAI CPL'!$B$3,4,V18&gt;='NILAI CPL'!$B$4,3,V18&gt;='NILAI CPL'!$B$5,2,V18&gt;'NILAI CPL'!$B$6,1),0),"")</f>
        <v/>
      </c>
      <c r="AT18" s="2" t="str" cm="1">
        <f t="array" ref="AT18">IF('NILAI CPL'!$B18&lt;&gt;"",IFERROR(_xlfn.IFS(W18&gt;='NILAI CPL'!$B$3,4,W18&gt;='NILAI CPL'!$B$4,3,W18&gt;='NILAI CPL'!$B$5,2,W18&gt;'NILAI CPL'!$B$6,1),0),"")</f>
        <v/>
      </c>
      <c r="AU18" s="2" t="str" cm="1">
        <f t="array" ref="AU18">IF('NILAI CPL'!$B18&lt;&gt;"",IFERROR(_xlfn.IFS(X18&gt;='NILAI CPL'!$B$3,4,X18&gt;='NILAI CPL'!$B$4,3,X18&gt;='NILAI CPL'!$B$5,2,X18&gt;'NILAI CPL'!$B$6,1),0),"")</f>
        <v/>
      </c>
      <c r="AV18" s="2" t="str" cm="1">
        <f t="array" ref="AV18">IF('NILAI CPL'!$B18&lt;&gt;"",IFERROR(_xlfn.IFS(Y18&gt;='NILAI CPL'!$B$3,4,Y18&gt;='NILAI CPL'!$B$4,3,Y18&gt;='NILAI CPL'!$B$5,2,Y18&gt;'NILAI CPL'!$B$6,1),0),"")</f>
        <v/>
      </c>
      <c r="AW18" s="2" t="str" cm="1">
        <f t="array" ref="AW18">IF('NILAI CPL'!$B18&lt;&gt;"",IFERROR(_xlfn.IFS(Z18&gt;='NILAI CPL'!$B$3,4,Z18&gt;='NILAI CPL'!$B$4,3,Z18&gt;='NILAI CPL'!$B$5,2,Z18&gt;'NILAI CPL'!$B$6,1),0),"")</f>
        <v/>
      </c>
      <c r="AX18" s="2" t="str" cm="1">
        <f t="array" ref="AX18">IF('NILAI CPL'!$B18&lt;&gt;"",IFERROR(_xlfn.IFS(AA18&gt;='NILAI CPL'!$B$3,4,AA18&gt;='NILAI CPL'!$B$4,3,AA18&gt;='NILAI CPL'!$B$5,2,AA18&gt;'NILAI CPL'!$B$6,1),0),"")</f>
        <v/>
      </c>
      <c r="AY18" s="2" t="str" cm="1">
        <f t="array" ref="AY18">IF('NILAI CPL'!$B18&lt;&gt;"",IFERROR(_xlfn.IFS(AB18&gt;='NILAI CPL'!$B$3,4,AB18&gt;='NILAI CPL'!$B$4,3,AB18&gt;='NILAI CPL'!$B$5,2,AB18&gt;'NILAI CPL'!$B$6,1),0),"")</f>
        <v/>
      </c>
      <c r="AZ18" s="2" t="str" cm="1">
        <f t="array" ref="AZ18">IF('NILAI CPL'!$B18&lt;&gt;"",IFERROR(_xlfn.IFS(AC18&gt;='NILAI CPL'!$B$3,4,AC18&gt;='NILAI CPL'!$B$4,3,AC18&gt;='NILAI CPL'!$B$5,2,AC18&gt;'NILAI CPL'!$B$6,1),0),"")</f>
        <v/>
      </c>
      <c r="BA18" s="2" t="str" cm="1">
        <f t="array" ref="BA18">IF('NILAI CPL'!$B18&lt;&gt;"",IFERROR(_xlfn.IFS(AD18&gt;='NILAI CPL'!$B$3,4,AD18&gt;='NILAI CPL'!$B$4,3,AD18&gt;='NILAI CPL'!$B$5,2,AD18&gt;'NILAI CPL'!$B$6,1),0),"")</f>
        <v/>
      </c>
      <c r="BB18" s="2" t="str" cm="1">
        <f t="array" ref="BB18">IF('NILAI CPL'!$B18&lt;&gt;"",IFERROR(_xlfn.IFS(AE18&gt;='NILAI CPL'!$B$3,4,AE18&gt;='NILAI CPL'!$B$4,3,AE18&gt;='NILAI CPL'!$B$5,2,AE18&gt;'NILAI CPL'!$B$6,1),0),"")</f>
        <v/>
      </c>
      <c r="BC18" s="2" t="str" cm="1">
        <f t="array" ref="BC18">IF('NILAI CPL'!$B18&lt;&gt;"",IFERROR(_xlfn.IFS(AF18&gt;='NILAI CPL'!$B$3,4,AF18&gt;='NILAI CPL'!$B$4,3,AF18&gt;='NILAI CPL'!$B$5,2,AF18&gt;'NILAI CPL'!$B$6,1),0),"")</f>
        <v/>
      </c>
      <c r="BD18" s="2" t="str" cm="1">
        <f t="array" ref="BD18">IF('NILAI CPL'!$B18&lt;&gt;"",IFERROR(_xlfn.IFS(AG18&gt;='NILAI CPL'!$B$3,4,AG18&gt;='NILAI CPL'!$B$4,3,AG18&gt;='NILAI CPL'!$B$5,2,AG18&gt;'NILAI CPL'!$B$6,1),0),"")</f>
        <v/>
      </c>
      <c r="BE18" s="2" t="str" cm="1">
        <f t="array" ref="BE18">IF('NILAI CPL'!$B18&lt;&gt;"",IFERROR(_xlfn.IFS(AH18&gt;='NILAI CPL'!$B$3,4,AH18&gt;='NILAI CPL'!$B$4,3,AH18&gt;='NILAI CPL'!$B$5,2,AH18&gt;'NILAI CPL'!$B$6,1),0),"")</f>
        <v/>
      </c>
      <c r="BF18" s="2" t="str" cm="1">
        <f t="array" ref="BF18">IF('NILAI CPL'!$B18&lt;&gt;"",IFERROR(_xlfn.IFS(AI18&gt;='NILAI CPL'!$B$3,4,AI18&gt;='NILAI CPL'!$B$4,3,AI18&gt;='NILAI CPL'!$B$5,2,AI18&gt;'NILAI CPL'!$B$6,1),0),"")</f>
        <v/>
      </c>
      <c r="BG18" s="2" t="str" cm="1">
        <f t="array" ref="BG18">IF('NILAI CPL'!$B18&lt;&gt;"",IFERROR(_xlfn.IFS(AJ18&gt;='NILAI CPL'!$B$3,4,AJ18&gt;='NILAI CPL'!$B$4,3,AJ18&gt;='NILAI CPL'!$B$5,2,AJ18&gt;'NILAI CPL'!$B$6,1),0),"")</f>
        <v/>
      </c>
      <c r="BH18" s="2" t="str" cm="1">
        <f t="array" ref="BH18">IF('NILAI CPL'!$B18&lt;&gt;"",IFERROR(_xlfn.IFS(AK18&gt;='NILAI CPL'!$B$3,4,AK18&gt;='NILAI CPL'!$B$4,3,AK18&gt;='NILAI CPL'!$B$5,2,AK18&gt;'NILAI CPL'!$B$6,1),0),"")</f>
        <v/>
      </c>
      <c r="BI18" s="2" t="str" cm="1">
        <f t="array" ref="BI18">IF('NILAI CPL'!$B18&lt;&gt;"",IFERROR(_xlfn.IFS(AL18&gt;='NILAI CPL'!$B$3,4,AL18&gt;='NILAI CPL'!$B$4,3,AL18&gt;='NILAI CPL'!$B$5,2,AL18&gt;'NILAI CPL'!$B$6,1),0),"")</f>
        <v/>
      </c>
      <c r="BJ18" s="2" t="str" cm="1">
        <f t="array" ref="BJ18">IF('NILAI CPL'!$B18&lt;&gt;"",IFERROR(_xlfn.IFS(AM18&gt;='NILAI CPL'!$B$3,4,AM18&gt;='NILAI CPL'!$B$4,3,AM18&gt;='NILAI CPL'!$B$5,2,AM18&gt;'NILAI CPL'!$B$6,1),0),"")</f>
        <v/>
      </c>
      <c r="BK18" s="2" t="str" cm="1">
        <f t="array" ref="BK18">IF('NILAI CPL'!$B18&lt;&gt;"",IFERROR(_xlfn.IFS(AN18&gt;='NILAI CPL'!$B$3,4,AN18&gt;='NILAI CPL'!$B$4,3,AN18&gt;='NILAI CPL'!$B$5,2,AN18&gt;'NILAI CPL'!$B$6,1),0),"")</f>
        <v/>
      </c>
    </row>
    <row r="19" spans="1:63" x14ac:dyDescent="0.2">
      <c r="A19" s="2">
        <v>9</v>
      </c>
      <c r="B19" s="2" t="str">
        <f>IF(LEN(SUMMARY!B19)&gt;0, SUMMARY!B19, "")</f>
        <v/>
      </c>
      <c r="C19" s="2" t="str">
        <f>IF(LEN(SUMMARY!C19)&gt;0, SUMMARY!C19, "")</f>
        <v/>
      </c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" t="str">
        <f t="shared" si="2"/>
        <v/>
      </c>
      <c r="S19" s="2" t="str">
        <f t="shared" si="3"/>
        <v/>
      </c>
      <c r="T19" s="2" t="str">
        <f t="shared" si="4"/>
        <v/>
      </c>
      <c r="U19" s="2" t="str">
        <f t="shared" si="5"/>
        <v/>
      </c>
      <c r="V19" s="2" t="str">
        <f t="shared" si="6"/>
        <v/>
      </c>
      <c r="W19" s="2" t="str">
        <f t="shared" si="7"/>
        <v/>
      </c>
      <c r="X19" s="2" t="str">
        <f t="shared" si="8"/>
        <v/>
      </c>
      <c r="Y19" s="2" t="str">
        <f t="shared" si="9"/>
        <v/>
      </c>
      <c r="Z19" s="2" t="str">
        <f t="shared" si="10"/>
        <v/>
      </c>
      <c r="AA19" s="2" t="str">
        <f t="shared" si="11"/>
        <v/>
      </c>
      <c r="AB19" s="2" t="str">
        <f t="shared" si="12"/>
        <v/>
      </c>
      <c r="AC19" s="2" t="str">
        <f t="shared" si="13"/>
        <v/>
      </c>
      <c r="AD19" s="2" t="str">
        <f t="shared" si="14"/>
        <v/>
      </c>
      <c r="AE19" s="2" t="str">
        <f t="shared" si="15"/>
        <v/>
      </c>
      <c r="AF19" s="2" t="str">
        <f t="shared" si="16"/>
        <v/>
      </c>
      <c r="AG19" s="2" t="str">
        <f t="shared" si="17"/>
        <v/>
      </c>
      <c r="AH19" s="2" t="str">
        <f t="shared" si="18"/>
        <v/>
      </c>
      <c r="AI19" s="2" t="str">
        <f t="shared" si="19"/>
        <v/>
      </c>
      <c r="AJ19" s="2" t="str">
        <f t="shared" si="20"/>
        <v/>
      </c>
      <c r="AK19" s="2" t="str">
        <f t="shared" si="21"/>
        <v/>
      </c>
      <c r="AL19" s="2" t="str">
        <f t="shared" si="22"/>
        <v/>
      </c>
      <c r="AM19" s="2" t="str">
        <f t="shared" si="23"/>
        <v/>
      </c>
      <c r="AN19" s="2" t="str">
        <f t="shared" si="24"/>
        <v/>
      </c>
      <c r="AP19" s="2" t="str" cm="1">
        <f t="array" ref="AP19">IF('NILAI CPL'!$B19&lt;&gt;"",IFERROR(_xlfn.IFS(S19&gt;='NILAI CPL'!$B$3,4,S19&gt;='NILAI CPL'!$B$4,3,S19&gt;='NILAI CPL'!$B$5,2,S19&gt;'NILAI CPL'!$B$6,1),0),"")</f>
        <v/>
      </c>
      <c r="AQ19" s="2" t="str" cm="1">
        <f t="array" ref="AQ19">IF('NILAI CPL'!$B19&lt;&gt;"",IFERROR(_xlfn.IFS(T19&gt;='NILAI CPL'!$B$3,4,T19&gt;='NILAI CPL'!$B$4,3,T19&gt;='NILAI CPL'!$B$5,2,T19&gt;'NILAI CPL'!$B$6,1),0),"")</f>
        <v/>
      </c>
      <c r="AR19" s="2" t="str" cm="1">
        <f t="array" ref="AR19">IF('NILAI CPL'!$B19&lt;&gt;"",IFERROR(_xlfn.IFS(U19&gt;='NILAI CPL'!$B$3,4,U19&gt;='NILAI CPL'!$B$4,3,U19&gt;='NILAI CPL'!$B$5,2,U19&gt;'NILAI CPL'!$B$6,1),0),"")</f>
        <v/>
      </c>
      <c r="AS19" s="2" t="str" cm="1">
        <f t="array" ref="AS19">IF('NILAI CPL'!$B19&lt;&gt;"",IFERROR(_xlfn.IFS(V19&gt;='NILAI CPL'!$B$3,4,V19&gt;='NILAI CPL'!$B$4,3,V19&gt;='NILAI CPL'!$B$5,2,V19&gt;'NILAI CPL'!$B$6,1),0),"")</f>
        <v/>
      </c>
      <c r="AT19" s="2" t="str" cm="1">
        <f t="array" ref="AT19">IF('NILAI CPL'!$B19&lt;&gt;"",IFERROR(_xlfn.IFS(W19&gt;='NILAI CPL'!$B$3,4,W19&gt;='NILAI CPL'!$B$4,3,W19&gt;='NILAI CPL'!$B$5,2,W19&gt;'NILAI CPL'!$B$6,1),0),"")</f>
        <v/>
      </c>
      <c r="AU19" s="2" t="str" cm="1">
        <f t="array" ref="AU19">IF('NILAI CPL'!$B19&lt;&gt;"",IFERROR(_xlfn.IFS(X19&gt;='NILAI CPL'!$B$3,4,X19&gt;='NILAI CPL'!$B$4,3,X19&gt;='NILAI CPL'!$B$5,2,X19&gt;'NILAI CPL'!$B$6,1),0),"")</f>
        <v/>
      </c>
      <c r="AV19" s="2" t="str" cm="1">
        <f t="array" ref="AV19">IF('NILAI CPL'!$B19&lt;&gt;"",IFERROR(_xlfn.IFS(Y19&gt;='NILAI CPL'!$B$3,4,Y19&gt;='NILAI CPL'!$B$4,3,Y19&gt;='NILAI CPL'!$B$5,2,Y19&gt;'NILAI CPL'!$B$6,1),0),"")</f>
        <v/>
      </c>
      <c r="AW19" s="2" t="str" cm="1">
        <f t="array" ref="AW19">IF('NILAI CPL'!$B19&lt;&gt;"",IFERROR(_xlfn.IFS(Z19&gt;='NILAI CPL'!$B$3,4,Z19&gt;='NILAI CPL'!$B$4,3,Z19&gt;='NILAI CPL'!$B$5,2,Z19&gt;'NILAI CPL'!$B$6,1),0),"")</f>
        <v/>
      </c>
      <c r="AX19" s="2" t="str" cm="1">
        <f t="array" ref="AX19">IF('NILAI CPL'!$B19&lt;&gt;"",IFERROR(_xlfn.IFS(AA19&gt;='NILAI CPL'!$B$3,4,AA19&gt;='NILAI CPL'!$B$4,3,AA19&gt;='NILAI CPL'!$B$5,2,AA19&gt;'NILAI CPL'!$B$6,1),0),"")</f>
        <v/>
      </c>
      <c r="AY19" s="2" t="str" cm="1">
        <f t="array" ref="AY19">IF('NILAI CPL'!$B19&lt;&gt;"",IFERROR(_xlfn.IFS(AB19&gt;='NILAI CPL'!$B$3,4,AB19&gt;='NILAI CPL'!$B$4,3,AB19&gt;='NILAI CPL'!$B$5,2,AB19&gt;'NILAI CPL'!$B$6,1),0),"")</f>
        <v/>
      </c>
      <c r="AZ19" s="2" t="str" cm="1">
        <f t="array" ref="AZ19">IF('NILAI CPL'!$B19&lt;&gt;"",IFERROR(_xlfn.IFS(AC19&gt;='NILAI CPL'!$B$3,4,AC19&gt;='NILAI CPL'!$B$4,3,AC19&gt;='NILAI CPL'!$B$5,2,AC19&gt;'NILAI CPL'!$B$6,1),0),"")</f>
        <v/>
      </c>
      <c r="BA19" s="2" t="str" cm="1">
        <f t="array" ref="BA19">IF('NILAI CPL'!$B19&lt;&gt;"",IFERROR(_xlfn.IFS(AD19&gt;='NILAI CPL'!$B$3,4,AD19&gt;='NILAI CPL'!$B$4,3,AD19&gt;='NILAI CPL'!$B$5,2,AD19&gt;'NILAI CPL'!$B$6,1),0),"")</f>
        <v/>
      </c>
      <c r="BB19" s="2" t="str" cm="1">
        <f t="array" ref="BB19">IF('NILAI CPL'!$B19&lt;&gt;"",IFERROR(_xlfn.IFS(AE19&gt;='NILAI CPL'!$B$3,4,AE19&gt;='NILAI CPL'!$B$4,3,AE19&gt;='NILAI CPL'!$B$5,2,AE19&gt;'NILAI CPL'!$B$6,1),0),"")</f>
        <v/>
      </c>
      <c r="BC19" s="2" t="str" cm="1">
        <f t="array" ref="BC19">IF('NILAI CPL'!$B19&lt;&gt;"",IFERROR(_xlfn.IFS(AF19&gt;='NILAI CPL'!$B$3,4,AF19&gt;='NILAI CPL'!$B$4,3,AF19&gt;='NILAI CPL'!$B$5,2,AF19&gt;'NILAI CPL'!$B$6,1),0),"")</f>
        <v/>
      </c>
      <c r="BD19" s="2" t="str" cm="1">
        <f t="array" ref="BD19">IF('NILAI CPL'!$B19&lt;&gt;"",IFERROR(_xlfn.IFS(AG19&gt;='NILAI CPL'!$B$3,4,AG19&gt;='NILAI CPL'!$B$4,3,AG19&gt;='NILAI CPL'!$B$5,2,AG19&gt;'NILAI CPL'!$B$6,1),0),"")</f>
        <v/>
      </c>
      <c r="BE19" s="2" t="str" cm="1">
        <f t="array" ref="BE19">IF('NILAI CPL'!$B19&lt;&gt;"",IFERROR(_xlfn.IFS(AH19&gt;='NILAI CPL'!$B$3,4,AH19&gt;='NILAI CPL'!$B$4,3,AH19&gt;='NILAI CPL'!$B$5,2,AH19&gt;'NILAI CPL'!$B$6,1),0),"")</f>
        <v/>
      </c>
      <c r="BF19" s="2" t="str" cm="1">
        <f t="array" ref="BF19">IF('NILAI CPL'!$B19&lt;&gt;"",IFERROR(_xlfn.IFS(AI19&gt;='NILAI CPL'!$B$3,4,AI19&gt;='NILAI CPL'!$B$4,3,AI19&gt;='NILAI CPL'!$B$5,2,AI19&gt;'NILAI CPL'!$B$6,1),0),"")</f>
        <v/>
      </c>
      <c r="BG19" s="2" t="str" cm="1">
        <f t="array" ref="BG19">IF('NILAI CPL'!$B19&lt;&gt;"",IFERROR(_xlfn.IFS(AJ19&gt;='NILAI CPL'!$B$3,4,AJ19&gt;='NILAI CPL'!$B$4,3,AJ19&gt;='NILAI CPL'!$B$5,2,AJ19&gt;'NILAI CPL'!$B$6,1),0),"")</f>
        <v/>
      </c>
      <c r="BH19" s="2" t="str" cm="1">
        <f t="array" ref="BH19">IF('NILAI CPL'!$B19&lt;&gt;"",IFERROR(_xlfn.IFS(AK19&gt;='NILAI CPL'!$B$3,4,AK19&gt;='NILAI CPL'!$B$4,3,AK19&gt;='NILAI CPL'!$B$5,2,AK19&gt;'NILAI CPL'!$B$6,1),0),"")</f>
        <v/>
      </c>
      <c r="BI19" s="2" t="str" cm="1">
        <f t="array" ref="BI19">IF('NILAI CPL'!$B19&lt;&gt;"",IFERROR(_xlfn.IFS(AL19&gt;='NILAI CPL'!$B$3,4,AL19&gt;='NILAI CPL'!$B$4,3,AL19&gt;='NILAI CPL'!$B$5,2,AL19&gt;'NILAI CPL'!$B$6,1),0),"")</f>
        <v/>
      </c>
      <c r="BJ19" s="2" t="str" cm="1">
        <f t="array" ref="BJ19">IF('NILAI CPL'!$B19&lt;&gt;"",IFERROR(_xlfn.IFS(AM19&gt;='NILAI CPL'!$B$3,4,AM19&gt;='NILAI CPL'!$B$4,3,AM19&gt;='NILAI CPL'!$B$5,2,AM19&gt;'NILAI CPL'!$B$6,1),0),"")</f>
        <v/>
      </c>
      <c r="BK19" s="2" t="str" cm="1">
        <f t="array" ref="BK19">IF('NILAI CPL'!$B19&lt;&gt;"",IFERROR(_xlfn.IFS(AN19&gt;='NILAI CPL'!$B$3,4,AN19&gt;='NILAI CPL'!$B$4,3,AN19&gt;='NILAI CPL'!$B$5,2,AN19&gt;'NILAI CPL'!$B$6,1),0),"")</f>
        <v/>
      </c>
    </row>
    <row r="20" spans="1:63" x14ac:dyDescent="0.2">
      <c r="A20" s="2">
        <v>10</v>
      </c>
      <c r="B20" s="2" t="str">
        <f>IF(LEN(SUMMARY!B20)&gt;0, SUMMARY!B20, "")</f>
        <v/>
      </c>
      <c r="C20" s="2" t="str">
        <f>IF(LEN(SUMMARY!C20)&gt;0, SUMMARY!C20, "")</f>
        <v/>
      </c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" t="str">
        <f t="shared" si="2"/>
        <v/>
      </c>
      <c r="S20" s="2" t="str">
        <f t="shared" si="3"/>
        <v/>
      </c>
      <c r="T20" s="2" t="str">
        <f t="shared" si="4"/>
        <v/>
      </c>
      <c r="U20" s="2" t="str">
        <f t="shared" si="5"/>
        <v/>
      </c>
      <c r="V20" s="2" t="str">
        <f t="shared" si="6"/>
        <v/>
      </c>
      <c r="W20" s="2" t="str">
        <f t="shared" si="7"/>
        <v/>
      </c>
      <c r="X20" s="2" t="str">
        <f t="shared" si="8"/>
        <v/>
      </c>
      <c r="Y20" s="2" t="str">
        <f t="shared" si="9"/>
        <v/>
      </c>
      <c r="Z20" s="2" t="str">
        <f t="shared" si="10"/>
        <v/>
      </c>
      <c r="AA20" s="2" t="str">
        <f t="shared" si="11"/>
        <v/>
      </c>
      <c r="AB20" s="2" t="str">
        <f t="shared" si="12"/>
        <v/>
      </c>
      <c r="AC20" s="2" t="str">
        <f t="shared" si="13"/>
        <v/>
      </c>
      <c r="AD20" s="2" t="str">
        <f t="shared" si="14"/>
        <v/>
      </c>
      <c r="AE20" s="2" t="str">
        <f t="shared" si="15"/>
        <v/>
      </c>
      <c r="AF20" s="2" t="str">
        <f t="shared" si="16"/>
        <v/>
      </c>
      <c r="AG20" s="2" t="str">
        <f t="shared" si="17"/>
        <v/>
      </c>
      <c r="AH20" s="2" t="str">
        <f t="shared" si="18"/>
        <v/>
      </c>
      <c r="AI20" s="2" t="str">
        <f t="shared" si="19"/>
        <v/>
      </c>
      <c r="AJ20" s="2" t="str">
        <f t="shared" si="20"/>
        <v/>
      </c>
      <c r="AK20" s="2" t="str">
        <f t="shared" si="21"/>
        <v/>
      </c>
      <c r="AL20" s="2" t="str">
        <f t="shared" si="22"/>
        <v/>
      </c>
      <c r="AM20" s="2" t="str">
        <f t="shared" si="23"/>
        <v/>
      </c>
      <c r="AN20" s="2" t="str">
        <f t="shared" si="24"/>
        <v/>
      </c>
      <c r="AP20" s="2" t="str" cm="1">
        <f t="array" ref="AP20">IF('NILAI CPL'!$B20&lt;&gt;"",IFERROR(_xlfn.IFS(S20&gt;='NILAI CPL'!$B$3,4,S20&gt;='NILAI CPL'!$B$4,3,S20&gt;='NILAI CPL'!$B$5,2,S20&gt;'NILAI CPL'!$B$6,1),0),"")</f>
        <v/>
      </c>
      <c r="AQ20" s="2" t="str" cm="1">
        <f t="array" ref="AQ20">IF('NILAI CPL'!$B20&lt;&gt;"",IFERROR(_xlfn.IFS(T20&gt;='NILAI CPL'!$B$3,4,T20&gt;='NILAI CPL'!$B$4,3,T20&gt;='NILAI CPL'!$B$5,2,T20&gt;'NILAI CPL'!$B$6,1),0),"")</f>
        <v/>
      </c>
      <c r="AR20" s="2" t="str" cm="1">
        <f t="array" ref="AR20">IF('NILAI CPL'!$B20&lt;&gt;"",IFERROR(_xlfn.IFS(U20&gt;='NILAI CPL'!$B$3,4,U20&gt;='NILAI CPL'!$B$4,3,U20&gt;='NILAI CPL'!$B$5,2,U20&gt;'NILAI CPL'!$B$6,1),0),"")</f>
        <v/>
      </c>
      <c r="AS20" s="2" t="str" cm="1">
        <f t="array" ref="AS20">IF('NILAI CPL'!$B20&lt;&gt;"",IFERROR(_xlfn.IFS(V20&gt;='NILAI CPL'!$B$3,4,V20&gt;='NILAI CPL'!$B$4,3,V20&gt;='NILAI CPL'!$B$5,2,V20&gt;'NILAI CPL'!$B$6,1),0),"")</f>
        <v/>
      </c>
      <c r="AT20" s="2" t="str" cm="1">
        <f t="array" ref="AT20">IF('NILAI CPL'!$B20&lt;&gt;"",IFERROR(_xlfn.IFS(W20&gt;='NILAI CPL'!$B$3,4,W20&gt;='NILAI CPL'!$B$4,3,W20&gt;='NILAI CPL'!$B$5,2,W20&gt;'NILAI CPL'!$B$6,1),0),"")</f>
        <v/>
      </c>
      <c r="AU20" s="2" t="str" cm="1">
        <f t="array" ref="AU20">IF('NILAI CPL'!$B20&lt;&gt;"",IFERROR(_xlfn.IFS(X20&gt;='NILAI CPL'!$B$3,4,X20&gt;='NILAI CPL'!$B$4,3,X20&gt;='NILAI CPL'!$B$5,2,X20&gt;'NILAI CPL'!$B$6,1),0),"")</f>
        <v/>
      </c>
      <c r="AV20" s="2" t="str" cm="1">
        <f t="array" ref="AV20">IF('NILAI CPL'!$B20&lt;&gt;"",IFERROR(_xlfn.IFS(Y20&gt;='NILAI CPL'!$B$3,4,Y20&gt;='NILAI CPL'!$B$4,3,Y20&gt;='NILAI CPL'!$B$5,2,Y20&gt;'NILAI CPL'!$B$6,1),0),"")</f>
        <v/>
      </c>
      <c r="AW20" s="2" t="str" cm="1">
        <f t="array" ref="AW20">IF('NILAI CPL'!$B20&lt;&gt;"",IFERROR(_xlfn.IFS(Z20&gt;='NILAI CPL'!$B$3,4,Z20&gt;='NILAI CPL'!$B$4,3,Z20&gt;='NILAI CPL'!$B$5,2,Z20&gt;'NILAI CPL'!$B$6,1),0),"")</f>
        <v/>
      </c>
      <c r="AX20" s="2" t="str" cm="1">
        <f t="array" ref="AX20">IF('NILAI CPL'!$B20&lt;&gt;"",IFERROR(_xlfn.IFS(AA20&gt;='NILAI CPL'!$B$3,4,AA20&gt;='NILAI CPL'!$B$4,3,AA20&gt;='NILAI CPL'!$B$5,2,AA20&gt;'NILAI CPL'!$B$6,1),0),"")</f>
        <v/>
      </c>
      <c r="AY20" s="2" t="str" cm="1">
        <f t="array" ref="AY20">IF('NILAI CPL'!$B20&lt;&gt;"",IFERROR(_xlfn.IFS(AB20&gt;='NILAI CPL'!$B$3,4,AB20&gt;='NILAI CPL'!$B$4,3,AB20&gt;='NILAI CPL'!$B$5,2,AB20&gt;'NILAI CPL'!$B$6,1),0),"")</f>
        <v/>
      </c>
      <c r="AZ20" s="2" t="str" cm="1">
        <f t="array" ref="AZ20">IF('NILAI CPL'!$B20&lt;&gt;"",IFERROR(_xlfn.IFS(AC20&gt;='NILAI CPL'!$B$3,4,AC20&gt;='NILAI CPL'!$B$4,3,AC20&gt;='NILAI CPL'!$B$5,2,AC20&gt;'NILAI CPL'!$B$6,1),0),"")</f>
        <v/>
      </c>
      <c r="BA20" s="2" t="str" cm="1">
        <f t="array" ref="BA20">IF('NILAI CPL'!$B20&lt;&gt;"",IFERROR(_xlfn.IFS(AD20&gt;='NILAI CPL'!$B$3,4,AD20&gt;='NILAI CPL'!$B$4,3,AD20&gt;='NILAI CPL'!$B$5,2,AD20&gt;'NILAI CPL'!$B$6,1),0),"")</f>
        <v/>
      </c>
      <c r="BB20" s="2" t="str" cm="1">
        <f t="array" ref="BB20">IF('NILAI CPL'!$B20&lt;&gt;"",IFERROR(_xlfn.IFS(AE20&gt;='NILAI CPL'!$B$3,4,AE20&gt;='NILAI CPL'!$B$4,3,AE20&gt;='NILAI CPL'!$B$5,2,AE20&gt;'NILAI CPL'!$B$6,1),0),"")</f>
        <v/>
      </c>
      <c r="BC20" s="2" t="str" cm="1">
        <f t="array" ref="BC20">IF('NILAI CPL'!$B20&lt;&gt;"",IFERROR(_xlfn.IFS(AF20&gt;='NILAI CPL'!$B$3,4,AF20&gt;='NILAI CPL'!$B$4,3,AF20&gt;='NILAI CPL'!$B$5,2,AF20&gt;'NILAI CPL'!$B$6,1),0),"")</f>
        <v/>
      </c>
      <c r="BD20" s="2" t="str" cm="1">
        <f t="array" ref="BD20">IF('NILAI CPL'!$B20&lt;&gt;"",IFERROR(_xlfn.IFS(AG20&gt;='NILAI CPL'!$B$3,4,AG20&gt;='NILAI CPL'!$B$4,3,AG20&gt;='NILAI CPL'!$B$5,2,AG20&gt;'NILAI CPL'!$B$6,1),0),"")</f>
        <v/>
      </c>
      <c r="BE20" s="2" t="str" cm="1">
        <f t="array" ref="BE20">IF('NILAI CPL'!$B20&lt;&gt;"",IFERROR(_xlfn.IFS(AH20&gt;='NILAI CPL'!$B$3,4,AH20&gt;='NILAI CPL'!$B$4,3,AH20&gt;='NILAI CPL'!$B$5,2,AH20&gt;'NILAI CPL'!$B$6,1),0),"")</f>
        <v/>
      </c>
      <c r="BF20" s="2" t="str" cm="1">
        <f t="array" ref="BF20">IF('NILAI CPL'!$B20&lt;&gt;"",IFERROR(_xlfn.IFS(AI20&gt;='NILAI CPL'!$B$3,4,AI20&gt;='NILAI CPL'!$B$4,3,AI20&gt;='NILAI CPL'!$B$5,2,AI20&gt;'NILAI CPL'!$B$6,1),0),"")</f>
        <v/>
      </c>
      <c r="BG20" s="2" t="str" cm="1">
        <f t="array" ref="BG20">IF('NILAI CPL'!$B20&lt;&gt;"",IFERROR(_xlfn.IFS(AJ20&gt;='NILAI CPL'!$B$3,4,AJ20&gt;='NILAI CPL'!$B$4,3,AJ20&gt;='NILAI CPL'!$B$5,2,AJ20&gt;'NILAI CPL'!$B$6,1),0),"")</f>
        <v/>
      </c>
      <c r="BH20" s="2" t="str" cm="1">
        <f t="array" ref="BH20">IF('NILAI CPL'!$B20&lt;&gt;"",IFERROR(_xlfn.IFS(AK20&gt;='NILAI CPL'!$B$3,4,AK20&gt;='NILAI CPL'!$B$4,3,AK20&gt;='NILAI CPL'!$B$5,2,AK20&gt;'NILAI CPL'!$B$6,1),0),"")</f>
        <v/>
      </c>
      <c r="BI20" s="2" t="str" cm="1">
        <f t="array" ref="BI20">IF('NILAI CPL'!$B20&lt;&gt;"",IFERROR(_xlfn.IFS(AL20&gt;='NILAI CPL'!$B$3,4,AL20&gt;='NILAI CPL'!$B$4,3,AL20&gt;='NILAI CPL'!$B$5,2,AL20&gt;'NILAI CPL'!$B$6,1),0),"")</f>
        <v/>
      </c>
      <c r="BJ20" s="2" t="str" cm="1">
        <f t="array" ref="BJ20">IF('NILAI CPL'!$B20&lt;&gt;"",IFERROR(_xlfn.IFS(AM20&gt;='NILAI CPL'!$B$3,4,AM20&gt;='NILAI CPL'!$B$4,3,AM20&gt;='NILAI CPL'!$B$5,2,AM20&gt;'NILAI CPL'!$B$6,1),0),"")</f>
        <v/>
      </c>
      <c r="BK20" s="2" t="str" cm="1">
        <f t="array" ref="BK20">IF('NILAI CPL'!$B20&lt;&gt;"",IFERROR(_xlfn.IFS(AN20&gt;='NILAI CPL'!$B$3,4,AN20&gt;='NILAI CPL'!$B$4,3,AN20&gt;='NILAI CPL'!$B$5,2,AN20&gt;'NILAI CPL'!$B$6,1),0),"")</f>
        <v/>
      </c>
    </row>
    <row r="21" spans="1:63" x14ac:dyDescent="0.2">
      <c r="A21" s="2">
        <v>11</v>
      </c>
      <c r="B21" s="2" t="str">
        <f>IF(LEN(SUMMARY!B21)&gt;0, SUMMARY!B21, "")</f>
        <v/>
      </c>
      <c r="C21" s="2" t="str">
        <f>IF(LEN(SUMMARY!C21)&gt;0, SUMMARY!C21, "")</f>
        <v/>
      </c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" t="str">
        <f t="shared" si="2"/>
        <v/>
      </c>
      <c r="S21" s="2" t="str">
        <f t="shared" si="3"/>
        <v/>
      </c>
      <c r="T21" s="2" t="str">
        <f t="shared" si="4"/>
        <v/>
      </c>
      <c r="U21" s="2" t="str">
        <f t="shared" si="5"/>
        <v/>
      </c>
      <c r="V21" s="2" t="str">
        <f t="shared" si="6"/>
        <v/>
      </c>
      <c r="W21" s="2" t="str">
        <f t="shared" si="7"/>
        <v/>
      </c>
      <c r="X21" s="2" t="str">
        <f t="shared" si="8"/>
        <v/>
      </c>
      <c r="Y21" s="2" t="str">
        <f t="shared" si="9"/>
        <v/>
      </c>
      <c r="Z21" s="2" t="str">
        <f t="shared" si="10"/>
        <v/>
      </c>
      <c r="AA21" s="2" t="str">
        <f t="shared" si="11"/>
        <v/>
      </c>
      <c r="AB21" s="2" t="str">
        <f t="shared" si="12"/>
        <v/>
      </c>
      <c r="AC21" s="2" t="str">
        <f t="shared" si="13"/>
        <v/>
      </c>
      <c r="AD21" s="2" t="str">
        <f t="shared" si="14"/>
        <v/>
      </c>
      <c r="AE21" s="2" t="str">
        <f t="shared" si="15"/>
        <v/>
      </c>
      <c r="AF21" s="2" t="str">
        <f t="shared" si="16"/>
        <v/>
      </c>
      <c r="AG21" s="2" t="str">
        <f t="shared" si="17"/>
        <v/>
      </c>
      <c r="AH21" s="2" t="str">
        <f t="shared" si="18"/>
        <v/>
      </c>
      <c r="AI21" s="2" t="str">
        <f t="shared" si="19"/>
        <v/>
      </c>
      <c r="AJ21" s="2" t="str">
        <f t="shared" si="20"/>
        <v/>
      </c>
      <c r="AK21" s="2" t="str">
        <f t="shared" si="21"/>
        <v/>
      </c>
      <c r="AL21" s="2" t="str">
        <f t="shared" si="22"/>
        <v/>
      </c>
      <c r="AM21" s="2" t="str">
        <f t="shared" si="23"/>
        <v/>
      </c>
      <c r="AN21" s="2" t="str">
        <f t="shared" si="24"/>
        <v/>
      </c>
      <c r="AP21" s="2" t="str" cm="1">
        <f t="array" ref="AP21">IF('NILAI CPL'!$B21&lt;&gt;"",IFERROR(_xlfn.IFS(S21&gt;='NILAI CPL'!$B$3,4,S21&gt;='NILAI CPL'!$B$4,3,S21&gt;='NILAI CPL'!$B$5,2,S21&gt;'NILAI CPL'!$B$6,1),0),"")</f>
        <v/>
      </c>
      <c r="AQ21" s="2" t="str" cm="1">
        <f t="array" ref="AQ21">IF('NILAI CPL'!$B21&lt;&gt;"",IFERROR(_xlfn.IFS(T21&gt;='NILAI CPL'!$B$3,4,T21&gt;='NILAI CPL'!$B$4,3,T21&gt;='NILAI CPL'!$B$5,2,T21&gt;'NILAI CPL'!$B$6,1),0),"")</f>
        <v/>
      </c>
      <c r="AR21" s="2" t="str" cm="1">
        <f t="array" ref="AR21">IF('NILAI CPL'!$B21&lt;&gt;"",IFERROR(_xlfn.IFS(U21&gt;='NILAI CPL'!$B$3,4,U21&gt;='NILAI CPL'!$B$4,3,U21&gt;='NILAI CPL'!$B$5,2,U21&gt;'NILAI CPL'!$B$6,1),0),"")</f>
        <v/>
      </c>
      <c r="AS21" s="2" t="str" cm="1">
        <f t="array" ref="AS21">IF('NILAI CPL'!$B21&lt;&gt;"",IFERROR(_xlfn.IFS(V21&gt;='NILAI CPL'!$B$3,4,V21&gt;='NILAI CPL'!$B$4,3,V21&gt;='NILAI CPL'!$B$5,2,V21&gt;'NILAI CPL'!$B$6,1),0),"")</f>
        <v/>
      </c>
      <c r="AT21" s="2" t="str" cm="1">
        <f t="array" ref="AT21">IF('NILAI CPL'!$B21&lt;&gt;"",IFERROR(_xlfn.IFS(W21&gt;='NILAI CPL'!$B$3,4,W21&gt;='NILAI CPL'!$B$4,3,W21&gt;='NILAI CPL'!$B$5,2,W21&gt;'NILAI CPL'!$B$6,1),0),"")</f>
        <v/>
      </c>
      <c r="AU21" s="2" t="str" cm="1">
        <f t="array" ref="AU21">IF('NILAI CPL'!$B21&lt;&gt;"",IFERROR(_xlfn.IFS(X21&gt;='NILAI CPL'!$B$3,4,X21&gt;='NILAI CPL'!$B$4,3,X21&gt;='NILAI CPL'!$B$5,2,X21&gt;'NILAI CPL'!$B$6,1),0),"")</f>
        <v/>
      </c>
      <c r="AV21" s="2" t="str" cm="1">
        <f t="array" ref="AV21">IF('NILAI CPL'!$B21&lt;&gt;"",IFERROR(_xlfn.IFS(Y21&gt;='NILAI CPL'!$B$3,4,Y21&gt;='NILAI CPL'!$B$4,3,Y21&gt;='NILAI CPL'!$B$5,2,Y21&gt;'NILAI CPL'!$B$6,1),0),"")</f>
        <v/>
      </c>
      <c r="AW21" s="2" t="str" cm="1">
        <f t="array" ref="AW21">IF('NILAI CPL'!$B21&lt;&gt;"",IFERROR(_xlfn.IFS(Z21&gt;='NILAI CPL'!$B$3,4,Z21&gt;='NILAI CPL'!$B$4,3,Z21&gt;='NILAI CPL'!$B$5,2,Z21&gt;'NILAI CPL'!$B$6,1),0),"")</f>
        <v/>
      </c>
      <c r="AX21" s="2" t="str" cm="1">
        <f t="array" ref="AX21">IF('NILAI CPL'!$B21&lt;&gt;"",IFERROR(_xlfn.IFS(AA21&gt;='NILAI CPL'!$B$3,4,AA21&gt;='NILAI CPL'!$B$4,3,AA21&gt;='NILAI CPL'!$B$5,2,AA21&gt;'NILAI CPL'!$B$6,1),0),"")</f>
        <v/>
      </c>
      <c r="AY21" s="2" t="str" cm="1">
        <f t="array" ref="AY21">IF('NILAI CPL'!$B21&lt;&gt;"",IFERROR(_xlfn.IFS(AB21&gt;='NILAI CPL'!$B$3,4,AB21&gt;='NILAI CPL'!$B$4,3,AB21&gt;='NILAI CPL'!$B$5,2,AB21&gt;'NILAI CPL'!$B$6,1),0),"")</f>
        <v/>
      </c>
      <c r="AZ21" s="2" t="str" cm="1">
        <f t="array" ref="AZ21">IF('NILAI CPL'!$B21&lt;&gt;"",IFERROR(_xlfn.IFS(AC21&gt;='NILAI CPL'!$B$3,4,AC21&gt;='NILAI CPL'!$B$4,3,AC21&gt;='NILAI CPL'!$B$5,2,AC21&gt;'NILAI CPL'!$B$6,1),0),"")</f>
        <v/>
      </c>
      <c r="BA21" s="2" t="str" cm="1">
        <f t="array" ref="BA21">IF('NILAI CPL'!$B21&lt;&gt;"",IFERROR(_xlfn.IFS(AD21&gt;='NILAI CPL'!$B$3,4,AD21&gt;='NILAI CPL'!$B$4,3,AD21&gt;='NILAI CPL'!$B$5,2,AD21&gt;'NILAI CPL'!$B$6,1),0),"")</f>
        <v/>
      </c>
      <c r="BB21" s="2" t="str" cm="1">
        <f t="array" ref="BB21">IF('NILAI CPL'!$B21&lt;&gt;"",IFERROR(_xlfn.IFS(AE21&gt;='NILAI CPL'!$B$3,4,AE21&gt;='NILAI CPL'!$B$4,3,AE21&gt;='NILAI CPL'!$B$5,2,AE21&gt;'NILAI CPL'!$B$6,1),0),"")</f>
        <v/>
      </c>
      <c r="BC21" s="2" t="str" cm="1">
        <f t="array" ref="BC21">IF('NILAI CPL'!$B21&lt;&gt;"",IFERROR(_xlfn.IFS(AF21&gt;='NILAI CPL'!$B$3,4,AF21&gt;='NILAI CPL'!$B$4,3,AF21&gt;='NILAI CPL'!$B$5,2,AF21&gt;'NILAI CPL'!$B$6,1),0),"")</f>
        <v/>
      </c>
      <c r="BD21" s="2" t="str" cm="1">
        <f t="array" ref="BD21">IF('NILAI CPL'!$B21&lt;&gt;"",IFERROR(_xlfn.IFS(AG21&gt;='NILAI CPL'!$B$3,4,AG21&gt;='NILAI CPL'!$B$4,3,AG21&gt;='NILAI CPL'!$B$5,2,AG21&gt;'NILAI CPL'!$B$6,1),0),"")</f>
        <v/>
      </c>
      <c r="BE21" s="2" t="str" cm="1">
        <f t="array" ref="BE21">IF('NILAI CPL'!$B21&lt;&gt;"",IFERROR(_xlfn.IFS(AH21&gt;='NILAI CPL'!$B$3,4,AH21&gt;='NILAI CPL'!$B$4,3,AH21&gt;='NILAI CPL'!$B$5,2,AH21&gt;'NILAI CPL'!$B$6,1),0),"")</f>
        <v/>
      </c>
      <c r="BF21" s="2" t="str" cm="1">
        <f t="array" ref="BF21">IF('NILAI CPL'!$B21&lt;&gt;"",IFERROR(_xlfn.IFS(AI21&gt;='NILAI CPL'!$B$3,4,AI21&gt;='NILAI CPL'!$B$4,3,AI21&gt;='NILAI CPL'!$B$5,2,AI21&gt;'NILAI CPL'!$B$6,1),0),"")</f>
        <v/>
      </c>
      <c r="BG21" s="2" t="str" cm="1">
        <f t="array" ref="BG21">IF('NILAI CPL'!$B21&lt;&gt;"",IFERROR(_xlfn.IFS(AJ21&gt;='NILAI CPL'!$B$3,4,AJ21&gt;='NILAI CPL'!$B$4,3,AJ21&gt;='NILAI CPL'!$B$5,2,AJ21&gt;'NILAI CPL'!$B$6,1),0),"")</f>
        <v/>
      </c>
      <c r="BH21" s="2" t="str" cm="1">
        <f t="array" ref="BH21">IF('NILAI CPL'!$B21&lt;&gt;"",IFERROR(_xlfn.IFS(AK21&gt;='NILAI CPL'!$B$3,4,AK21&gt;='NILAI CPL'!$B$4,3,AK21&gt;='NILAI CPL'!$B$5,2,AK21&gt;'NILAI CPL'!$B$6,1),0),"")</f>
        <v/>
      </c>
      <c r="BI21" s="2" t="str" cm="1">
        <f t="array" ref="BI21">IF('NILAI CPL'!$B21&lt;&gt;"",IFERROR(_xlfn.IFS(AL21&gt;='NILAI CPL'!$B$3,4,AL21&gt;='NILAI CPL'!$B$4,3,AL21&gt;='NILAI CPL'!$B$5,2,AL21&gt;'NILAI CPL'!$B$6,1),0),"")</f>
        <v/>
      </c>
      <c r="BJ21" s="2" t="str" cm="1">
        <f t="array" ref="BJ21">IF('NILAI CPL'!$B21&lt;&gt;"",IFERROR(_xlfn.IFS(AM21&gt;='NILAI CPL'!$B$3,4,AM21&gt;='NILAI CPL'!$B$4,3,AM21&gt;='NILAI CPL'!$B$5,2,AM21&gt;'NILAI CPL'!$B$6,1),0),"")</f>
        <v/>
      </c>
      <c r="BK21" s="2" t="str" cm="1">
        <f t="array" ref="BK21">IF('NILAI CPL'!$B21&lt;&gt;"",IFERROR(_xlfn.IFS(AN21&gt;='NILAI CPL'!$B$3,4,AN21&gt;='NILAI CPL'!$B$4,3,AN21&gt;='NILAI CPL'!$B$5,2,AN21&gt;'NILAI CPL'!$B$6,1),0),"")</f>
        <v/>
      </c>
    </row>
    <row r="22" spans="1:63" x14ac:dyDescent="0.2">
      <c r="A22" s="2">
        <v>12</v>
      </c>
      <c r="B22" s="2" t="str">
        <f>IF(LEN(SUMMARY!B22)&gt;0, SUMMARY!B22, "")</f>
        <v/>
      </c>
      <c r="C22" s="2" t="str">
        <f>IF(LEN(SUMMARY!C22)&gt;0, SUMMARY!C22, "")</f>
        <v/>
      </c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" t="str">
        <f t="shared" si="2"/>
        <v/>
      </c>
      <c r="S22" s="2" t="str">
        <f t="shared" si="3"/>
        <v/>
      </c>
      <c r="T22" s="2" t="str">
        <f t="shared" si="4"/>
        <v/>
      </c>
      <c r="U22" s="2" t="str">
        <f t="shared" si="5"/>
        <v/>
      </c>
      <c r="V22" s="2" t="str">
        <f t="shared" si="6"/>
        <v/>
      </c>
      <c r="W22" s="2" t="str">
        <f t="shared" si="7"/>
        <v/>
      </c>
      <c r="X22" s="2" t="str">
        <f t="shared" si="8"/>
        <v/>
      </c>
      <c r="Y22" s="2" t="str">
        <f t="shared" si="9"/>
        <v/>
      </c>
      <c r="Z22" s="2" t="str">
        <f t="shared" si="10"/>
        <v/>
      </c>
      <c r="AA22" s="2" t="str">
        <f t="shared" si="11"/>
        <v/>
      </c>
      <c r="AB22" s="2" t="str">
        <f t="shared" si="12"/>
        <v/>
      </c>
      <c r="AC22" s="2" t="str">
        <f t="shared" si="13"/>
        <v/>
      </c>
      <c r="AD22" s="2" t="str">
        <f t="shared" si="14"/>
        <v/>
      </c>
      <c r="AE22" s="2" t="str">
        <f t="shared" si="15"/>
        <v/>
      </c>
      <c r="AF22" s="2" t="str">
        <f t="shared" si="16"/>
        <v/>
      </c>
      <c r="AG22" s="2" t="str">
        <f t="shared" si="17"/>
        <v/>
      </c>
      <c r="AH22" s="2" t="str">
        <f t="shared" si="18"/>
        <v/>
      </c>
      <c r="AI22" s="2" t="str">
        <f t="shared" si="19"/>
        <v/>
      </c>
      <c r="AJ22" s="2" t="str">
        <f t="shared" si="20"/>
        <v/>
      </c>
      <c r="AK22" s="2" t="str">
        <f t="shared" si="21"/>
        <v/>
      </c>
      <c r="AL22" s="2" t="str">
        <f t="shared" si="22"/>
        <v/>
      </c>
      <c r="AM22" s="2" t="str">
        <f t="shared" si="23"/>
        <v/>
      </c>
      <c r="AN22" s="2" t="str">
        <f t="shared" si="24"/>
        <v/>
      </c>
      <c r="AP22" s="2" t="str" cm="1">
        <f t="array" ref="AP22">IF('NILAI CPL'!$B22&lt;&gt;"",IFERROR(_xlfn.IFS(S22&gt;='NILAI CPL'!$B$3,4,S22&gt;='NILAI CPL'!$B$4,3,S22&gt;='NILAI CPL'!$B$5,2,S22&gt;'NILAI CPL'!$B$6,1),0),"")</f>
        <v/>
      </c>
      <c r="AQ22" s="2" t="str" cm="1">
        <f t="array" ref="AQ22">IF('NILAI CPL'!$B22&lt;&gt;"",IFERROR(_xlfn.IFS(T22&gt;='NILAI CPL'!$B$3,4,T22&gt;='NILAI CPL'!$B$4,3,T22&gt;='NILAI CPL'!$B$5,2,T22&gt;'NILAI CPL'!$B$6,1),0),"")</f>
        <v/>
      </c>
      <c r="AR22" s="2" t="str" cm="1">
        <f t="array" ref="AR22">IF('NILAI CPL'!$B22&lt;&gt;"",IFERROR(_xlfn.IFS(U22&gt;='NILAI CPL'!$B$3,4,U22&gt;='NILAI CPL'!$B$4,3,U22&gt;='NILAI CPL'!$B$5,2,U22&gt;'NILAI CPL'!$B$6,1),0),"")</f>
        <v/>
      </c>
      <c r="AS22" s="2" t="str" cm="1">
        <f t="array" ref="AS22">IF('NILAI CPL'!$B22&lt;&gt;"",IFERROR(_xlfn.IFS(V22&gt;='NILAI CPL'!$B$3,4,V22&gt;='NILAI CPL'!$B$4,3,V22&gt;='NILAI CPL'!$B$5,2,V22&gt;'NILAI CPL'!$B$6,1),0),"")</f>
        <v/>
      </c>
      <c r="AT22" s="2" t="str" cm="1">
        <f t="array" ref="AT22">IF('NILAI CPL'!$B22&lt;&gt;"",IFERROR(_xlfn.IFS(W22&gt;='NILAI CPL'!$B$3,4,W22&gt;='NILAI CPL'!$B$4,3,W22&gt;='NILAI CPL'!$B$5,2,W22&gt;'NILAI CPL'!$B$6,1),0),"")</f>
        <v/>
      </c>
      <c r="AU22" s="2" t="str" cm="1">
        <f t="array" ref="AU22">IF('NILAI CPL'!$B22&lt;&gt;"",IFERROR(_xlfn.IFS(X22&gt;='NILAI CPL'!$B$3,4,X22&gt;='NILAI CPL'!$B$4,3,X22&gt;='NILAI CPL'!$B$5,2,X22&gt;'NILAI CPL'!$B$6,1),0),"")</f>
        <v/>
      </c>
      <c r="AV22" s="2" t="str" cm="1">
        <f t="array" ref="AV22">IF('NILAI CPL'!$B22&lt;&gt;"",IFERROR(_xlfn.IFS(Y22&gt;='NILAI CPL'!$B$3,4,Y22&gt;='NILAI CPL'!$B$4,3,Y22&gt;='NILAI CPL'!$B$5,2,Y22&gt;'NILAI CPL'!$B$6,1),0),"")</f>
        <v/>
      </c>
      <c r="AW22" s="2" t="str" cm="1">
        <f t="array" ref="AW22">IF('NILAI CPL'!$B22&lt;&gt;"",IFERROR(_xlfn.IFS(Z22&gt;='NILAI CPL'!$B$3,4,Z22&gt;='NILAI CPL'!$B$4,3,Z22&gt;='NILAI CPL'!$B$5,2,Z22&gt;'NILAI CPL'!$B$6,1),0),"")</f>
        <v/>
      </c>
      <c r="AX22" s="2" t="str" cm="1">
        <f t="array" ref="AX22">IF('NILAI CPL'!$B22&lt;&gt;"",IFERROR(_xlfn.IFS(AA22&gt;='NILAI CPL'!$B$3,4,AA22&gt;='NILAI CPL'!$B$4,3,AA22&gt;='NILAI CPL'!$B$5,2,AA22&gt;'NILAI CPL'!$B$6,1),0),"")</f>
        <v/>
      </c>
      <c r="AY22" s="2" t="str" cm="1">
        <f t="array" ref="AY22">IF('NILAI CPL'!$B22&lt;&gt;"",IFERROR(_xlfn.IFS(AB22&gt;='NILAI CPL'!$B$3,4,AB22&gt;='NILAI CPL'!$B$4,3,AB22&gt;='NILAI CPL'!$B$5,2,AB22&gt;'NILAI CPL'!$B$6,1),0),"")</f>
        <v/>
      </c>
      <c r="AZ22" s="2" t="str" cm="1">
        <f t="array" ref="AZ22">IF('NILAI CPL'!$B22&lt;&gt;"",IFERROR(_xlfn.IFS(AC22&gt;='NILAI CPL'!$B$3,4,AC22&gt;='NILAI CPL'!$B$4,3,AC22&gt;='NILAI CPL'!$B$5,2,AC22&gt;'NILAI CPL'!$B$6,1),0),"")</f>
        <v/>
      </c>
      <c r="BA22" s="2" t="str" cm="1">
        <f t="array" ref="BA22">IF('NILAI CPL'!$B22&lt;&gt;"",IFERROR(_xlfn.IFS(AD22&gt;='NILAI CPL'!$B$3,4,AD22&gt;='NILAI CPL'!$B$4,3,AD22&gt;='NILAI CPL'!$B$5,2,AD22&gt;'NILAI CPL'!$B$6,1),0),"")</f>
        <v/>
      </c>
      <c r="BB22" s="2" t="str" cm="1">
        <f t="array" ref="BB22">IF('NILAI CPL'!$B22&lt;&gt;"",IFERROR(_xlfn.IFS(AE22&gt;='NILAI CPL'!$B$3,4,AE22&gt;='NILAI CPL'!$B$4,3,AE22&gt;='NILAI CPL'!$B$5,2,AE22&gt;'NILAI CPL'!$B$6,1),0),"")</f>
        <v/>
      </c>
      <c r="BC22" s="2" t="str" cm="1">
        <f t="array" ref="BC22">IF('NILAI CPL'!$B22&lt;&gt;"",IFERROR(_xlfn.IFS(AF22&gt;='NILAI CPL'!$B$3,4,AF22&gt;='NILAI CPL'!$B$4,3,AF22&gt;='NILAI CPL'!$B$5,2,AF22&gt;'NILAI CPL'!$B$6,1),0),"")</f>
        <v/>
      </c>
      <c r="BD22" s="2" t="str" cm="1">
        <f t="array" ref="BD22">IF('NILAI CPL'!$B22&lt;&gt;"",IFERROR(_xlfn.IFS(AG22&gt;='NILAI CPL'!$B$3,4,AG22&gt;='NILAI CPL'!$B$4,3,AG22&gt;='NILAI CPL'!$B$5,2,AG22&gt;'NILAI CPL'!$B$6,1),0),"")</f>
        <v/>
      </c>
      <c r="BE22" s="2" t="str" cm="1">
        <f t="array" ref="BE22">IF('NILAI CPL'!$B22&lt;&gt;"",IFERROR(_xlfn.IFS(AH22&gt;='NILAI CPL'!$B$3,4,AH22&gt;='NILAI CPL'!$B$4,3,AH22&gt;='NILAI CPL'!$B$5,2,AH22&gt;'NILAI CPL'!$B$6,1),0),"")</f>
        <v/>
      </c>
      <c r="BF22" s="2" t="str" cm="1">
        <f t="array" ref="BF22">IF('NILAI CPL'!$B22&lt;&gt;"",IFERROR(_xlfn.IFS(AI22&gt;='NILAI CPL'!$B$3,4,AI22&gt;='NILAI CPL'!$B$4,3,AI22&gt;='NILAI CPL'!$B$5,2,AI22&gt;'NILAI CPL'!$B$6,1),0),"")</f>
        <v/>
      </c>
      <c r="BG22" s="2" t="str" cm="1">
        <f t="array" ref="BG22">IF('NILAI CPL'!$B22&lt;&gt;"",IFERROR(_xlfn.IFS(AJ22&gt;='NILAI CPL'!$B$3,4,AJ22&gt;='NILAI CPL'!$B$4,3,AJ22&gt;='NILAI CPL'!$B$5,2,AJ22&gt;'NILAI CPL'!$B$6,1),0),"")</f>
        <v/>
      </c>
      <c r="BH22" s="2" t="str" cm="1">
        <f t="array" ref="BH22">IF('NILAI CPL'!$B22&lt;&gt;"",IFERROR(_xlfn.IFS(AK22&gt;='NILAI CPL'!$B$3,4,AK22&gt;='NILAI CPL'!$B$4,3,AK22&gt;='NILAI CPL'!$B$5,2,AK22&gt;'NILAI CPL'!$B$6,1),0),"")</f>
        <v/>
      </c>
      <c r="BI22" s="2" t="str" cm="1">
        <f t="array" ref="BI22">IF('NILAI CPL'!$B22&lt;&gt;"",IFERROR(_xlfn.IFS(AL22&gt;='NILAI CPL'!$B$3,4,AL22&gt;='NILAI CPL'!$B$4,3,AL22&gt;='NILAI CPL'!$B$5,2,AL22&gt;'NILAI CPL'!$B$6,1),0),"")</f>
        <v/>
      </c>
      <c r="BJ22" s="2" t="str" cm="1">
        <f t="array" ref="BJ22">IF('NILAI CPL'!$B22&lt;&gt;"",IFERROR(_xlfn.IFS(AM22&gt;='NILAI CPL'!$B$3,4,AM22&gt;='NILAI CPL'!$B$4,3,AM22&gt;='NILAI CPL'!$B$5,2,AM22&gt;'NILAI CPL'!$B$6,1),0),"")</f>
        <v/>
      </c>
      <c r="BK22" s="2" t="str" cm="1">
        <f t="array" ref="BK22">IF('NILAI CPL'!$B22&lt;&gt;"",IFERROR(_xlfn.IFS(AN22&gt;='NILAI CPL'!$B$3,4,AN22&gt;='NILAI CPL'!$B$4,3,AN22&gt;='NILAI CPL'!$B$5,2,AN22&gt;'NILAI CPL'!$B$6,1),0),"")</f>
        <v/>
      </c>
    </row>
    <row r="23" spans="1:63" x14ac:dyDescent="0.2">
      <c r="A23" s="2">
        <v>13</v>
      </c>
      <c r="B23" s="2" t="str">
        <f>IF(LEN(SUMMARY!B23)&gt;0, SUMMARY!B23, "")</f>
        <v/>
      </c>
      <c r="C23" s="2" t="str">
        <f>IF(LEN(SUMMARY!C23)&gt;0, SUMMARY!C23, "")</f>
        <v/>
      </c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" t="str">
        <f t="shared" si="2"/>
        <v/>
      </c>
      <c r="S23" s="2" t="str">
        <f t="shared" si="3"/>
        <v/>
      </c>
      <c r="T23" s="2" t="str">
        <f t="shared" si="4"/>
        <v/>
      </c>
      <c r="U23" s="2" t="str">
        <f t="shared" si="5"/>
        <v/>
      </c>
      <c r="V23" s="2" t="str">
        <f t="shared" si="6"/>
        <v/>
      </c>
      <c r="W23" s="2" t="str">
        <f t="shared" si="7"/>
        <v/>
      </c>
      <c r="X23" s="2" t="str">
        <f t="shared" si="8"/>
        <v/>
      </c>
      <c r="Y23" s="2" t="str">
        <f t="shared" si="9"/>
        <v/>
      </c>
      <c r="Z23" s="2" t="str">
        <f t="shared" si="10"/>
        <v/>
      </c>
      <c r="AA23" s="2" t="str">
        <f t="shared" si="11"/>
        <v/>
      </c>
      <c r="AB23" s="2" t="str">
        <f t="shared" si="12"/>
        <v/>
      </c>
      <c r="AC23" s="2" t="str">
        <f t="shared" si="13"/>
        <v/>
      </c>
      <c r="AD23" s="2" t="str">
        <f t="shared" si="14"/>
        <v/>
      </c>
      <c r="AE23" s="2" t="str">
        <f t="shared" si="15"/>
        <v/>
      </c>
      <c r="AF23" s="2" t="str">
        <f t="shared" si="16"/>
        <v/>
      </c>
      <c r="AG23" s="2" t="str">
        <f t="shared" si="17"/>
        <v/>
      </c>
      <c r="AH23" s="2" t="str">
        <f t="shared" si="18"/>
        <v/>
      </c>
      <c r="AI23" s="2" t="str">
        <f t="shared" si="19"/>
        <v/>
      </c>
      <c r="AJ23" s="2" t="str">
        <f t="shared" si="20"/>
        <v/>
      </c>
      <c r="AK23" s="2" t="str">
        <f t="shared" si="21"/>
        <v/>
      </c>
      <c r="AL23" s="2" t="str">
        <f t="shared" si="22"/>
        <v/>
      </c>
      <c r="AM23" s="2" t="str">
        <f t="shared" si="23"/>
        <v/>
      </c>
      <c r="AN23" s="2" t="str">
        <f t="shared" si="24"/>
        <v/>
      </c>
      <c r="AP23" s="2" t="str" cm="1">
        <f t="array" ref="AP23">IF('NILAI CPL'!$B23&lt;&gt;"",IFERROR(_xlfn.IFS(S23&gt;='NILAI CPL'!$B$3,4,S23&gt;='NILAI CPL'!$B$4,3,S23&gt;='NILAI CPL'!$B$5,2,S23&gt;'NILAI CPL'!$B$6,1),0),"")</f>
        <v/>
      </c>
      <c r="AQ23" s="2" t="str" cm="1">
        <f t="array" ref="AQ23">IF('NILAI CPL'!$B23&lt;&gt;"",IFERROR(_xlfn.IFS(T23&gt;='NILAI CPL'!$B$3,4,T23&gt;='NILAI CPL'!$B$4,3,T23&gt;='NILAI CPL'!$B$5,2,T23&gt;'NILAI CPL'!$B$6,1),0),"")</f>
        <v/>
      </c>
      <c r="AR23" s="2" t="str" cm="1">
        <f t="array" ref="AR23">IF('NILAI CPL'!$B23&lt;&gt;"",IFERROR(_xlfn.IFS(U23&gt;='NILAI CPL'!$B$3,4,U23&gt;='NILAI CPL'!$B$4,3,U23&gt;='NILAI CPL'!$B$5,2,U23&gt;'NILAI CPL'!$B$6,1),0),"")</f>
        <v/>
      </c>
      <c r="AS23" s="2" t="str" cm="1">
        <f t="array" ref="AS23">IF('NILAI CPL'!$B23&lt;&gt;"",IFERROR(_xlfn.IFS(V23&gt;='NILAI CPL'!$B$3,4,V23&gt;='NILAI CPL'!$B$4,3,V23&gt;='NILAI CPL'!$B$5,2,V23&gt;'NILAI CPL'!$B$6,1),0),"")</f>
        <v/>
      </c>
      <c r="AT23" s="2" t="str" cm="1">
        <f t="array" ref="AT23">IF('NILAI CPL'!$B23&lt;&gt;"",IFERROR(_xlfn.IFS(W23&gt;='NILAI CPL'!$B$3,4,W23&gt;='NILAI CPL'!$B$4,3,W23&gt;='NILAI CPL'!$B$5,2,W23&gt;'NILAI CPL'!$B$6,1),0),"")</f>
        <v/>
      </c>
      <c r="AU23" s="2" t="str" cm="1">
        <f t="array" ref="AU23">IF('NILAI CPL'!$B23&lt;&gt;"",IFERROR(_xlfn.IFS(X23&gt;='NILAI CPL'!$B$3,4,X23&gt;='NILAI CPL'!$B$4,3,X23&gt;='NILAI CPL'!$B$5,2,X23&gt;'NILAI CPL'!$B$6,1),0),"")</f>
        <v/>
      </c>
      <c r="AV23" s="2" t="str" cm="1">
        <f t="array" ref="AV23">IF('NILAI CPL'!$B23&lt;&gt;"",IFERROR(_xlfn.IFS(Y23&gt;='NILAI CPL'!$B$3,4,Y23&gt;='NILAI CPL'!$B$4,3,Y23&gt;='NILAI CPL'!$B$5,2,Y23&gt;'NILAI CPL'!$B$6,1),0),"")</f>
        <v/>
      </c>
      <c r="AW23" s="2" t="str" cm="1">
        <f t="array" ref="AW23">IF('NILAI CPL'!$B23&lt;&gt;"",IFERROR(_xlfn.IFS(Z23&gt;='NILAI CPL'!$B$3,4,Z23&gt;='NILAI CPL'!$B$4,3,Z23&gt;='NILAI CPL'!$B$5,2,Z23&gt;'NILAI CPL'!$B$6,1),0),"")</f>
        <v/>
      </c>
      <c r="AX23" s="2" t="str" cm="1">
        <f t="array" ref="AX23">IF('NILAI CPL'!$B23&lt;&gt;"",IFERROR(_xlfn.IFS(AA23&gt;='NILAI CPL'!$B$3,4,AA23&gt;='NILAI CPL'!$B$4,3,AA23&gt;='NILAI CPL'!$B$5,2,AA23&gt;'NILAI CPL'!$B$6,1),0),"")</f>
        <v/>
      </c>
      <c r="AY23" s="2" t="str" cm="1">
        <f t="array" ref="AY23">IF('NILAI CPL'!$B23&lt;&gt;"",IFERROR(_xlfn.IFS(AB23&gt;='NILAI CPL'!$B$3,4,AB23&gt;='NILAI CPL'!$B$4,3,AB23&gt;='NILAI CPL'!$B$5,2,AB23&gt;'NILAI CPL'!$B$6,1),0),"")</f>
        <v/>
      </c>
      <c r="AZ23" s="2" t="str" cm="1">
        <f t="array" ref="AZ23">IF('NILAI CPL'!$B23&lt;&gt;"",IFERROR(_xlfn.IFS(AC23&gt;='NILAI CPL'!$B$3,4,AC23&gt;='NILAI CPL'!$B$4,3,AC23&gt;='NILAI CPL'!$B$5,2,AC23&gt;'NILAI CPL'!$B$6,1),0),"")</f>
        <v/>
      </c>
      <c r="BA23" s="2" t="str" cm="1">
        <f t="array" ref="BA23">IF('NILAI CPL'!$B23&lt;&gt;"",IFERROR(_xlfn.IFS(AD23&gt;='NILAI CPL'!$B$3,4,AD23&gt;='NILAI CPL'!$B$4,3,AD23&gt;='NILAI CPL'!$B$5,2,AD23&gt;'NILAI CPL'!$B$6,1),0),"")</f>
        <v/>
      </c>
      <c r="BB23" s="2" t="str" cm="1">
        <f t="array" ref="BB23">IF('NILAI CPL'!$B23&lt;&gt;"",IFERROR(_xlfn.IFS(AE23&gt;='NILAI CPL'!$B$3,4,AE23&gt;='NILAI CPL'!$B$4,3,AE23&gt;='NILAI CPL'!$B$5,2,AE23&gt;'NILAI CPL'!$B$6,1),0),"")</f>
        <v/>
      </c>
      <c r="BC23" s="2" t="str" cm="1">
        <f t="array" ref="BC23">IF('NILAI CPL'!$B23&lt;&gt;"",IFERROR(_xlfn.IFS(AF23&gt;='NILAI CPL'!$B$3,4,AF23&gt;='NILAI CPL'!$B$4,3,AF23&gt;='NILAI CPL'!$B$5,2,AF23&gt;'NILAI CPL'!$B$6,1),0),"")</f>
        <v/>
      </c>
      <c r="BD23" s="2" t="str" cm="1">
        <f t="array" ref="BD23">IF('NILAI CPL'!$B23&lt;&gt;"",IFERROR(_xlfn.IFS(AG23&gt;='NILAI CPL'!$B$3,4,AG23&gt;='NILAI CPL'!$B$4,3,AG23&gt;='NILAI CPL'!$B$5,2,AG23&gt;'NILAI CPL'!$B$6,1),0),"")</f>
        <v/>
      </c>
      <c r="BE23" s="2" t="str" cm="1">
        <f t="array" ref="BE23">IF('NILAI CPL'!$B23&lt;&gt;"",IFERROR(_xlfn.IFS(AH23&gt;='NILAI CPL'!$B$3,4,AH23&gt;='NILAI CPL'!$B$4,3,AH23&gt;='NILAI CPL'!$B$5,2,AH23&gt;'NILAI CPL'!$B$6,1),0),"")</f>
        <v/>
      </c>
      <c r="BF23" s="2" t="str" cm="1">
        <f t="array" ref="BF23">IF('NILAI CPL'!$B23&lt;&gt;"",IFERROR(_xlfn.IFS(AI23&gt;='NILAI CPL'!$B$3,4,AI23&gt;='NILAI CPL'!$B$4,3,AI23&gt;='NILAI CPL'!$B$5,2,AI23&gt;'NILAI CPL'!$B$6,1),0),"")</f>
        <v/>
      </c>
      <c r="BG23" s="2" t="str" cm="1">
        <f t="array" ref="BG23">IF('NILAI CPL'!$B23&lt;&gt;"",IFERROR(_xlfn.IFS(AJ23&gt;='NILAI CPL'!$B$3,4,AJ23&gt;='NILAI CPL'!$B$4,3,AJ23&gt;='NILAI CPL'!$B$5,2,AJ23&gt;'NILAI CPL'!$B$6,1),0),"")</f>
        <v/>
      </c>
      <c r="BH23" s="2" t="str" cm="1">
        <f t="array" ref="BH23">IF('NILAI CPL'!$B23&lt;&gt;"",IFERROR(_xlfn.IFS(AK23&gt;='NILAI CPL'!$B$3,4,AK23&gt;='NILAI CPL'!$B$4,3,AK23&gt;='NILAI CPL'!$B$5,2,AK23&gt;'NILAI CPL'!$B$6,1),0),"")</f>
        <v/>
      </c>
      <c r="BI23" s="2" t="str" cm="1">
        <f t="array" ref="BI23">IF('NILAI CPL'!$B23&lt;&gt;"",IFERROR(_xlfn.IFS(AL23&gt;='NILAI CPL'!$B$3,4,AL23&gt;='NILAI CPL'!$B$4,3,AL23&gt;='NILAI CPL'!$B$5,2,AL23&gt;'NILAI CPL'!$B$6,1),0),"")</f>
        <v/>
      </c>
      <c r="BJ23" s="2" t="str" cm="1">
        <f t="array" ref="BJ23">IF('NILAI CPL'!$B23&lt;&gt;"",IFERROR(_xlfn.IFS(AM23&gt;='NILAI CPL'!$B$3,4,AM23&gt;='NILAI CPL'!$B$4,3,AM23&gt;='NILAI CPL'!$B$5,2,AM23&gt;'NILAI CPL'!$B$6,1),0),"")</f>
        <v/>
      </c>
      <c r="BK23" s="2" t="str" cm="1">
        <f t="array" ref="BK23">IF('NILAI CPL'!$B23&lt;&gt;"",IFERROR(_xlfn.IFS(AN23&gt;='NILAI CPL'!$B$3,4,AN23&gt;='NILAI CPL'!$B$4,3,AN23&gt;='NILAI CPL'!$B$5,2,AN23&gt;'NILAI CPL'!$B$6,1),0),"")</f>
        <v/>
      </c>
    </row>
    <row r="24" spans="1:63" x14ac:dyDescent="0.2">
      <c r="A24" s="2">
        <v>14</v>
      </c>
      <c r="B24" s="2" t="str">
        <f>IF(LEN(SUMMARY!B24)&gt;0, SUMMARY!B24, "")</f>
        <v/>
      </c>
      <c r="C24" s="2" t="str">
        <f>IF(LEN(SUMMARY!C24)&gt;0, SUMMARY!C24, "")</f>
        <v/>
      </c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" t="str">
        <f t="shared" si="2"/>
        <v/>
      </c>
      <c r="S24" s="2" t="str">
        <f t="shared" si="3"/>
        <v/>
      </c>
      <c r="T24" s="2" t="str">
        <f t="shared" si="4"/>
        <v/>
      </c>
      <c r="U24" s="2" t="str">
        <f t="shared" si="5"/>
        <v/>
      </c>
      <c r="V24" s="2" t="str">
        <f t="shared" si="6"/>
        <v/>
      </c>
      <c r="W24" s="2" t="str">
        <f t="shared" si="7"/>
        <v/>
      </c>
      <c r="X24" s="2" t="str">
        <f t="shared" si="8"/>
        <v/>
      </c>
      <c r="Y24" s="2" t="str">
        <f t="shared" si="9"/>
        <v/>
      </c>
      <c r="Z24" s="2" t="str">
        <f t="shared" si="10"/>
        <v/>
      </c>
      <c r="AA24" s="2" t="str">
        <f t="shared" si="11"/>
        <v/>
      </c>
      <c r="AB24" s="2" t="str">
        <f t="shared" si="12"/>
        <v/>
      </c>
      <c r="AC24" s="2" t="str">
        <f t="shared" si="13"/>
        <v/>
      </c>
      <c r="AD24" s="2" t="str">
        <f t="shared" si="14"/>
        <v/>
      </c>
      <c r="AE24" s="2" t="str">
        <f t="shared" si="15"/>
        <v/>
      </c>
      <c r="AF24" s="2" t="str">
        <f t="shared" si="16"/>
        <v/>
      </c>
      <c r="AG24" s="2" t="str">
        <f t="shared" si="17"/>
        <v/>
      </c>
      <c r="AH24" s="2" t="str">
        <f t="shared" si="18"/>
        <v/>
      </c>
      <c r="AI24" s="2" t="str">
        <f t="shared" si="19"/>
        <v/>
      </c>
      <c r="AJ24" s="2" t="str">
        <f t="shared" si="20"/>
        <v/>
      </c>
      <c r="AK24" s="2" t="str">
        <f t="shared" si="21"/>
        <v/>
      </c>
      <c r="AL24" s="2" t="str">
        <f t="shared" si="22"/>
        <v/>
      </c>
      <c r="AM24" s="2" t="str">
        <f t="shared" si="23"/>
        <v/>
      </c>
      <c r="AN24" s="2" t="str">
        <f t="shared" si="24"/>
        <v/>
      </c>
      <c r="AP24" s="2" t="str" cm="1">
        <f t="array" ref="AP24">IF('NILAI CPL'!$B24&lt;&gt;"",IFERROR(_xlfn.IFS(S24&gt;='NILAI CPL'!$B$3,4,S24&gt;='NILAI CPL'!$B$4,3,S24&gt;='NILAI CPL'!$B$5,2,S24&gt;'NILAI CPL'!$B$6,1),0),"")</f>
        <v/>
      </c>
      <c r="AQ24" s="2" t="str" cm="1">
        <f t="array" ref="AQ24">IF('NILAI CPL'!$B24&lt;&gt;"",IFERROR(_xlfn.IFS(T24&gt;='NILAI CPL'!$B$3,4,T24&gt;='NILAI CPL'!$B$4,3,T24&gt;='NILAI CPL'!$B$5,2,T24&gt;'NILAI CPL'!$B$6,1),0),"")</f>
        <v/>
      </c>
      <c r="AR24" s="2" t="str" cm="1">
        <f t="array" ref="AR24">IF('NILAI CPL'!$B24&lt;&gt;"",IFERROR(_xlfn.IFS(U24&gt;='NILAI CPL'!$B$3,4,U24&gt;='NILAI CPL'!$B$4,3,U24&gt;='NILAI CPL'!$B$5,2,U24&gt;'NILAI CPL'!$B$6,1),0),"")</f>
        <v/>
      </c>
      <c r="AS24" s="2" t="str" cm="1">
        <f t="array" ref="AS24">IF('NILAI CPL'!$B24&lt;&gt;"",IFERROR(_xlfn.IFS(V24&gt;='NILAI CPL'!$B$3,4,V24&gt;='NILAI CPL'!$B$4,3,V24&gt;='NILAI CPL'!$B$5,2,V24&gt;'NILAI CPL'!$B$6,1),0),"")</f>
        <v/>
      </c>
      <c r="AT24" s="2" t="str" cm="1">
        <f t="array" ref="AT24">IF('NILAI CPL'!$B24&lt;&gt;"",IFERROR(_xlfn.IFS(W24&gt;='NILAI CPL'!$B$3,4,W24&gt;='NILAI CPL'!$B$4,3,W24&gt;='NILAI CPL'!$B$5,2,W24&gt;'NILAI CPL'!$B$6,1),0),"")</f>
        <v/>
      </c>
      <c r="AU24" s="2" t="str" cm="1">
        <f t="array" ref="AU24">IF('NILAI CPL'!$B24&lt;&gt;"",IFERROR(_xlfn.IFS(X24&gt;='NILAI CPL'!$B$3,4,X24&gt;='NILAI CPL'!$B$4,3,X24&gt;='NILAI CPL'!$B$5,2,X24&gt;'NILAI CPL'!$B$6,1),0),"")</f>
        <v/>
      </c>
      <c r="AV24" s="2" t="str" cm="1">
        <f t="array" ref="AV24">IF('NILAI CPL'!$B24&lt;&gt;"",IFERROR(_xlfn.IFS(Y24&gt;='NILAI CPL'!$B$3,4,Y24&gt;='NILAI CPL'!$B$4,3,Y24&gt;='NILAI CPL'!$B$5,2,Y24&gt;'NILAI CPL'!$B$6,1),0),"")</f>
        <v/>
      </c>
      <c r="AW24" s="2" t="str" cm="1">
        <f t="array" ref="AW24">IF('NILAI CPL'!$B24&lt;&gt;"",IFERROR(_xlfn.IFS(Z24&gt;='NILAI CPL'!$B$3,4,Z24&gt;='NILAI CPL'!$B$4,3,Z24&gt;='NILAI CPL'!$B$5,2,Z24&gt;'NILAI CPL'!$B$6,1),0),"")</f>
        <v/>
      </c>
      <c r="AX24" s="2" t="str" cm="1">
        <f t="array" ref="AX24">IF('NILAI CPL'!$B24&lt;&gt;"",IFERROR(_xlfn.IFS(AA24&gt;='NILAI CPL'!$B$3,4,AA24&gt;='NILAI CPL'!$B$4,3,AA24&gt;='NILAI CPL'!$B$5,2,AA24&gt;'NILAI CPL'!$B$6,1),0),"")</f>
        <v/>
      </c>
      <c r="AY24" s="2" t="str" cm="1">
        <f t="array" ref="AY24">IF('NILAI CPL'!$B24&lt;&gt;"",IFERROR(_xlfn.IFS(AB24&gt;='NILAI CPL'!$B$3,4,AB24&gt;='NILAI CPL'!$B$4,3,AB24&gt;='NILAI CPL'!$B$5,2,AB24&gt;'NILAI CPL'!$B$6,1),0),"")</f>
        <v/>
      </c>
      <c r="AZ24" s="2" t="str" cm="1">
        <f t="array" ref="AZ24">IF('NILAI CPL'!$B24&lt;&gt;"",IFERROR(_xlfn.IFS(AC24&gt;='NILAI CPL'!$B$3,4,AC24&gt;='NILAI CPL'!$B$4,3,AC24&gt;='NILAI CPL'!$B$5,2,AC24&gt;'NILAI CPL'!$B$6,1),0),"")</f>
        <v/>
      </c>
      <c r="BA24" s="2" t="str" cm="1">
        <f t="array" ref="BA24">IF('NILAI CPL'!$B24&lt;&gt;"",IFERROR(_xlfn.IFS(AD24&gt;='NILAI CPL'!$B$3,4,AD24&gt;='NILAI CPL'!$B$4,3,AD24&gt;='NILAI CPL'!$B$5,2,AD24&gt;'NILAI CPL'!$B$6,1),0),"")</f>
        <v/>
      </c>
      <c r="BB24" s="2" t="str" cm="1">
        <f t="array" ref="BB24">IF('NILAI CPL'!$B24&lt;&gt;"",IFERROR(_xlfn.IFS(AE24&gt;='NILAI CPL'!$B$3,4,AE24&gt;='NILAI CPL'!$B$4,3,AE24&gt;='NILAI CPL'!$B$5,2,AE24&gt;'NILAI CPL'!$B$6,1),0),"")</f>
        <v/>
      </c>
      <c r="BC24" s="2" t="str" cm="1">
        <f t="array" ref="BC24">IF('NILAI CPL'!$B24&lt;&gt;"",IFERROR(_xlfn.IFS(AF24&gt;='NILAI CPL'!$B$3,4,AF24&gt;='NILAI CPL'!$B$4,3,AF24&gt;='NILAI CPL'!$B$5,2,AF24&gt;'NILAI CPL'!$B$6,1),0),"")</f>
        <v/>
      </c>
      <c r="BD24" s="2" t="str" cm="1">
        <f t="array" ref="BD24">IF('NILAI CPL'!$B24&lt;&gt;"",IFERROR(_xlfn.IFS(AG24&gt;='NILAI CPL'!$B$3,4,AG24&gt;='NILAI CPL'!$B$4,3,AG24&gt;='NILAI CPL'!$B$5,2,AG24&gt;'NILAI CPL'!$B$6,1),0),"")</f>
        <v/>
      </c>
      <c r="BE24" s="2" t="str" cm="1">
        <f t="array" ref="BE24">IF('NILAI CPL'!$B24&lt;&gt;"",IFERROR(_xlfn.IFS(AH24&gt;='NILAI CPL'!$B$3,4,AH24&gt;='NILAI CPL'!$B$4,3,AH24&gt;='NILAI CPL'!$B$5,2,AH24&gt;'NILAI CPL'!$B$6,1),0),"")</f>
        <v/>
      </c>
      <c r="BF24" s="2" t="str" cm="1">
        <f t="array" ref="BF24">IF('NILAI CPL'!$B24&lt;&gt;"",IFERROR(_xlfn.IFS(AI24&gt;='NILAI CPL'!$B$3,4,AI24&gt;='NILAI CPL'!$B$4,3,AI24&gt;='NILAI CPL'!$B$5,2,AI24&gt;'NILAI CPL'!$B$6,1),0),"")</f>
        <v/>
      </c>
      <c r="BG24" s="2" t="str" cm="1">
        <f t="array" ref="BG24">IF('NILAI CPL'!$B24&lt;&gt;"",IFERROR(_xlfn.IFS(AJ24&gt;='NILAI CPL'!$B$3,4,AJ24&gt;='NILAI CPL'!$B$4,3,AJ24&gt;='NILAI CPL'!$B$5,2,AJ24&gt;'NILAI CPL'!$B$6,1),0),"")</f>
        <v/>
      </c>
      <c r="BH24" s="2" t="str" cm="1">
        <f t="array" ref="BH24">IF('NILAI CPL'!$B24&lt;&gt;"",IFERROR(_xlfn.IFS(AK24&gt;='NILAI CPL'!$B$3,4,AK24&gt;='NILAI CPL'!$B$4,3,AK24&gt;='NILAI CPL'!$B$5,2,AK24&gt;'NILAI CPL'!$B$6,1),0),"")</f>
        <v/>
      </c>
      <c r="BI24" s="2" t="str" cm="1">
        <f t="array" ref="BI24">IF('NILAI CPL'!$B24&lt;&gt;"",IFERROR(_xlfn.IFS(AL24&gt;='NILAI CPL'!$B$3,4,AL24&gt;='NILAI CPL'!$B$4,3,AL24&gt;='NILAI CPL'!$B$5,2,AL24&gt;'NILAI CPL'!$B$6,1),0),"")</f>
        <v/>
      </c>
      <c r="BJ24" s="2" t="str" cm="1">
        <f t="array" ref="BJ24">IF('NILAI CPL'!$B24&lt;&gt;"",IFERROR(_xlfn.IFS(AM24&gt;='NILAI CPL'!$B$3,4,AM24&gt;='NILAI CPL'!$B$4,3,AM24&gt;='NILAI CPL'!$B$5,2,AM24&gt;'NILAI CPL'!$B$6,1),0),"")</f>
        <v/>
      </c>
      <c r="BK24" s="2" t="str" cm="1">
        <f t="array" ref="BK24">IF('NILAI CPL'!$B24&lt;&gt;"",IFERROR(_xlfn.IFS(AN24&gt;='NILAI CPL'!$B$3,4,AN24&gt;='NILAI CPL'!$B$4,3,AN24&gt;='NILAI CPL'!$B$5,2,AN24&gt;'NILAI CPL'!$B$6,1),0),"")</f>
        <v/>
      </c>
    </row>
    <row r="25" spans="1:63" x14ac:dyDescent="0.2">
      <c r="A25" s="2">
        <v>15</v>
      </c>
      <c r="B25" s="2" t="str">
        <f>IF(LEN(SUMMARY!B25)&gt;0, SUMMARY!B25, "")</f>
        <v/>
      </c>
      <c r="C25" s="2" t="str">
        <f>IF(LEN(SUMMARY!C25)&gt;0, SUMMARY!C25, "")</f>
        <v/>
      </c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" t="str">
        <f t="shared" si="2"/>
        <v/>
      </c>
      <c r="S25" s="2" t="str">
        <f t="shared" si="3"/>
        <v/>
      </c>
      <c r="T25" s="2" t="str">
        <f t="shared" si="4"/>
        <v/>
      </c>
      <c r="U25" s="2" t="str">
        <f t="shared" si="5"/>
        <v/>
      </c>
      <c r="V25" s="2" t="str">
        <f t="shared" si="6"/>
        <v/>
      </c>
      <c r="W25" s="2" t="str">
        <f t="shared" si="7"/>
        <v/>
      </c>
      <c r="X25" s="2" t="str">
        <f t="shared" si="8"/>
        <v/>
      </c>
      <c r="Y25" s="2" t="str">
        <f t="shared" si="9"/>
        <v/>
      </c>
      <c r="Z25" s="2" t="str">
        <f t="shared" si="10"/>
        <v/>
      </c>
      <c r="AA25" s="2" t="str">
        <f t="shared" si="11"/>
        <v/>
      </c>
      <c r="AB25" s="2" t="str">
        <f t="shared" si="12"/>
        <v/>
      </c>
      <c r="AC25" s="2" t="str">
        <f t="shared" si="13"/>
        <v/>
      </c>
      <c r="AD25" s="2" t="str">
        <f t="shared" si="14"/>
        <v/>
      </c>
      <c r="AE25" s="2" t="str">
        <f t="shared" si="15"/>
        <v/>
      </c>
      <c r="AF25" s="2" t="str">
        <f t="shared" si="16"/>
        <v/>
      </c>
      <c r="AG25" s="2" t="str">
        <f t="shared" si="17"/>
        <v/>
      </c>
      <c r="AH25" s="2" t="str">
        <f t="shared" si="18"/>
        <v/>
      </c>
      <c r="AI25" s="2" t="str">
        <f t="shared" si="19"/>
        <v/>
      </c>
      <c r="AJ25" s="2" t="str">
        <f t="shared" si="20"/>
        <v/>
      </c>
      <c r="AK25" s="2" t="str">
        <f t="shared" si="21"/>
        <v/>
      </c>
      <c r="AL25" s="2" t="str">
        <f t="shared" si="22"/>
        <v/>
      </c>
      <c r="AM25" s="2" t="str">
        <f t="shared" si="23"/>
        <v/>
      </c>
      <c r="AN25" s="2" t="str">
        <f t="shared" si="24"/>
        <v/>
      </c>
      <c r="AP25" s="2" t="str" cm="1">
        <f t="array" ref="AP25">IF('NILAI CPL'!$B25&lt;&gt;"",IFERROR(_xlfn.IFS(S25&gt;='NILAI CPL'!$B$3,4,S25&gt;='NILAI CPL'!$B$4,3,S25&gt;='NILAI CPL'!$B$5,2,S25&gt;'NILAI CPL'!$B$6,1),0),"")</f>
        <v/>
      </c>
      <c r="AQ25" s="2" t="str" cm="1">
        <f t="array" ref="AQ25">IF('NILAI CPL'!$B25&lt;&gt;"",IFERROR(_xlfn.IFS(T25&gt;='NILAI CPL'!$B$3,4,T25&gt;='NILAI CPL'!$B$4,3,T25&gt;='NILAI CPL'!$B$5,2,T25&gt;'NILAI CPL'!$B$6,1),0),"")</f>
        <v/>
      </c>
      <c r="AR25" s="2" t="str" cm="1">
        <f t="array" ref="AR25">IF('NILAI CPL'!$B25&lt;&gt;"",IFERROR(_xlfn.IFS(U25&gt;='NILAI CPL'!$B$3,4,U25&gt;='NILAI CPL'!$B$4,3,U25&gt;='NILAI CPL'!$B$5,2,U25&gt;'NILAI CPL'!$B$6,1),0),"")</f>
        <v/>
      </c>
      <c r="AS25" s="2" t="str" cm="1">
        <f t="array" ref="AS25">IF('NILAI CPL'!$B25&lt;&gt;"",IFERROR(_xlfn.IFS(V25&gt;='NILAI CPL'!$B$3,4,V25&gt;='NILAI CPL'!$B$4,3,V25&gt;='NILAI CPL'!$B$5,2,V25&gt;'NILAI CPL'!$B$6,1),0),"")</f>
        <v/>
      </c>
      <c r="AT25" s="2" t="str" cm="1">
        <f t="array" ref="AT25">IF('NILAI CPL'!$B25&lt;&gt;"",IFERROR(_xlfn.IFS(W25&gt;='NILAI CPL'!$B$3,4,W25&gt;='NILAI CPL'!$B$4,3,W25&gt;='NILAI CPL'!$B$5,2,W25&gt;'NILAI CPL'!$B$6,1),0),"")</f>
        <v/>
      </c>
      <c r="AU25" s="2" t="str" cm="1">
        <f t="array" ref="AU25">IF('NILAI CPL'!$B25&lt;&gt;"",IFERROR(_xlfn.IFS(X25&gt;='NILAI CPL'!$B$3,4,X25&gt;='NILAI CPL'!$B$4,3,X25&gt;='NILAI CPL'!$B$5,2,X25&gt;'NILAI CPL'!$B$6,1),0),"")</f>
        <v/>
      </c>
      <c r="AV25" s="2" t="str" cm="1">
        <f t="array" ref="AV25">IF('NILAI CPL'!$B25&lt;&gt;"",IFERROR(_xlfn.IFS(Y25&gt;='NILAI CPL'!$B$3,4,Y25&gt;='NILAI CPL'!$B$4,3,Y25&gt;='NILAI CPL'!$B$5,2,Y25&gt;'NILAI CPL'!$B$6,1),0),"")</f>
        <v/>
      </c>
      <c r="AW25" s="2" t="str" cm="1">
        <f t="array" ref="AW25">IF('NILAI CPL'!$B25&lt;&gt;"",IFERROR(_xlfn.IFS(Z25&gt;='NILAI CPL'!$B$3,4,Z25&gt;='NILAI CPL'!$B$4,3,Z25&gt;='NILAI CPL'!$B$5,2,Z25&gt;'NILAI CPL'!$B$6,1),0),"")</f>
        <v/>
      </c>
      <c r="AX25" s="2" t="str" cm="1">
        <f t="array" ref="AX25">IF('NILAI CPL'!$B25&lt;&gt;"",IFERROR(_xlfn.IFS(AA25&gt;='NILAI CPL'!$B$3,4,AA25&gt;='NILAI CPL'!$B$4,3,AA25&gt;='NILAI CPL'!$B$5,2,AA25&gt;'NILAI CPL'!$B$6,1),0),"")</f>
        <v/>
      </c>
      <c r="AY25" s="2" t="str" cm="1">
        <f t="array" ref="AY25">IF('NILAI CPL'!$B25&lt;&gt;"",IFERROR(_xlfn.IFS(AB25&gt;='NILAI CPL'!$B$3,4,AB25&gt;='NILAI CPL'!$B$4,3,AB25&gt;='NILAI CPL'!$B$5,2,AB25&gt;'NILAI CPL'!$B$6,1),0),"")</f>
        <v/>
      </c>
      <c r="AZ25" s="2" t="str" cm="1">
        <f t="array" ref="AZ25">IF('NILAI CPL'!$B25&lt;&gt;"",IFERROR(_xlfn.IFS(AC25&gt;='NILAI CPL'!$B$3,4,AC25&gt;='NILAI CPL'!$B$4,3,AC25&gt;='NILAI CPL'!$B$5,2,AC25&gt;'NILAI CPL'!$B$6,1),0),"")</f>
        <v/>
      </c>
      <c r="BA25" s="2" t="str" cm="1">
        <f t="array" ref="BA25">IF('NILAI CPL'!$B25&lt;&gt;"",IFERROR(_xlfn.IFS(AD25&gt;='NILAI CPL'!$B$3,4,AD25&gt;='NILAI CPL'!$B$4,3,AD25&gt;='NILAI CPL'!$B$5,2,AD25&gt;'NILAI CPL'!$B$6,1),0),"")</f>
        <v/>
      </c>
      <c r="BB25" s="2" t="str" cm="1">
        <f t="array" ref="BB25">IF('NILAI CPL'!$B25&lt;&gt;"",IFERROR(_xlfn.IFS(AE25&gt;='NILAI CPL'!$B$3,4,AE25&gt;='NILAI CPL'!$B$4,3,AE25&gt;='NILAI CPL'!$B$5,2,AE25&gt;'NILAI CPL'!$B$6,1),0),"")</f>
        <v/>
      </c>
      <c r="BC25" s="2" t="str" cm="1">
        <f t="array" ref="BC25">IF('NILAI CPL'!$B25&lt;&gt;"",IFERROR(_xlfn.IFS(AF25&gt;='NILAI CPL'!$B$3,4,AF25&gt;='NILAI CPL'!$B$4,3,AF25&gt;='NILAI CPL'!$B$5,2,AF25&gt;'NILAI CPL'!$B$6,1),0),"")</f>
        <v/>
      </c>
      <c r="BD25" s="2" t="str" cm="1">
        <f t="array" ref="BD25">IF('NILAI CPL'!$B25&lt;&gt;"",IFERROR(_xlfn.IFS(AG25&gt;='NILAI CPL'!$B$3,4,AG25&gt;='NILAI CPL'!$B$4,3,AG25&gt;='NILAI CPL'!$B$5,2,AG25&gt;'NILAI CPL'!$B$6,1),0),"")</f>
        <v/>
      </c>
      <c r="BE25" s="2" t="str" cm="1">
        <f t="array" ref="BE25">IF('NILAI CPL'!$B25&lt;&gt;"",IFERROR(_xlfn.IFS(AH25&gt;='NILAI CPL'!$B$3,4,AH25&gt;='NILAI CPL'!$B$4,3,AH25&gt;='NILAI CPL'!$B$5,2,AH25&gt;'NILAI CPL'!$B$6,1),0),"")</f>
        <v/>
      </c>
      <c r="BF25" s="2" t="str" cm="1">
        <f t="array" ref="BF25">IF('NILAI CPL'!$B25&lt;&gt;"",IFERROR(_xlfn.IFS(AI25&gt;='NILAI CPL'!$B$3,4,AI25&gt;='NILAI CPL'!$B$4,3,AI25&gt;='NILAI CPL'!$B$5,2,AI25&gt;'NILAI CPL'!$B$6,1),0),"")</f>
        <v/>
      </c>
      <c r="BG25" s="2" t="str" cm="1">
        <f t="array" ref="BG25">IF('NILAI CPL'!$B25&lt;&gt;"",IFERROR(_xlfn.IFS(AJ25&gt;='NILAI CPL'!$B$3,4,AJ25&gt;='NILAI CPL'!$B$4,3,AJ25&gt;='NILAI CPL'!$B$5,2,AJ25&gt;'NILAI CPL'!$B$6,1),0),"")</f>
        <v/>
      </c>
      <c r="BH25" s="2" t="str" cm="1">
        <f t="array" ref="BH25">IF('NILAI CPL'!$B25&lt;&gt;"",IFERROR(_xlfn.IFS(AK25&gt;='NILAI CPL'!$B$3,4,AK25&gt;='NILAI CPL'!$B$4,3,AK25&gt;='NILAI CPL'!$B$5,2,AK25&gt;'NILAI CPL'!$B$6,1),0),"")</f>
        <v/>
      </c>
      <c r="BI25" s="2" t="str" cm="1">
        <f t="array" ref="BI25">IF('NILAI CPL'!$B25&lt;&gt;"",IFERROR(_xlfn.IFS(AL25&gt;='NILAI CPL'!$B$3,4,AL25&gt;='NILAI CPL'!$B$4,3,AL25&gt;='NILAI CPL'!$B$5,2,AL25&gt;'NILAI CPL'!$B$6,1),0),"")</f>
        <v/>
      </c>
      <c r="BJ25" s="2" t="str" cm="1">
        <f t="array" ref="BJ25">IF('NILAI CPL'!$B25&lt;&gt;"",IFERROR(_xlfn.IFS(AM25&gt;='NILAI CPL'!$B$3,4,AM25&gt;='NILAI CPL'!$B$4,3,AM25&gt;='NILAI CPL'!$B$5,2,AM25&gt;'NILAI CPL'!$B$6,1),0),"")</f>
        <v/>
      </c>
      <c r="BK25" s="2" t="str" cm="1">
        <f t="array" ref="BK25">IF('NILAI CPL'!$B25&lt;&gt;"",IFERROR(_xlfn.IFS(AN25&gt;='NILAI CPL'!$B$3,4,AN25&gt;='NILAI CPL'!$B$4,3,AN25&gt;='NILAI CPL'!$B$5,2,AN25&gt;'NILAI CPL'!$B$6,1),0),"")</f>
        <v/>
      </c>
    </row>
    <row r="26" spans="1:63" x14ac:dyDescent="0.2">
      <c r="A26" s="2">
        <v>16</v>
      </c>
      <c r="B26" s="2" t="str">
        <f>IF(LEN(SUMMARY!B26)&gt;0, SUMMARY!B26, "")</f>
        <v/>
      </c>
      <c r="C26" s="2" t="str">
        <f>IF(LEN(SUMMARY!C26)&gt;0, SUMMARY!C26, "")</f>
        <v/>
      </c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" t="str">
        <f t="shared" si="2"/>
        <v/>
      </c>
      <c r="S26" s="2" t="str">
        <f t="shared" si="3"/>
        <v/>
      </c>
      <c r="T26" s="2" t="str">
        <f t="shared" si="4"/>
        <v/>
      </c>
      <c r="U26" s="2" t="str">
        <f t="shared" si="5"/>
        <v/>
      </c>
      <c r="V26" s="2" t="str">
        <f t="shared" si="6"/>
        <v/>
      </c>
      <c r="W26" s="2" t="str">
        <f t="shared" si="7"/>
        <v/>
      </c>
      <c r="X26" s="2" t="str">
        <f t="shared" si="8"/>
        <v/>
      </c>
      <c r="Y26" s="2" t="str">
        <f t="shared" si="9"/>
        <v/>
      </c>
      <c r="Z26" s="2" t="str">
        <f t="shared" si="10"/>
        <v/>
      </c>
      <c r="AA26" s="2" t="str">
        <f t="shared" si="11"/>
        <v/>
      </c>
      <c r="AB26" s="2" t="str">
        <f t="shared" si="12"/>
        <v/>
      </c>
      <c r="AC26" s="2" t="str">
        <f t="shared" si="13"/>
        <v/>
      </c>
      <c r="AD26" s="2" t="str">
        <f t="shared" si="14"/>
        <v/>
      </c>
      <c r="AE26" s="2" t="str">
        <f t="shared" si="15"/>
        <v/>
      </c>
      <c r="AF26" s="2" t="str">
        <f t="shared" si="16"/>
        <v/>
      </c>
      <c r="AG26" s="2" t="str">
        <f t="shared" si="17"/>
        <v/>
      </c>
      <c r="AH26" s="2" t="str">
        <f t="shared" si="18"/>
        <v/>
      </c>
      <c r="AI26" s="2" t="str">
        <f t="shared" si="19"/>
        <v/>
      </c>
      <c r="AJ26" s="2" t="str">
        <f t="shared" si="20"/>
        <v/>
      </c>
      <c r="AK26" s="2" t="str">
        <f t="shared" si="21"/>
        <v/>
      </c>
      <c r="AL26" s="2" t="str">
        <f t="shared" si="22"/>
        <v/>
      </c>
      <c r="AM26" s="2" t="str">
        <f t="shared" si="23"/>
        <v/>
      </c>
      <c r="AN26" s="2" t="str">
        <f t="shared" si="24"/>
        <v/>
      </c>
      <c r="AP26" s="2" t="str" cm="1">
        <f t="array" ref="AP26">IF('NILAI CPL'!$B26&lt;&gt;"",IFERROR(_xlfn.IFS(S26&gt;='NILAI CPL'!$B$3,4,S26&gt;='NILAI CPL'!$B$4,3,S26&gt;='NILAI CPL'!$B$5,2,S26&gt;'NILAI CPL'!$B$6,1),0),"")</f>
        <v/>
      </c>
      <c r="AQ26" s="2" t="str" cm="1">
        <f t="array" ref="AQ26">IF('NILAI CPL'!$B26&lt;&gt;"",IFERROR(_xlfn.IFS(T26&gt;='NILAI CPL'!$B$3,4,T26&gt;='NILAI CPL'!$B$4,3,T26&gt;='NILAI CPL'!$B$5,2,T26&gt;'NILAI CPL'!$B$6,1),0),"")</f>
        <v/>
      </c>
      <c r="AR26" s="2" t="str" cm="1">
        <f t="array" ref="AR26">IF('NILAI CPL'!$B26&lt;&gt;"",IFERROR(_xlfn.IFS(U26&gt;='NILAI CPL'!$B$3,4,U26&gt;='NILAI CPL'!$B$4,3,U26&gt;='NILAI CPL'!$B$5,2,U26&gt;'NILAI CPL'!$B$6,1),0),"")</f>
        <v/>
      </c>
      <c r="AS26" s="2" t="str" cm="1">
        <f t="array" ref="AS26">IF('NILAI CPL'!$B26&lt;&gt;"",IFERROR(_xlfn.IFS(V26&gt;='NILAI CPL'!$B$3,4,V26&gt;='NILAI CPL'!$B$4,3,V26&gt;='NILAI CPL'!$B$5,2,V26&gt;'NILAI CPL'!$B$6,1),0),"")</f>
        <v/>
      </c>
      <c r="AT26" s="2" t="str" cm="1">
        <f t="array" ref="AT26">IF('NILAI CPL'!$B26&lt;&gt;"",IFERROR(_xlfn.IFS(W26&gt;='NILAI CPL'!$B$3,4,W26&gt;='NILAI CPL'!$B$4,3,W26&gt;='NILAI CPL'!$B$5,2,W26&gt;'NILAI CPL'!$B$6,1),0),"")</f>
        <v/>
      </c>
      <c r="AU26" s="2" t="str" cm="1">
        <f t="array" ref="AU26">IF('NILAI CPL'!$B26&lt;&gt;"",IFERROR(_xlfn.IFS(X26&gt;='NILAI CPL'!$B$3,4,X26&gt;='NILAI CPL'!$B$4,3,X26&gt;='NILAI CPL'!$B$5,2,X26&gt;'NILAI CPL'!$B$6,1),0),"")</f>
        <v/>
      </c>
      <c r="AV26" s="2" t="str" cm="1">
        <f t="array" ref="AV26">IF('NILAI CPL'!$B26&lt;&gt;"",IFERROR(_xlfn.IFS(Y26&gt;='NILAI CPL'!$B$3,4,Y26&gt;='NILAI CPL'!$B$4,3,Y26&gt;='NILAI CPL'!$B$5,2,Y26&gt;'NILAI CPL'!$B$6,1),0),"")</f>
        <v/>
      </c>
      <c r="AW26" s="2" t="str" cm="1">
        <f t="array" ref="AW26">IF('NILAI CPL'!$B26&lt;&gt;"",IFERROR(_xlfn.IFS(Z26&gt;='NILAI CPL'!$B$3,4,Z26&gt;='NILAI CPL'!$B$4,3,Z26&gt;='NILAI CPL'!$B$5,2,Z26&gt;'NILAI CPL'!$B$6,1),0),"")</f>
        <v/>
      </c>
      <c r="AX26" s="2" t="str" cm="1">
        <f t="array" ref="AX26">IF('NILAI CPL'!$B26&lt;&gt;"",IFERROR(_xlfn.IFS(AA26&gt;='NILAI CPL'!$B$3,4,AA26&gt;='NILAI CPL'!$B$4,3,AA26&gt;='NILAI CPL'!$B$5,2,AA26&gt;'NILAI CPL'!$B$6,1),0),"")</f>
        <v/>
      </c>
      <c r="AY26" s="2" t="str" cm="1">
        <f t="array" ref="AY26">IF('NILAI CPL'!$B26&lt;&gt;"",IFERROR(_xlfn.IFS(AB26&gt;='NILAI CPL'!$B$3,4,AB26&gt;='NILAI CPL'!$B$4,3,AB26&gt;='NILAI CPL'!$B$5,2,AB26&gt;'NILAI CPL'!$B$6,1),0),"")</f>
        <v/>
      </c>
      <c r="AZ26" s="2" t="str" cm="1">
        <f t="array" ref="AZ26">IF('NILAI CPL'!$B26&lt;&gt;"",IFERROR(_xlfn.IFS(AC26&gt;='NILAI CPL'!$B$3,4,AC26&gt;='NILAI CPL'!$B$4,3,AC26&gt;='NILAI CPL'!$B$5,2,AC26&gt;'NILAI CPL'!$B$6,1),0),"")</f>
        <v/>
      </c>
      <c r="BA26" s="2" t="str" cm="1">
        <f t="array" ref="BA26">IF('NILAI CPL'!$B26&lt;&gt;"",IFERROR(_xlfn.IFS(AD26&gt;='NILAI CPL'!$B$3,4,AD26&gt;='NILAI CPL'!$B$4,3,AD26&gt;='NILAI CPL'!$B$5,2,AD26&gt;'NILAI CPL'!$B$6,1),0),"")</f>
        <v/>
      </c>
      <c r="BB26" s="2" t="str" cm="1">
        <f t="array" ref="BB26">IF('NILAI CPL'!$B26&lt;&gt;"",IFERROR(_xlfn.IFS(AE26&gt;='NILAI CPL'!$B$3,4,AE26&gt;='NILAI CPL'!$B$4,3,AE26&gt;='NILAI CPL'!$B$5,2,AE26&gt;'NILAI CPL'!$B$6,1),0),"")</f>
        <v/>
      </c>
      <c r="BC26" s="2" t="str" cm="1">
        <f t="array" ref="BC26">IF('NILAI CPL'!$B26&lt;&gt;"",IFERROR(_xlfn.IFS(AF26&gt;='NILAI CPL'!$B$3,4,AF26&gt;='NILAI CPL'!$B$4,3,AF26&gt;='NILAI CPL'!$B$5,2,AF26&gt;'NILAI CPL'!$B$6,1),0),"")</f>
        <v/>
      </c>
      <c r="BD26" s="2" t="str" cm="1">
        <f t="array" ref="BD26">IF('NILAI CPL'!$B26&lt;&gt;"",IFERROR(_xlfn.IFS(AG26&gt;='NILAI CPL'!$B$3,4,AG26&gt;='NILAI CPL'!$B$4,3,AG26&gt;='NILAI CPL'!$B$5,2,AG26&gt;'NILAI CPL'!$B$6,1),0),"")</f>
        <v/>
      </c>
      <c r="BE26" s="2" t="str" cm="1">
        <f t="array" ref="BE26">IF('NILAI CPL'!$B26&lt;&gt;"",IFERROR(_xlfn.IFS(AH26&gt;='NILAI CPL'!$B$3,4,AH26&gt;='NILAI CPL'!$B$4,3,AH26&gt;='NILAI CPL'!$B$5,2,AH26&gt;'NILAI CPL'!$B$6,1),0),"")</f>
        <v/>
      </c>
      <c r="BF26" s="2" t="str" cm="1">
        <f t="array" ref="BF26">IF('NILAI CPL'!$B26&lt;&gt;"",IFERROR(_xlfn.IFS(AI26&gt;='NILAI CPL'!$B$3,4,AI26&gt;='NILAI CPL'!$B$4,3,AI26&gt;='NILAI CPL'!$B$5,2,AI26&gt;'NILAI CPL'!$B$6,1),0),"")</f>
        <v/>
      </c>
      <c r="BG26" s="2" t="str" cm="1">
        <f t="array" ref="BG26">IF('NILAI CPL'!$B26&lt;&gt;"",IFERROR(_xlfn.IFS(AJ26&gt;='NILAI CPL'!$B$3,4,AJ26&gt;='NILAI CPL'!$B$4,3,AJ26&gt;='NILAI CPL'!$B$5,2,AJ26&gt;'NILAI CPL'!$B$6,1),0),"")</f>
        <v/>
      </c>
      <c r="BH26" s="2" t="str" cm="1">
        <f t="array" ref="BH26">IF('NILAI CPL'!$B26&lt;&gt;"",IFERROR(_xlfn.IFS(AK26&gt;='NILAI CPL'!$B$3,4,AK26&gt;='NILAI CPL'!$B$4,3,AK26&gt;='NILAI CPL'!$B$5,2,AK26&gt;'NILAI CPL'!$B$6,1),0),"")</f>
        <v/>
      </c>
      <c r="BI26" s="2" t="str" cm="1">
        <f t="array" ref="BI26">IF('NILAI CPL'!$B26&lt;&gt;"",IFERROR(_xlfn.IFS(AL26&gt;='NILAI CPL'!$B$3,4,AL26&gt;='NILAI CPL'!$B$4,3,AL26&gt;='NILAI CPL'!$B$5,2,AL26&gt;'NILAI CPL'!$B$6,1),0),"")</f>
        <v/>
      </c>
      <c r="BJ26" s="2" t="str" cm="1">
        <f t="array" ref="BJ26">IF('NILAI CPL'!$B26&lt;&gt;"",IFERROR(_xlfn.IFS(AM26&gt;='NILAI CPL'!$B$3,4,AM26&gt;='NILAI CPL'!$B$4,3,AM26&gt;='NILAI CPL'!$B$5,2,AM26&gt;'NILAI CPL'!$B$6,1),0),"")</f>
        <v/>
      </c>
      <c r="BK26" s="2" t="str" cm="1">
        <f t="array" ref="BK26">IF('NILAI CPL'!$B26&lt;&gt;"",IFERROR(_xlfn.IFS(AN26&gt;='NILAI CPL'!$B$3,4,AN26&gt;='NILAI CPL'!$B$4,3,AN26&gt;='NILAI CPL'!$B$5,2,AN26&gt;'NILAI CPL'!$B$6,1),0),"")</f>
        <v/>
      </c>
    </row>
    <row r="27" spans="1:63" x14ac:dyDescent="0.2">
      <c r="A27" s="2">
        <v>17</v>
      </c>
      <c r="B27" s="2" t="str">
        <f>IF(LEN(SUMMARY!B27)&gt;0, SUMMARY!B27, "")</f>
        <v/>
      </c>
      <c r="C27" s="2" t="str">
        <f>IF(LEN(SUMMARY!C27)&gt;0, SUMMARY!C27, "")</f>
        <v/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" t="str">
        <f t="shared" si="2"/>
        <v/>
      </c>
      <c r="S27" s="2" t="str">
        <f t="shared" si="3"/>
        <v/>
      </c>
      <c r="T27" s="2" t="str">
        <f t="shared" si="4"/>
        <v/>
      </c>
      <c r="U27" s="2" t="str">
        <f t="shared" si="5"/>
        <v/>
      </c>
      <c r="V27" s="2" t="str">
        <f t="shared" si="6"/>
        <v/>
      </c>
      <c r="W27" s="2" t="str">
        <f t="shared" si="7"/>
        <v/>
      </c>
      <c r="X27" s="2" t="str">
        <f t="shared" si="8"/>
        <v/>
      </c>
      <c r="Y27" s="2" t="str">
        <f t="shared" si="9"/>
        <v/>
      </c>
      <c r="Z27" s="2" t="str">
        <f t="shared" si="10"/>
        <v/>
      </c>
      <c r="AA27" s="2" t="str">
        <f t="shared" si="11"/>
        <v/>
      </c>
      <c r="AB27" s="2" t="str">
        <f t="shared" si="12"/>
        <v/>
      </c>
      <c r="AC27" s="2" t="str">
        <f t="shared" si="13"/>
        <v/>
      </c>
      <c r="AD27" s="2" t="str">
        <f t="shared" si="14"/>
        <v/>
      </c>
      <c r="AE27" s="2" t="str">
        <f t="shared" si="15"/>
        <v/>
      </c>
      <c r="AF27" s="2" t="str">
        <f t="shared" si="16"/>
        <v/>
      </c>
      <c r="AG27" s="2" t="str">
        <f t="shared" si="17"/>
        <v/>
      </c>
      <c r="AH27" s="2" t="str">
        <f t="shared" si="18"/>
        <v/>
      </c>
      <c r="AI27" s="2" t="str">
        <f t="shared" si="19"/>
        <v/>
      </c>
      <c r="AJ27" s="2" t="str">
        <f t="shared" si="20"/>
        <v/>
      </c>
      <c r="AK27" s="2" t="str">
        <f t="shared" si="21"/>
        <v/>
      </c>
      <c r="AL27" s="2" t="str">
        <f t="shared" si="22"/>
        <v/>
      </c>
      <c r="AM27" s="2" t="str">
        <f t="shared" si="23"/>
        <v/>
      </c>
      <c r="AN27" s="2" t="str">
        <f t="shared" si="24"/>
        <v/>
      </c>
      <c r="AP27" s="2" t="str" cm="1">
        <f t="array" ref="AP27">IF('NILAI CPL'!$B27&lt;&gt;"",IFERROR(_xlfn.IFS(S27&gt;='NILAI CPL'!$B$3,4,S27&gt;='NILAI CPL'!$B$4,3,S27&gt;='NILAI CPL'!$B$5,2,S27&gt;'NILAI CPL'!$B$6,1),0),"")</f>
        <v/>
      </c>
      <c r="AQ27" s="2" t="str" cm="1">
        <f t="array" ref="AQ27">IF('NILAI CPL'!$B27&lt;&gt;"",IFERROR(_xlfn.IFS(T27&gt;='NILAI CPL'!$B$3,4,T27&gt;='NILAI CPL'!$B$4,3,T27&gt;='NILAI CPL'!$B$5,2,T27&gt;'NILAI CPL'!$B$6,1),0),"")</f>
        <v/>
      </c>
      <c r="AR27" s="2" t="str" cm="1">
        <f t="array" ref="AR27">IF('NILAI CPL'!$B27&lt;&gt;"",IFERROR(_xlfn.IFS(U27&gt;='NILAI CPL'!$B$3,4,U27&gt;='NILAI CPL'!$B$4,3,U27&gt;='NILAI CPL'!$B$5,2,U27&gt;'NILAI CPL'!$B$6,1),0),"")</f>
        <v/>
      </c>
      <c r="AS27" s="2" t="str" cm="1">
        <f t="array" ref="AS27">IF('NILAI CPL'!$B27&lt;&gt;"",IFERROR(_xlfn.IFS(V27&gt;='NILAI CPL'!$B$3,4,V27&gt;='NILAI CPL'!$B$4,3,V27&gt;='NILAI CPL'!$B$5,2,V27&gt;'NILAI CPL'!$B$6,1),0),"")</f>
        <v/>
      </c>
      <c r="AT27" s="2" t="str" cm="1">
        <f t="array" ref="AT27">IF('NILAI CPL'!$B27&lt;&gt;"",IFERROR(_xlfn.IFS(W27&gt;='NILAI CPL'!$B$3,4,W27&gt;='NILAI CPL'!$B$4,3,W27&gt;='NILAI CPL'!$B$5,2,W27&gt;'NILAI CPL'!$B$6,1),0),"")</f>
        <v/>
      </c>
      <c r="AU27" s="2" t="str" cm="1">
        <f t="array" ref="AU27">IF('NILAI CPL'!$B27&lt;&gt;"",IFERROR(_xlfn.IFS(X27&gt;='NILAI CPL'!$B$3,4,X27&gt;='NILAI CPL'!$B$4,3,X27&gt;='NILAI CPL'!$B$5,2,X27&gt;'NILAI CPL'!$B$6,1),0),"")</f>
        <v/>
      </c>
      <c r="AV27" s="2" t="str" cm="1">
        <f t="array" ref="AV27">IF('NILAI CPL'!$B27&lt;&gt;"",IFERROR(_xlfn.IFS(Y27&gt;='NILAI CPL'!$B$3,4,Y27&gt;='NILAI CPL'!$B$4,3,Y27&gt;='NILAI CPL'!$B$5,2,Y27&gt;'NILAI CPL'!$B$6,1),0),"")</f>
        <v/>
      </c>
      <c r="AW27" s="2" t="str" cm="1">
        <f t="array" ref="AW27">IF('NILAI CPL'!$B27&lt;&gt;"",IFERROR(_xlfn.IFS(Z27&gt;='NILAI CPL'!$B$3,4,Z27&gt;='NILAI CPL'!$B$4,3,Z27&gt;='NILAI CPL'!$B$5,2,Z27&gt;'NILAI CPL'!$B$6,1),0),"")</f>
        <v/>
      </c>
      <c r="AX27" s="2" t="str" cm="1">
        <f t="array" ref="AX27">IF('NILAI CPL'!$B27&lt;&gt;"",IFERROR(_xlfn.IFS(AA27&gt;='NILAI CPL'!$B$3,4,AA27&gt;='NILAI CPL'!$B$4,3,AA27&gt;='NILAI CPL'!$B$5,2,AA27&gt;'NILAI CPL'!$B$6,1),0),"")</f>
        <v/>
      </c>
      <c r="AY27" s="2" t="str" cm="1">
        <f t="array" ref="AY27">IF('NILAI CPL'!$B27&lt;&gt;"",IFERROR(_xlfn.IFS(AB27&gt;='NILAI CPL'!$B$3,4,AB27&gt;='NILAI CPL'!$B$4,3,AB27&gt;='NILAI CPL'!$B$5,2,AB27&gt;'NILAI CPL'!$B$6,1),0),"")</f>
        <v/>
      </c>
      <c r="AZ27" s="2" t="str" cm="1">
        <f t="array" ref="AZ27">IF('NILAI CPL'!$B27&lt;&gt;"",IFERROR(_xlfn.IFS(AC27&gt;='NILAI CPL'!$B$3,4,AC27&gt;='NILAI CPL'!$B$4,3,AC27&gt;='NILAI CPL'!$B$5,2,AC27&gt;'NILAI CPL'!$B$6,1),0),"")</f>
        <v/>
      </c>
      <c r="BA27" s="2" t="str" cm="1">
        <f t="array" ref="BA27">IF('NILAI CPL'!$B27&lt;&gt;"",IFERROR(_xlfn.IFS(AD27&gt;='NILAI CPL'!$B$3,4,AD27&gt;='NILAI CPL'!$B$4,3,AD27&gt;='NILAI CPL'!$B$5,2,AD27&gt;'NILAI CPL'!$B$6,1),0),"")</f>
        <v/>
      </c>
      <c r="BB27" s="2" t="str" cm="1">
        <f t="array" ref="BB27">IF('NILAI CPL'!$B27&lt;&gt;"",IFERROR(_xlfn.IFS(AE27&gt;='NILAI CPL'!$B$3,4,AE27&gt;='NILAI CPL'!$B$4,3,AE27&gt;='NILAI CPL'!$B$5,2,AE27&gt;'NILAI CPL'!$B$6,1),0),"")</f>
        <v/>
      </c>
      <c r="BC27" s="2" t="str" cm="1">
        <f t="array" ref="BC27">IF('NILAI CPL'!$B27&lt;&gt;"",IFERROR(_xlfn.IFS(AF27&gt;='NILAI CPL'!$B$3,4,AF27&gt;='NILAI CPL'!$B$4,3,AF27&gt;='NILAI CPL'!$B$5,2,AF27&gt;'NILAI CPL'!$B$6,1),0),"")</f>
        <v/>
      </c>
      <c r="BD27" s="2" t="str" cm="1">
        <f t="array" ref="BD27">IF('NILAI CPL'!$B27&lt;&gt;"",IFERROR(_xlfn.IFS(AG27&gt;='NILAI CPL'!$B$3,4,AG27&gt;='NILAI CPL'!$B$4,3,AG27&gt;='NILAI CPL'!$B$5,2,AG27&gt;'NILAI CPL'!$B$6,1),0),"")</f>
        <v/>
      </c>
      <c r="BE27" s="2" t="str" cm="1">
        <f t="array" ref="BE27">IF('NILAI CPL'!$B27&lt;&gt;"",IFERROR(_xlfn.IFS(AH27&gt;='NILAI CPL'!$B$3,4,AH27&gt;='NILAI CPL'!$B$4,3,AH27&gt;='NILAI CPL'!$B$5,2,AH27&gt;'NILAI CPL'!$B$6,1),0),"")</f>
        <v/>
      </c>
      <c r="BF27" s="2" t="str" cm="1">
        <f t="array" ref="BF27">IF('NILAI CPL'!$B27&lt;&gt;"",IFERROR(_xlfn.IFS(AI27&gt;='NILAI CPL'!$B$3,4,AI27&gt;='NILAI CPL'!$B$4,3,AI27&gt;='NILAI CPL'!$B$5,2,AI27&gt;'NILAI CPL'!$B$6,1),0),"")</f>
        <v/>
      </c>
      <c r="BG27" s="2" t="str" cm="1">
        <f t="array" ref="BG27">IF('NILAI CPL'!$B27&lt;&gt;"",IFERROR(_xlfn.IFS(AJ27&gt;='NILAI CPL'!$B$3,4,AJ27&gt;='NILAI CPL'!$B$4,3,AJ27&gt;='NILAI CPL'!$B$5,2,AJ27&gt;'NILAI CPL'!$B$6,1),0),"")</f>
        <v/>
      </c>
      <c r="BH27" s="2" t="str" cm="1">
        <f t="array" ref="BH27">IF('NILAI CPL'!$B27&lt;&gt;"",IFERROR(_xlfn.IFS(AK27&gt;='NILAI CPL'!$B$3,4,AK27&gt;='NILAI CPL'!$B$4,3,AK27&gt;='NILAI CPL'!$B$5,2,AK27&gt;'NILAI CPL'!$B$6,1),0),"")</f>
        <v/>
      </c>
      <c r="BI27" s="2" t="str" cm="1">
        <f t="array" ref="BI27">IF('NILAI CPL'!$B27&lt;&gt;"",IFERROR(_xlfn.IFS(AL27&gt;='NILAI CPL'!$B$3,4,AL27&gt;='NILAI CPL'!$B$4,3,AL27&gt;='NILAI CPL'!$B$5,2,AL27&gt;'NILAI CPL'!$B$6,1),0),"")</f>
        <v/>
      </c>
      <c r="BJ27" s="2" t="str" cm="1">
        <f t="array" ref="BJ27">IF('NILAI CPL'!$B27&lt;&gt;"",IFERROR(_xlfn.IFS(AM27&gt;='NILAI CPL'!$B$3,4,AM27&gt;='NILAI CPL'!$B$4,3,AM27&gt;='NILAI CPL'!$B$5,2,AM27&gt;'NILAI CPL'!$B$6,1),0),"")</f>
        <v/>
      </c>
      <c r="BK27" s="2" t="str" cm="1">
        <f t="array" ref="BK27">IF('NILAI CPL'!$B27&lt;&gt;"",IFERROR(_xlfn.IFS(AN27&gt;='NILAI CPL'!$B$3,4,AN27&gt;='NILAI CPL'!$B$4,3,AN27&gt;='NILAI CPL'!$B$5,2,AN27&gt;'NILAI CPL'!$B$6,1),0),"")</f>
        <v/>
      </c>
    </row>
    <row r="28" spans="1:63" x14ac:dyDescent="0.2">
      <c r="A28" s="2">
        <v>18</v>
      </c>
      <c r="B28" s="2" t="str">
        <f>IF(LEN(SUMMARY!B28)&gt;0, SUMMARY!B28, "")</f>
        <v/>
      </c>
      <c r="C28" s="2" t="str">
        <f>IF(LEN(SUMMARY!C28)&gt;0, SUMMARY!C28, "")</f>
        <v/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" t="str">
        <f t="shared" si="2"/>
        <v/>
      </c>
      <c r="S28" s="2" t="str">
        <f t="shared" si="3"/>
        <v/>
      </c>
      <c r="T28" s="2" t="str">
        <f t="shared" si="4"/>
        <v/>
      </c>
      <c r="U28" s="2" t="str">
        <f t="shared" si="5"/>
        <v/>
      </c>
      <c r="V28" s="2" t="str">
        <f t="shared" si="6"/>
        <v/>
      </c>
      <c r="W28" s="2" t="str">
        <f t="shared" si="7"/>
        <v/>
      </c>
      <c r="X28" s="2" t="str">
        <f t="shared" si="8"/>
        <v/>
      </c>
      <c r="Y28" s="2" t="str">
        <f t="shared" si="9"/>
        <v/>
      </c>
      <c r="Z28" s="2" t="str">
        <f t="shared" si="10"/>
        <v/>
      </c>
      <c r="AA28" s="2" t="str">
        <f t="shared" si="11"/>
        <v/>
      </c>
      <c r="AB28" s="2" t="str">
        <f t="shared" si="12"/>
        <v/>
      </c>
      <c r="AC28" s="2" t="str">
        <f t="shared" si="13"/>
        <v/>
      </c>
      <c r="AD28" s="2" t="str">
        <f t="shared" si="14"/>
        <v/>
      </c>
      <c r="AE28" s="2" t="str">
        <f t="shared" si="15"/>
        <v/>
      </c>
      <c r="AF28" s="2" t="str">
        <f t="shared" si="16"/>
        <v/>
      </c>
      <c r="AG28" s="2" t="str">
        <f t="shared" si="17"/>
        <v/>
      </c>
      <c r="AH28" s="2" t="str">
        <f t="shared" si="18"/>
        <v/>
      </c>
      <c r="AI28" s="2" t="str">
        <f t="shared" si="19"/>
        <v/>
      </c>
      <c r="AJ28" s="2" t="str">
        <f t="shared" si="20"/>
        <v/>
      </c>
      <c r="AK28" s="2" t="str">
        <f t="shared" si="21"/>
        <v/>
      </c>
      <c r="AL28" s="2" t="str">
        <f t="shared" si="22"/>
        <v/>
      </c>
      <c r="AM28" s="2" t="str">
        <f t="shared" si="23"/>
        <v/>
      </c>
      <c r="AN28" s="2" t="str">
        <f t="shared" si="24"/>
        <v/>
      </c>
      <c r="AP28" s="2" t="str" cm="1">
        <f t="array" ref="AP28">IF('NILAI CPL'!$B28&lt;&gt;"",IFERROR(_xlfn.IFS(S28&gt;='NILAI CPL'!$B$3,4,S28&gt;='NILAI CPL'!$B$4,3,S28&gt;='NILAI CPL'!$B$5,2,S28&gt;'NILAI CPL'!$B$6,1),0),"")</f>
        <v/>
      </c>
      <c r="AQ28" s="2" t="str" cm="1">
        <f t="array" ref="AQ28">IF('NILAI CPL'!$B28&lt;&gt;"",IFERROR(_xlfn.IFS(T28&gt;='NILAI CPL'!$B$3,4,T28&gt;='NILAI CPL'!$B$4,3,T28&gt;='NILAI CPL'!$B$5,2,T28&gt;'NILAI CPL'!$B$6,1),0),"")</f>
        <v/>
      </c>
      <c r="AR28" s="2" t="str" cm="1">
        <f t="array" ref="AR28">IF('NILAI CPL'!$B28&lt;&gt;"",IFERROR(_xlfn.IFS(U28&gt;='NILAI CPL'!$B$3,4,U28&gt;='NILAI CPL'!$B$4,3,U28&gt;='NILAI CPL'!$B$5,2,U28&gt;'NILAI CPL'!$B$6,1),0),"")</f>
        <v/>
      </c>
      <c r="AS28" s="2" t="str" cm="1">
        <f t="array" ref="AS28">IF('NILAI CPL'!$B28&lt;&gt;"",IFERROR(_xlfn.IFS(V28&gt;='NILAI CPL'!$B$3,4,V28&gt;='NILAI CPL'!$B$4,3,V28&gt;='NILAI CPL'!$B$5,2,V28&gt;'NILAI CPL'!$B$6,1),0),"")</f>
        <v/>
      </c>
      <c r="AT28" s="2" t="str" cm="1">
        <f t="array" ref="AT28">IF('NILAI CPL'!$B28&lt;&gt;"",IFERROR(_xlfn.IFS(W28&gt;='NILAI CPL'!$B$3,4,W28&gt;='NILAI CPL'!$B$4,3,W28&gt;='NILAI CPL'!$B$5,2,W28&gt;'NILAI CPL'!$B$6,1),0),"")</f>
        <v/>
      </c>
      <c r="AU28" s="2" t="str" cm="1">
        <f t="array" ref="AU28">IF('NILAI CPL'!$B28&lt;&gt;"",IFERROR(_xlfn.IFS(X28&gt;='NILAI CPL'!$B$3,4,X28&gt;='NILAI CPL'!$B$4,3,X28&gt;='NILAI CPL'!$B$5,2,X28&gt;'NILAI CPL'!$B$6,1),0),"")</f>
        <v/>
      </c>
      <c r="AV28" s="2" t="str" cm="1">
        <f t="array" ref="AV28">IF('NILAI CPL'!$B28&lt;&gt;"",IFERROR(_xlfn.IFS(Y28&gt;='NILAI CPL'!$B$3,4,Y28&gt;='NILAI CPL'!$B$4,3,Y28&gt;='NILAI CPL'!$B$5,2,Y28&gt;'NILAI CPL'!$B$6,1),0),"")</f>
        <v/>
      </c>
      <c r="AW28" s="2" t="str" cm="1">
        <f t="array" ref="AW28">IF('NILAI CPL'!$B28&lt;&gt;"",IFERROR(_xlfn.IFS(Z28&gt;='NILAI CPL'!$B$3,4,Z28&gt;='NILAI CPL'!$B$4,3,Z28&gt;='NILAI CPL'!$B$5,2,Z28&gt;'NILAI CPL'!$B$6,1),0),"")</f>
        <v/>
      </c>
      <c r="AX28" s="2" t="str" cm="1">
        <f t="array" ref="AX28">IF('NILAI CPL'!$B28&lt;&gt;"",IFERROR(_xlfn.IFS(AA28&gt;='NILAI CPL'!$B$3,4,AA28&gt;='NILAI CPL'!$B$4,3,AA28&gt;='NILAI CPL'!$B$5,2,AA28&gt;'NILAI CPL'!$B$6,1),0),"")</f>
        <v/>
      </c>
      <c r="AY28" s="2" t="str" cm="1">
        <f t="array" ref="AY28">IF('NILAI CPL'!$B28&lt;&gt;"",IFERROR(_xlfn.IFS(AB28&gt;='NILAI CPL'!$B$3,4,AB28&gt;='NILAI CPL'!$B$4,3,AB28&gt;='NILAI CPL'!$B$5,2,AB28&gt;'NILAI CPL'!$B$6,1),0),"")</f>
        <v/>
      </c>
      <c r="AZ28" s="2" t="str" cm="1">
        <f t="array" ref="AZ28">IF('NILAI CPL'!$B28&lt;&gt;"",IFERROR(_xlfn.IFS(AC28&gt;='NILAI CPL'!$B$3,4,AC28&gt;='NILAI CPL'!$B$4,3,AC28&gt;='NILAI CPL'!$B$5,2,AC28&gt;'NILAI CPL'!$B$6,1),0),"")</f>
        <v/>
      </c>
      <c r="BA28" s="2" t="str" cm="1">
        <f t="array" ref="BA28">IF('NILAI CPL'!$B28&lt;&gt;"",IFERROR(_xlfn.IFS(AD28&gt;='NILAI CPL'!$B$3,4,AD28&gt;='NILAI CPL'!$B$4,3,AD28&gt;='NILAI CPL'!$B$5,2,AD28&gt;'NILAI CPL'!$B$6,1),0),"")</f>
        <v/>
      </c>
      <c r="BB28" s="2" t="str" cm="1">
        <f t="array" ref="BB28">IF('NILAI CPL'!$B28&lt;&gt;"",IFERROR(_xlfn.IFS(AE28&gt;='NILAI CPL'!$B$3,4,AE28&gt;='NILAI CPL'!$B$4,3,AE28&gt;='NILAI CPL'!$B$5,2,AE28&gt;'NILAI CPL'!$B$6,1),0),"")</f>
        <v/>
      </c>
      <c r="BC28" s="2" t="str" cm="1">
        <f t="array" ref="BC28">IF('NILAI CPL'!$B28&lt;&gt;"",IFERROR(_xlfn.IFS(AF28&gt;='NILAI CPL'!$B$3,4,AF28&gt;='NILAI CPL'!$B$4,3,AF28&gt;='NILAI CPL'!$B$5,2,AF28&gt;'NILAI CPL'!$B$6,1),0),"")</f>
        <v/>
      </c>
      <c r="BD28" s="2" t="str" cm="1">
        <f t="array" ref="BD28">IF('NILAI CPL'!$B28&lt;&gt;"",IFERROR(_xlfn.IFS(AG28&gt;='NILAI CPL'!$B$3,4,AG28&gt;='NILAI CPL'!$B$4,3,AG28&gt;='NILAI CPL'!$B$5,2,AG28&gt;'NILAI CPL'!$B$6,1),0),"")</f>
        <v/>
      </c>
      <c r="BE28" s="2" t="str" cm="1">
        <f t="array" ref="BE28">IF('NILAI CPL'!$B28&lt;&gt;"",IFERROR(_xlfn.IFS(AH28&gt;='NILAI CPL'!$B$3,4,AH28&gt;='NILAI CPL'!$B$4,3,AH28&gt;='NILAI CPL'!$B$5,2,AH28&gt;'NILAI CPL'!$B$6,1),0),"")</f>
        <v/>
      </c>
      <c r="BF28" s="2" t="str" cm="1">
        <f t="array" ref="BF28">IF('NILAI CPL'!$B28&lt;&gt;"",IFERROR(_xlfn.IFS(AI28&gt;='NILAI CPL'!$B$3,4,AI28&gt;='NILAI CPL'!$B$4,3,AI28&gt;='NILAI CPL'!$B$5,2,AI28&gt;'NILAI CPL'!$B$6,1),0),"")</f>
        <v/>
      </c>
      <c r="BG28" s="2" t="str" cm="1">
        <f t="array" ref="BG28">IF('NILAI CPL'!$B28&lt;&gt;"",IFERROR(_xlfn.IFS(AJ28&gt;='NILAI CPL'!$B$3,4,AJ28&gt;='NILAI CPL'!$B$4,3,AJ28&gt;='NILAI CPL'!$B$5,2,AJ28&gt;'NILAI CPL'!$B$6,1),0),"")</f>
        <v/>
      </c>
      <c r="BH28" s="2" t="str" cm="1">
        <f t="array" ref="BH28">IF('NILAI CPL'!$B28&lt;&gt;"",IFERROR(_xlfn.IFS(AK28&gt;='NILAI CPL'!$B$3,4,AK28&gt;='NILAI CPL'!$B$4,3,AK28&gt;='NILAI CPL'!$B$5,2,AK28&gt;'NILAI CPL'!$B$6,1),0),"")</f>
        <v/>
      </c>
      <c r="BI28" s="2" t="str" cm="1">
        <f t="array" ref="BI28">IF('NILAI CPL'!$B28&lt;&gt;"",IFERROR(_xlfn.IFS(AL28&gt;='NILAI CPL'!$B$3,4,AL28&gt;='NILAI CPL'!$B$4,3,AL28&gt;='NILAI CPL'!$B$5,2,AL28&gt;'NILAI CPL'!$B$6,1),0),"")</f>
        <v/>
      </c>
      <c r="BJ28" s="2" t="str" cm="1">
        <f t="array" ref="BJ28">IF('NILAI CPL'!$B28&lt;&gt;"",IFERROR(_xlfn.IFS(AM28&gt;='NILAI CPL'!$B$3,4,AM28&gt;='NILAI CPL'!$B$4,3,AM28&gt;='NILAI CPL'!$B$5,2,AM28&gt;'NILAI CPL'!$B$6,1),0),"")</f>
        <v/>
      </c>
      <c r="BK28" s="2" t="str" cm="1">
        <f t="array" ref="BK28">IF('NILAI CPL'!$B28&lt;&gt;"",IFERROR(_xlfn.IFS(AN28&gt;='NILAI CPL'!$B$3,4,AN28&gt;='NILAI CPL'!$B$4,3,AN28&gt;='NILAI CPL'!$B$5,2,AN28&gt;'NILAI CPL'!$B$6,1),0),"")</f>
        <v/>
      </c>
    </row>
    <row r="29" spans="1:63" x14ac:dyDescent="0.2">
      <c r="A29" s="2">
        <v>19</v>
      </c>
      <c r="B29" s="2" t="str">
        <f>IF(LEN(SUMMARY!B29)&gt;0, SUMMARY!B29, "")</f>
        <v/>
      </c>
      <c r="C29" s="2" t="str">
        <f>IF(LEN(SUMMARY!C29)&gt;0, SUMMARY!C29, "")</f>
        <v/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" t="str">
        <f t="shared" si="2"/>
        <v/>
      </c>
      <c r="S29" s="2" t="str">
        <f t="shared" si="3"/>
        <v/>
      </c>
      <c r="T29" s="2" t="str">
        <f t="shared" si="4"/>
        <v/>
      </c>
      <c r="U29" s="2" t="str">
        <f t="shared" si="5"/>
        <v/>
      </c>
      <c r="V29" s="2" t="str">
        <f t="shared" si="6"/>
        <v/>
      </c>
      <c r="W29" s="2" t="str">
        <f t="shared" si="7"/>
        <v/>
      </c>
      <c r="X29" s="2" t="str">
        <f t="shared" si="8"/>
        <v/>
      </c>
      <c r="Y29" s="2" t="str">
        <f t="shared" si="9"/>
        <v/>
      </c>
      <c r="Z29" s="2" t="str">
        <f t="shared" si="10"/>
        <v/>
      </c>
      <c r="AA29" s="2" t="str">
        <f t="shared" si="11"/>
        <v/>
      </c>
      <c r="AB29" s="2" t="str">
        <f t="shared" si="12"/>
        <v/>
      </c>
      <c r="AC29" s="2" t="str">
        <f t="shared" si="13"/>
        <v/>
      </c>
      <c r="AD29" s="2" t="str">
        <f t="shared" si="14"/>
        <v/>
      </c>
      <c r="AE29" s="2" t="str">
        <f t="shared" si="15"/>
        <v/>
      </c>
      <c r="AF29" s="2" t="str">
        <f t="shared" si="16"/>
        <v/>
      </c>
      <c r="AG29" s="2" t="str">
        <f t="shared" si="17"/>
        <v/>
      </c>
      <c r="AH29" s="2" t="str">
        <f t="shared" si="18"/>
        <v/>
      </c>
      <c r="AI29" s="2" t="str">
        <f t="shared" si="19"/>
        <v/>
      </c>
      <c r="AJ29" s="2" t="str">
        <f t="shared" si="20"/>
        <v/>
      </c>
      <c r="AK29" s="2" t="str">
        <f t="shared" si="21"/>
        <v/>
      </c>
      <c r="AL29" s="2" t="str">
        <f t="shared" si="22"/>
        <v/>
      </c>
      <c r="AM29" s="2" t="str">
        <f t="shared" si="23"/>
        <v/>
      </c>
      <c r="AN29" s="2" t="str">
        <f t="shared" si="24"/>
        <v/>
      </c>
      <c r="AP29" s="2" t="str" cm="1">
        <f t="array" ref="AP29">IF('NILAI CPL'!$B29&lt;&gt;"",IFERROR(_xlfn.IFS(S29&gt;='NILAI CPL'!$B$3,4,S29&gt;='NILAI CPL'!$B$4,3,S29&gt;='NILAI CPL'!$B$5,2,S29&gt;'NILAI CPL'!$B$6,1),0),"")</f>
        <v/>
      </c>
      <c r="AQ29" s="2" t="str" cm="1">
        <f t="array" ref="AQ29">IF('NILAI CPL'!$B29&lt;&gt;"",IFERROR(_xlfn.IFS(T29&gt;='NILAI CPL'!$B$3,4,T29&gt;='NILAI CPL'!$B$4,3,T29&gt;='NILAI CPL'!$B$5,2,T29&gt;'NILAI CPL'!$B$6,1),0),"")</f>
        <v/>
      </c>
      <c r="AR29" s="2" t="str" cm="1">
        <f t="array" ref="AR29">IF('NILAI CPL'!$B29&lt;&gt;"",IFERROR(_xlfn.IFS(U29&gt;='NILAI CPL'!$B$3,4,U29&gt;='NILAI CPL'!$B$4,3,U29&gt;='NILAI CPL'!$B$5,2,U29&gt;'NILAI CPL'!$B$6,1),0),"")</f>
        <v/>
      </c>
      <c r="AS29" s="2" t="str" cm="1">
        <f t="array" ref="AS29">IF('NILAI CPL'!$B29&lt;&gt;"",IFERROR(_xlfn.IFS(V29&gt;='NILAI CPL'!$B$3,4,V29&gt;='NILAI CPL'!$B$4,3,V29&gt;='NILAI CPL'!$B$5,2,V29&gt;'NILAI CPL'!$B$6,1),0),"")</f>
        <v/>
      </c>
      <c r="AT29" s="2" t="str" cm="1">
        <f t="array" ref="AT29">IF('NILAI CPL'!$B29&lt;&gt;"",IFERROR(_xlfn.IFS(W29&gt;='NILAI CPL'!$B$3,4,W29&gt;='NILAI CPL'!$B$4,3,W29&gt;='NILAI CPL'!$B$5,2,W29&gt;'NILAI CPL'!$B$6,1),0),"")</f>
        <v/>
      </c>
      <c r="AU29" s="2" t="str" cm="1">
        <f t="array" ref="AU29">IF('NILAI CPL'!$B29&lt;&gt;"",IFERROR(_xlfn.IFS(X29&gt;='NILAI CPL'!$B$3,4,X29&gt;='NILAI CPL'!$B$4,3,X29&gt;='NILAI CPL'!$B$5,2,X29&gt;'NILAI CPL'!$B$6,1),0),"")</f>
        <v/>
      </c>
      <c r="AV29" s="2" t="str" cm="1">
        <f t="array" ref="AV29">IF('NILAI CPL'!$B29&lt;&gt;"",IFERROR(_xlfn.IFS(Y29&gt;='NILAI CPL'!$B$3,4,Y29&gt;='NILAI CPL'!$B$4,3,Y29&gt;='NILAI CPL'!$B$5,2,Y29&gt;'NILAI CPL'!$B$6,1),0),"")</f>
        <v/>
      </c>
      <c r="AW29" s="2" t="str" cm="1">
        <f t="array" ref="AW29">IF('NILAI CPL'!$B29&lt;&gt;"",IFERROR(_xlfn.IFS(Z29&gt;='NILAI CPL'!$B$3,4,Z29&gt;='NILAI CPL'!$B$4,3,Z29&gt;='NILAI CPL'!$B$5,2,Z29&gt;'NILAI CPL'!$B$6,1),0),"")</f>
        <v/>
      </c>
      <c r="AX29" s="2" t="str" cm="1">
        <f t="array" ref="AX29">IF('NILAI CPL'!$B29&lt;&gt;"",IFERROR(_xlfn.IFS(AA29&gt;='NILAI CPL'!$B$3,4,AA29&gt;='NILAI CPL'!$B$4,3,AA29&gt;='NILAI CPL'!$B$5,2,AA29&gt;'NILAI CPL'!$B$6,1),0),"")</f>
        <v/>
      </c>
      <c r="AY29" s="2" t="str" cm="1">
        <f t="array" ref="AY29">IF('NILAI CPL'!$B29&lt;&gt;"",IFERROR(_xlfn.IFS(AB29&gt;='NILAI CPL'!$B$3,4,AB29&gt;='NILAI CPL'!$B$4,3,AB29&gt;='NILAI CPL'!$B$5,2,AB29&gt;'NILAI CPL'!$B$6,1),0),"")</f>
        <v/>
      </c>
      <c r="AZ29" s="2" t="str" cm="1">
        <f t="array" ref="AZ29">IF('NILAI CPL'!$B29&lt;&gt;"",IFERROR(_xlfn.IFS(AC29&gt;='NILAI CPL'!$B$3,4,AC29&gt;='NILAI CPL'!$B$4,3,AC29&gt;='NILAI CPL'!$B$5,2,AC29&gt;'NILAI CPL'!$B$6,1),0),"")</f>
        <v/>
      </c>
      <c r="BA29" s="2" t="str" cm="1">
        <f t="array" ref="BA29">IF('NILAI CPL'!$B29&lt;&gt;"",IFERROR(_xlfn.IFS(AD29&gt;='NILAI CPL'!$B$3,4,AD29&gt;='NILAI CPL'!$B$4,3,AD29&gt;='NILAI CPL'!$B$5,2,AD29&gt;'NILAI CPL'!$B$6,1),0),"")</f>
        <v/>
      </c>
      <c r="BB29" s="2" t="str" cm="1">
        <f t="array" ref="BB29">IF('NILAI CPL'!$B29&lt;&gt;"",IFERROR(_xlfn.IFS(AE29&gt;='NILAI CPL'!$B$3,4,AE29&gt;='NILAI CPL'!$B$4,3,AE29&gt;='NILAI CPL'!$B$5,2,AE29&gt;'NILAI CPL'!$B$6,1),0),"")</f>
        <v/>
      </c>
      <c r="BC29" s="2" t="str" cm="1">
        <f t="array" ref="BC29">IF('NILAI CPL'!$B29&lt;&gt;"",IFERROR(_xlfn.IFS(AF29&gt;='NILAI CPL'!$B$3,4,AF29&gt;='NILAI CPL'!$B$4,3,AF29&gt;='NILAI CPL'!$B$5,2,AF29&gt;'NILAI CPL'!$B$6,1),0),"")</f>
        <v/>
      </c>
      <c r="BD29" s="2" t="str" cm="1">
        <f t="array" ref="BD29">IF('NILAI CPL'!$B29&lt;&gt;"",IFERROR(_xlfn.IFS(AG29&gt;='NILAI CPL'!$B$3,4,AG29&gt;='NILAI CPL'!$B$4,3,AG29&gt;='NILAI CPL'!$B$5,2,AG29&gt;'NILAI CPL'!$B$6,1),0),"")</f>
        <v/>
      </c>
      <c r="BE29" s="2" t="str" cm="1">
        <f t="array" ref="BE29">IF('NILAI CPL'!$B29&lt;&gt;"",IFERROR(_xlfn.IFS(AH29&gt;='NILAI CPL'!$B$3,4,AH29&gt;='NILAI CPL'!$B$4,3,AH29&gt;='NILAI CPL'!$B$5,2,AH29&gt;'NILAI CPL'!$B$6,1),0),"")</f>
        <v/>
      </c>
      <c r="BF29" s="2" t="str" cm="1">
        <f t="array" ref="BF29">IF('NILAI CPL'!$B29&lt;&gt;"",IFERROR(_xlfn.IFS(AI29&gt;='NILAI CPL'!$B$3,4,AI29&gt;='NILAI CPL'!$B$4,3,AI29&gt;='NILAI CPL'!$B$5,2,AI29&gt;'NILAI CPL'!$B$6,1),0),"")</f>
        <v/>
      </c>
      <c r="BG29" s="2" t="str" cm="1">
        <f t="array" ref="BG29">IF('NILAI CPL'!$B29&lt;&gt;"",IFERROR(_xlfn.IFS(AJ29&gt;='NILAI CPL'!$B$3,4,AJ29&gt;='NILAI CPL'!$B$4,3,AJ29&gt;='NILAI CPL'!$B$5,2,AJ29&gt;'NILAI CPL'!$B$6,1),0),"")</f>
        <v/>
      </c>
      <c r="BH29" s="2" t="str" cm="1">
        <f t="array" ref="BH29">IF('NILAI CPL'!$B29&lt;&gt;"",IFERROR(_xlfn.IFS(AK29&gt;='NILAI CPL'!$B$3,4,AK29&gt;='NILAI CPL'!$B$4,3,AK29&gt;='NILAI CPL'!$B$5,2,AK29&gt;'NILAI CPL'!$B$6,1),0),"")</f>
        <v/>
      </c>
      <c r="BI29" s="2" t="str" cm="1">
        <f t="array" ref="BI29">IF('NILAI CPL'!$B29&lt;&gt;"",IFERROR(_xlfn.IFS(AL29&gt;='NILAI CPL'!$B$3,4,AL29&gt;='NILAI CPL'!$B$4,3,AL29&gt;='NILAI CPL'!$B$5,2,AL29&gt;'NILAI CPL'!$B$6,1),0),"")</f>
        <v/>
      </c>
      <c r="BJ29" s="2" t="str" cm="1">
        <f t="array" ref="BJ29">IF('NILAI CPL'!$B29&lt;&gt;"",IFERROR(_xlfn.IFS(AM29&gt;='NILAI CPL'!$B$3,4,AM29&gt;='NILAI CPL'!$B$4,3,AM29&gt;='NILAI CPL'!$B$5,2,AM29&gt;'NILAI CPL'!$B$6,1),0),"")</f>
        <v/>
      </c>
      <c r="BK29" s="2" t="str" cm="1">
        <f t="array" ref="BK29">IF('NILAI CPL'!$B29&lt;&gt;"",IFERROR(_xlfn.IFS(AN29&gt;='NILAI CPL'!$B$3,4,AN29&gt;='NILAI CPL'!$B$4,3,AN29&gt;='NILAI CPL'!$B$5,2,AN29&gt;'NILAI CPL'!$B$6,1),0),"")</f>
        <v/>
      </c>
    </row>
    <row r="30" spans="1:63" x14ac:dyDescent="0.2">
      <c r="A30" s="2">
        <v>20</v>
      </c>
      <c r="B30" s="2" t="str">
        <f>IF(LEN(SUMMARY!B30)&gt;0, SUMMARY!B30, "")</f>
        <v/>
      </c>
      <c r="C30" s="2" t="str">
        <f>IF(LEN(SUMMARY!C30)&gt;0, SUMMARY!C30, "")</f>
        <v/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" t="str">
        <f t="shared" si="2"/>
        <v/>
      </c>
      <c r="S30" s="2" t="str">
        <f t="shared" si="3"/>
        <v/>
      </c>
      <c r="T30" s="2" t="str">
        <f t="shared" si="4"/>
        <v/>
      </c>
      <c r="U30" s="2" t="str">
        <f t="shared" si="5"/>
        <v/>
      </c>
      <c r="V30" s="2" t="str">
        <f t="shared" si="6"/>
        <v/>
      </c>
      <c r="W30" s="2" t="str">
        <f t="shared" si="7"/>
        <v/>
      </c>
      <c r="X30" s="2" t="str">
        <f t="shared" si="8"/>
        <v/>
      </c>
      <c r="Y30" s="2" t="str">
        <f t="shared" si="9"/>
        <v/>
      </c>
      <c r="Z30" s="2" t="str">
        <f t="shared" si="10"/>
        <v/>
      </c>
      <c r="AA30" s="2" t="str">
        <f t="shared" si="11"/>
        <v/>
      </c>
      <c r="AB30" s="2" t="str">
        <f t="shared" si="12"/>
        <v/>
      </c>
      <c r="AC30" s="2" t="str">
        <f t="shared" si="13"/>
        <v/>
      </c>
      <c r="AD30" s="2" t="str">
        <f t="shared" si="14"/>
        <v/>
      </c>
      <c r="AE30" s="2" t="str">
        <f t="shared" si="15"/>
        <v/>
      </c>
      <c r="AF30" s="2" t="str">
        <f t="shared" si="16"/>
        <v/>
      </c>
      <c r="AG30" s="2" t="str">
        <f t="shared" si="17"/>
        <v/>
      </c>
      <c r="AH30" s="2" t="str">
        <f t="shared" si="18"/>
        <v/>
      </c>
      <c r="AI30" s="2" t="str">
        <f t="shared" si="19"/>
        <v/>
      </c>
      <c r="AJ30" s="2" t="str">
        <f t="shared" si="20"/>
        <v/>
      </c>
      <c r="AK30" s="2" t="str">
        <f t="shared" si="21"/>
        <v/>
      </c>
      <c r="AL30" s="2" t="str">
        <f t="shared" si="22"/>
        <v/>
      </c>
      <c r="AM30" s="2" t="str">
        <f t="shared" si="23"/>
        <v/>
      </c>
      <c r="AN30" s="2" t="str">
        <f t="shared" si="24"/>
        <v/>
      </c>
      <c r="AP30" s="2" t="str" cm="1">
        <f t="array" ref="AP30">IF('NILAI CPL'!$B30&lt;&gt;"",IFERROR(_xlfn.IFS(S30&gt;='NILAI CPL'!$B$3,4,S30&gt;='NILAI CPL'!$B$4,3,S30&gt;='NILAI CPL'!$B$5,2,S30&gt;'NILAI CPL'!$B$6,1),0),"")</f>
        <v/>
      </c>
      <c r="AQ30" s="2" t="str" cm="1">
        <f t="array" ref="AQ30">IF('NILAI CPL'!$B30&lt;&gt;"",IFERROR(_xlfn.IFS(T30&gt;='NILAI CPL'!$B$3,4,T30&gt;='NILAI CPL'!$B$4,3,T30&gt;='NILAI CPL'!$B$5,2,T30&gt;'NILAI CPL'!$B$6,1),0),"")</f>
        <v/>
      </c>
      <c r="AR30" s="2" t="str" cm="1">
        <f t="array" ref="AR30">IF('NILAI CPL'!$B30&lt;&gt;"",IFERROR(_xlfn.IFS(U30&gt;='NILAI CPL'!$B$3,4,U30&gt;='NILAI CPL'!$B$4,3,U30&gt;='NILAI CPL'!$B$5,2,U30&gt;'NILAI CPL'!$B$6,1),0),"")</f>
        <v/>
      </c>
      <c r="AS30" s="2" t="str" cm="1">
        <f t="array" ref="AS30">IF('NILAI CPL'!$B30&lt;&gt;"",IFERROR(_xlfn.IFS(V30&gt;='NILAI CPL'!$B$3,4,V30&gt;='NILAI CPL'!$B$4,3,V30&gt;='NILAI CPL'!$B$5,2,V30&gt;'NILAI CPL'!$B$6,1),0),"")</f>
        <v/>
      </c>
      <c r="AT30" s="2" t="str" cm="1">
        <f t="array" ref="AT30">IF('NILAI CPL'!$B30&lt;&gt;"",IFERROR(_xlfn.IFS(W30&gt;='NILAI CPL'!$B$3,4,W30&gt;='NILAI CPL'!$B$4,3,W30&gt;='NILAI CPL'!$B$5,2,W30&gt;'NILAI CPL'!$B$6,1),0),"")</f>
        <v/>
      </c>
      <c r="AU30" s="2" t="str" cm="1">
        <f t="array" ref="AU30">IF('NILAI CPL'!$B30&lt;&gt;"",IFERROR(_xlfn.IFS(X30&gt;='NILAI CPL'!$B$3,4,X30&gt;='NILAI CPL'!$B$4,3,X30&gt;='NILAI CPL'!$B$5,2,X30&gt;'NILAI CPL'!$B$6,1),0),"")</f>
        <v/>
      </c>
      <c r="AV30" s="2" t="str" cm="1">
        <f t="array" ref="AV30">IF('NILAI CPL'!$B30&lt;&gt;"",IFERROR(_xlfn.IFS(Y30&gt;='NILAI CPL'!$B$3,4,Y30&gt;='NILAI CPL'!$B$4,3,Y30&gt;='NILAI CPL'!$B$5,2,Y30&gt;'NILAI CPL'!$B$6,1),0),"")</f>
        <v/>
      </c>
      <c r="AW30" s="2" t="str" cm="1">
        <f t="array" ref="AW30">IF('NILAI CPL'!$B30&lt;&gt;"",IFERROR(_xlfn.IFS(Z30&gt;='NILAI CPL'!$B$3,4,Z30&gt;='NILAI CPL'!$B$4,3,Z30&gt;='NILAI CPL'!$B$5,2,Z30&gt;'NILAI CPL'!$B$6,1),0),"")</f>
        <v/>
      </c>
      <c r="AX30" s="2" t="str" cm="1">
        <f t="array" ref="AX30">IF('NILAI CPL'!$B30&lt;&gt;"",IFERROR(_xlfn.IFS(AA30&gt;='NILAI CPL'!$B$3,4,AA30&gt;='NILAI CPL'!$B$4,3,AA30&gt;='NILAI CPL'!$B$5,2,AA30&gt;'NILAI CPL'!$B$6,1),0),"")</f>
        <v/>
      </c>
      <c r="AY30" s="2" t="str" cm="1">
        <f t="array" ref="AY30">IF('NILAI CPL'!$B30&lt;&gt;"",IFERROR(_xlfn.IFS(AB30&gt;='NILAI CPL'!$B$3,4,AB30&gt;='NILAI CPL'!$B$4,3,AB30&gt;='NILAI CPL'!$B$5,2,AB30&gt;'NILAI CPL'!$B$6,1),0),"")</f>
        <v/>
      </c>
      <c r="AZ30" s="2" t="str" cm="1">
        <f t="array" ref="AZ30">IF('NILAI CPL'!$B30&lt;&gt;"",IFERROR(_xlfn.IFS(AC30&gt;='NILAI CPL'!$B$3,4,AC30&gt;='NILAI CPL'!$B$4,3,AC30&gt;='NILAI CPL'!$B$5,2,AC30&gt;'NILAI CPL'!$B$6,1),0),"")</f>
        <v/>
      </c>
      <c r="BA30" s="2" t="str" cm="1">
        <f t="array" ref="BA30">IF('NILAI CPL'!$B30&lt;&gt;"",IFERROR(_xlfn.IFS(AD30&gt;='NILAI CPL'!$B$3,4,AD30&gt;='NILAI CPL'!$B$4,3,AD30&gt;='NILAI CPL'!$B$5,2,AD30&gt;'NILAI CPL'!$B$6,1),0),"")</f>
        <v/>
      </c>
      <c r="BB30" s="2" t="str" cm="1">
        <f t="array" ref="BB30">IF('NILAI CPL'!$B30&lt;&gt;"",IFERROR(_xlfn.IFS(AE30&gt;='NILAI CPL'!$B$3,4,AE30&gt;='NILAI CPL'!$B$4,3,AE30&gt;='NILAI CPL'!$B$5,2,AE30&gt;'NILAI CPL'!$B$6,1),0),"")</f>
        <v/>
      </c>
      <c r="BC30" s="2" t="str" cm="1">
        <f t="array" ref="BC30">IF('NILAI CPL'!$B30&lt;&gt;"",IFERROR(_xlfn.IFS(AF30&gt;='NILAI CPL'!$B$3,4,AF30&gt;='NILAI CPL'!$B$4,3,AF30&gt;='NILAI CPL'!$B$5,2,AF30&gt;'NILAI CPL'!$B$6,1),0),"")</f>
        <v/>
      </c>
      <c r="BD30" s="2" t="str" cm="1">
        <f t="array" ref="BD30">IF('NILAI CPL'!$B30&lt;&gt;"",IFERROR(_xlfn.IFS(AG30&gt;='NILAI CPL'!$B$3,4,AG30&gt;='NILAI CPL'!$B$4,3,AG30&gt;='NILAI CPL'!$B$5,2,AG30&gt;'NILAI CPL'!$B$6,1),0),"")</f>
        <v/>
      </c>
      <c r="BE30" s="2" t="str" cm="1">
        <f t="array" ref="BE30">IF('NILAI CPL'!$B30&lt;&gt;"",IFERROR(_xlfn.IFS(AH30&gt;='NILAI CPL'!$B$3,4,AH30&gt;='NILAI CPL'!$B$4,3,AH30&gt;='NILAI CPL'!$B$5,2,AH30&gt;'NILAI CPL'!$B$6,1),0),"")</f>
        <v/>
      </c>
      <c r="BF30" s="2" t="str" cm="1">
        <f t="array" ref="BF30">IF('NILAI CPL'!$B30&lt;&gt;"",IFERROR(_xlfn.IFS(AI30&gt;='NILAI CPL'!$B$3,4,AI30&gt;='NILAI CPL'!$B$4,3,AI30&gt;='NILAI CPL'!$B$5,2,AI30&gt;'NILAI CPL'!$B$6,1),0),"")</f>
        <v/>
      </c>
      <c r="BG30" s="2" t="str" cm="1">
        <f t="array" ref="BG30">IF('NILAI CPL'!$B30&lt;&gt;"",IFERROR(_xlfn.IFS(AJ30&gt;='NILAI CPL'!$B$3,4,AJ30&gt;='NILAI CPL'!$B$4,3,AJ30&gt;='NILAI CPL'!$B$5,2,AJ30&gt;'NILAI CPL'!$B$6,1),0),"")</f>
        <v/>
      </c>
      <c r="BH30" s="2" t="str" cm="1">
        <f t="array" ref="BH30">IF('NILAI CPL'!$B30&lt;&gt;"",IFERROR(_xlfn.IFS(AK30&gt;='NILAI CPL'!$B$3,4,AK30&gt;='NILAI CPL'!$B$4,3,AK30&gt;='NILAI CPL'!$B$5,2,AK30&gt;'NILAI CPL'!$B$6,1),0),"")</f>
        <v/>
      </c>
      <c r="BI30" s="2" t="str" cm="1">
        <f t="array" ref="BI30">IF('NILAI CPL'!$B30&lt;&gt;"",IFERROR(_xlfn.IFS(AL30&gt;='NILAI CPL'!$B$3,4,AL30&gt;='NILAI CPL'!$B$4,3,AL30&gt;='NILAI CPL'!$B$5,2,AL30&gt;'NILAI CPL'!$B$6,1),0),"")</f>
        <v/>
      </c>
      <c r="BJ30" s="2" t="str" cm="1">
        <f t="array" ref="BJ30">IF('NILAI CPL'!$B30&lt;&gt;"",IFERROR(_xlfn.IFS(AM30&gt;='NILAI CPL'!$B$3,4,AM30&gt;='NILAI CPL'!$B$4,3,AM30&gt;='NILAI CPL'!$B$5,2,AM30&gt;'NILAI CPL'!$B$6,1),0),"")</f>
        <v/>
      </c>
      <c r="BK30" s="2" t="str" cm="1">
        <f t="array" ref="BK30">IF('NILAI CPL'!$B30&lt;&gt;"",IFERROR(_xlfn.IFS(AN30&gt;='NILAI CPL'!$B$3,4,AN30&gt;='NILAI CPL'!$B$4,3,AN30&gt;='NILAI CPL'!$B$5,2,AN30&gt;'NILAI CPL'!$B$6,1),0),"")</f>
        <v/>
      </c>
    </row>
    <row r="31" spans="1:63" x14ac:dyDescent="0.2">
      <c r="A31" s="2">
        <v>21</v>
      </c>
      <c r="B31" s="2" t="str">
        <f>IF(LEN(SUMMARY!B31)&gt;0, SUMMARY!B31, "")</f>
        <v/>
      </c>
      <c r="C31" s="2" t="str">
        <f>IF(LEN(SUMMARY!C31)&gt;0, SUMMARY!C31, "")</f>
        <v/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" t="str">
        <f t="shared" si="2"/>
        <v/>
      </c>
      <c r="S31" s="2" t="str">
        <f t="shared" si="3"/>
        <v/>
      </c>
      <c r="T31" s="2" t="str">
        <f t="shared" si="4"/>
        <v/>
      </c>
      <c r="U31" s="2" t="str">
        <f t="shared" si="5"/>
        <v/>
      </c>
      <c r="V31" s="2" t="str">
        <f t="shared" si="6"/>
        <v/>
      </c>
      <c r="W31" s="2" t="str">
        <f t="shared" si="7"/>
        <v/>
      </c>
      <c r="X31" s="2" t="str">
        <f t="shared" si="8"/>
        <v/>
      </c>
      <c r="Y31" s="2" t="str">
        <f t="shared" si="9"/>
        <v/>
      </c>
      <c r="Z31" s="2" t="str">
        <f t="shared" si="10"/>
        <v/>
      </c>
      <c r="AA31" s="2" t="str">
        <f t="shared" si="11"/>
        <v/>
      </c>
      <c r="AB31" s="2" t="str">
        <f t="shared" si="12"/>
        <v/>
      </c>
      <c r="AC31" s="2" t="str">
        <f t="shared" si="13"/>
        <v/>
      </c>
      <c r="AD31" s="2" t="str">
        <f t="shared" si="14"/>
        <v/>
      </c>
      <c r="AE31" s="2" t="str">
        <f t="shared" si="15"/>
        <v/>
      </c>
      <c r="AF31" s="2" t="str">
        <f t="shared" si="16"/>
        <v/>
      </c>
      <c r="AG31" s="2" t="str">
        <f t="shared" si="17"/>
        <v/>
      </c>
      <c r="AH31" s="2" t="str">
        <f t="shared" si="18"/>
        <v/>
      </c>
      <c r="AI31" s="2" t="str">
        <f t="shared" si="19"/>
        <v/>
      </c>
      <c r="AJ31" s="2" t="str">
        <f t="shared" si="20"/>
        <v/>
      </c>
      <c r="AK31" s="2" t="str">
        <f t="shared" si="21"/>
        <v/>
      </c>
      <c r="AL31" s="2" t="str">
        <f t="shared" si="22"/>
        <v/>
      </c>
      <c r="AM31" s="2" t="str">
        <f t="shared" si="23"/>
        <v/>
      </c>
      <c r="AN31" s="2" t="str">
        <f t="shared" si="24"/>
        <v/>
      </c>
      <c r="AP31" s="2" t="str" cm="1">
        <f t="array" ref="AP31">IF('NILAI CPL'!$B31&lt;&gt;"",IFERROR(_xlfn.IFS(S31&gt;='NILAI CPL'!$B$3,4,S31&gt;='NILAI CPL'!$B$4,3,S31&gt;='NILAI CPL'!$B$5,2,S31&gt;'NILAI CPL'!$B$6,1),0),"")</f>
        <v/>
      </c>
      <c r="AQ31" s="2" t="str" cm="1">
        <f t="array" ref="AQ31">IF('NILAI CPL'!$B31&lt;&gt;"",IFERROR(_xlfn.IFS(T31&gt;='NILAI CPL'!$B$3,4,T31&gt;='NILAI CPL'!$B$4,3,T31&gt;='NILAI CPL'!$B$5,2,T31&gt;'NILAI CPL'!$B$6,1),0),"")</f>
        <v/>
      </c>
      <c r="AR31" s="2" t="str" cm="1">
        <f t="array" ref="AR31">IF('NILAI CPL'!$B31&lt;&gt;"",IFERROR(_xlfn.IFS(U31&gt;='NILAI CPL'!$B$3,4,U31&gt;='NILAI CPL'!$B$4,3,U31&gt;='NILAI CPL'!$B$5,2,U31&gt;'NILAI CPL'!$B$6,1),0),"")</f>
        <v/>
      </c>
      <c r="AS31" s="2" t="str" cm="1">
        <f t="array" ref="AS31">IF('NILAI CPL'!$B31&lt;&gt;"",IFERROR(_xlfn.IFS(V31&gt;='NILAI CPL'!$B$3,4,V31&gt;='NILAI CPL'!$B$4,3,V31&gt;='NILAI CPL'!$B$5,2,V31&gt;'NILAI CPL'!$B$6,1),0),"")</f>
        <v/>
      </c>
      <c r="AT31" s="2" t="str" cm="1">
        <f t="array" ref="AT31">IF('NILAI CPL'!$B31&lt;&gt;"",IFERROR(_xlfn.IFS(W31&gt;='NILAI CPL'!$B$3,4,W31&gt;='NILAI CPL'!$B$4,3,W31&gt;='NILAI CPL'!$B$5,2,W31&gt;'NILAI CPL'!$B$6,1),0),"")</f>
        <v/>
      </c>
      <c r="AU31" s="2" t="str" cm="1">
        <f t="array" ref="AU31">IF('NILAI CPL'!$B31&lt;&gt;"",IFERROR(_xlfn.IFS(X31&gt;='NILAI CPL'!$B$3,4,X31&gt;='NILAI CPL'!$B$4,3,X31&gt;='NILAI CPL'!$B$5,2,X31&gt;'NILAI CPL'!$B$6,1),0),"")</f>
        <v/>
      </c>
      <c r="AV31" s="2" t="str" cm="1">
        <f t="array" ref="AV31">IF('NILAI CPL'!$B31&lt;&gt;"",IFERROR(_xlfn.IFS(Y31&gt;='NILAI CPL'!$B$3,4,Y31&gt;='NILAI CPL'!$B$4,3,Y31&gt;='NILAI CPL'!$B$5,2,Y31&gt;'NILAI CPL'!$B$6,1),0),"")</f>
        <v/>
      </c>
      <c r="AW31" s="2" t="str" cm="1">
        <f t="array" ref="AW31">IF('NILAI CPL'!$B31&lt;&gt;"",IFERROR(_xlfn.IFS(Z31&gt;='NILAI CPL'!$B$3,4,Z31&gt;='NILAI CPL'!$B$4,3,Z31&gt;='NILAI CPL'!$B$5,2,Z31&gt;'NILAI CPL'!$B$6,1),0),"")</f>
        <v/>
      </c>
      <c r="AX31" s="2" t="str" cm="1">
        <f t="array" ref="AX31">IF('NILAI CPL'!$B31&lt;&gt;"",IFERROR(_xlfn.IFS(AA31&gt;='NILAI CPL'!$B$3,4,AA31&gt;='NILAI CPL'!$B$4,3,AA31&gt;='NILAI CPL'!$B$5,2,AA31&gt;'NILAI CPL'!$B$6,1),0),"")</f>
        <v/>
      </c>
      <c r="AY31" s="2" t="str" cm="1">
        <f t="array" ref="AY31">IF('NILAI CPL'!$B31&lt;&gt;"",IFERROR(_xlfn.IFS(AB31&gt;='NILAI CPL'!$B$3,4,AB31&gt;='NILAI CPL'!$B$4,3,AB31&gt;='NILAI CPL'!$B$5,2,AB31&gt;'NILAI CPL'!$B$6,1),0),"")</f>
        <v/>
      </c>
      <c r="AZ31" s="2" t="str" cm="1">
        <f t="array" ref="AZ31">IF('NILAI CPL'!$B31&lt;&gt;"",IFERROR(_xlfn.IFS(AC31&gt;='NILAI CPL'!$B$3,4,AC31&gt;='NILAI CPL'!$B$4,3,AC31&gt;='NILAI CPL'!$B$5,2,AC31&gt;'NILAI CPL'!$B$6,1),0),"")</f>
        <v/>
      </c>
      <c r="BA31" s="2" t="str" cm="1">
        <f t="array" ref="BA31">IF('NILAI CPL'!$B31&lt;&gt;"",IFERROR(_xlfn.IFS(AD31&gt;='NILAI CPL'!$B$3,4,AD31&gt;='NILAI CPL'!$B$4,3,AD31&gt;='NILAI CPL'!$B$5,2,AD31&gt;'NILAI CPL'!$B$6,1),0),"")</f>
        <v/>
      </c>
      <c r="BB31" s="2" t="str" cm="1">
        <f t="array" ref="BB31">IF('NILAI CPL'!$B31&lt;&gt;"",IFERROR(_xlfn.IFS(AE31&gt;='NILAI CPL'!$B$3,4,AE31&gt;='NILAI CPL'!$B$4,3,AE31&gt;='NILAI CPL'!$B$5,2,AE31&gt;'NILAI CPL'!$B$6,1),0),"")</f>
        <v/>
      </c>
      <c r="BC31" s="2" t="str" cm="1">
        <f t="array" ref="BC31">IF('NILAI CPL'!$B31&lt;&gt;"",IFERROR(_xlfn.IFS(AF31&gt;='NILAI CPL'!$B$3,4,AF31&gt;='NILAI CPL'!$B$4,3,AF31&gt;='NILAI CPL'!$B$5,2,AF31&gt;'NILAI CPL'!$B$6,1),0),"")</f>
        <v/>
      </c>
      <c r="BD31" s="2" t="str" cm="1">
        <f t="array" ref="BD31">IF('NILAI CPL'!$B31&lt;&gt;"",IFERROR(_xlfn.IFS(AG31&gt;='NILAI CPL'!$B$3,4,AG31&gt;='NILAI CPL'!$B$4,3,AG31&gt;='NILAI CPL'!$B$5,2,AG31&gt;'NILAI CPL'!$B$6,1),0),"")</f>
        <v/>
      </c>
      <c r="BE31" s="2" t="str" cm="1">
        <f t="array" ref="BE31">IF('NILAI CPL'!$B31&lt;&gt;"",IFERROR(_xlfn.IFS(AH31&gt;='NILAI CPL'!$B$3,4,AH31&gt;='NILAI CPL'!$B$4,3,AH31&gt;='NILAI CPL'!$B$5,2,AH31&gt;'NILAI CPL'!$B$6,1),0),"")</f>
        <v/>
      </c>
      <c r="BF31" s="2" t="str" cm="1">
        <f t="array" ref="BF31">IF('NILAI CPL'!$B31&lt;&gt;"",IFERROR(_xlfn.IFS(AI31&gt;='NILAI CPL'!$B$3,4,AI31&gt;='NILAI CPL'!$B$4,3,AI31&gt;='NILAI CPL'!$B$5,2,AI31&gt;'NILAI CPL'!$B$6,1),0),"")</f>
        <v/>
      </c>
      <c r="BG31" s="2" t="str" cm="1">
        <f t="array" ref="BG31">IF('NILAI CPL'!$B31&lt;&gt;"",IFERROR(_xlfn.IFS(AJ31&gt;='NILAI CPL'!$B$3,4,AJ31&gt;='NILAI CPL'!$B$4,3,AJ31&gt;='NILAI CPL'!$B$5,2,AJ31&gt;'NILAI CPL'!$B$6,1),0),"")</f>
        <v/>
      </c>
      <c r="BH31" s="2" t="str" cm="1">
        <f t="array" ref="BH31">IF('NILAI CPL'!$B31&lt;&gt;"",IFERROR(_xlfn.IFS(AK31&gt;='NILAI CPL'!$B$3,4,AK31&gt;='NILAI CPL'!$B$4,3,AK31&gt;='NILAI CPL'!$B$5,2,AK31&gt;'NILAI CPL'!$B$6,1),0),"")</f>
        <v/>
      </c>
      <c r="BI31" s="2" t="str" cm="1">
        <f t="array" ref="BI31">IF('NILAI CPL'!$B31&lt;&gt;"",IFERROR(_xlfn.IFS(AL31&gt;='NILAI CPL'!$B$3,4,AL31&gt;='NILAI CPL'!$B$4,3,AL31&gt;='NILAI CPL'!$B$5,2,AL31&gt;'NILAI CPL'!$B$6,1),0),"")</f>
        <v/>
      </c>
      <c r="BJ31" s="2" t="str" cm="1">
        <f t="array" ref="BJ31">IF('NILAI CPL'!$B31&lt;&gt;"",IFERROR(_xlfn.IFS(AM31&gt;='NILAI CPL'!$B$3,4,AM31&gt;='NILAI CPL'!$B$4,3,AM31&gt;='NILAI CPL'!$B$5,2,AM31&gt;'NILAI CPL'!$B$6,1),0),"")</f>
        <v/>
      </c>
      <c r="BK31" s="2" t="str" cm="1">
        <f t="array" ref="BK31">IF('NILAI CPL'!$B31&lt;&gt;"",IFERROR(_xlfn.IFS(AN31&gt;='NILAI CPL'!$B$3,4,AN31&gt;='NILAI CPL'!$B$4,3,AN31&gt;='NILAI CPL'!$B$5,2,AN31&gt;'NILAI CPL'!$B$6,1),0),"")</f>
        <v/>
      </c>
    </row>
    <row r="32" spans="1:63" x14ac:dyDescent="0.2">
      <c r="A32" s="2">
        <v>22</v>
      </c>
      <c r="B32" s="2" t="str">
        <f>IF(LEN(SUMMARY!B32)&gt;0, SUMMARY!B32, "")</f>
        <v/>
      </c>
      <c r="C32" s="2" t="str">
        <f>IF(LEN(SUMMARY!C32)&gt;0, SUMMARY!C32, "")</f>
        <v/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" t="str">
        <f t="shared" si="2"/>
        <v/>
      </c>
      <c r="S32" s="2" t="str">
        <f t="shared" si="3"/>
        <v/>
      </c>
      <c r="T32" s="2" t="str">
        <f t="shared" si="4"/>
        <v/>
      </c>
      <c r="U32" s="2" t="str">
        <f t="shared" si="5"/>
        <v/>
      </c>
      <c r="V32" s="2" t="str">
        <f t="shared" si="6"/>
        <v/>
      </c>
      <c r="W32" s="2" t="str">
        <f t="shared" si="7"/>
        <v/>
      </c>
      <c r="X32" s="2" t="str">
        <f t="shared" si="8"/>
        <v/>
      </c>
      <c r="Y32" s="2" t="str">
        <f t="shared" si="9"/>
        <v/>
      </c>
      <c r="Z32" s="2" t="str">
        <f t="shared" si="10"/>
        <v/>
      </c>
      <c r="AA32" s="2" t="str">
        <f t="shared" si="11"/>
        <v/>
      </c>
      <c r="AB32" s="2" t="str">
        <f t="shared" si="12"/>
        <v/>
      </c>
      <c r="AC32" s="2" t="str">
        <f t="shared" si="13"/>
        <v/>
      </c>
      <c r="AD32" s="2" t="str">
        <f t="shared" si="14"/>
        <v/>
      </c>
      <c r="AE32" s="2" t="str">
        <f t="shared" si="15"/>
        <v/>
      </c>
      <c r="AF32" s="2" t="str">
        <f t="shared" si="16"/>
        <v/>
      </c>
      <c r="AG32" s="2" t="str">
        <f t="shared" si="17"/>
        <v/>
      </c>
      <c r="AH32" s="2" t="str">
        <f t="shared" si="18"/>
        <v/>
      </c>
      <c r="AI32" s="2" t="str">
        <f t="shared" si="19"/>
        <v/>
      </c>
      <c r="AJ32" s="2" t="str">
        <f t="shared" si="20"/>
        <v/>
      </c>
      <c r="AK32" s="2" t="str">
        <f t="shared" si="21"/>
        <v/>
      </c>
      <c r="AL32" s="2" t="str">
        <f t="shared" si="22"/>
        <v/>
      </c>
      <c r="AM32" s="2" t="str">
        <f t="shared" si="23"/>
        <v/>
      </c>
      <c r="AN32" s="2" t="str">
        <f t="shared" si="24"/>
        <v/>
      </c>
      <c r="AP32" s="2" t="str" cm="1">
        <f t="array" ref="AP32">IF('NILAI CPL'!$B32&lt;&gt;"",IFERROR(_xlfn.IFS(S32&gt;='NILAI CPL'!$B$3,4,S32&gt;='NILAI CPL'!$B$4,3,S32&gt;='NILAI CPL'!$B$5,2,S32&gt;'NILAI CPL'!$B$6,1),0),"")</f>
        <v/>
      </c>
      <c r="AQ32" s="2" t="str" cm="1">
        <f t="array" ref="AQ32">IF('NILAI CPL'!$B32&lt;&gt;"",IFERROR(_xlfn.IFS(T32&gt;='NILAI CPL'!$B$3,4,T32&gt;='NILAI CPL'!$B$4,3,T32&gt;='NILAI CPL'!$B$5,2,T32&gt;'NILAI CPL'!$B$6,1),0),"")</f>
        <v/>
      </c>
      <c r="AR32" s="2" t="str" cm="1">
        <f t="array" ref="AR32">IF('NILAI CPL'!$B32&lt;&gt;"",IFERROR(_xlfn.IFS(U32&gt;='NILAI CPL'!$B$3,4,U32&gt;='NILAI CPL'!$B$4,3,U32&gt;='NILAI CPL'!$B$5,2,U32&gt;'NILAI CPL'!$B$6,1),0),"")</f>
        <v/>
      </c>
      <c r="AS32" s="2" t="str" cm="1">
        <f t="array" ref="AS32">IF('NILAI CPL'!$B32&lt;&gt;"",IFERROR(_xlfn.IFS(V32&gt;='NILAI CPL'!$B$3,4,V32&gt;='NILAI CPL'!$B$4,3,V32&gt;='NILAI CPL'!$B$5,2,V32&gt;'NILAI CPL'!$B$6,1),0),"")</f>
        <v/>
      </c>
      <c r="AT32" s="2" t="str" cm="1">
        <f t="array" ref="AT32">IF('NILAI CPL'!$B32&lt;&gt;"",IFERROR(_xlfn.IFS(W32&gt;='NILAI CPL'!$B$3,4,W32&gt;='NILAI CPL'!$B$4,3,W32&gt;='NILAI CPL'!$B$5,2,W32&gt;'NILAI CPL'!$B$6,1),0),"")</f>
        <v/>
      </c>
      <c r="AU32" s="2" t="str" cm="1">
        <f t="array" ref="AU32">IF('NILAI CPL'!$B32&lt;&gt;"",IFERROR(_xlfn.IFS(X32&gt;='NILAI CPL'!$B$3,4,X32&gt;='NILAI CPL'!$B$4,3,X32&gt;='NILAI CPL'!$B$5,2,X32&gt;'NILAI CPL'!$B$6,1),0),"")</f>
        <v/>
      </c>
      <c r="AV32" s="2" t="str" cm="1">
        <f t="array" ref="AV32">IF('NILAI CPL'!$B32&lt;&gt;"",IFERROR(_xlfn.IFS(Y32&gt;='NILAI CPL'!$B$3,4,Y32&gt;='NILAI CPL'!$B$4,3,Y32&gt;='NILAI CPL'!$B$5,2,Y32&gt;'NILAI CPL'!$B$6,1),0),"")</f>
        <v/>
      </c>
      <c r="AW32" s="2" t="str" cm="1">
        <f t="array" ref="AW32">IF('NILAI CPL'!$B32&lt;&gt;"",IFERROR(_xlfn.IFS(Z32&gt;='NILAI CPL'!$B$3,4,Z32&gt;='NILAI CPL'!$B$4,3,Z32&gt;='NILAI CPL'!$B$5,2,Z32&gt;'NILAI CPL'!$B$6,1),0),"")</f>
        <v/>
      </c>
      <c r="AX32" s="2" t="str" cm="1">
        <f t="array" ref="AX32">IF('NILAI CPL'!$B32&lt;&gt;"",IFERROR(_xlfn.IFS(AA32&gt;='NILAI CPL'!$B$3,4,AA32&gt;='NILAI CPL'!$B$4,3,AA32&gt;='NILAI CPL'!$B$5,2,AA32&gt;'NILAI CPL'!$B$6,1),0),"")</f>
        <v/>
      </c>
      <c r="AY32" s="2" t="str" cm="1">
        <f t="array" ref="AY32">IF('NILAI CPL'!$B32&lt;&gt;"",IFERROR(_xlfn.IFS(AB32&gt;='NILAI CPL'!$B$3,4,AB32&gt;='NILAI CPL'!$B$4,3,AB32&gt;='NILAI CPL'!$B$5,2,AB32&gt;'NILAI CPL'!$B$6,1),0),"")</f>
        <v/>
      </c>
      <c r="AZ32" s="2" t="str" cm="1">
        <f t="array" ref="AZ32">IF('NILAI CPL'!$B32&lt;&gt;"",IFERROR(_xlfn.IFS(AC32&gt;='NILAI CPL'!$B$3,4,AC32&gt;='NILAI CPL'!$B$4,3,AC32&gt;='NILAI CPL'!$B$5,2,AC32&gt;'NILAI CPL'!$B$6,1),0),"")</f>
        <v/>
      </c>
      <c r="BA32" s="2" t="str" cm="1">
        <f t="array" ref="BA32">IF('NILAI CPL'!$B32&lt;&gt;"",IFERROR(_xlfn.IFS(AD32&gt;='NILAI CPL'!$B$3,4,AD32&gt;='NILAI CPL'!$B$4,3,AD32&gt;='NILAI CPL'!$B$5,2,AD32&gt;'NILAI CPL'!$B$6,1),0),"")</f>
        <v/>
      </c>
      <c r="BB32" s="2" t="str" cm="1">
        <f t="array" ref="BB32">IF('NILAI CPL'!$B32&lt;&gt;"",IFERROR(_xlfn.IFS(AE32&gt;='NILAI CPL'!$B$3,4,AE32&gt;='NILAI CPL'!$B$4,3,AE32&gt;='NILAI CPL'!$B$5,2,AE32&gt;'NILAI CPL'!$B$6,1),0),"")</f>
        <v/>
      </c>
      <c r="BC32" s="2" t="str" cm="1">
        <f t="array" ref="BC32">IF('NILAI CPL'!$B32&lt;&gt;"",IFERROR(_xlfn.IFS(AF32&gt;='NILAI CPL'!$B$3,4,AF32&gt;='NILAI CPL'!$B$4,3,AF32&gt;='NILAI CPL'!$B$5,2,AF32&gt;'NILAI CPL'!$B$6,1),0),"")</f>
        <v/>
      </c>
      <c r="BD32" s="2" t="str" cm="1">
        <f t="array" ref="BD32">IF('NILAI CPL'!$B32&lt;&gt;"",IFERROR(_xlfn.IFS(AG32&gt;='NILAI CPL'!$B$3,4,AG32&gt;='NILAI CPL'!$B$4,3,AG32&gt;='NILAI CPL'!$B$5,2,AG32&gt;'NILAI CPL'!$B$6,1),0),"")</f>
        <v/>
      </c>
      <c r="BE32" s="2" t="str" cm="1">
        <f t="array" ref="BE32">IF('NILAI CPL'!$B32&lt;&gt;"",IFERROR(_xlfn.IFS(AH32&gt;='NILAI CPL'!$B$3,4,AH32&gt;='NILAI CPL'!$B$4,3,AH32&gt;='NILAI CPL'!$B$5,2,AH32&gt;'NILAI CPL'!$B$6,1),0),"")</f>
        <v/>
      </c>
      <c r="BF32" s="2" t="str" cm="1">
        <f t="array" ref="BF32">IF('NILAI CPL'!$B32&lt;&gt;"",IFERROR(_xlfn.IFS(AI32&gt;='NILAI CPL'!$B$3,4,AI32&gt;='NILAI CPL'!$B$4,3,AI32&gt;='NILAI CPL'!$B$5,2,AI32&gt;'NILAI CPL'!$B$6,1),0),"")</f>
        <v/>
      </c>
      <c r="BG32" s="2" t="str" cm="1">
        <f t="array" ref="BG32">IF('NILAI CPL'!$B32&lt;&gt;"",IFERROR(_xlfn.IFS(AJ32&gt;='NILAI CPL'!$B$3,4,AJ32&gt;='NILAI CPL'!$B$4,3,AJ32&gt;='NILAI CPL'!$B$5,2,AJ32&gt;'NILAI CPL'!$B$6,1),0),"")</f>
        <v/>
      </c>
      <c r="BH32" s="2" t="str" cm="1">
        <f t="array" ref="BH32">IF('NILAI CPL'!$B32&lt;&gt;"",IFERROR(_xlfn.IFS(AK32&gt;='NILAI CPL'!$B$3,4,AK32&gt;='NILAI CPL'!$B$4,3,AK32&gt;='NILAI CPL'!$B$5,2,AK32&gt;'NILAI CPL'!$B$6,1),0),"")</f>
        <v/>
      </c>
      <c r="BI32" s="2" t="str" cm="1">
        <f t="array" ref="BI32">IF('NILAI CPL'!$B32&lt;&gt;"",IFERROR(_xlfn.IFS(AL32&gt;='NILAI CPL'!$B$3,4,AL32&gt;='NILAI CPL'!$B$4,3,AL32&gt;='NILAI CPL'!$B$5,2,AL32&gt;'NILAI CPL'!$B$6,1),0),"")</f>
        <v/>
      </c>
      <c r="BJ32" s="2" t="str" cm="1">
        <f t="array" ref="BJ32">IF('NILAI CPL'!$B32&lt;&gt;"",IFERROR(_xlfn.IFS(AM32&gt;='NILAI CPL'!$B$3,4,AM32&gt;='NILAI CPL'!$B$4,3,AM32&gt;='NILAI CPL'!$B$5,2,AM32&gt;'NILAI CPL'!$B$6,1),0),"")</f>
        <v/>
      </c>
      <c r="BK32" s="2" t="str" cm="1">
        <f t="array" ref="BK32">IF('NILAI CPL'!$B32&lt;&gt;"",IFERROR(_xlfn.IFS(AN32&gt;='NILAI CPL'!$B$3,4,AN32&gt;='NILAI CPL'!$B$4,3,AN32&gt;='NILAI CPL'!$B$5,2,AN32&gt;'NILAI CPL'!$B$6,1),0),"")</f>
        <v/>
      </c>
    </row>
    <row r="33" spans="1:63" x14ac:dyDescent="0.2">
      <c r="A33" s="2">
        <v>23</v>
      </c>
      <c r="B33" s="2" t="str">
        <f>IF(LEN(SUMMARY!B33)&gt;0, SUMMARY!B33, "")</f>
        <v/>
      </c>
      <c r="C33" s="2" t="str">
        <f>IF(LEN(SUMMARY!C33)&gt;0, SUMMARY!C33, "")</f>
        <v/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" t="str">
        <f t="shared" si="2"/>
        <v/>
      </c>
      <c r="S33" s="2" t="str">
        <f t="shared" si="3"/>
        <v/>
      </c>
      <c r="T33" s="2" t="str">
        <f t="shared" si="4"/>
        <v/>
      </c>
      <c r="U33" s="2" t="str">
        <f t="shared" si="5"/>
        <v/>
      </c>
      <c r="V33" s="2" t="str">
        <f t="shared" si="6"/>
        <v/>
      </c>
      <c r="W33" s="2" t="str">
        <f t="shared" si="7"/>
        <v/>
      </c>
      <c r="X33" s="2" t="str">
        <f t="shared" si="8"/>
        <v/>
      </c>
      <c r="Y33" s="2" t="str">
        <f t="shared" si="9"/>
        <v/>
      </c>
      <c r="Z33" s="2" t="str">
        <f t="shared" si="10"/>
        <v/>
      </c>
      <c r="AA33" s="2" t="str">
        <f t="shared" si="11"/>
        <v/>
      </c>
      <c r="AB33" s="2" t="str">
        <f t="shared" si="12"/>
        <v/>
      </c>
      <c r="AC33" s="2" t="str">
        <f t="shared" si="13"/>
        <v/>
      </c>
      <c r="AD33" s="2" t="str">
        <f t="shared" si="14"/>
        <v/>
      </c>
      <c r="AE33" s="2" t="str">
        <f t="shared" si="15"/>
        <v/>
      </c>
      <c r="AF33" s="2" t="str">
        <f t="shared" si="16"/>
        <v/>
      </c>
      <c r="AG33" s="2" t="str">
        <f t="shared" si="17"/>
        <v/>
      </c>
      <c r="AH33" s="2" t="str">
        <f t="shared" si="18"/>
        <v/>
      </c>
      <c r="AI33" s="2" t="str">
        <f t="shared" si="19"/>
        <v/>
      </c>
      <c r="AJ33" s="2" t="str">
        <f t="shared" si="20"/>
        <v/>
      </c>
      <c r="AK33" s="2" t="str">
        <f t="shared" si="21"/>
        <v/>
      </c>
      <c r="AL33" s="2" t="str">
        <f t="shared" si="22"/>
        <v/>
      </c>
      <c r="AM33" s="2" t="str">
        <f t="shared" si="23"/>
        <v/>
      </c>
      <c r="AN33" s="2" t="str">
        <f t="shared" si="24"/>
        <v/>
      </c>
      <c r="AP33" s="2" t="str" cm="1">
        <f t="array" ref="AP33">IF('NILAI CPL'!$B33&lt;&gt;"",IFERROR(_xlfn.IFS(S33&gt;='NILAI CPL'!$B$3,4,S33&gt;='NILAI CPL'!$B$4,3,S33&gt;='NILAI CPL'!$B$5,2,S33&gt;'NILAI CPL'!$B$6,1),0),"")</f>
        <v/>
      </c>
      <c r="AQ33" s="2" t="str" cm="1">
        <f t="array" ref="AQ33">IF('NILAI CPL'!$B33&lt;&gt;"",IFERROR(_xlfn.IFS(T33&gt;='NILAI CPL'!$B$3,4,T33&gt;='NILAI CPL'!$B$4,3,T33&gt;='NILAI CPL'!$B$5,2,T33&gt;'NILAI CPL'!$B$6,1),0),"")</f>
        <v/>
      </c>
      <c r="AR33" s="2" t="str" cm="1">
        <f t="array" ref="AR33">IF('NILAI CPL'!$B33&lt;&gt;"",IFERROR(_xlfn.IFS(U33&gt;='NILAI CPL'!$B$3,4,U33&gt;='NILAI CPL'!$B$4,3,U33&gt;='NILAI CPL'!$B$5,2,U33&gt;'NILAI CPL'!$B$6,1),0),"")</f>
        <v/>
      </c>
      <c r="AS33" s="2" t="str" cm="1">
        <f t="array" ref="AS33">IF('NILAI CPL'!$B33&lt;&gt;"",IFERROR(_xlfn.IFS(V33&gt;='NILAI CPL'!$B$3,4,V33&gt;='NILAI CPL'!$B$4,3,V33&gt;='NILAI CPL'!$B$5,2,V33&gt;'NILAI CPL'!$B$6,1),0),"")</f>
        <v/>
      </c>
      <c r="AT33" s="2" t="str" cm="1">
        <f t="array" ref="AT33">IF('NILAI CPL'!$B33&lt;&gt;"",IFERROR(_xlfn.IFS(W33&gt;='NILAI CPL'!$B$3,4,W33&gt;='NILAI CPL'!$B$4,3,W33&gt;='NILAI CPL'!$B$5,2,W33&gt;'NILAI CPL'!$B$6,1),0),"")</f>
        <v/>
      </c>
      <c r="AU33" s="2" t="str" cm="1">
        <f t="array" ref="AU33">IF('NILAI CPL'!$B33&lt;&gt;"",IFERROR(_xlfn.IFS(X33&gt;='NILAI CPL'!$B$3,4,X33&gt;='NILAI CPL'!$B$4,3,X33&gt;='NILAI CPL'!$B$5,2,X33&gt;'NILAI CPL'!$B$6,1),0),"")</f>
        <v/>
      </c>
      <c r="AV33" s="2" t="str" cm="1">
        <f t="array" ref="AV33">IF('NILAI CPL'!$B33&lt;&gt;"",IFERROR(_xlfn.IFS(Y33&gt;='NILAI CPL'!$B$3,4,Y33&gt;='NILAI CPL'!$B$4,3,Y33&gt;='NILAI CPL'!$B$5,2,Y33&gt;'NILAI CPL'!$B$6,1),0),"")</f>
        <v/>
      </c>
      <c r="AW33" s="2" t="str" cm="1">
        <f t="array" ref="AW33">IF('NILAI CPL'!$B33&lt;&gt;"",IFERROR(_xlfn.IFS(Z33&gt;='NILAI CPL'!$B$3,4,Z33&gt;='NILAI CPL'!$B$4,3,Z33&gt;='NILAI CPL'!$B$5,2,Z33&gt;'NILAI CPL'!$B$6,1),0),"")</f>
        <v/>
      </c>
      <c r="AX33" s="2" t="str" cm="1">
        <f t="array" ref="AX33">IF('NILAI CPL'!$B33&lt;&gt;"",IFERROR(_xlfn.IFS(AA33&gt;='NILAI CPL'!$B$3,4,AA33&gt;='NILAI CPL'!$B$4,3,AA33&gt;='NILAI CPL'!$B$5,2,AA33&gt;'NILAI CPL'!$B$6,1),0),"")</f>
        <v/>
      </c>
      <c r="AY33" s="2" t="str" cm="1">
        <f t="array" ref="AY33">IF('NILAI CPL'!$B33&lt;&gt;"",IFERROR(_xlfn.IFS(AB33&gt;='NILAI CPL'!$B$3,4,AB33&gt;='NILAI CPL'!$B$4,3,AB33&gt;='NILAI CPL'!$B$5,2,AB33&gt;'NILAI CPL'!$B$6,1),0),"")</f>
        <v/>
      </c>
      <c r="AZ33" s="2" t="str" cm="1">
        <f t="array" ref="AZ33">IF('NILAI CPL'!$B33&lt;&gt;"",IFERROR(_xlfn.IFS(AC33&gt;='NILAI CPL'!$B$3,4,AC33&gt;='NILAI CPL'!$B$4,3,AC33&gt;='NILAI CPL'!$B$5,2,AC33&gt;'NILAI CPL'!$B$6,1),0),"")</f>
        <v/>
      </c>
      <c r="BA33" s="2" t="str" cm="1">
        <f t="array" ref="BA33">IF('NILAI CPL'!$B33&lt;&gt;"",IFERROR(_xlfn.IFS(AD33&gt;='NILAI CPL'!$B$3,4,AD33&gt;='NILAI CPL'!$B$4,3,AD33&gt;='NILAI CPL'!$B$5,2,AD33&gt;'NILAI CPL'!$B$6,1),0),"")</f>
        <v/>
      </c>
      <c r="BB33" s="2" t="str" cm="1">
        <f t="array" ref="BB33">IF('NILAI CPL'!$B33&lt;&gt;"",IFERROR(_xlfn.IFS(AE33&gt;='NILAI CPL'!$B$3,4,AE33&gt;='NILAI CPL'!$B$4,3,AE33&gt;='NILAI CPL'!$B$5,2,AE33&gt;'NILAI CPL'!$B$6,1),0),"")</f>
        <v/>
      </c>
      <c r="BC33" s="2" t="str" cm="1">
        <f t="array" ref="BC33">IF('NILAI CPL'!$B33&lt;&gt;"",IFERROR(_xlfn.IFS(AF33&gt;='NILAI CPL'!$B$3,4,AF33&gt;='NILAI CPL'!$B$4,3,AF33&gt;='NILAI CPL'!$B$5,2,AF33&gt;'NILAI CPL'!$B$6,1),0),"")</f>
        <v/>
      </c>
      <c r="BD33" s="2" t="str" cm="1">
        <f t="array" ref="BD33">IF('NILAI CPL'!$B33&lt;&gt;"",IFERROR(_xlfn.IFS(AG33&gt;='NILAI CPL'!$B$3,4,AG33&gt;='NILAI CPL'!$B$4,3,AG33&gt;='NILAI CPL'!$B$5,2,AG33&gt;'NILAI CPL'!$B$6,1),0),"")</f>
        <v/>
      </c>
      <c r="BE33" s="2" t="str" cm="1">
        <f t="array" ref="BE33">IF('NILAI CPL'!$B33&lt;&gt;"",IFERROR(_xlfn.IFS(AH33&gt;='NILAI CPL'!$B$3,4,AH33&gt;='NILAI CPL'!$B$4,3,AH33&gt;='NILAI CPL'!$B$5,2,AH33&gt;'NILAI CPL'!$B$6,1),0),"")</f>
        <v/>
      </c>
      <c r="BF33" s="2" t="str" cm="1">
        <f t="array" ref="BF33">IF('NILAI CPL'!$B33&lt;&gt;"",IFERROR(_xlfn.IFS(AI33&gt;='NILAI CPL'!$B$3,4,AI33&gt;='NILAI CPL'!$B$4,3,AI33&gt;='NILAI CPL'!$B$5,2,AI33&gt;'NILAI CPL'!$B$6,1),0),"")</f>
        <v/>
      </c>
      <c r="BG33" s="2" t="str" cm="1">
        <f t="array" ref="BG33">IF('NILAI CPL'!$B33&lt;&gt;"",IFERROR(_xlfn.IFS(AJ33&gt;='NILAI CPL'!$B$3,4,AJ33&gt;='NILAI CPL'!$B$4,3,AJ33&gt;='NILAI CPL'!$B$5,2,AJ33&gt;'NILAI CPL'!$B$6,1),0),"")</f>
        <v/>
      </c>
      <c r="BH33" s="2" t="str" cm="1">
        <f t="array" ref="BH33">IF('NILAI CPL'!$B33&lt;&gt;"",IFERROR(_xlfn.IFS(AK33&gt;='NILAI CPL'!$B$3,4,AK33&gt;='NILAI CPL'!$B$4,3,AK33&gt;='NILAI CPL'!$B$5,2,AK33&gt;'NILAI CPL'!$B$6,1),0),"")</f>
        <v/>
      </c>
      <c r="BI33" s="2" t="str" cm="1">
        <f t="array" ref="BI33">IF('NILAI CPL'!$B33&lt;&gt;"",IFERROR(_xlfn.IFS(AL33&gt;='NILAI CPL'!$B$3,4,AL33&gt;='NILAI CPL'!$B$4,3,AL33&gt;='NILAI CPL'!$B$5,2,AL33&gt;'NILAI CPL'!$B$6,1),0),"")</f>
        <v/>
      </c>
      <c r="BJ33" s="2" t="str" cm="1">
        <f t="array" ref="BJ33">IF('NILAI CPL'!$B33&lt;&gt;"",IFERROR(_xlfn.IFS(AM33&gt;='NILAI CPL'!$B$3,4,AM33&gt;='NILAI CPL'!$B$4,3,AM33&gt;='NILAI CPL'!$B$5,2,AM33&gt;'NILAI CPL'!$B$6,1),0),"")</f>
        <v/>
      </c>
      <c r="BK33" s="2" t="str" cm="1">
        <f t="array" ref="BK33">IF('NILAI CPL'!$B33&lt;&gt;"",IFERROR(_xlfn.IFS(AN33&gt;='NILAI CPL'!$B$3,4,AN33&gt;='NILAI CPL'!$B$4,3,AN33&gt;='NILAI CPL'!$B$5,2,AN33&gt;'NILAI CPL'!$B$6,1),0),"")</f>
        <v/>
      </c>
    </row>
    <row r="34" spans="1:63" x14ac:dyDescent="0.2">
      <c r="A34" s="2">
        <v>24</v>
      </c>
      <c r="B34" s="2" t="str">
        <f>IF(LEN(SUMMARY!B34)&gt;0, SUMMARY!B34, "")</f>
        <v/>
      </c>
      <c r="C34" s="2" t="str">
        <f>IF(LEN(SUMMARY!C34)&gt;0, SUMMARY!C34, "")</f>
        <v/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" t="str">
        <f t="shared" si="2"/>
        <v/>
      </c>
      <c r="S34" s="2" t="str">
        <f t="shared" si="3"/>
        <v/>
      </c>
      <c r="T34" s="2" t="str">
        <f t="shared" si="4"/>
        <v/>
      </c>
      <c r="U34" s="2" t="str">
        <f t="shared" si="5"/>
        <v/>
      </c>
      <c r="V34" s="2" t="str">
        <f t="shared" si="6"/>
        <v/>
      </c>
      <c r="W34" s="2" t="str">
        <f t="shared" si="7"/>
        <v/>
      </c>
      <c r="X34" s="2" t="str">
        <f t="shared" si="8"/>
        <v/>
      </c>
      <c r="Y34" s="2" t="str">
        <f t="shared" si="9"/>
        <v/>
      </c>
      <c r="Z34" s="2" t="str">
        <f t="shared" si="10"/>
        <v/>
      </c>
      <c r="AA34" s="2" t="str">
        <f t="shared" si="11"/>
        <v/>
      </c>
      <c r="AB34" s="2" t="str">
        <f t="shared" si="12"/>
        <v/>
      </c>
      <c r="AC34" s="2" t="str">
        <f t="shared" si="13"/>
        <v/>
      </c>
      <c r="AD34" s="2" t="str">
        <f t="shared" si="14"/>
        <v/>
      </c>
      <c r="AE34" s="2" t="str">
        <f t="shared" si="15"/>
        <v/>
      </c>
      <c r="AF34" s="2" t="str">
        <f t="shared" si="16"/>
        <v/>
      </c>
      <c r="AG34" s="2" t="str">
        <f t="shared" si="17"/>
        <v/>
      </c>
      <c r="AH34" s="2" t="str">
        <f t="shared" si="18"/>
        <v/>
      </c>
      <c r="AI34" s="2" t="str">
        <f t="shared" si="19"/>
        <v/>
      </c>
      <c r="AJ34" s="2" t="str">
        <f t="shared" si="20"/>
        <v/>
      </c>
      <c r="AK34" s="2" t="str">
        <f t="shared" si="21"/>
        <v/>
      </c>
      <c r="AL34" s="2" t="str">
        <f t="shared" si="22"/>
        <v/>
      </c>
      <c r="AM34" s="2" t="str">
        <f t="shared" si="23"/>
        <v/>
      </c>
      <c r="AN34" s="2" t="str">
        <f t="shared" si="24"/>
        <v/>
      </c>
      <c r="AP34" s="2" t="str" cm="1">
        <f t="array" ref="AP34">IF('NILAI CPL'!$B34&lt;&gt;"",IFERROR(_xlfn.IFS(S34&gt;='NILAI CPL'!$B$3,4,S34&gt;='NILAI CPL'!$B$4,3,S34&gt;='NILAI CPL'!$B$5,2,S34&gt;'NILAI CPL'!$B$6,1),0),"")</f>
        <v/>
      </c>
      <c r="AQ34" s="2" t="str" cm="1">
        <f t="array" ref="AQ34">IF('NILAI CPL'!$B34&lt;&gt;"",IFERROR(_xlfn.IFS(T34&gt;='NILAI CPL'!$B$3,4,T34&gt;='NILAI CPL'!$B$4,3,T34&gt;='NILAI CPL'!$B$5,2,T34&gt;'NILAI CPL'!$B$6,1),0),"")</f>
        <v/>
      </c>
      <c r="AR34" s="2" t="str" cm="1">
        <f t="array" ref="AR34">IF('NILAI CPL'!$B34&lt;&gt;"",IFERROR(_xlfn.IFS(U34&gt;='NILAI CPL'!$B$3,4,U34&gt;='NILAI CPL'!$B$4,3,U34&gt;='NILAI CPL'!$B$5,2,U34&gt;'NILAI CPL'!$B$6,1),0),"")</f>
        <v/>
      </c>
      <c r="AS34" s="2" t="str" cm="1">
        <f t="array" ref="AS34">IF('NILAI CPL'!$B34&lt;&gt;"",IFERROR(_xlfn.IFS(V34&gt;='NILAI CPL'!$B$3,4,V34&gt;='NILAI CPL'!$B$4,3,V34&gt;='NILAI CPL'!$B$5,2,V34&gt;'NILAI CPL'!$B$6,1),0),"")</f>
        <v/>
      </c>
      <c r="AT34" s="2" t="str" cm="1">
        <f t="array" ref="AT34">IF('NILAI CPL'!$B34&lt;&gt;"",IFERROR(_xlfn.IFS(W34&gt;='NILAI CPL'!$B$3,4,W34&gt;='NILAI CPL'!$B$4,3,W34&gt;='NILAI CPL'!$B$5,2,W34&gt;'NILAI CPL'!$B$6,1),0),"")</f>
        <v/>
      </c>
      <c r="AU34" s="2" t="str" cm="1">
        <f t="array" ref="AU34">IF('NILAI CPL'!$B34&lt;&gt;"",IFERROR(_xlfn.IFS(X34&gt;='NILAI CPL'!$B$3,4,X34&gt;='NILAI CPL'!$B$4,3,X34&gt;='NILAI CPL'!$B$5,2,X34&gt;'NILAI CPL'!$B$6,1),0),"")</f>
        <v/>
      </c>
      <c r="AV34" s="2" t="str" cm="1">
        <f t="array" ref="AV34">IF('NILAI CPL'!$B34&lt;&gt;"",IFERROR(_xlfn.IFS(Y34&gt;='NILAI CPL'!$B$3,4,Y34&gt;='NILAI CPL'!$B$4,3,Y34&gt;='NILAI CPL'!$B$5,2,Y34&gt;'NILAI CPL'!$B$6,1),0),"")</f>
        <v/>
      </c>
      <c r="AW34" s="2" t="str" cm="1">
        <f t="array" ref="AW34">IF('NILAI CPL'!$B34&lt;&gt;"",IFERROR(_xlfn.IFS(Z34&gt;='NILAI CPL'!$B$3,4,Z34&gt;='NILAI CPL'!$B$4,3,Z34&gt;='NILAI CPL'!$B$5,2,Z34&gt;'NILAI CPL'!$B$6,1),0),"")</f>
        <v/>
      </c>
      <c r="AX34" s="2" t="str" cm="1">
        <f t="array" ref="AX34">IF('NILAI CPL'!$B34&lt;&gt;"",IFERROR(_xlfn.IFS(AA34&gt;='NILAI CPL'!$B$3,4,AA34&gt;='NILAI CPL'!$B$4,3,AA34&gt;='NILAI CPL'!$B$5,2,AA34&gt;'NILAI CPL'!$B$6,1),0),"")</f>
        <v/>
      </c>
      <c r="AY34" s="2" t="str" cm="1">
        <f t="array" ref="AY34">IF('NILAI CPL'!$B34&lt;&gt;"",IFERROR(_xlfn.IFS(AB34&gt;='NILAI CPL'!$B$3,4,AB34&gt;='NILAI CPL'!$B$4,3,AB34&gt;='NILAI CPL'!$B$5,2,AB34&gt;'NILAI CPL'!$B$6,1),0),"")</f>
        <v/>
      </c>
      <c r="AZ34" s="2" t="str" cm="1">
        <f t="array" ref="AZ34">IF('NILAI CPL'!$B34&lt;&gt;"",IFERROR(_xlfn.IFS(AC34&gt;='NILAI CPL'!$B$3,4,AC34&gt;='NILAI CPL'!$B$4,3,AC34&gt;='NILAI CPL'!$B$5,2,AC34&gt;'NILAI CPL'!$B$6,1),0),"")</f>
        <v/>
      </c>
      <c r="BA34" s="2" t="str" cm="1">
        <f t="array" ref="BA34">IF('NILAI CPL'!$B34&lt;&gt;"",IFERROR(_xlfn.IFS(AD34&gt;='NILAI CPL'!$B$3,4,AD34&gt;='NILAI CPL'!$B$4,3,AD34&gt;='NILAI CPL'!$B$5,2,AD34&gt;'NILAI CPL'!$B$6,1),0),"")</f>
        <v/>
      </c>
      <c r="BB34" s="2" t="str" cm="1">
        <f t="array" ref="BB34">IF('NILAI CPL'!$B34&lt;&gt;"",IFERROR(_xlfn.IFS(AE34&gt;='NILAI CPL'!$B$3,4,AE34&gt;='NILAI CPL'!$B$4,3,AE34&gt;='NILAI CPL'!$B$5,2,AE34&gt;'NILAI CPL'!$B$6,1),0),"")</f>
        <v/>
      </c>
      <c r="BC34" s="2" t="str" cm="1">
        <f t="array" ref="BC34">IF('NILAI CPL'!$B34&lt;&gt;"",IFERROR(_xlfn.IFS(AF34&gt;='NILAI CPL'!$B$3,4,AF34&gt;='NILAI CPL'!$B$4,3,AF34&gt;='NILAI CPL'!$B$5,2,AF34&gt;'NILAI CPL'!$B$6,1),0),"")</f>
        <v/>
      </c>
      <c r="BD34" s="2" t="str" cm="1">
        <f t="array" ref="BD34">IF('NILAI CPL'!$B34&lt;&gt;"",IFERROR(_xlfn.IFS(AG34&gt;='NILAI CPL'!$B$3,4,AG34&gt;='NILAI CPL'!$B$4,3,AG34&gt;='NILAI CPL'!$B$5,2,AG34&gt;'NILAI CPL'!$B$6,1),0),"")</f>
        <v/>
      </c>
      <c r="BE34" s="2" t="str" cm="1">
        <f t="array" ref="BE34">IF('NILAI CPL'!$B34&lt;&gt;"",IFERROR(_xlfn.IFS(AH34&gt;='NILAI CPL'!$B$3,4,AH34&gt;='NILAI CPL'!$B$4,3,AH34&gt;='NILAI CPL'!$B$5,2,AH34&gt;'NILAI CPL'!$B$6,1),0),"")</f>
        <v/>
      </c>
      <c r="BF34" s="2" t="str" cm="1">
        <f t="array" ref="BF34">IF('NILAI CPL'!$B34&lt;&gt;"",IFERROR(_xlfn.IFS(AI34&gt;='NILAI CPL'!$B$3,4,AI34&gt;='NILAI CPL'!$B$4,3,AI34&gt;='NILAI CPL'!$B$5,2,AI34&gt;'NILAI CPL'!$B$6,1),0),"")</f>
        <v/>
      </c>
      <c r="BG34" s="2" t="str" cm="1">
        <f t="array" ref="BG34">IF('NILAI CPL'!$B34&lt;&gt;"",IFERROR(_xlfn.IFS(AJ34&gt;='NILAI CPL'!$B$3,4,AJ34&gt;='NILAI CPL'!$B$4,3,AJ34&gt;='NILAI CPL'!$B$5,2,AJ34&gt;'NILAI CPL'!$B$6,1),0),"")</f>
        <v/>
      </c>
      <c r="BH34" s="2" t="str" cm="1">
        <f t="array" ref="BH34">IF('NILAI CPL'!$B34&lt;&gt;"",IFERROR(_xlfn.IFS(AK34&gt;='NILAI CPL'!$B$3,4,AK34&gt;='NILAI CPL'!$B$4,3,AK34&gt;='NILAI CPL'!$B$5,2,AK34&gt;'NILAI CPL'!$B$6,1),0),"")</f>
        <v/>
      </c>
      <c r="BI34" s="2" t="str" cm="1">
        <f t="array" ref="BI34">IF('NILAI CPL'!$B34&lt;&gt;"",IFERROR(_xlfn.IFS(AL34&gt;='NILAI CPL'!$B$3,4,AL34&gt;='NILAI CPL'!$B$4,3,AL34&gt;='NILAI CPL'!$B$5,2,AL34&gt;'NILAI CPL'!$B$6,1),0),"")</f>
        <v/>
      </c>
      <c r="BJ34" s="2" t="str" cm="1">
        <f t="array" ref="BJ34">IF('NILAI CPL'!$B34&lt;&gt;"",IFERROR(_xlfn.IFS(AM34&gt;='NILAI CPL'!$B$3,4,AM34&gt;='NILAI CPL'!$B$4,3,AM34&gt;='NILAI CPL'!$B$5,2,AM34&gt;'NILAI CPL'!$B$6,1),0),"")</f>
        <v/>
      </c>
      <c r="BK34" s="2" t="str" cm="1">
        <f t="array" ref="BK34">IF('NILAI CPL'!$B34&lt;&gt;"",IFERROR(_xlfn.IFS(AN34&gt;='NILAI CPL'!$B$3,4,AN34&gt;='NILAI CPL'!$B$4,3,AN34&gt;='NILAI CPL'!$B$5,2,AN34&gt;'NILAI CPL'!$B$6,1),0),"")</f>
        <v/>
      </c>
    </row>
    <row r="35" spans="1:63" x14ac:dyDescent="0.2">
      <c r="A35" s="2">
        <v>25</v>
      </c>
      <c r="B35" s="2" t="str">
        <f>IF(LEN(SUMMARY!B35)&gt;0, SUMMARY!B35, "")</f>
        <v/>
      </c>
      <c r="C35" s="2" t="str">
        <f>IF(LEN(SUMMARY!C35)&gt;0, SUMMARY!C35, "")</f>
        <v/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" t="str">
        <f t="shared" si="2"/>
        <v/>
      </c>
      <c r="S35" s="2" t="str">
        <f t="shared" si="3"/>
        <v/>
      </c>
      <c r="T35" s="2" t="str">
        <f t="shared" si="4"/>
        <v/>
      </c>
      <c r="U35" s="2" t="str">
        <f t="shared" si="5"/>
        <v/>
      </c>
      <c r="V35" s="2" t="str">
        <f t="shared" si="6"/>
        <v/>
      </c>
      <c r="W35" s="2" t="str">
        <f t="shared" si="7"/>
        <v/>
      </c>
      <c r="X35" s="2" t="str">
        <f t="shared" si="8"/>
        <v/>
      </c>
      <c r="Y35" s="2" t="str">
        <f t="shared" si="9"/>
        <v/>
      </c>
      <c r="Z35" s="2" t="str">
        <f t="shared" si="10"/>
        <v/>
      </c>
      <c r="AA35" s="2" t="str">
        <f t="shared" si="11"/>
        <v/>
      </c>
      <c r="AB35" s="2" t="str">
        <f t="shared" si="12"/>
        <v/>
      </c>
      <c r="AC35" s="2" t="str">
        <f t="shared" si="13"/>
        <v/>
      </c>
      <c r="AD35" s="2" t="str">
        <f t="shared" si="14"/>
        <v/>
      </c>
      <c r="AE35" s="2" t="str">
        <f t="shared" si="15"/>
        <v/>
      </c>
      <c r="AF35" s="2" t="str">
        <f t="shared" si="16"/>
        <v/>
      </c>
      <c r="AG35" s="2" t="str">
        <f t="shared" si="17"/>
        <v/>
      </c>
      <c r="AH35" s="2" t="str">
        <f t="shared" si="18"/>
        <v/>
      </c>
      <c r="AI35" s="2" t="str">
        <f t="shared" si="19"/>
        <v/>
      </c>
      <c r="AJ35" s="2" t="str">
        <f t="shared" si="20"/>
        <v/>
      </c>
      <c r="AK35" s="2" t="str">
        <f t="shared" si="21"/>
        <v/>
      </c>
      <c r="AL35" s="2" t="str">
        <f t="shared" si="22"/>
        <v/>
      </c>
      <c r="AM35" s="2" t="str">
        <f t="shared" si="23"/>
        <v/>
      </c>
      <c r="AN35" s="2" t="str">
        <f t="shared" si="24"/>
        <v/>
      </c>
      <c r="AP35" s="2" t="str" cm="1">
        <f t="array" ref="AP35">IF('NILAI CPL'!$B35&lt;&gt;"",IFERROR(_xlfn.IFS(S35&gt;='NILAI CPL'!$B$3,4,S35&gt;='NILAI CPL'!$B$4,3,S35&gt;='NILAI CPL'!$B$5,2,S35&gt;'NILAI CPL'!$B$6,1),0),"")</f>
        <v/>
      </c>
      <c r="AQ35" s="2" t="str" cm="1">
        <f t="array" ref="AQ35">IF('NILAI CPL'!$B35&lt;&gt;"",IFERROR(_xlfn.IFS(T35&gt;='NILAI CPL'!$B$3,4,T35&gt;='NILAI CPL'!$B$4,3,T35&gt;='NILAI CPL'!$B$5,2,T35&gt;'NILAI CPL'!$B$6,1),0),"")</f>
        <v/>
      </c>
      <c r="AR35" s="2" t="str" cm="1">
        <f t="array" ref="AR35">IF('NILAI CPL'!$B35&lt;&gt;"",IFERROR(_xlfn.IFS(U35&gt;='NILAI CPL'!$B$3,4,U35&gt;='NILAI CPL'!$B$4,3,U35&gt;='NILAI CPL'!$B$5,2,U35&gt;'NILAI CPL'!$B$6,1),0),"")</f>
        <v/>
      </c>
      <c r="AS35" s="2" t="str" cm="1">
        <f t="array" ref="AS35">IF('NILAI CPL'!$B35&lt;&gt;"",IFERROR(_xlfn.IFS(V35&gt;='NILAI CPL'!$B$3,4,V35&gt;='NILAI CPL'!$B$4,3,V35&gt;='NILAI CPL'!$B$5,2,V35&gt;'NILAI CPL'!$B$6,1),0),"")</f>
        <v/>
      </c>
      <c r="AT35" s="2" t="str" cm="1">
        <f t="array" ref="AT35">IF('NILAI CPL'!$B35&lt;&gt;"",IFERROR(_xlfn.IFS(W35&gt;='NILAI CPL'!$B$3,4,W35&gt;='NILAI CPL'!$B$4,3,W35&gt;='NILAI CPL'!$B$5,2,W35&gt;'NILAI CPL'!$B$6,1),0),"")</f>
        <v/>
      </c>
      <c r="AU35" s="2" t="str" cm="1">
        <f t="array" ref="AU35">IF('NILAI CPL'!$B35&lt;&gt;"",IFERROR(_xlfn.IFS(X35&gt;='NILAI CPL'!$B$3,4,X35&gt;='NILAI CPL'!$B$4,3,X35&gt;='NILAI CPL'!$B$5,2,X35&gt;'NILAI CPL'!$B$6,1),0),"")</f>
        <v/>
      </c>
      <c r="AV35" s="2" t="str" cm="1">
        <f t="array" ref="AV35">IF('NILAI CPL'!$B35&lt;&gt;"",IFERROR(_xlfn.IFS(Y35&gt;='NILAI CPL'!$B$3,4,Y35&gt;='NILAI CPL'!$B$4,3,Y35&gt;='NILAI CPL'!$B$5,2,Y35&gt;'NILAI CPL'!$B$6,1),0),"")</f>
        <v/>
      </c>
      <c r="AW35" s="2" t="str" cm="1">
        <f t="array" ref="AW35">IF('NILAI CPL'!$B35&lt;&gt;"",IFERROR(_xlfn.IFS(Z35&gt;='NILAI CPL'!$B$3,4,Z35&gt;='NILAI CPL'!$B$4,3,Z35&gt;='NILAI CPL'!$B$5,2,Z35&gt;'NILAI CPL'!$B$6,1),0),"")</f>
        <v/>
      </c>
      <c r="AX35" s="2" t="str" cm="1">
        <f t="array" ref="AX35">IF('NILAI CPL'!$B35&lt;&gt;"",IFERROR(_xlfn.IFS(AA35&gt;='NILAI CPL'!$B$3,4,AA35&gt;='NILAI CPL'!$B$4,3,AA35&gt;='NILAI CPL'!$B$5,2,AA35&gt;'NILAI CPL'!$B$6,1),0),"")</f>
        <v/>
      </c>
      <c r="AY35" s="2" t="str" cm="1">
        <f t="array" ref="AY35">IF('NILAI CPL'!$B35&lt;&gt;"",IFERROR(_xlfn.IFS(AB35&gt;='NILAI CPL'!$B$3,4,AB35&gt;='NILAI CPL'!$B$4,3,AB35&gt;='NILAI CPL'!$B$5,2,AB35&gt;'NILAI CPL'!$B$6,1),0),"")</f>
        <v/>
      </c>
      <c r="AZ35" s="2" t="str" cm="1">
        <f t="array" ref="AZ35">IF('NILAI CPL'!$B35&lt;&gt;"",IFERROR(_xlfn.IFS(AC35&gt;='NILAI CPL'!$B$3,4,AC35&gt;='NILAI CPL'!$B$4,3,AC35&gt;='NILAI CPL'!$B$5,2,AC35&gt;'NILAI CPL'!$B$6,1),0),"")</f>
        <v/>
      </c>
      <c r="BA35" s="2" t="str" cm="1">
        <f t="array" ref="BA35">IF('NILAI CPL'!$B35&lt;&gt;"",IFERROR(_xlfn.IFS(AD35&gt;='NILAI CPL'!$B$3,4,AD35&gt;='NILAI CPL'!$B$4,3,AD35&gt;='NILAI CPL'!$B$5,2,AD35&gt;'NILAI CPL'!$B$6,1),0),"")</f>
        <v/>
      </c>
      <c r="BB35" s="2" t="str" cm="1">
        <f t="array" ref="BB35">IF('NILAI CPL'!$B35&lt;&gt;"",IFERROR(_xlfn.IFS(AE35&gt;='NILAI CPL'!$B$3,4,AE35&gt;='NILAI CPL'!$B$4,3,AE35&gt;='NILAI CPL'!$B$5,2,AE35&gt;'NILAI CPL'!$B$6,1),0),"")</f>
        <v/>
      </c>
      <c r="BC35" s="2" t="str" cm="1">
        <f t="array" ref="BC35">IF('NILAI CPL'!$B35&lt;&gt;"",IFERROR(_xlfn.IFS(AF35&gt;='NILAI CPL'!$B$3,4,AF35&gt;='NILAI CPL'!$B$4,3,AF35&gt;='NILAI CPL'!$B$5,2,AF35&gt;'NILAI CPL'!$B$6,1),0),"")</f>
        <v/>
      </c>
      <c r="BD35" s="2" t="str" cm="1">
        <f t="array" ref="BD35">IF('NILAI CPL'!$B35&lt;&gt;"",IFERROR(_xlfn.IFS(AG35&gt;='NILAI CPL'!$B$3,4,AG35&gt;='NILAI CPL'!$B$4,3,AG35&gt;='NILAI CPL'!$B$5,2,AG35&gt;'NILAI CPL'!$B$6,1),0),"")</f>
        <v/>
      </c>
      <c r="BE35" s="2" t="str" cm="1">
        <f t="array" ref="BE35">IF('NILAI CPL'!$B35&lt;&gt;"",IFERROR(_xlfn.IFS(AH35&gt;='NILAI CPL'!$B$3,4,AH35&gt;='NILAI CPL'!$B$4,3,AH35&gt;='NILAI CPL'!$B$5,2,AH35&gt;'NILAI CPL'!$B$6,1),0),"")</f>
        <v/>
      </c>
      <c r="BF35" s="2" t="str" cm="1">
        <f t="array" ref="BF35">IF('NILAI CPL'!$B35&lt;&gt;"",IFERROR(_xlfn.IFS(AI35&gt;='NILAI CPL'!$B$3,4,AI35&gt;='NILAI CPL'!$B$4,3,AI35&gt;='NILAI CPL'!$B$5,2,AI35&gt;'NILAI CPL'!$B$6,1),0),"")</f>
        <v/>
      </c>
      <c r="BG35" s="2" t="str" cm="1">
        <f t="array" ref="BG35">IF('NILAI CPL'!$B35&lt;&gt;"",IFERROR(_xlfn.IFS(AJ35&gt;='NILAI CPL'!$B$3,4,AJ35&gt;='NILAI CPL'!$B$4,3,AJ35&gt;='NILAI CPL'!$B$5,2,AJ35&gt;'NILAI CPL'!$B$6,1),0),"")</f>
        <v/>
      </c>
      <c r="BH35" s="2" t="str" cm="1">
        <f t="array" ref="BH35">IF('NILAI CPL'!$B35&lt;&gt;"",IFERROR(_xlfn.IFS(AK35&gt;='NILAI CPL'!$B$3,4,AK35&gt;='NILAI CPL'!$B$4,3,AK35&gt;='NILAI CPL'!$B$5,2,AK35&gt;'NILAI CPL'!$B$6,1),0),"")</f>
        <v/>
      </c>
      <c r="BI35" s="2" t="str" cm="1">
        <f t="array" ref="BI35">IF('NILAI CPL'!$B35&lt;&gt;"",IFERROR(_xlfn.IFS(AL35&gt;='NILAI CPL'!$B$3,4,AL35&gt;='NILAI CPL'!$B$4,3,AL35&gt;='NILAI CPL'!$B$5,2,AL35&gt;'NILAI CPL'!$B$6,1),0),"")</f>
        <v/>
      </c>
      <c r="BJ35" s="2" t="str" cm="1">
        <f t="array" ref="BJ35">IF('NILAI CPL'!$B35&lt;&gt;"",IFERROR(_xlfn.IFS(AM35&gt;='NILAI CPL'!$B$3,4,AM35&gt;='NILAI CPL'!$B$4,3,AM35&gt;='NILAI CPL'!$B$5,2,AM35&gt;'NILAI CPL'!$B$6,1),0),"")</f>
        <v/>
      </c>
      <c r="BK35" s="2" t="str" cm="1">
        <f t="array" ref="BK35">IF('NILAI CPL'!$B35&lt;&gt;"",IFERROR(_xlfn.IFS(AN35&gt;='NILAI CPL'!$B$3,4,AN35&gt;='NILAI CPL'!$B$4,3,AN35&gt;='NILAI CPL'!$B$5,2,AN35&gt;'NILAI CPL'!$B$6,1),0),"")</f>
        <v/>
      </c>
    </row>
    <row r="36" spans="1:63" x14ac:dyDescent="0.2">
      <c r="A36" s="2">
        <v>26</v>
      </c>
      <c r="B36" s="2" t="str">
        <f>IF(LEN(SUMMARY!B36)&gt;0, SUMMARY!B36, "")</f>
        <v/>
      </c>
      <c r="C36" s="2" t="str">
        <f>IF(LEN(SUMMARY!C36)&gt;0, SUMMARY!C36, "")</f>
        <v/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" t="str">
        <f t="shared" si="2"/>
        <v/>
      </c>
      <c r="S36" s="2" t="str">
        <f t="shared" si="3"/>
        <v/>
      </c>
      <c r="T36" s="2" t="str">
        <f t="shared" si="4"/>
        <v/>
      </c>
      <c r="U36" s="2" t="str">
        <f t="shared" si="5"/>
        <v/>
      </c>
      <c r="V36" s="2" t="str">
        <f t="shared" si="6"/>
        <v/>
      </c>
      <c r="W36" s="2" t="str">
        <f t="shared" si="7"/>
        <v/>
      </c>
      <c r="X36" s="2" t="str">
        <f t="shared" si="8"/>
        <v/>
      </c>
      <c r="Y36" s="2" t="str">
        <f t="shared" si="9"/>
        <v/>
      </c>
      <c r="Z36" s="2" t="str">
        <f t="shared" si="10"/>
        <v/>
      </c>
      <c r="AA36" s="2" t="str">
        <f t="shared" si="11"/>
        <v/>
      </c>
      <c r="AB36" s="2" t="str">
        <f t="shared" si="12"/>
        <v/>
      </c>
      <c r="AC36" s="2" t="str">
        <f t="shared" si="13"/>
        <v/>
      </c>
      <c r="AD36" s="2" t="str">
        <f t="shared" si="14"/>
        <v/>
      </c>
      <c r="AE36" s="2" t="str">
        <f t="shared" si="15"/>
        <v/>
      </c>
      <c r="AF36" s="2" t="str">
        <f t="shared" si="16"/>
        <v/>
      </c>
      <c r="AG36" s="2" t="str">
        <f t="shared" si="17"/>
        <v/>
      </c>
      <c r="AH36" s="2" t="str">
        <f t="shared" si="18"/>
        <v/>
      </c>
      <c r="AI36" s="2" t="str">
        <f t="shared" si="19"/>
        <v/>
      </c>
      <c r="AJ36" s="2" t="str">
        <f t="shared" si="20"/>
        <v/>
      </c>
      <c r="AK36" s="2" t="str">
        <f t="shared" si="21"/>
        <v/>
      </c>
      <c r="AL36" s="2" t="str">
        <f t="shared" si="22"/>
        <v/>
      </c>
      <c r="AM36" s="2" t="str">
        <f t="shared" si="23"/>
        <v/>
      </c>
      <c r="AN36" s="2" t="str">
        <f t="shared" si="24"/>
        <v/>
      </c>
      <c r="AP36" s="2" t="str" cm="1">
        <f t="array" ref="AP36">IF('NILAI CPL'!$B36&lt;&gt;"",IFERROR(_xlfn.IFS(S36&gt;='NILAI CPL'!$B$3,4,S36&gt;='NILAI CPL'!$B$4,3,S36&gt;='NILAI CPL'!$B$5,2,S36&gt;'NILAI CPL'!$B$6,1),0),"")</f>
        <v/>
      </c>
      <c r="AQ36" s="2" t="str" cm="1">
        <f t="array" ref="AQ36">IF('NILAI CPL'!$B36&lt;&gt;"",IFERROR(_xlfn.IFS(T36&gt;='NILAI CPL'!$B$3,4,T36&gt;='NILAI CPL'!$B$4,3,T36&gt;='NILAI CPL'!$B$5,2,T36&gt;'NILAI CPL'!$B$6,1),0),"")</f>
        <v/>
      </c>
      <c r="AR36" s="2" t="str" cm="1">
        <f t="array" ref="AR36">IF('NILAI CPL'!$B36&lt;&gt;"",IFERROR(_xlfn.IFS(U36&gt;='NILAI CPL'!$B$3,4,U36&gt;='NILAI CPL'!$B$4,3,U36&gt;='NILAI CPL'!$B$5,2,U36&gt;'NILAI CPL'!$B$6,1),0),"")</f>
        <v/>
      </c>
      <c r="AS36" s="2" t="str" cm="1">
        <f t="array" ref="AS36">IF('NILAI CPL'!$B36&lt;&gt;"",IFERROR(_xlfn.IFS(V36&gt;='NILAI CPL'!$B$3,4,V36&gt;='NILAI CPL'!$B$4,3,V36&gt;='NILAI CPL'!$B$5,2,V36&gt;'NILAI CPL'!$B$6,1),0),"")</f>
        <v/>
      </c>
      <c r="AT36" s="2" t="str" cm="1">
        <f t="array" ref="AT36">IF('NILAI CPL'!$B36&lt;&gt;"",IFERROR(_xlfn.IFS(W36&gt;='NILAI CPL'!$B$3,4,W36&gt;='NILAI CPL'!$B$4,3,W36&gt;='NILAI CPL'!$B$5,2,W36&gt;'NILAI CPL'!$B$6,1),0),"")</f>
        <v/>
      </c>
      <c r="AU36" s="2" t="str" cm="1">
        <f t="array" ref="AU36">IF('NILAI CPL'!$B36&lt;&gt;"",IFERROR(_xlfn.IFS(X36&gt;='NILAI CPL'!$B$3,4,X36&gt;='NILAI CPL'!$B$4,3,X36&gt;='NILAI CPL'!$B$5,2,X36&gt;'NILAI CPL'!$B$6,1),0),"")</f>
        <v/>
      </c>
      <c r="AV36" s="2" t="str" cm="1">
        <f t="array" ref="AV36">IF('NILAI CPL'!$B36&lt;&gt;"",IFERROR(_xlfn.IFS(Y36&gt;='NILAI CPL'!$B$3,4,Y36&gt;='NILAI CPL'!$B$4,3,Y36&gt;='NILAI CPL'!$B$5,2,Y36&gt;'NILAI CPL'!$B$6,1),0),"")</f>
        <v/>
      </c>
      <c r="AW36" s="2" t="str" cm="1">
        <f t="array" ref="AW36">IF('NILAI CPL'!$B36&lt;&gt;"",IFERROR(_xlfn.IFS(Z36&gt;='NILAI CPL'!$B$3,4,Z36&gt;='NILAI CPL'!$B$4,3,Z36&gt;='NILAI CPL'!$B$5,2,Z36&gt;'NILAI CPL'!$B$6,1),0),"")</f>
        <v/>
      </c>
      <c r="AX36" s="2" t="str" cm="1">
        <f t="array" ref="AX36">IF('NILAI CPL'!$B36&lt;&gt;"",IFERROR(_xlfn.IFS(AA36&gt;='NILAI CPL'!$B$3,4,AA36&gt;='NILAI CPL'!$B$4,3,AA36&gt;='NILAI CPL'!$B$5,2,AA36&gt;'NILAI CPL'!$B$6,1),0),"")</f>
        <v/>
      </c>
      <c r="AY36" s="2" t="str" cm="1">
        <f t="array" ref="AY36">IF('NILAI CPL'!$B36&lt;&gt;"",IFERROR(_xlfn.IFS(AB36&gt;='NILAI CPL'!$B$3,4,AB36&gt;='NILAI CPL'!$B$4,3,AB36&gt;='NILAI CPL'!$B$5,2,AB36&gt;'NILAI CPL'!$B$6,1),0),"")</f>
        <v/>
      </c>
      <c r="AZ36" s="2" t="str" cm="1">
        <f t="array" ref="AZ36">IF('NILAI CPL'!$B36&lt;&gt;"",IFERROR(_xlfn.IFS(AC36&gt;='NILAI CPL'!$B$3,4,AC36&gt;='NILAI CPL'!$B$4,3,AC36&gt;='NILAI CPL'!$B$5,2,AC36&gt;'NILAI CPL'!$B$6,1),0),"")</f>
        <v/>
      </c>
      <c r="BA36" s="2" t="str" cm="1">
        <f t="array" ref="BA36">IF('NILAI CPL'!$B36&lt;&gt;"",IFERROR(_xlfn.IFS(AD36&gt;='NILAI CPL'!$B$3,4,AD36&gt;='NILAI CPL'!$B$4,3,AD36&gt;='NILAI CPL'!$B$5,2,AD36&gt;'NILAI CPL'!$B$6,1),0),"")</f>
        <v/>
      </c>
      <c r="BB36" s="2" t="str" cm="1">
        <f t="array" ref="BB36">IF('NILAI CPL'!$B36&lt;&gt;"",IFERROR(_xlfn.IFS(AE36&gt;='NILAI CPL'!$B$3,4,AE36&gt;='NILAI CPL'!$B$4,3,AE36&gt;='NILAI CPL'!$B$5,2,AE36&gt;'NILAI CPL'!$B$6,1),0),"")</f>
        <v/>
      </c>
      <c r="BC36" s="2" t="str" cm="1">
        <f t="array" ref="BC36">IF('NILAI CPL'!$B36&lt;&gt;"",IFERROR(_xlfn.IFS(AF36&gt;='NILAI CPL'!$B$3,4,AF36&gt;='NILAI CPL'!$B$4,3,AF36&gt;='NILAI CPL'!$B$5,2,AF36&gt;'NILAI CPL'!$B$6,1),0),"")</f>
        <v/>
      </c>
      <c r="BD36" s="2" t="str" cm="1">
        <f t="array" ref="BD36">IF('NILAI CPL'!$B36&lt;&gt;"",IFERROR(_xlfn.IFS(AG36&gt;='NILAI CPL'!$B$3,4,AG36&gt;='NILAI CPL'!$B$4,3,AG36&gt;='NILAI CPL'!$B$5,2,AG36&gt;'NILAI CPL'!$B$6,1),0),"")</f>
        <v/>
      </c>
      <c r="BE36" s="2" t="str" cm="1">
        <f t="array" ref="BE36">IF('NILAI CPL'!$B36&lt;&gt;"",IFERROR(_xlfn.IFS(AH36&gt;='NILAI CPL'!$B$3,4,AH36&gt;='NILAI CPL'!$B$4,3,AH36&gt;='NILAI CPL'!$B$5,2,AH36&gt;'NILAI CPL'!$B$6,1),0),"")</f>
        <v/>
      </c>
      <c r="BF36" s="2" t="str" cm="1">
        <f t="array" ref="BF36">IF('NILAI CPL'!$B36&lt;&gt;"",IFERROR(_xlfn.IFS(AI36&gt;='NILAI CPL'!$B$3,4,AI36&gt;='NILAI CPL'!$B$4,3,AI36&gt;='NILAI CPL'!$B$5,2,AI36&gt;'NILAI CPL'!$B$6,1),0),"")</f>
        <v/>
      </c>
      <c r="BG36" s="2" t="str" cm="1">
        <f t="array" ref="BG36">IF('NILAI CPL'!$B36&lt;&gt;"",IFERROR(_xlfn.IFS(AJ36&gt;='NILAI CPL'!$B$3,4,AJ36&gt;='NILAI CPL'!$B$4,3,AJ36&gt;='NILAI CPL'!$B$5,2,AJ36&gt;'NILAI CPL'!$B$6,1),0),"")</f>
        <v/>
      </c>
      <c r="BH36" s="2" t="str" cm="1">
        <f t="array" ref="BH36">IF('NILAI CPL'!$B36&lt;&gt;"",IFERROR(_xlfn.IFS(AK36&gt;='NILAI CPL'!$B$3,4,AK36&gt;='NILAI CPL'!$B$4,3,AK36&gt;='NILAI CPL'!$B$5,2,AK36&gt;'NILAI CPL'!$B$6,1),0),"")</f>
        <v/>
      </c>
      <c r="BI36" s="2" t="str" cm="1">
        <f t="array" ref="BI36">IF('NILAI CPL'!$B36&lt;&gt;"",IFERROR(_xlfn.IFS(AL36&gt;='NILAI CPL'!$B$3,4,AL36&gt;='NILAI CPL'!$B$4,3,AL36&gt;='NILAI CPL'!$B$5,2,AL36&gt;'NILAI CPL'!$B$6,1),0),"")</f>
        <v/>
      </c>
      <c r="BJ36" s="2" t="str" cm="1">
        <f t="array" ref="BJ36">IF('NILAI CPL'!$B36&lt;&gt;"",IFERROR(_xlfn.IFS(AM36&gt;='NILAI CPL'!$B$3,4,AM36&gt;='NILAI CPL'!$B$4,3,AM36&gt;='NILAI CPL'!$B$5,2,AM36&gt;'NILAI CPL'!$B$6,1),0),"")</f>
        <v/>
      </c>
      <c r="BK36" s="2" t="str" cm="1">
        <f t="array" ref="BK36">IF('NILAI CPL'!$B36&lt;&gt;"",IFERROR(_xlfn.IFS(AN36&gt;='NILAI CPL'!$B$3,4,AN36&gt;='NILAI CPL'!$B$4,3,AN36&gt;='NILAI CPL'!$B$5,2,AN36&gt;'NILAI CPL'!$B$6,1),0),"")</f>
        <v/>
      </c>
    </row>
    <row r="37" spans="1:63" x14ac:dyDescent="0.2">
      <c r="A37" s="2">
        <v>27</v>
      </c>
      <c r="B37" s="2" t="str">
        <f>IF(LEN(SUMMARY!B37)&gt;0, SUMMARY!B37, "")</f>
        <v/>
      </c>
      <c r="C37" s="2" t="str">
        <f>IF(LEN(SUMMARY!C37)&gt;0, SUMMARY!C37, "")</f>
        <v/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" t="str">
        <f t="shared" si="2"/>
        <v/>
      </c>
      <c r="S37" s="2" t="str">
        <f t="shared" si="3"/>
        <v/>
      </c>
      <c r="T37" s="2" t="str">
        <f t="shared" si="4"/>
        <v/>
      </c>
      <c r="U37" s="2" t="str">
        <f t="shared" si="5"/>
        <v/>
      </c>
      <c r="V37" s="2" t="str">
        <f t="shared" si="6"/>
        <v/>
      </c>
      <c r="W37" s="2" t="str">
        <f t="shared" si="7"/>
        <v/>
      </c>
      <c r="X37" s="2" t="str">
        <f t="shared" si="8"/>
        <v/>
      </c>
      <c r="Y37" s="2" t="str">
        <f t="shared" si="9"/>
        <v/>
      </c>
      <c r="Z37" s="2" t="str">
        <f t="shared" si="10"/>
        <v/>
      </c>
      <c r="AA37" s="2" t="str">
        <f t="shared" si="11"/>
        <v/>
      </c>
      <c r="AB37" s="2" t="str">
        <f t="shared" si="12"/>
        <v/>
      </c>
      <c r="AC37" s="2" t="str">
        <f t="shared" si="13"/>
        <v/>
      </c>
      <c r="AD37" s="2" t="str">
        <f t="shared" si="14"/>
        <v/>
      </c>
      <c r="AE37" s="2" t="str">
        <f t="shared" si="15"/>
        <v/>
      </c>
      <c r="AF37" s="2" t="str">
        <f t="shared" si="16"/>
        <v/>
      </c>
      <c r="AG37" s="2" t="str">
        <f t="shared" si="17"/>
        <v/>
      </c>
      <c r="AH37" s="2" t="str">
        <f t="shared" si="18"/>
        <v/>
      </c>
      <c r="AI37" s="2" t="str">
        <f t="shared" si="19"/>
        <v/>
      </c>
      <c r="AJ37" s="2" t="str">
        <f t="shared" si="20"/>
        <v/>
      </c>
      <c r="AK37" s="2" t="str">
        <f t="shared" si="21"/>
        <v/>
      </c>
      <c r="AL37" s="2" t="str">
        <f t="shared" si="22"/>
        <v/>
      </c>
      <c r="AM37" s="2" t="str">
        <f t="shared" si="23"/>
        <v/>
      </c>
      <c r="AN37" s="2" t="str">
        <f t="shared" si="24"/>
        <v/>
      </c>
      <c r="AP37" s="2" t="str" cm="1">
        <f t="array" ref="AP37">IF('NILAI CPL'!$B37&lt;&gt;"",IFERROR(_xlfn.IFS(S37&gt;='NILAI CPL'!$B$3,4,S37&gt;='NILAI CPL'!$B$4,3,S37&gt;='NILAI CPL'!$B$5,2,S37&gt;'NILAI CPL'!$B$6,1),0),"")</f>
        <v/>
      </c>
      <c r="AQ37" s="2" t="str" cm="1">
        <f t="array" ref="AQ37">IF('NILAI CPL'!$B37&lt;&gt;"",IFERROR(_xlfn.IFS(T37&gt;='NILAI CPL'!$B$3,4,T37&gt;='NILAI CPL'!$B$4,3,T37&gt;='NILAI CPL'!$B$5,2,T37&gt;'NILAI CPL'!$B$6,1),0),"")</f>
        <v/>
      </c>
      <c r="AR37" s="2" t="str" cm="1">
        <f t="array" ref="AR37">IF('NILAI CPL'!$B37&lt;&gt;"",IFERROR(_xlfn.IFS(U37&gt;='NILAI CPL'!$B$3,4,U37&gt;='NILAI CPL'!$B$4,3,U37&gt;='NILAI CPL'!$B$5,2,U37&gt;'NILAI CPL'!$B$6,1),0),"")</f>
        <v/>
      </c>
      <c r="AS37" s="2" t="str" cm="1">
        <f t="array" ref="AS37">IF('NILAI CPL'!$B37&lt;&gt;"",IFERROR(_xlfn.IFS(V37&gt;='NILAI CPL'!$B$3,4,V37&gt;='NILAI CPL'!$B$4,3,V37&gt;='NILAI CPL'!$B$5,2,V37&gt;'NILAI CPL'!$B$6,1),0),"")</f>
        <v/>
      </c>
      <c r="AT37" s="2" t="str" cm="1">
        <f t="array" ref="AT37">IF('NILAI CPL'!$B37&lt;&gt;"",IFERROR(_xlfn.IFS(W37&gt;='NILAI CPL'!$B$3,4,W37&gt;='NILAI CPL'!$B$4,3,W37&gt;='NILAI CPL'!$B$5,2,W37&gt;'NILAI CPL'!$B$6,1),0),"")</f>
        <v/>
      </c>
      <c r="AU37" s="2" t="str" cm="1">
        <f t="array" ref="AU37">IF('NILAI CPL'!$B37&lt;&gt;"",IFERROR(_xlfn.IFS(X37&gt;='NILAI CPL'!$B$3,4,X37&gt;='NILAI CPL'!$B$4,3,X37&gt;='NILAI CPL'!$B$5,2,X37&gt;'NILAI CPL'!$B$6,1),0),"")</f>
        <v/>
      </c>
      <c r="AV37" s="2" t="str" cm="1">
        <f t="array" ref="AV37">IF('NILAI CPL'!$B37&lt;&gt;"",IFERROR(_xlfn.IFS(Y37&gt;='NILAI CPL'!$B$3,4,Y37&gt;='NILAI CPL'!$B$4,3,Y37&gt;='NILAI CPL'!$B$5,2,Y37&gt;'NILAI CPL'!$B$6,1),0),"")</f>
        <v/>
      </c>
      <c r="AW37" s="2" t="str" cm="1">
        <f t="array" ref="AW37">IF('NILAI CPL'!$B37&lt;&gt;"",IFERROR(_xlfn.IFS(Z37&gt;='NILAI CPL'!$B$3,4,Z37&gt;='NILAI CPL'!$B$4,3,Z37&gt;='NILAI CPL'!$B$5,2,Z37&gt;'NILAI CPL'!$B$6,1),0),"")</f>
        <v/>
      </c>
      <c r="AX37" s="2" t="str" cm="1">
        <f t="array" ref="AX37">IF('NILAI CPL'!$B37&lt;&gt;"",IFERROR(_xlfn.IFS(AA37&gt;='NILAI CPL'!$B$3,4,AA37&gt;='NILAI CPL'!$B$4,3,AA37&gt;='NILAI CPL'!$B$5,2,AA37&gt;'NILAI CPL'!$B$6,1),0),"")</f>
        <v/>
      </c>
      <c r="AY37" s="2" t="str" cm="1">
        <f t="array" ref="AY37">IF('NILAI CPL'!$B37&lt;&gt;"",IFERROR(_xlfn.IFS(AB37&gt;='NILAI CPL'!$B$3,4,AB37&gt;='NILAI CPL'!$B$4,3,AB37&gt;='NILAI CPL'!$B$5,2,AB37&gt;'NILAI CPL'!$B$6,1),0),"")</f>
        <v/>
      </c>
      <c r="AZ37" s="2" t="str" cm="1">
        <f t="array" ref="AZ37">IF('NILAI CPL'!$B37&lt;&gt;"",IFERROR(_xlfn.IFS(AC37&gt;='NILAI CPL'!$B$3,4,AC37&gt;='NILAI CPL'!$B$4,3,AC37&gt;='NILAI CPL'!$B$5,2,AC37&gt;'NILAI CPL'!$B$6,1),0),"")</f>
        <v/>
      </c>
      <c r="BA37" s="2" t="str" cm="1">
        <f t="array" ref="BA37">IF('NILAI CPL'!$B37&lt;&gt;"",IFERROR(_xlfn.IFS(AD37&gt;='NILAI CPL'!$B$3,4,AD37&gt;='NILAI CPL'!$B$4,3,AD37&gt;='NILAI CPL'!$B$5,2,AD37&gt;'NILAI CPL'!$B$6,1),0),"")</f>
        <v/>
      </c>
      <c r="BB37" s="2" t="str" cm="1">
        <f t="array" ref="BB37">IF('NILAI CPL'!$B37&lt;&gt;"",IFERROR(_xlfn.IFS(AE37&gt;='NILAI CPL'!$B$3,4,AE37&gt;='NILAI CPL'!$B$4,3,AE37&gt;='NILAI CPL'!$B$5,2,AE37&gt;'NILAI CPL'!$B$6,1),0),"")</f>
        <v/>
      </c>
      <c r="BC37" s="2" t="str" cm="1">
        <f t="array" ref="BC37">IF('NILAI CPL'!$B37&lt;&gt;"",IFERROR(_xlfn.IFS(AF37&gt;='NILAI CPL'!$B$3,4,AF37&gt;='NILAI CPL'!$B$4,3,AF37&gt;='NILAI CPL'!$B$5,2,AF37&gt;'NILAI CPL'!$B$6,1),0),"")</f>
        <v/>
      </c>
      <c r="BD37" s="2" t="str" cm="1">
        <f t="array" ref="BD37">IF('NILAI CPL'!$B37&lt;&gt;"",IFERROR(_xlfn.IFS(AG37&gt;='NILAI CPL'!$B$3,4,AG37&gt;='NILAI CPL'!$B$4,3,AG37&gt;='NILAI CPL'!$B$5,2,AG37&gt;'NILAI CPL'!$B$6,1),0),"")</f>
        <v/>
      </c>
      <c r="BE37" s="2" t="str" cm="1">
        <f t="array" ref="BE37">IF('NILAI CPL'!$B37&lt;&gt;"",IFERROR(_xlfn.IFS(AH37&gt;='NILAI CPL'!$B$3,4,AH37&gt;='NILAI CPL'!$B$4,3,AH37&gt;='NILAI CPL'!$B$5,2,AH37&gt;'NILAI CPL'!$B$6,1),0),"")</f>
        <v/>
      </c>
      <c r="BF37" s="2" t="str" cm="1">
        <f t="array" ref="BF37">IF('NILAI CPL'!$B37&lt;&gt;"",IFERROR(_xlfn.IFS(AI37&gt;='NILAI CPL'!$B$3,4,AI37&gt;='NILAI CPL'!$B$4,3,AI37&gt;='NILAI CPL'!$B$5,2,AI37&gt;'NILAI CPL'!$B$6,1),0),"")</f>
        <v/>
      </c>
      <c r="BG37" s="2" t="str" cm="1">
        <f t="array" ref="BG37">IF('NILAI CPL'!$B37&lt;&gt;"",IFERROR(_xlfn.IFS(AJ37&gt;='NILAI CPL'!$B$3,4,AJ37&gt;='NILAI CPL'!$B$4,3,AJ37&gt;='NILAI CPL'!$B$5,2,AJ37&gt;'NILAI CPL'!$B$6,1),0),"")</f>
        <v/>
      </c>
      <c r="BH37" s="2" t="str" cm="1">
        <f t="array" ref="BH37">IF('NILAI CPL'!$B37&lt;&gt;"",IFERROR(_xlfn.IFS(AK37&gt;='NILAI CPL'!$B$3,4,AK37&gt;='NILAI CPL'!$B$4,3,AK37&gt;='NILAI CPL'!$B$5,2,AK37&gt;'NILAI CPL'!$B$6,1),0),"")</f>
        <v/>
      </c>
      <c r="BI37" s="2" t="str" cm="1">
        <f t="array" ref="BI37">IF('NILAI CPL'!$B37&lt;&gt;"",IFERROR(_xlfn.IFS(AL37&gt;='NILAI CPL'!$B$3,4,AL37&gt;='NILAI CPL'!$B$4,3,AL37&gt;='NILAI CPL'!$B$5,2,AL37&gt;'NILAI CPL'!$B$6,1),0),"")</f>
        <v/>
      </c>
      <c r="BJ37" s="2" t="str" cm="1">
        <f t="array" ref="BJ37">IF('NILAI CPL'!$B37&lt;&gt;"",IFERROR(_xlfn.IFS(AM37&gt;='NILAI CPL'!$B$3,4,AM37&gt;='NILAI CPL'!$B$4,3,AM37&gt;='NILAI CPL'!$B$5,2,AM37&gt;'NILAI CPL'!$B$6,1),0),"")</f>
        <v/>
      </c>
      <c r="BK37" s="2" t="str" cm="1">
        <f t="array" ref="BK37">IF('NILAI CPL'!$B37&lt;&gt;"",IFERROR(_xlfn.IFS(AN37&gt;='NILAI CPL'!$B$3,4,AN37&gt;='NILAI CPL'!$B$4,3,AN37&gt;='NILAI CPL'!$B$5,2,AN37&gt;'NILAI CPL'!$B$6,1),0),"")</f>
        <v/>
      </c>
    </row>
    <row r="38" spans="1:63" x14ac:dyDescent="0.2">
      <c r="A38" s="2">
        <v>28</v>
      </c>
      <c r="B38" s="2" t="str">
        <f>IF(LEN(SUMMARY!B38)&gt;0, SUMMARY!B38, "")</f>
        <v/>
      </c>
      <c r="C38" s="2" t="str">
        <f>IF(LEN(SUMMARY!C38)&gt;0, SUMMARY!C38, "")</f>
        <v/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" t="str">
        <f t="shared" si="2"/>
        <v/>
      </c>
      <c r="S38" s="2" t="str">
        <f t="shared" si="3"/>
        <v/>
      </c>
      <c r="T38" s="2" t="str">
        <f t="shared" si="4"/>
        <v/>
      </c>
      <c r="U38" s="2" t="str">
        <f t="shared" si="5"/>
        <v/>
      </c>
      <c r="V38" s="2" t="str">
        <f t="shared" si="6"/>
        <v/>
      </c>
      <c r="W38" s="2" t="str">
        <f t="shared" si="7"/>
        <v/>
      </c>
      <c r="X38" s="2" t="str">
        <f t="shared" si="8"/>
        <v/>
      </c>
      <c r="Y38" s="2" t="str">
        <f t="shared" si="9"/>
        <v/>
      </c>
      <c r="Z38" s="2" t="str">
        <f t="shared" si="10"/>
        <v/>
      </c>
      <c r="AA38" s="2" t="str">
        <f t="shared" si="11"/>
        <v/>
      </c>
      <c r="AB38" s="2" t="str">
        <f t="shared" si="12"/>
        <v/>
      </c>
      <c r="AC38" s="2" t="str">
        <f t="shared" si="13"/>
        <v/>
      </c>
      <c r="AD38" s="2" t="str">
        <f t="shared" si="14"/>
        <v/>
      </c>
      <c r="AE38" s="2" t="str">
        <f t="shared" si="15"/>
        <v/>
      </c>
      <c r="AF38" s="2" t="str">
        <f t="shared" si="16"/>
        <v/>
      </c>
      <c r="AG38" s="2" t="str">
        <f t="shared" si="17"/>
        <v/>
      </c>
      <c r="AH38" s="2" t="str">
        <f t="shared" si="18"/>
        <v/>
      </c>
      <c r="AI38" s="2" t="str">
        <f t="shared" si="19"/>
        <v/>
      </c>
      <c r="AJ38" s="2" t="str">
        <f t="shared" si="20"/>
        <v/>
      </c>
      <c r="AK38" s="2" t="str">
        <f t="shared" si="21"/>
        <v/>
      </c>
      <c r="AL38" s="2" t="str">
        <f t="shared" si="22"/>
        <v/>
      </c>
      <c r="AM38" s="2" t="str">
        <f t="shared" si="23"/>
        <v/>
      </c>
      <c r="AN38" s="2" t="str">
        <f t="shared" si="24"/>
        <v/>
      </c>
      <c r="AP38" s="2" t="str" cm="1">
        <f t="array" ref="AP38">IF('NILAI CPL'!$B38&lt;&gt;"",IFERROR(_xlfn.IFS(S38&gt;='NILAI CPL'!$B$3,4,S38&gt;='NILAI CPL'!$B$4,3,S38&gt;='NILAI CPL'!$B$5,2,S38&gt;'NILAI CPL'!$B$6,1),0),"")</f>
        <v/>
      </c>
      <c r="AQ38" s="2" t="str" cm="1">
        <f t="array" ref="AQ38">IF('NILAI CPL'!$B38&lt;&gt;"",IFERROR(_xlfn.IFS(T38&gt;='NILAI CPL'!$B$3,4,T38&gt;='NILAI CPL'!$B$4,3,T38&gt;='NILAI CPL'!$B$5,2,T38&gt;'NILAI CPL'!$B$6,1),0),"")</f>
        <v/>
      </c>
      <c r="AR38" s="2" t="str" cm="1">
        <f t="array" ref="AR38">IF('NILAI CPL'!$B38&lt;&gt;"",IFERROR(_xlfn.IFS(U38&gt;='NILAI CPL'!$B$3,4,U38&gt;='NILAI CPL'!$B$4,3,U38&gt;='NILAI CPL'!$B$5,2,U38&gt;'NILAI CPL'!$B$6,1),0),"")</f>
        <v/>
      </c>
      <c r="AS38" s="2" t="str" cm="1">
        <f t="array" ref="AS38">IF('NILAI CPL'!$B38&lt;&gt;"",IFERROR(_xlfn.IFS(V38&gt;='NILAI CPL'!$B$3,4,V38&gt;='NILAI CPL'!$B$4,3,V38&gt;='NILAI CPL'!$B$5,2,V38&gt;'NILAI CPL'!$B$6,1),0),"")</f>
        <v/>
      </c>
      <c r="AT38" s="2" t="str" cm="1">
        <f t="array" ref="AT38">IF('NILAI CPL'!$B38&lt;&gt;"",IFERROR(_xlfn.IFS(W38&gt;='NILAI CPL'!$B$3,4,W38&gt;='NILAI CPL'!$B$4,3,W38&gt;='NILAI CPL'!$B$5,2,W38&gt;'NILAI CPL'!$B$6,1),0),"")</f>
        <v/>
      </c>
      <c r="AU38" s="2" t="str" cm="1">
        <f t="array" ref="AU38">IF('NILAI CPL'!$B38&lt;&gt;"",IFERROR(_xlfn.IFS(X38&gt;='NILAI CPL'!$B$3,4,X38&gt;='NILAI CPL'!$B$4,3,X38&gt;='NILAI CPL'!$B$5,2,X38&gt;'NILAI CPL'!$B$6,1),0),"")</f>
        <v/>
      </c>
      <c r="AV38" s="2" t="str" cm="1">
        <f t="array" ref="AV38">IF('NILAI CPL'!$B38&lt;&gt;"",IFERROR(_xlfn.IFS(Y38&gt;='NILAI CPL'!$B$3,4,Y38&gt;='NILAI CPL'!$B$4,3,Y38&gt;='NILAI CPL'!$B$5,2,Y38&gt;'NILAI CPL'!$B$6,1),0),"")</f>
        <v/>
      </c>
      <c r="AW38" s="2" t="str" cm="1">
        <f t="array" ref="AW38">IF('NILAI CPL'!$B38&lt;&gt;"",IFERROR(_xlfn.IFS(Z38&gt;='NILAI CPL'!$B$3,4,Z38&gt;='NILAI CPL'!$B$4,3,Z38&gt;='NILAI CPL'!$B$5,2,Z38&gt;'NILAI CPL'!$B$6,1),0),"")</f>
        <v/>
      </c>
      <c r="AX38" s="2" t="str" cm="1">
        <f t="array" ref="AX38">IF('NILAI CPL'!$B38&lt;&gt;"",IFERROR(_xlfn.IFS(AA38&gt;='NILAI CPL'!$B$3,4,AA38&gt;='NILAI CPL'!$B$4,3,AA38&gt;='NILAI CPL'!$B$5,2,AA38&gt;'NILAI CPL'!$B$6,1),0),"")</f>
        <v/>
      </c>
      <c r="AY38" s="2" t="str" cm="1">
        <f t="array" ref="AY38">IF('NILAI CPL'!$B38&lt;&gt;"",IFERROR(_xlfn.IFS(AB38&gt;='NILAI CPL'!$B$3,4,AB38&gt;='NILAI CPL'!$B$4,3,AB38&gt;='NILAI CPL'!$B$5,2,AB38&gt;'NILAI CPL'!$B$6,1),0),"")</f>
        <v/>
      </c>
      <c r="AZ38" s="2" t="str" cm="1">
        <f t="array" ref="AZ38">IF('NILAI CPL'!$B38&lt;&gt;"",IFERROR(_xlfn.IFS(AC38&gt;='NILAI CPL'!$B$3,4,AC38&gt;='NILAI CPL'!$B$4,3,AC38&gt;='NILAI CPL'!$B$5,2,AC38&gt;'NILAI CPL'!$B$6,1),0),"")</f>
        <v/>
      </c>
      <c r="BA38" s="2" t="str" cm="1">
        <f t="array" ref="BA38">IF('NILAI CPL'!$B38&lt;&gt;"",IFERROR(_xlfn.IFS(AD38&gt;='NILAI CPL'!$B$3,4,AD38&gt;='NILAI CPL'!$B$4,3,AD38&gt;='NILAI CPL'!$B$5,2,AD38&gt;'NILAI CPL'!$B$6,1),0),"")</f>
        <v/>
      </c>
      <c r="BB38" s="2" t="str" cm="1">
        <f t="array" ref="BB38">IF('NILAI CPL'!$B38&lt;&gt;"",IFERROR(_xlfn.IFS(AE38&gt;='NILAI CPL'!$B$3,4,AE38&gt;='NILAI CPL'!$B$4,3,AE38&gt;='NILAI CPL'!$B$5,2,AE38&gt;'NILAI CPL'!$B$6,1),0),"")</f>
        <v/>
      </c>
      <c r="BC38" s="2" t="str" cm="1">
        <f t="array" ref="BC38">IF('NILAI CPL'!$B38&lt;&gt;"",IFERROR(_xlfn.IFS(AF38&gt;='NILAI CPL'!$B$3,4,AF38&gt;='NILAI CPL'!$B$4,3,AF38&gt;='NILAI CPL'!$B$5,2,AF38&gt;'NILAI CPL'!$B$6,1),0),"")</f>
        <v/>
      </c>
      <c r="BD38" s="2" t="str" cm="1">
        <f t="array" ref="BD38">IF('NILAI CPL'!$B38&lt;&gt;"",IFERROR(_xlfn.IFS(AG38&gt;='NILAI CPL'!$B$3,4,AG38&gt;='NILAI CPL'!$B$4,3,AG38&gt;='NILAI CPL'!$B$5,2,AG38&gt;'NILAI CPL'!$B$6,1),0),"")</f>
        <v/>
      </c>
      <c r="BE38" s="2" t="str" cm="1">
        <f t="array" ref="BE38">IF('NILAI CPL'!$B38&lt;&gt;"",IFERROR(_xlfn.IFS(AH38&gt;='NILAI CPL'!$B$3,4,AH38&gt;='NILAI CPL'!$B$4,3,AH38&gt;='NILAI CPL'!$B$5,2,AH38&gt;'NILAI CPL'!$B$6,1),0),"")</f>
        <v/>
      </c>
      <c r="BF38" s="2" t="str" cm="1">
        <f t="array" ref="BF38">IF('NILAI CPL'!$B38&lt;&gt;"",IFERROR(_xlfn.IFS(AI38&gt;='NILAI CPL'!$B$3,4,AI38&gt;='NILAI CPL'!$B$4,3,AI38&gt;='NILAI CPL'!$B$5,2,AI38&gt;'NILAI CPL'!$B$6,1),0),"")</f>
        <v/>
      </c>
      <c r="BG38" s="2" t="str" cm="1">
        <f t="array" ref="BG38">IF('NILAI CPL'!$B38&lt;&gt;"",IFERROR(_xlfn.IFS(AJ38&gt;='NILAI CPL'!$B$3,4,AJ38&gt;='NILAI CPL'!$B$4,3,AJ38&gt;='NILAI CPL'!$B$5,2,AJ38&gt;'NILAI CPL'!$B$6,1),0),"")</f>
        <v/>
      </c>
      <c r="BH38" s="2" t="str" cm="1">
        <f t="array" ref="BH38">IF('NILAI CPL'!$B38&lt;&gt;"",IFERROR(_xlfn.IFS(AK38&gt;='NILAI CPL'!$B$3,4,AK38&gt;='NILAI CPL'!$B$4,3,AK38&gt;='NILAI CPL'!$B$5,2,AK38&gt;'NILAI CPL'!$B$6,1),0),"")</f>
        <v/>
      </c>
      <c r="BI38" s="2" t="str" cm="1">
        <f t="array" ref="BI38">IF('NILAI CPL'!$B38&lt;&gt;"",IFERROR(_xlfn.IFS(AL38&gt;='NILAI CPL'!$B$3,4,AL38&gt;='NILAI CPL'!$B$4,3,AL38&gt;='NILAI CPL'!$B$5,2,AL38&gt;'NILAI CPL'!$B$6,1),0),"")</f>
        <v/>
      </c>
      <c r="BJ38" s="2" t="str" cm="1">
        <f t="array" ref="BJ38">IF('NILAI CPL'!$B38&lt;&gt;"",IFERROR(_xlfn.IFS(AM38&gt;='NILAI CPL'!$B$3,4,AM38&gt;='NILAI CPL'!$B$4,3,AM38&gt;='NILAI CPL'!$B$5,2,AM38&gt;'NILAI CPL'!$B$6,1),0),"")</f>
        <v/>
      </c>
      <c r="BK38" s="2" t="str" cm="1">
        <f t="array" ref="BK38">IF('NILAI CPL'!$B38&lt;&gt;"",IFERROR(_xlfn.IFS(AN38&gt;='NILAI CPL'!$B$3,4,AN38&gt;='NILAI CPL'!$B$4,3,AN38&gt;='NILAI CPL'!$B$5,2,AN38&gt;'NILAI CPL'!$B$6,1),0),"")</f>
        <v/>
      </c>
    </row>
    <row r="39" spans="1:63" x14ac:dyDescent="0.2">
      <c r="A39" s="2">
        <v>29</v>
      </c>
      <c r="B39" s="2" t="str">
        <f>IF(LEN(SUMMARY!B39)&gt;0, SUMMARY!B39, "")</f>
        <v/>
      </c>
      <c r="C39" s="2" t="str">
        <f>IF(LEN(SUMMARY!C39)&gt;0, SUMMARY!C39, "")</f>
        <v/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" t="str">
        <f t="shared" si="2"/>
        <v/>
      </c>
      <c r="S39" s="2" t="str">
        <f t="shared" si="3"/>
        <v/>
      </c>
      <c r="T39" s="2" t="str">
        <f t="shared" si="4"/>
        <v/>
      </c>
      <c r="U39" s="2" t="str">
        <f t="shared" si="5"/>
        <v/>
      </c>
      <c r="V39" s="2" t="str">
        <f t="shared" si="6"/>
        <v/>
      </c>
      <c r="W39" s="2" t="str">
        <f t="shared" si="7"/>
        <v/>
      </c>
      <c r="X39" s="2" t="str">
        <f t="shared" si="8"/>
        <v/>
      </c>
      <c r="Y39" s="2" t="str">
        <f t="shared" si="9"/>
        <v/>
      </c>
      <c r="Z39" s="2" t="str">
        <f t="shared" si="10"/>
        <v/>
      </c>
      <c r="AA39" s="2" t="str">
        <f t="shared" si="11"/>
        <v/>
      </c>
      <c r="AB39" s="2" t="str">
        <f t="shared" si="12"/>
        <v/>
      </c>
      <c r="AC39" s="2" t="str">
        <f t="shared" si="13"/>
        <v/>
      </c>
      <c r="AD39" s="2" t="str">
        <f t="shared" si="14"/>
        <v/>
      </c>
      <c r="AE39" s="2" t="str">
        <f t="shared" si="15"/>
        <v/>
      </c>
      <c r="AF39" s="2" t="str">
        <f t="shared" si="16"/>
        <v/>
      </c>
      <c r="AG39" s="2" t="str">
        <f t="shared" si="17"/>
        <v/>
      </c>
      <c r="AH39" s="2" t="str">
        <f t="shared" si="18"/>
        <v/>
      </c>
      <c r="AI39" s="2" t="str">
        <f t="shared" si="19"/>
        <v/>
      </c>
      <c r="AJ39" s="2" t="str">
        <f t="shared" si="20"/>
        <v/>
      </c>
      <c r="AK39" s="2" t="str">
        <f t="shared" si="21"/>
        <v/>
      </c>
      <c r="AL39" s="2" t="str">
        <f t="shared" si="22"/>
        <v/>
      </c>
      <c r="AM39" s="2" t="str">
        <f t="shared" si="23"/>
        <v/>
      </c>
      <c r="AN39" s="2" t="str">
        <f t="shared" si="24"/>
        <v/>
      </c>
      <c r="AP39" s="2" t="str" cm="1">
        <f t="array" ref="AP39">IF('NILAI CPL'!$B39&lt;&gt;"",IFERROR(_xlfn.IFS(S39&gt;='NILAI CPL'!$B$3,4,S39&gt;='NILAI CPL'!$B$4,3,S39&gt;='NILAI CPL'!$B$5,2,S39&gt;'NILAI CPL'!$B$6,1),0),"")</f>
        <v/>
      </c>
      <c r="AQ39" s="2" t="str" cm="1">
        <f t="array" ref="AQ39">IF('NILAI CPL'!$B39&lt;&gt;"",IFERROR(_xlfn.IFS(T39&gt;='NILAI CPL'!$B$3,4,T39&gt;='NILAI CPL'!$B$4,3,T39&gt;='NILAI CPL'!$B$5,2,T39&gt;'NILAI CPL'!$B$6,1),0),"")</f>
        <v/>
      </c>
      <c r="AR39" s="2" t="str" cm="1">
        <f t="array" ref="AR39">IF('NILAI CPL'!$B39&lt;&gt;"",IFERROR(_xlfn.IFS(U39&gt;='NILAI CPL'!$B$3,4,U39&gt;='NILAI CPL'!$B$4,3,U39&gt;='NILAI CPL'!$B$5,2,U39&gt;'NILAI CPL'!$B$6,1),0),"")</f>
        <v/>
      </c>
      <c r="AS39" s="2" t="str" cm="1">
        <f t="array" ref="AS39">IF('NILAI CPL'!$B39&lt;&gt;"",IFERROR(_xlfn.IFS(V39&gt;='NILAI CPL'!$B$3,4,V39&gt;='NILAI CPL'!$B$4,3,V39&gt;='NILAI CPL'!$B$5,2,V39&gt;'NILAI CPL'!$B$6,1),0),"")</f>
        <v/>
      </c>
      <c r="AT39" s="2" t="str" cm="1">
        <f t="array" ref="AT39">IF('NILAI CPL'!$B39&lt;&gt;"",IFERROR(_xlfn.IFS(W39&gt;='NILAI CPL'!$B$3,4,W39&gt;='NILAI CPL'!$B$4,3,W39&gt;='NILAI CPL'!$B$5,2,W39&gt;'NILAI CPL'!$B$6,1),0),"")</f>
        <v/>
      </c>
      <c r="AU39" s="2" t="str" cm="1">
        <f t="array" ref="AU39">IF('NILAI CPL'!$B39&lt;&gt;"",IFERROR(_xlfn.IFS(X39&gt;='NILAI CPL'!$B$3,4,X39&gt;='NILAI CPL'!$B$4,3,X39&gt;='NILAI CPL'!$B$5,2,X39&gt;'NILAI CPL'!$B$6,1),0),"")</f>
        <v/>
      </c>
      <c r="AV39" s="2" t="str" cm="1">
        <f t="array" ref="AV39">IF('NILAI CPL'!$B39&lt;&gt;"",IFERROR(_xlfn.IFS(Y39&gt;='NILAI CPL'!$B$3,4,Y39&gt;='NILAI CPL'!$B$4,3,Y39&gt;='NILAI CPL'!$B$5,2,Y39&gt;'NILAI CPL'!$B$6,1),0),"")</f>
        <v/>
      </c>
      <c r="AW39" s="2" t="str" cm="1">
        <f t="array" ref="AW39">IF('NILAI CPL'!$B39&lt;&gt;"",IFERROR(_xlfn.IFS(Z39&gt;='NILAI CPL'!$B$3,4,Z39&gt;='NILAI CPL'!$B$4,3,Z39&gt;='NILAI CPL'!$B$5,2,Z39&gt;'NILAI CPL'!$B$6,1),0),"")</f>
        <v/>
      </c>
      <c r="AX39" s="2" t="str" cm="1">
        <f t="array" ref="AX39">IF('NILAI CPL'!$B39&lt;&gt;"",IFERROR(_xlfn.IFS(AA39&gt;='NILAI CPL'!$B$3,4,AA39&gt;='NILAI CPL'!$B$4,3,AA39&gt;='NILAI CPL'!$B$5,2,AA39&gt;'NILAI CPL'!$B$6,1),0),"")</f>
        <v/>
      </c>
      <c r="AY39" s="2" t="str" cm="1">
        <f t="array" ref="AY39">IF('NILAI CPL'!$B39&lt;&gt;"",IFERROR(_xlfn.IFS(AB39&gt;='NILAI CPL'!$B$3,4,AB39&gt;='NILAI CPL'!$B$4,3,AB39&gt;='NILAI CPL'!$B$5,2,AB39&gt;'NILAI CPL'!$B$6,1),0),"")</f>
        <v/>
      </c>
      <c r="AZ39" s="2" t="str" cm="1">
        <f t="array" ref="AZ39">IF('NILAI CPL'!$B39&lt;&gt;"",IFERROR(_xlfn.IFS(AC39&gt;='NILAI CPL'!$B$3,4,AC39&gt;='NILAI CPL'!$B$4,3,AC39&gt;='NILAI CPL'!$B$5,2,AC39&gt;'NILAI CPL'!$B$6,1),0),"")</f>
        <v/>
      </c>
      <c r="BA39" s="2" t="str" cm="1">
        <f t="array" ref="BA39">IF('NILAI CPL'!$B39&lt;&gt;"",IFERROR(_xlfn.IFS(AD39&gt;='NILAI CPL'!$B$3,4,AD39&gt;='NILAI CPL'!$B$4,3,AD39&gt;='NILAI CPL'!$B$5,2,AD39&gt;'NILAI CPL'!$B$6,1),0),"")</f>
        <v/>
      </c>
      <c r="BB39" s="2" t="str" cm="1">
        <f t="array" ref="BB39">IF('NILAI CPL'!$B39&lt;&gt;"",IFERROR(_xlfn.IFS(AE39&gt;='NILAI CPL'!$B$3,4,AE39&gt;='NILAI CPL'!$B$4,3,AE39&gt;='NILAI CPL'!$B$5,2,AE39&gt;'NILAI CPL'!$B$6,1),0),"")</f>
        <v/>
      </c>
      <c r="BC39" s="2" t="str" cm="1">
        <f t="array" ref="BC39">IF('NILAI CPL'!$B39&lt;&gt;"",IFERROR(_xlfn.IFS(AF39&gt;='NILAI CPL'!$B$3,4,AF39&gt;='NILAI CPL'!$B$4,3,AF39&gt;='NILAI CPL'!$B$5,2,AF39&gt;'NILAI CPL'!$B$6,1),0),"")</f>
        <v/>
      </c>
      <c r="BD39" s="2" t="str" cm="1">
        <f t="array" ref="BD39">IF('NILAI CPL'!$B39&lt;&gt;"",IFERROR(_xlfn.IFS(AG39&gt;='NILAI CPL'!$B$3,4,AG39&gt;='NILAI CPL'!$B$4,3,AG39&gt;='NILAI CPL'!$B$5,2,AG39&gt;'NILAI CPL'!$B$6,1),0),"")</f>
        <v/>
      </c>
      <c r="BE39" s="2" t="str" cm="1">
        <f t="array" ref="BE39">IF('NILAI CPL'!$B39&lt;&gt;"",IFERROR(_xlfn.IFS(AH39&gt;='NILAI CPL'!$B$3,4,AH39&gt;='NILAI CPL'!$B$4,3,AH39&gt;='NILAI CPL'!$B$5,2,AH39&gt;'NILAI CPL'!$B$6,1),0),"")</f>
        <v/>
      </c>
      <c r="BF39" s="2" t="str" cm="1">
        <f t="array" ref="BF39">IF('NILAI CPL'!$B39&lt;&gt;"",IFERROR(_xlfn.IFS(AI39&gt;='NILAI CPL'!$B$3,4,AI39&gt;='NILAI CPL'!$B$4,3,AI39&gt;='NILAI CPL'!$B$5,2,AI39&gt;'NILAI CPL'!$B$6,1),0),"")</f>
        <v/>
      </c>
      <c r="BG39" s="2" t="str" cm="1">
        <f t="array" ref="BG39">IF('NILAI CPL'!$B39&lt;&gt;"",IFERROR(_xlfn.IFS(AJ39&gt;='NILAI CPL'!$B$3,4,AJ39&gt;='NILAI CPL'!$B$4,3,AJ39&gt;='NILAI CPL'!$B$5,2,AJ39&gt;'NILAI CPL'!$B$6,1),0),"")</f>
        <v/>
      </c>
      <c r="BH39" s="2" t="str" cm="1">
        <f t="array" ref="BH39">IF('NILAI CPL'!$B39&lt;&gt;"",IFERROR(_xlfn.IFS(AK39&gt;='NILAI CPL'!$B$3,4,AK39&gt;='NILAI CPL'!$B$4,3,AK39&gt;='NILAI CPL'!$B$5,2,AK39&gt;'NILAI CPL'!$B$6,1),0),"")</f>
        <v/>
      </c>
      <c r="BI39" s="2" t="str" cm="1">
        <f t="array" ref="BI39">IF('NILAI CPL'!$B39&lt;&gt;"",IFERROR(_xlfn.IFS(AL39&gt;='NILAI CPL'!$B$3,4,AL39&gt;='NILAI CPL'!$B$4,3,AL39&gt;='NILAI CPL'!$B$5,2,AL39&gt;'NILAI CPL'!$B$6,1),0),"")</f>
        <v/>
      </c>
      <c r="BJ39" s="2" t="str" cm="1">
        <f t="array" ref="BJ39">IF('NILAI CPL'!$B39&lt;&gt;"",IFERROR(_xlfn.IFS(AM39&gt;='NILAI CPL'!$B$3,4,AM39&gt;='NILAI CPL'!$B$4,3,AM39&gt;='NILAI CPL'!$B$5,2,AM39&gt;'NILAI CPL'!$B$6,1),0),"")</f>
        <v/>
      </c>
      <c r="BK39" s="2" t="str" cm="1">
        <f t="array" ref="BK39">IF('NILAI CPL'!$B39&lt;&gt;"",IFERROR(_xlfn.IFS(AN39&gt;='NILAI CPL'!$B$3,4,AN39&gt;='NILAI CPL'!$B$4,3,AN39&gt;='NILAI CPL'!$B$5,2,AN39&gt;'NILAI CPL'!$B$6,1),0),"")</f>
        <v/>
      </c>
    </row>
    <row r="40" spans="1:63" x14ac:dyDescent="0.2">
      <c r="A40" s="2">
        <v>30</v>
      </c>
      <c r="B40" s="2" t="str">
        <f>IF(LEN(SUMMARY!B40)&gt;0, SUMMARY!B40, "")</f>
        <v/>
      </c>
      <c r="C40" s="2" t="str">
        <f>IF(LEN(SUMMARY!C40)&gt;0, SUMMARY!C40, "")</f>
        <v/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" t="str">
        <f t="shared" si="2"/>
        <v/>
      </c>
      <c r="S40" s="2" t="str">
        <f t="shared" si="3"/>
        <v/>
      </c>
      <c r="T40" s="2" t="str">
        <f t="shared" si="4"/>
        <v/>
      </c>
      <c r="U40" s="2" t="str">
        <f t="shared" si="5"/>
        <v/>
      </c>
      <c r="V40" s="2" t="str">
        <f t="shared" si="6"/>
        <v/>
      </c>
      <c r="W40" s="2" t="str">
        <f t="shared" si="7"/>
        <v/>
      </c>
      <c r="X40" s="2" t="str">
        <f t="shared" si="8"/>
        <v/>
      </c>
      <c r="Y40" s="2" t="str">
        <f t="shared" si="9"/>
        <v/>
      </c>
      <c r="Z40" s="2" t="str">
        <f t="shared" si="10"/>
        <v/>
      </c>
      <c r="AA40" s="2" t="str">
        <f t="shared" si="11"/>
        <v/>
      </c>
      <c r="AB40" s="2" t="str">
        <f t="shared" si="12"/>
        <v/>
      </c>
      <c r="AC40" s="2" t="str">
        <f t="shared" si="13"/>
        <v/>
      </c>
      <c r="AD40" s="2" t="str">
        <f t="shared" si="14"/>
        <v/>
      </c>
      <c r="AE40" s="2" t="str">
        <f t="shared" si="15"/>
        <v/>
      </c>
      <c r="AF40" s="2" t="str">
        <f t="shared" si="16"/>
        <v/>
      </c>
      <c r="AG40" s="2" t="str">
        <f t="shared" si="17"/>
        <v/>
      </c>
      <c r="AH40" s="2" t="str">
        <f t="shared" si="18"/>
        <v/>
      </c>
      <c r="AI40" s="2" t="str">
        <f t="shared" si="19"/>
        <v/>
      </c>
      <c r="AJ40" s="2" t="str">
        <f t="shared" si="20"/>
        <v/>
      </c>
      <c r="AK40" s="2" t="str">
        <f t="shared" si="21"/>
        <v/>
      </c>
      <c r="AL40" s="2" t="str">
        <f t="shared" si="22"/>
        <v/>
      </c>
      <c r="AM40" s="2" t="str">
        <f t="shared" si="23"/>
        <v/>
      </c>
      <c r="AN40" s="2" t="str">
        <f t="shared" si="24"/>
        <v/>
      </c>
      <c r="AP40" s="2" t="str" cm="1">
        <f t="array" ref="AP40">IF('NILAI CPL'!$B40&lt;&gt;"",IFERROR(_xlfn.IFS(S40&gt;='NILAI CPL'!$B$3,4,S40&gt;='NILAI CPL'!$B$4,3,S40&gt;='NILAI CPL'!$B$5,2,S40&gt;'NILAI CPL'!$B$6,1),0),"")</f>
        <v/>
      </c>
      <c r="AQ40" s="2" t="str" cm="1">
        <f t="array" ref="AQ40">IF('NILAI CPL'!$B40&lt;&gt;"",IFERROR(_xlfn.IFS(T40&gt;='NILAI CPL'!$B$3,4,T40&gt;='NILAI CPL'!$B$4,3,T40&gt;='NILAI CPL'!$B$5,2,T40&gt;'NILAI CPL'!$B$6,1),0),"")</f>
        <v/>
      </c>
      <c r="AR40" s="2" t="str" cm="1">
        <f t="array" ref="AR40">IF('NILAI CPL'!$B40&lt;&gt;"",IFERROR(_xlfn.IFS(U40&gt;='NILAI CPL'!$B$3,4,U40&gt;='NILAI CPL'!$B$4,3,U40&gt;='NILAI CPL'!$B$5,2,U40&gt;'NILAI CPL'!$B$6,1),0),"")</f>
        <v/>
      </c>
      <c r="AS40" s="2" t="str" cm="1">
        <f t="array" ref="AS40">IF('NILAI CPL'!$B40&lt;&gt;"",IFERROR(_xlfn.IFS(V40&gt;='NILAI CPL'!$B$3,4,V40&gt;='NILAI CPL'!$B$4,3,V40&gt;='NILAI CPL'!$B$5,2,V40&gt;'NILAI CPL'!$B$6,1),0),"")</f>
        <v/>
      </c>
      <c r="AT40" s="2" t="str" cm="1">
        <f t="array" ref="AT40">IF('NILAI CPL'!$B40&lt;&gt;"",IFERROR(_xlfn.IFS(W40&gt;='NILAI CPL'!$B$3,4,W40&gt;='NILAI CPL'!$B$4,3,W40&gt;='NILAI CPL'!$B$5,2,W40&gt;'NILAI CPL'!$B$6,1),0),"")</f>
        <v/>
      </c>
      <c r="AU40" s="2" t="str" cm="1">
        <f t="array" ref="AU40">IF('NILAI CPL'!$B40&lt;&gt;"",IFERROR(_xlfn.IFS(X40&gt;='NILAI CPL'!$B$3,4,X40&gt;='NILAI CPL'!$B$4,3,X40&gt;='NILAI CPL'!$B$5,2,X40&gt;'NILAI CPL'!$B$6,1),0),"")</f>
        <v/>
      </c>
      <c r="AV40" s="2" t="str" cm="1">
        <f t="array" ref="AV40">IF('NILAI CPL'!$B40&lt;&gt;"",IFERROR(_xlfn.IFS(Y40&gt;='NILAI CPL'!$B$3,4,Y40&gt;='NILAI CPL'!$B$4,3,Y40&gt;='NILAI CPL'!$B$5,2,Y40&gt;'NILAI CPL'!$B$6,1),0),"")</f>
        <v/>
      </c>
      <c r="AW40" s="2" t="str" cm="1">
        <f t="array" ref="AW40">IF('NILAI CPL'!$B40&lt;&gt;"",IFERROR(_xlfn.IFS(Z40&gt;='NILAI CPL'!$B$3,4,Z40&gt;='NILAI CPL'!$B$4,3,Z40&gt;='NILAI CPL'!$B$5,2,Z40&gt;'NILAI CPL'!$B$6,1),0),"")</f>
        <v/>
      </c>
      <c r="AX40" s="2" t="str" cm="1">
        <f t="array" ref="AX40">IF('NILAI CPL'!$B40&lt;&gt;"",IFERROR(_xlfn.IFS(AA40&gt;='NILAI CPL'!$B$3,4,AA40&gt;='NILAI CPL'!$B$4,3,AA40&gt;='NILAI CPL'!$B$5,2,AA40&gt;'NILAI CPL'!$B$6,1),0),"")</f>
        <v/>
      </c>
      <c r="AY40" s="2" t="str" cm="1">
        <f t="array" ref="AY40">IF('NILAI CPL'!$B40&lt;&gt;"",IFERROR(_xlfn.IFS(AB40&gt;='NILAI CPL'!$B$3,4,AB40&gt;='NILAI CPL'!$B$4,3,AB40&gt;='NILAI CPL'!$B$5,2,AB40&gt;'NILAI CPL'!$B$6,1),0),"")</f>
        <v/>
      </c>
      <c r="AZ40" s="2" t="str" cm="1">
        <f t="array" ref="AZ40">IF('NILAI CPL'!$B40&lt;&gt;"",IFERROR(_xlfn.IFS(AC40&gt;='NILAI CPL'!$B$3,4,AC40&gt;='NILAI CPL'!$B$4,3,AC40&gt;='NILAI CPL'!$B$5,2,AC40&gt;'NILAI CPL'!$B$6,1),0),"")</f>
        <v/>
      </c>
      <c r="BA40" s="2" t="str" cm="1">
        <f t="array" ref="BA40">IF('NILAI CPL'!$B40&lt;&gt;"",IFERROR(_xlfn.IFS(AD40&gt;='NILAI CPL'!$B$3,4,AD40&gt;='NILAI CPL'!$B$4,3,AD40&gt;='NILAI CPL'!$B$5,2,AD40&gt;'NILAI CPL'!$B$6,1),0),"")</f>
        <v/>
      </c>
      <c r="BB40" s="2" t="str" cm="1">
        <f t="array" ref="BB40">IF('NILAI CPL'!$B40&lt;&gt;"",IFERROR(_xlfn.IFS(AE40&gt;='NILAI CPL'!$B$3,4,AE40&gt;='NILAI CPL'!$B$4,3,AE40&gt;='NILAI CPL'!$B$5,2,AE40&gt;'NILAI CPL'!$B$6,1),0),"")</f>
        <v/>
      </c>
      <c r="BC40" s="2" t="str" cm="1">
        <f t="array" ref="BC40">IF('NILAI CPL'!$B40&lt;&gt;"",IFERROR(_xlfn.IFS(AF40&gt;='NILAI CPL'!$B$3,4,AF40&gt;='NILAI CPL'!$B$4,3,AF40&gt;='NILAI CPL'!$B$5,2,AF40&gt;'NILAI CPL'!$B$6,1),0),"")</f>
        <v/>
      </c>
      <c r="BD40" s="2" t="str" cm="1">
        <f t="array" ref="BD40">IF('NILAI CPL'!$B40&lt;&gt;"",IFERROR(_xlfn.IFS(AG40&gt;='NILAI CPL'!$B$3,4,AG40&gt;='NILAI CPL'!$B$4,3,AG40&gt;='NILAI CPL'!$B$5,2,AG40&gt;'NILAI CPL'!$B$6,1),0),"")</f>
        <v/>
      </c>
      <c r="BE40" s="2" t="str" cm="1">
        <f t="array" ref="BE40">IF('NILAI CPL'!$B40&lt;&gt;"",IFERROR(_xlfn.IFS(AH40&gt;='NILAI CPL'!$B$3,4,AH40&gt;='NILAI CPL'!$B$4,3,AH40&gt;='NILAI CPL'!$B$5,2,AH40&gt;'NILAI CPL'!$B$6,1),0),"")</f>
        <v/>
      </c>
      <c r="BF40" s="2" t="str" cm="1">
        <f t="array" ref="BF40">IF('NILAI CPL'!$B40&lt;&gt;"",IFERROR(_xlfn.IFS(AI40&gt;='NILAI CPL'!$B$3,4,AI40&gt;='NILAI CPL'!$B$4,3,AI40&gt;='NILAI CPL'!$B$5,2,AI40&gt;'NILAI CPL'!$B$6,1),0),"")</f>
        <v/>
      </c>
      <c r="BG40" s="2" t="str" cm="1">
        <f t="array" ref="BG40">IF('NILAI CPL'!$B40&lt;&gt;"",IFERROR(_xlfn.IFS(AJ40&gt;='NILAI CPL'!$B$3,4,AJ40&gt;='NILAI CPL'!$B$4,3,AJ40&gt;='NILAI CPL'!$B$5,2,AJ40&gt;'NILAI CPL'!$B$6,1),0),"")</f>
        <v/>
      </c>
      <c r="BH40" s="2" t="str" cm="1">
        <f t="array" ref="BH40">IF('NILAI CPL'!$B40&lt;&gt;"",IFERROR(_xlfn.IFS(AK40&gt;='NILAI CPL'!$B$3,4,AK40&gt;='NILAI CPL'!$B$4,3,AK40&gt;='NILAI CPL'!$B$5,2,AK40&gt;'NILAI CPL'!$B$6,1),0),"")</f>
        <v/>
      </c>
      <c r="BI40" s="2" t="str" cm="1">
        <f t="array" ref="BI40">IF('NILAI CPL'!$B40&lt;&gt;"",IFERROR(_xlfn.IFS(AL40&gt;='NILAI CPL'!$B$3,4,AL40&gt;='NILAI CPL'!$B$4,3,AL40&gt;='NILAI CPL'!$B$5,2,AL40&gt;'NILAI CPL'!$B$6,1),0),"")</f>
        <v/>
      </c>
      <c r="BJ40" s="2" t="str" cm="1">
        <f t="array" ref="BJ40">IF('NILAI CPL'!$B40&lt;&gt;"",IFERROR(_xlfn.IFS(AM40&gt;='NILAI CPL'!$B$3,4,AM40&gt;='NILAI CPL'!$B$4,3,AM40&gt;='NILAI CPL'!$B$5,2,AM40&gt;'NILAI CPL'!$B$6,1),0),"")</f>
        <v/>
      </c>
      <c r="BK40" s="2" t="str" cm="1">
        <f t="array" ref="BK40">IF('NILAI CPL'!$B40&lt;&gt;"",IFERROR(_xlfn.IFS(AN40&gt;='NILAI CPL'!$B$3,4,AN40&gt;='NILAI CPL'!$B$4,3,AN40&gt;='NILAI CPL'!$B$5,2,AN40&gt;'NILAI CPL'!$B$6,1),0),"")</f>
        <v/>
      </c>
    </row>
    <row r="41" spans="1:63" x14ac:dyDescent="0.2">
      <c r="A41" s="2">
        <v>31</v>
      </c>
      <c r="B41" s="2" t="str">
        <f>IF(LEN(SUMMARY!B41)&gt;0, SUMMARY!B41, "")</f>
        <v/>
      </c>
      <c r="C41" s="2" t="str">
        <f>IF(LEN(SUMMARY!C41)&gt;0, SUMMARY!C41, "")</f>
        <v/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" t="str">
        <f t="shared" si="2"/>
        <v/>
      </c>
      <c r="S41" s="2" t="str">
        <f t="shared" si="3"/>
        <v/>
      </c>
      <c r="T41" s="2" t="str">
        <f t="shared" si="4"/>
        <v/>
      </c>
      <c r="U41" s="2" t="str">
        <f t="shared" si="5"/>
        <v/>
      </c>
      <c r="V41" s="2" t="str">
        <f t="shared" si="6"/>
        <v/>
      </c>
      <c r="W41" s="2" t="str">
        <f t="shared" si="7"/>
        <v/>
      </c>
      <c r="X41" s="2" t="str">
        <f t="shared" si="8"/>
        <v/>
      </c>
      <c r="Y41" s="2" t="str">
        <f t="shared" si="9"/>
        <v/>
      </c>
      <c r="Z41" s="2" t="str">
        <f t="shared" si="10"/>
        <v/>
      </c>
      <c r="AA41" s="2" t="str">
        <f t="shared" si="11"/>
        <v/>
      </c>
      <c r="AB41" s="2" t="str">
        <f t="shared" si="12"/>
        <v/>
      </c>
      <c r="AC41" s="2" t="str">
        <f t="shared" si="13"/>
        <v/>
      </c>
      <c r="AD41" s="2" t="str">
        <f t="shared" si="14"/>
        <v/>
      </c>
      <c r="AE41" s="2" t="str">
        <f t="shared" si="15"/>
        <v/>
      </c>
      <c r="AF41" s="2" t="str">
        <f t="shared" si="16"/>
        <v/>
      </c>
      <c r="AG41" s="2" t="str">
        <f t="shared" si="17"/>
        <v/>
      </c>
      <c r="AH41" s="2" t="str">
        <f t="shared" si="18"/>
        <v/>
      </c>
      <c r="AI41" s="2" t="str">
        <f t="shared" si="19"/>
        <v/>
      </c>
      <c r="AJ41" s="2" t="str">
        <f t="shared" si="20"/>
        <v/>
      </c>
      <c r="AK41" s="2" t="str">
        <f t="shared" si="21"/>
        <v/>
      </c>
      <c r="AL41" s="2" t="str">
        <f t="shared" si="22"/>
        <v/>
      </c>
      <c r="AM41" s="2" t="str">
        <f t="shared" si="23"/>
        <v/>
      </c>
      <c r="AN41" s="2" t="str">
        <f t="shared" si="24"/>
        <v/>
      </c>
      <c r="AP41" s="2" t="str" cm="1">
        <f t="array" ref="AP41">IF('NILAI CPL'!$B41&lt;&gt;"",IFERROR(_xlfn.IFS(S41&gt;='NILAI CPL'!$B$3,4,S41&gt;='NILAI CPL'!$B$4,3,S41&gt;='NILAI CPL'!$B$5,2,S41&gt;'NILAI CPL'!$B$6,1),0),"")</f>
        <v/>
      </c>
      <c r="AQ41" s="2" t="str" cm="1">
        <f t="array" ref="AQ41">IF('NILAI CPL'!$B41&lt;&gt;"",IFERROR(_xlfn.IFS(T41&gt;='NILAI CPL'!$B$3,4,T41&gt;='NILAI CPL'!$B$4,3,T41&gt;='NILAI CPL'!$B$5,2,T41&gt;'NILAI CPL'!$B$6,1),0),"")</f>
        <v/>
      </c>
      <c r="AR41" s="2" t="str" cm="1">
        <f t="array" ref="AR41">IF('NILAI CPL'!$B41&lt;&gt;"",IFERROR(_xlfn.IFS(U41&gt;='NILAI CPL'!$B$3,4,U41&gt;='NILAI CPL'!$B$4,3,U41&gt;='NILAI CPL'!$B$5,2,U41&gt;'NILAI CPL'!$B$6,1),0),"")</f>
        <v/>
      </c>
      <c r="AS41" s="2" t="str" cm="1">
        <f t="array" ref="AS41">IF('NILAI CPL'!$B41&lt;&gt;"",IFERROR(_xlfn.IFS(V41&gt;='NILAI CPL'!$B$3,4,V41&gt;='NILAI CPL'!$B$4,3,V41&gt;='NILAI CPL'!$B$5,2,V41&gt;'NILAI CPL'!$B$6,1),0),"")</f>
        <v/>
      </c>
      <c r="AT41" s="2" t="str" cm="1">
        <f t="array" ref="AT41">IF('NILAI CPL'!$B41&lt;&gt;"",IFERROR(_xlfn.IFS(W41&gt;='NILAI CPL'!$B$3,4,W41&gt;='NILAI CPL'!$B$4,3,W41&gt;='NILAI CPL'!$B$5,2,W41&gt;'NILAI CPL'!$B$6,1),0),"")</f>
        <v/>
      </c>
      <c r="AU41" s="2" t="str" cm="1">
        <f t="array" ref="AU41">IF('NILAI CPL'!$B41&lt;&gt;"",IFERROR(_xlfn.IFS(X41&gt;='NILAI CPL'!$B$3,4,X41&gt;='NILAI CPL'!$B$4,3,X41&gt;='NILAI CPL'!$B$5,2,X41&gt;'NILAI CPL'!$B$6,1),0),"")</f>
        <v/>
      </c>
      <c r="AV41" s="2" t="str" cm="1">
        <f t="array" ref="AV41">IF('NILAI CPL'!$B41&lt;&gt;"",IFERROR(_xlfn.IFS(Y41&gt;='NILAI CPL'!$B$3,4,Y41&gt;='NILAI CPL'!$B$4,3,Y41&gt;='NILAI CPL'!$B$5,2,Y41&gt;'NILAI CPL'!$B$6,1),0),"")</f>
        <v/>
      </c>
      <c r="AW41" s="2" t="str" cm="1">
        <f t="array" ref="AW41">IF('NILAI CPL'!$B41&lt;&gt;"",IFERROR(_xlfn.IFS(Z41&gt;='NILAI CPL'!$B$3,4,Z41&gt;='NILAI CPL'!$B$4,3,Z41&gt;='NILAI CPL'!$B$5,2,Z41&gt;'NILAI CPL'!$B$6,1),0),"")</f>
        <v/>
      </c>
      <c r="AX41" s="2" t="str" cm="1">
        <f t="array" ref="AX41">IF('NILAI CPL'!$B41&lt;&gt;"",IFERROR(_xlfn.IFS(AA41&gt;='NILAI CPL'!$B$3,4,AA41&gt;='NILAI CPL'!$B$4,3,AA41&gt;='NILAI CPL'!$B$5,2,AA41&gt;'NILAI CPL'!$B$6,1),0),"")</f>
        <v/>
      </c>
      <c r="AY41" s="2" t="str" cm="1">
        <f t="array" ref="AY41">IF('NILAI CPL'!$B41&lt;&gt;"",IFERROR(_xlfn.IFS(AB41&gt;='NILAI CPL'!$B$3,4,AB41&gt;='NILAI CPL'!$B$4,3,AB41&gt;='NILAI CPL'!$B$5,2,AB41&gt;'NILAI CPL'!$B$6,1),0),"")</f>
        <v/>
      </c>
      <c r="AZ41" s="2" t="str" cm="1">
        <f t="array" ref="AZ41">IF('NILAI CPL'!$B41&lt;&gt;"",IFERROR(_xlfn.IFS(AC41&gt;='NILAI CPL'!$B$3,4,AC41&gt;='NILAI CPL'!$B$4,3,AC41&gt;='NILAI CPL'!$B$5,2,AC41&gt;'NILAI CPL'!$B$6,1),0),"")</f>
        <v/>
      </c>
      <c r="BA41" s="2" t="str" cm="1">
        <f t="array" ref="BA41">IF('NILAI CPL'!$B41&lt;&gt;"",IFERROR(_xlfn.IFS(AD41&gt;='NILAI CPL'!$B$3,4,AD41&gt;='NILAI CPL'!$B$4,3,AD41&gt;='NILAI CPL'!$B$5,2,AD41&gt;'NILAI CPL'!$B$6,1),0),"")</f>
        <v/>
      </c>
      <c r="BB41" s="2" t="str" cm="1">
        <f t="array" ref="BB41">IF('NILAI CPL'!$B41&lt;&gt;"",IFERROR(_xlfn.IFS(AE41&gt;='NILAI CPL'!$B$3,4,AE41&gt;='NILAI CPL'!$B$4,3,AE41&gt;='NILAI CPL'!$B$5,2,AE41&gt;'NILAI CPL'!$B$6,1),0),"")</f>
        <v/>
      </c>
      <c r="BC41" s="2" t="str" cm="1">
        <f t="array" ref="BC41">IF('NILAI CPL'!$B41&lt;&gt;"",IFERROR(_xlfn.IFS(AF41&gt;='NILAI CPL'!$B$3,4,AF41&gt;='NILAI CPL'!$B$4,3,AF41&gt;='NILAI CPL'!$B$5,2,AF41&gt;'NILAI CPL'!$B$6,1),0),"")</f>
        <v/>
      </c>
      <c r="BD41" s="2" t="str" cm="1">
        <f t="array" ref="BD41">IF('NILAI CPL'!$B41&lt;&gt;"",IFERROR(_xlfn.IFS(AG41&gt;='NILAI CPL'!$B$3,4,AG41&gt;='NILAI CPL'!$B$4,3,AG41&gt;='NILAI CPL'!$B$5,2,AG41&gt;'NILAI CPL'!$B$6,1),0),"")</f>
        <v/>
      </c>
      <c r="BE41" s="2" t="str" cm="1">
        <f t="array" ref="BE41">IF('NILAI CPL'!$B41&lt;&gt;"",IFERROR(_xlfn.IFS(AH41&gt;='NILAI CPL'!$B$3,4,AH41&gt;='NILAI CPL'!$B$4,3,AH41&gt;='NILAI CPL'!$B$5,2,AH41&gt;'NILAI CPL'!$B$6,1),0),"")</f>
        <v/>
      </c>
      <c r="BF41" s="2" t="str" cm="1">
        <f t="array" ref="BF41">IF('NILAI CPL'!$B41&lt;&gt;"",IFERROR(_xlfn.IFS(AI41&gt;='NILAI CPL'!$B$3,4,AI41&gt;='NILAI CPL'!$B$4,3,AI41&gt;='NILAI CPL'!$B$5,2,AI41&gt;'NILAI CPL'!$B$6,1),0),"")</f>
        <v/>
      </c>
      <c r="BG41" s="2" t="str" cm="1">
        <f t="array" ref="BG41">IF('NILAI CPL'!$B41&lt;&gt;"",IFERROR(_xlfn.IFS(AJ41&gt;='NILAI CPL'!$B$3,4,AJ41&gt;='NILAI CPL'!$B$4,3,AJ41&gt;='NILAI CPL'!$B$5,2,AJ41&gt;'NILAI CPL'!$B$6,1),0),"")</f>
        <v/>
      </c>
      <c r="BH41" s="2" t="str" cm="1">
        <f t="array" ref="BH41">IF('NILAI CPL'!$B41&lt;&gt;"",IFERROR(_xlfn.IFS(AK41&gt;='NILAI CPL'!$B$3,4,AK41&gt;='NILAI CPL'!$B$4,3,AK41&gt;='NILAI CPL'!$B$5,2,AK41&gt;'NILAI CPL'!$B$6,1),0),"")</f>
        <v/>
      </c>
      <c r="BI41" s="2" t="str" cm="1">
        <f t="array" ref="BI41">IF('NILAI CPL'!$B41&lt;&gt;"",IFERROR(_xlfn.IFS(AL41&gt;='NILAI CPL'!$B$3,4,AL41&gt;='NILAI CPL'!$B$4,3,AL41&gt;='NILAI CPL'!$B$5,2,AL41&gt;'NILAI CPL'!$B$6,1),0),"")</f>
        <v/>
      </c>
      <c r="BJ41" s="2" t="str" cm="1">
        <f t="array" ref="BJ41">IF('NILAI CPL'!$B41&lt;&gt;"",IFERROR(_xlfn.IFS(AM41&gt;='NILAI CPL'!$B$3,4,AM41&gt;='NILAI CPL'!$B$4,3,AM41&gt;='NILAI CPL'!$B$5,2,AM41&gt;'NILAI CPL'!$B$6,1),0),"")</f>
        <v/>
      </c>
      <c r="BK41" s="2" t="str" cm="1">
        <f t="array" ref="BK41">IF('NILAI CPL'!$B41&lt;&gt;"",IFERROR(_xlfn.IFS(AN41&gt;='NILAI CPL'!$B$3,4,AN41&gt;='NILAI CPL'!$B$4,3,AN41&gt;='NILAI CPL'!$B$5,2,AN41&gt;'NILAI CPL'!$B$6,1),0),"")</f>
        <v/>
      </c>
    </row>
    <row r="42" spans="1:63" x14ac:dyDescent="0.2">
      <c r="A42" s="2">
        <v>32</v>
      </c>
      <c r="B42" s="2" t="str">
        <f>IF(LEN(SUMMARY!B42)&gt;0, SUMMARY!B42, "")</f>
        <v/>
      </c>
      <c r="C42" s="2" t="str">
        <f>IF(LEN(SUMMARY!C42)&gt;0, SUMMARY!C42, "")</f>
        <v/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" t="str">
        <f t="shared" si="2"/>
        <v/>
      </c>
      <c r="S42" s="2" t="str">
        <f t="shared" si="3"/>
        <v/>
      </c>
      <c r="T42" s="2" t="str">
        <f t="shared" si="4"/>
        <v/>
      </c>
      <c r="U42" s="2" t="str">
        <f t="shared" si="5"/>
        <v/>
      </c>
      <c r="V42" s="2" t="str">
        <f t="shared" si="6"/>
        <v/>
      </c>
      <c r="W42" s="2" t="str">
        <f t="shared" si="7"/>
        <v/>
      </c>
      <c r="X42" s="2" t="str">
        <f t="shared" si="8"/>
        <v/>
      </c>
      <c r="Y42" s="2" t="str">
        <f t="shared" si="9"/>
        <v/>
      </c>
      <c r="Z42" s="2" t="str">
        <f t="shared" si="10"/>
        <v/>
      </c>
      <c r="AA42" s="2" t="str">
        <f t="shared" si="11"/>
        <v/>
      </c>
      <c r="AB42" s="2" t="str">
        <f t="shared" si="12"/>
        <v/>
      </c>
      <c r="AC42" s="2" t="str">
        <f t="shared" si="13"/>
        <v/>
      </c>
      <c r="AD42" s="2" t="str">
        <f t="shared" si="14"/>
        <v/>
      </c>
      <c r="AE42" s="2" t="str">
        <f t="shared" si="15"/>
        <v/>
      </c>
      <c r="AF42" s="2" t="str">
        <f t="shared" si="16"/>
        <v/>
      </c>
      <c r="AG42" s="2" t="str">
        <f t="shared" si="17"/>
        <v/>
      </c>
      <c r="AH42" s="2" t="str">
        <f t="shared" si="18"/>
        <v/>
      </c>
      <c r="AI42" s="2" t="str">
        <f t="shared" si="19"/>
        <v/>
      </c>
      <c r="AJ42" s="2" t="str">
        <f t="shared" si="20"/>
        <v/>
      </c>
      <c r="AK42" s="2" t="str">
        <f t="shared" si="21"/>
        <v/>
      </c>
      <c r="AL42" s="2" t="str">
        <f t="shared" si="22"/>
        <v/>
      </c>
      <c r="AM42" s="2" t="str">
        <f t="shared" si="23"/>
        <v/>
      </c>
      <c r="AN42" s="2" t="str">
        <f t="shared" si="24"/>
        <v/>
      </c>
      <c r="AP42" s="2" t="str" cm="1">
        <f t="array" ref="AP42">IF('NILAI CPL'!$B42&lt;&gt;"",IFERROR(_xlfn.IFS(S42&gt;='NILAI CPL'!$B$3,4,S42&gt;='NILAI CPL'!$B$4,3,S42&gt;='NILAI CPL'!$B$5,2,S42&gt;'NILAI CPL'!$B$6,1),0),"")</f>
        <v/>
      </c>
      <c r="AQ42" s="2" t="str" cm="1">
        <f t="array" ref="AQ42">IF('NILAI CPL'!$B42&lt;&gt;"",IFERROR(_xlfn.IFS(T42&gt;='NILAI CPL'!$B$3,4,T42&gt;='NILAI CPL'!$B$4,3,T42&gt;='NILAI CPL'!$B$5,2,T42&gt;'NILAI CPL'!$B$6,1),0),"")</f>
        <v/>
      </c>
      <c r="AR42" s="2" t="str" cm="1">
        <f t="array" ref="AR42">IF('NILAI CPL'!$B42&lt;&gt;"",IFERROR(_xlfn.IFS(U42&gt;='NILAI CPL'!$B$3,4,U42&gt;='NILAI CPL'!$B$4,3,U42&gt;='NILAI CPL'!$B$5,2,U42&gt;'NILAI CPL'!$B$6,1),0),"")</f>
        <v/>
      </c>
      <c r="AS42" s="2" t="str" cm="1">
        <f t="array" ref="AS42">IF('NILAI CPL'!$B42&lt;&gt;"",IFERROR(_xlfn.IFS(V42&gt;='NILAI CPL'!$B$3,4,V42&gt;='NILAI CPL'!$B$4,3,V42&gt;='NILAI CPL'!$B$5,2,V42&gt;'NILAI CPL'!$B$6,1),0),"")</f>
        <v/>
      </c>
      <c r="AT42" s="2" t="str" cm="1">
        <f t="array" ref="AT42">IF('NILAI CPL'!$B42&lt;&gt;"",IFERROR(_xlfn.IFS(W42&gt;='NILAI CPL'!$B$3,4,W42&gt;='NILAI CPL'!$B$4,3,W42&gt;='NILAI CPL'!$B$5,2,W42&gt;'NILAI CPL'!$B$6,1),0),"")</f>
        <v/>
      </c>
      <c r="AU42" s="2" t="str" cm="1">
        <f t="array" ref="AU42">IF('NILAI CPL'!$B42&lt;&gt;"",IFERROR(_xlfn.IFS(X42&gt;='NILAI CPL'!$B$3,4,X42&gt;='NILAI CPL'!$B$4,3,X42&gt;='NILAI CPL'!$B$5,2,X42&gt;'NILAI CPL'!$B$6,1),0),"")</f>
        <v/>
      </c>
      <c r="AV42" s="2" t="str" cm="1">
        <f t="array" ref="AV42">IF('NILAI CPL'!$B42&lt;&gt;"",IFERROR(_xlfn.IFS(Y42&gt;='NILAI CPL'!$B$3,4,Y42&gt;='NILAI CPL'!$B$4,3,Y42&gt;='NILAI CPL'!$B$5,2,Y42&gt;'NILAI CPL'!$B$6,1),0),"")</f>
        <v/>
      </c>
      <c r="AW42" s="2" t="str" cm="1">
        <f t="array" ref="AW42">IF('NILAI CPL'!$B42&lt;&gt;"",IFERROR(_xlfn.IFS(Z42&gt;='NILAI CPL'!$B$3,4,Z42&gt;='NILAI CPL'!$B$4,3,Z42&gt;='NILAI CPL'!$B$5,2,Z42&gt;'NILAI CPL'!$B$6,1),0),"")</f>
        <v/>
      </c>
      <c r="AX42" s="2" t="str" cm="1">
        <f t="array" ref="AX42">IF('NILAI CPL'!$B42&lt;&gt;"",IFERROR(_xlfn.IFS(AA42&gt;='NILAI CPL'!$B$3,4,AA42&gt;='NILAI CPL'!$B$4,3,AA42&gt;='NILAI CPL'!$B$5,2,AA42&gt;'NILAI CPL'!$B$6,1),0),"")</f>
        <v/>
      </c>
      <c r="AY42" s="2" t="str" cm="1">
        <f t="array" ref="AY42">IF('NILAI CPL'!$B42&lt;&gt;"",IFERROR(_xlfn.IFS(AB42&gt;='NILAI CPL'!$B$3,4,AB42&gt;='NILAI CPL'!$B$4,3,AB42&gt;='NILAI CPL'!$B$5,2,AB42&gt;'NILAI CPL'!$B$6,1),0),"")</f>
        <v/>
      </c>
      <c r="AZ42" s="2" t="str" cm="1">
        <f t="array" ref="AZ42">IF('NILAI CPL'!$B42&lt;&gt;"",IFERROR(_xlfn.IFS(AC42&gt;='NILAI CPL'!$B$3,4,AC42&gt;='NILAI CPL'!$B$4,3,AC42&gt;='NILAI CPL'!$B$5,2,AC42&gt;'NILAI CPL'!$B$6,1),0),"")</f>
        <v/>
      </c>
      <c r="BA42" s="2" t="str" cm="1">
        <f t="array" ref="BA42">IF('NILAI CPL'!$B42&lt;&gt;"",IFERROR(_xlfn.IFS(AD42&gt;='NILAI CPL'!$B$3,4,AD42&gt;='NILAI CPL'!$B$4,3,AD42&gt;='NILAI CPL'!$B$5,2,AD42&gt;'NILAI CPL'!$B$6,1),0),"")</f>
        <v/>
      </c>
      <c r="BB42" s="2" t="str" cm="1">
        <f t="array" ref="BB42">IF('NILAI CPL'!$B42&lt;&gt;"",IFERROR(_xlfn.IFS(AE42&gt;='NILAI CPL'!$B$3,4,AE42&gt;='NILAI CPL'!$B$4,3,AE42&gt;='NILAI CPL'!$B$5,2,AE42&gt;'NILAI CPL'!$B$6,1),0),"")</f>
        <v/>
      </c>
      <c r="BC42" s="2" t="str" cm="1">
        <f t="array" ref="BC42">IF('NILAI CPL'!$B42&lt;&gt;"",IFERROR(_xlfn.IFS(AF42&gt;='NILAI CPL'!$B$3,4,AF42&gt;='NILAI CPL'!$B$4,3,AF42&gt;='NILAI CPL'!$B$5,2,AF42&gt;'NILAI CPL'!$B$6,1),0),"")</f>
        <v/>
      </c>
      <c r="BD42" s="2" t="str" cm="1">
        <f t="array" ref="BD42">IF('NILAI CPL'!$B42&lt;&gt;"",IFERROR(_xlfn.IFS(AG42&gt;='NILAI CPL'!$B$3,4,AG42&gt;='NILAI CPL'!$B$4,3,AG42&gt;='NILAI CPL'!$B$5,2,AG42&gt;'NILAI CPL'!$B$6,1),0),"")</f>
        <v/>
      </c>
      <c r="BE42" s="2" t="str" cm="1">
        <f t="array" ref="BE42">IF('NILAI CPL'!$B42&lt;&gt;"",IFERROR(_xlfn.IFS(AH42&gt;='NILAI CPL'!$B$3,4,AH42&gt;='NILAI CPL'!$B$4,3,AH42&gt;='NILAI CPL'!$B$5,2,AH42&gt;'NILAI CPL'!$B$6,1),0),"")</f>
        <v/>
      </c>
      <c r="BF42" s="2" t="str" cm="1">
        <f t="array" ref="BF42">IF('NILAI CPL'!$B42&lt;&gt;"",IFERROR(_xlfn.IFS(AI42&gt;='NILAI CPL'!$B$3,4,AI42&gt;='NILAI CPL'!$B$4,3,AI42&gt;='NILAI CPL'!$B$5,2,AI42&gt;'NILAI CPL'!$B$6,1),0),"")</f>
        <v/>
      </c>
      <c r="BG42" s="2" t="str" cm="1">
        <f t="array" ref="BG42">IF('NILAI CPL'!$B42&lt;&gt;"",IFERROR(_xlfn.IFS(AJ42&gt;='NILAI CPL'!$B$3,4,AJ42&gt;='NILAI CPL'!$B$4,3,AJ42&gt;='NILAI CPL'!$B$5,2,AJ42&gt;'NILAI CPL'!$B$6,1),0),"")</f>
        <v/>
      </c>
      <c r="BH42" s="2" t="str" cm="1">
        <f t="array" ref="BH42">IF('NILAI CPL'!$B42&lt;&gt;"",IFERROR(_xlfn.IFS(AK42&gt;='NILAI CPL'!$B$3,4,AK42&gt;='NILAI CPL'!$B$4,3,AK42&gt;='NILAI CPL'!$B$5,2,AK42&gt;'NILAI CPL'!$B$6,1),0),"")</f>
        <v/>
      </c>
      <c r="BI42" s="2" t="str" cm="1">
        <f t="array" ref="BI42">IF('NILAI CPL'!$B42&lt;&gt;"",IFERROR(_xlfn.IFS(AL42&gt;='NILAI CPL'!$B$3,4,AL42&gt;='NILAI CPL'!$B$4,3,AL42&gt;='NILAI CPL'!$B$5,2,AL42&gt;'NILAI CPL'!$B$6,1),0),"")</f>
        <v/>
      </c>
      <c r="BJ42" s="2" t="str" cm="1">
        <f t="array" ref="BJ42">IF('NILAI CPL'!$B42&lt;&gt;"",IFERROR(_xlfn.IFS(AM42&gt;='NILAI CPL'!$B$3,4,AM42&gt;='NILAI CPL'!$B$4,3,AM42&gt;='NILAI CPL'!$B$5,2,AM42&gt;'NILAI CPL'!$B$6,1),0),"")</f>
        <v/>
      </c>
      <c r="BK42" s="2" t="str" cm="1">
        <f t="array" ref="BK42">IF('NILAI CPL'!$B42&lt;&gt;"",IFERROR(_xlfn.IFS(AN42&gt;='NILAI CPL'!$B$3,4,AN42&gt;='NILAI CPL'!$B$4,3,AN42&gt;='NILAI CPL'!$B$5,2,AN42&gt;'NILAI CPL'!$B$6,1),0),"")</f>
        <v/>
      </c>
    </row>
    <row r="43" spans="1:63" x14ac:dyDescent="0.2">
      <c r="A43" s="2">
        <v>33</v>
      </c>
      <c r="B43" s="2" t="str">
        <f>IF(LEN(SUMMARY!B43)&gt;0, SUMMARY!B43, "")</f>
        <v/>
      </c>
      <c r="C43" s="2" t="str">
        <f>IF(LEN(SUMMARY!C43)&gt;0, SUMMARY!C43, "")</f>
        <v/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" t="str">
        <f t="shared" si="2"/>
        <v/>
      </c>
      <c r="S43" s="2" t="str">
        <f t="shared" si="3"/>
        <v/>
      </c>
      <c r="T43" s="2" t="str">
        <f t="shared" si="4"/>
        <v/>
      </c>
      <c r="U43" s="2" t="str">
        <f t="shared" si="5"/>
        <v/>
      </c>
      <c r="V43" s="2" t="str">
        <f t="shared" si="6"/>
        <v/>
      </c>
      <c r="W43" s="2" t="str">
        <f t="shared" si="7"/>
        <v/>
      </c>
      <c r="X43" s="2" t="str">
        <f t="shared" si="8"/>
        <v/>
      </c>
      <c r="Y43" s="2" t="str">
        <f t="shared" si="9"/>
        <v/>
      </c>
      <c r="Z43" s="2" t="str">
        <f t="shared" si="10"/>
        <v/>
      </c>
      <c r="AA43" s="2" t="str">
        <f t="shared" si="11"/>
        <v/>
      </c>
      <c r="AB43" s="2" t="str">
        <f t="shared" si="12"/>
        <v/>
      </c>
      <c r="AC43" s="2" t="str">
        <f t="shared" si="13"/>
        <v/>
      </c>
      <c r="AD43" s="2" t="str">
        <f t="shared" si="14"/>
        <v/>
      </c>
      <c r="AE43" s="2" t="str">
        <f t="shared" si="15"/>
        <v/>
      </c>
      <c r="AF43" s="2" t="str">
        <f t="shared" si="16"/>
        <v/>
      </c>
      <c r="AG43" s="2" t="str">
        <f t="shared" si="17"/>
        <v/>
      </c>
      <c r="AH43" s="2" t="str">
        <f t="shared" si="18"/>
        <v/>
      </c>
      <c r="AI43" s="2" t="str">
        <f t="shared" si="19"/>
        <v/>
      </c>
      <c r="AJ43" s="2" t="str">
        <f t="shared" si="20"/>
        <v/>
      </c>
      <c r="AK43" s="2" t="str">
        <f t="shared" si="21"/>
        <v/>
      </c>
      <c r="AL43" s="2" t="str">
        <f t="shared" si="22"/>
        <v/>
      </c>
      <c r="AM43" s="2" t="str">
        <f t="shared" si="23"/>
        <v/>
      </c>
      <c r="AN43" s="2" t="str">
        <f t="shared" si="24"/>
        <v/>
      </c>
      <c r="AP43" s="2" t="str" cm="1">
        <f t="array" ref="AP43">IF('NILAI CPL'!$B43&lt;&gt;"",IFERROR(_xlfn.IFS(S43&gt;='NILAI CPL'!$B$3,4,S43&gt;='NILAI CPL'!$B$4,3,S43&gt;='NILAI CPL'!$B$5,2,S43&gt;'NILAI CPL'!$B$6,1),0),"")</f>
        <v/>
      </c>
      <c r="AQ43" s="2" t="str" cm="1">
        <f t="array" ref="AQ43">IF('NILAI CPL'!$B43&lt;&gt;"",IFERROR(_xlfn.IFS(T43&gt;='NILAI CPL'!$B$3,4,T43&gt;='NILAI CPL'!$B$4,3,T43&gt;='NILAI CPL'!$B$5,2,T43&gt;'NILAI CPL'!$B$6,1),0),"")</f>
        <v/>
      </c>
      <c r="AR43" s="2" t="str" cm="1">
        <f t="array" ref="AR43">IF('NILAI CPL'!$B43&lt;&gt;"",IFERROR(_xlfn.IFS(U43&gt;='NILAI CPL'!$B$3,4,U43&gt;='NILAI CPL'!$B$4,3,U43&gt;='NILAI CPL'!$B$5,2,U43&gt;'NILAI CPL'!$B$6,1),0),"")</f>
        <v/>
      </c>
      <c r="AS43" s="2" t="str" cm="1">
        <f t="array" ref="AS43">IF('NILAI CPL'!$B43&lt;&gt;"",IFERROR(_xlfn.IFS(V43&gt;='NILAI CPL'!$B$3,4,V43&gt;='NILAI CPL'!$B$4,3,V43&gt;='NILAI CPL'!$B$5,2,V43&gt;'NILAI CPL'!$B$6,1),0),"")</f>
        <v/>
      </c>
      <c r="AT43" s="2" t="str" cm="1">
        <f t="array" ref="AT43">IF('NILAI CPL'!$B43&lt;&gt;"",IFERROR(_xlfn.IFS(W43&gt;='NILAI CPL'!$B$3,4,W43&gt;='NILAI CPL'!$B$4,3,W43&gt;='NILAI CPL'!$B$5,2,W43&gt;'NILAI CPL'!$B$6,1),0),"")</f>
        <v/>
      </c>
      <c r="AU43" s="2" t="str" cm="1">
        <f t="array" ref="AU43">IF('NILAI CPL'!$B43&lt;&gt;"",IFERROR(_xlfn.IFS(X43&gt;='NILAI CPL'!$B$3,4,X43&gt;='NILAI CPL'!$B$4,3,X43&gt;='NILAI CPL'!$B$5,2,X43&gt;'NILAI CPL'!$B$6,1),0),"")</f>
        <v/>
      </c>
      <c r="AV43" s="2" t="str" cm="1">
        <f t="array" ref="AV43">IF('NILAI CPL'!$B43&lt;&gt;"",IFERROR(_xlfn.IFS(Y43&gt;='NILAI CPL'!$B$3,4,Y43&gt;='NILAI CPL'!$B$4,3,Y43&gt;='NILAI CPL'!$B$5,2,Y43&gt;'NILAI CPL'!$B$6,1),0),"")</f>
        <v/>
      </c>
      <c r="AW43" s="2" t="str" cm="1">
        <f t="array" ref="AW43">IF('NILAI CPL'!$B43&lt;&gt;"",IFERROR(_xlfn.IFS(Z43&gt;='NILAI CPL'!$B$3,4,Z43&gt;='NILAI CPL'!$B$4,3,Z43&gt;='NILAI CPL'!$B$5,2,Z43&gt;'NILAI CPL'!$B$6,1),0),"")</f>
        <v/>
      </c>
      <c r="AX43" s="2" t="str" cm="1">
        <f t="array" ref="AX43">IF('NILAI CPL'!$B43&lt;&gt;"",IFERROR(_xlfn.IFS(AA43&gt;='NILAI CPL'!$B$3,4,AA43&gt;='NILAI CPL'!$B$4,3,AA43&gt;='NILAI CPL'!$B$5,2,AA43&gt;'NILAI CPL'!$B$6,1),0),"")</f>
        <v/>
      </c>
      <c r="AY43" s="2" t="str" cm="1">
        <f t="array" ref="AY43">IF('NILAI CPL'!$B43&lt;&gt;"",IFERROR(_xlfn.IFS(AB43&gt;='NILAI CPL'!$B$3,4,AB43&gt;='NILAI CPL'!$B$4,3,AB43&gt;='NILAI CPL'!$B$5,2,AB43&gt;'NILAI CPL'!$B$6,1),0),"")</f>
        <v/>
      </c>
      <c r="AZ43" s="2" t="str" cm="1">
        <f t="array" ref="AZ43">IF('NILAI CPL'!$B43&lt;&gt;"",IFERROR(_xlfn.IFS(AC43&gt;='NILAI CPL'!$B$3,4,AC43&gt;='NILAI CPL'!$B$4,3,AC43&gt;='NILAI CPL'!$B$5,2,AC43&gt;'NILAI CPL'!$B$6,1),0),"")</f>
        <v/>
      </c>
      <c r="BA43" s="2" t="str" cm="1">
        <f t="array" ref="BA43">IF('NILAI CPL'!$B43&lt;&gt;"",IFERROR(_xlfn.IFS(AD43&gt;='NILAI CPL'!$B$3,4,AD43&gt;='NILAI CPL'!$B$4,3,AD43&gt;='NILAI CPL'!$B$5,2,AD43&gt;'NILAI CPL'!$B$6,1),0),"")</f>
        <v/>
      </c>
      <c r="BB43" s="2" t="str" cm="1">
        <f t="array" ref="BB43">IF('NILAI CPL'!$B43&lt;&gt;"",IFERROR(_xlfn.IFS(AE43&gt;='NILAI CPL'!$B$3,4,AE43&gt;='NILAI CPL'!$B$4,3,AE43&gt;='NILAI CPL'!$B$5,2,AE43&gt;'NILAI CPL'!$B$6,1),0),"")</f>
        <v/>
      </c>
      <c r="BC43" s="2" t="str" cm="1">
        <f t="array" ref="BC43">IF('NILAI CPL'!$B43&lt;&gt;"",IFERROR(_xlfn.IFS(AF43&gt;='NILAI CPL'!$B$3,4,AF43&gt;='NILAI CPL'!$B$4,3,AF43&gt;='NILAI CPL'!$B$5,2,AF43&gt;'NILAI CPL'!$B$6,1),0),"")</f>
        <v/>
      </c>
      <c r="BD43" s="2" t="str" cm="1">
        <f t="array" ref="BD43">IF('NILAI CPL'!$B43&lt;&gt;"",IFERROR(_xlfn.IFS(AG43&gt;='NILAI CPL'!$B$3,4,AG43&gt;='NILAI CPL'!$B$4,3,AG43&gt;='NILAI CPL'!$B$5,2,AG43&gt;'NILAI CPL'!$B$6,1),0),"")</f>
        <v/>
      </c>
      <c r="BE43" s="2" t="str" cm="1">
        <f t="array" ref="BE43">IF('NILAI CPL'!$B43&lt;&gt;"",IFERROR(_xlfn.IFS(AH43&gt;='NILAI CPL'!$B$3,4,AH43&gt;='NILAI CPL'!$B$4,3,AH43&gt;='NILAI CPL'!$B$5,2,AH43&gt;'NILAI CPL'!$B$6,1),0),"")</f>
        <v/>
      </c>
      <c r="BF43" s="2" t="str" cm="1">
        <f t="array" ref="BF43">IF('NILAI CPL'!$B43&lt;&gt;"",IFERROR(_xlfn.IFS(AI43&gt;='NILAI CPL'!$B$3,4,AI43&gt;='NILAI CPL'!$B$4,3,AI43&gt;='NILAI CPL'!$B$5,2,AI43&gt;'NILAI CPL'!$B$6,1),0),"")</f>
        <v/>
      </c>
      <c r="BG43" s="2" t="str" cm="1">
        <f t="array" ref="BG43">IF('NILAI CPL'!$B43&lt;&gt;"",IFERROR(_xlfn.IFS(AJ43&gt;='NILAI CPL'!$B$3,4,AJ43&gt;='NILAI CPL'!$B$4,3,AJ43&gt;='NILAI CPL'!$B$5,2,AJ43&gt;'NILAI CPL'!$B$6,1),0),"")</f>
        <v/>
      </c>
      <c r="BH43" s="2" t="str" cm="1">
        <f t="array" ref="BH43">IF('NILAI CPL'!$B43&lt;&gt;"",IFERROR(_xlfn.IFS(AK43&gt;='NILAI CPL'!$B$3,4,AK43&gt;='NILAI CPL'!$B$4,3,AK43&gt;='NILAI CPL'!$B$5,2,AK43&gt;'NILAI CPL'!$B$6,1),0),"")</f>
        <v/>
      </c>
      <c r="BI43" s="2" t="str" cm="1">
        <f t="array" ref="BI43">IF('NILAI CPL'!$B43&lt;&gt;"",IFERROR(_xlfn.IFS(AL43&gt;='NILAI CPL'!$B$3,4,AL43&gt;='NILAI CPL'!$B$4,3,AL43&gt;='NILAI CPL'!$B$5,2,AL43&gt;'NILAI CPL'!$B$6,1),0),"")</f>
        <v/>
      </c>
      <c r="BJ43" s="2" t="str" cm="1">
        <f t="array" ref="BJ43">IF('NILAI CPL'!$B43&lt;&gt;"",IFERROR(_xlfn.IFS(AM43&gt;='NILAI CPL'!$B$3,4,AM43&gt;='NILAI CPL'!$B$4,3,AM43&gt;='NILAI CPL'!$B$5,2,AM43&gt;'NILAI CPL'!$B$6,1),0),"")</f>
        <v/>
      </c>
      <c r="BK43" s="2" t="str" cm="1">
        <f t="array" ref="BK43">IF('NILAI CPL'!$B43&lt;&gt;"",IFERROR(_xlfn.IFS(AN43&gt;='NILAI CPL'!$B$3,4,AN43&gt;='NILAI CPL'!$B$4,3,AN43&gt;='NILAI CPL'!$B$5,2,AN43&gt;'NILAI CPL'!$B$6,1),0),"")</f>
        <v/>
      </c>
    </row>
    <row r="44" spans="1:63" x14ac:dyDescent="0.2">
      <c r="A44" s="2">
        <v>34</v>
      </c>
      <c r="B44" s="2" t="str">
        <f>IF(LEN(SUMMARY!B44)&gt;0, SUMMARY!B44, "")</f>
        <v/>
      </c>
      <c r="C44" s="2" t="str">
        <f>IF(LEN(SUMMARY!C44)&gt;0, SUMMARY!C44, "")</f>
        <v/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" t="str">
        <f t="shared" si="2"/>
        <v/>
      </c>
      <c r="S44" s="2" t="str">
        <f t="shared" si="3"/>
        <v/>
      </c>
      <c r="T44" s="2" t="str">
        <f t="shared" si="4"/>
        <v/>
      </c>
      <c r="U44" s="2" t="str">
        <f t="shared" si="5"/>
        <v/>
      </c>
      <c r="V44" s="2" t="str">
        <f t="shared" si="6"/>
        <v/>
      </c>
      <c r="W44" s="2" t="str">
        <f t="shared" si="7"/>
        <v/>
      </c>
      <c r="X44" s="2" t="str">
        <f t="shared" si="8"/>
        <v/>
      </c>
      <c r="Y44" s="2" t="str">
        <f t="shared" si="9"/>
        <v/>
      </c>
      <c r="Z44" s="2" t="str">
        <f t="shared" si="10"/>
        <v/>
      </c>
      <c r="AA44" s="2" t="str">
        <f t="shared" si="11"/>
        <v/>
      </c>
      <c r="AB44" s="2" t="str">
        <f t="shared" si="12"/>
        <v/>
      </c>
      <c r="AC44" s="2" t="str">
        <f t="shared" si="13"/>
        <v/>
      </c>
      <c r="AD44" s="2" t="str">
        <f t="shared" si="14"/>
        <v/>
      </c>
      <c r="AE44" s="2" t="str">
        <f t="shared" si="15"/>
        <v/>
      </c>
      <c r="AF44" s="2" t="str">
        <f t="shared" si="16"/>
        <v/>
      </c>
      <c r="AG44" s="2" t="str">
        <f t="shared" si="17"/>
        <v/>
      </c>
      <c r="AH44" s="2" t="str">
        <f t="shared" si="18"/>
        <v/>
      </c>
      <c r="AI44" s="2" t="str">
        <f t="shared" si="19"/>
        <v/>
      </c>
      <c r="AJ44" s="2" t="str">
        <f t="shared" si="20"/>
        <v/>
      </c>
      <c r="AK44" s="2" t="str">
        <f t="shared" si="21"/>
        <v/>
      </c>
      <c r="AL44" s="2" t="str">
        <f t="shared" si="22"/>
        <v/>
      </c>
      <c r="AM44" s="2" t="str">
        <f t="shared" si="23"/>
        <v/>
      </c>
      <c r="AN44" s="2" t="str">
        <f t="shared" si="24"/>
        <v/>
      </c>
      <c r="AP44" s="2" t="str" cm="1">
        <f t="array" ref="AP44">IF('NILAI CPL'!$B44&lt;&gt;"",IFERROR(_xlfn.IFS(S44&gt;='NILAI CPL'!$B$3,4,S44&gt;='NILAI CPL'!$B$4,3,S44&gt;='NILAI CPL'!$B$5,2,S44&gt;'NILAI CPL'!$B$6,1),0),"")</f>
        <v/>
      </c>
      <c r="AQ44" s="2" t="str" cm="1">
        <f t="array" ref="AQ44">IF('NILAI CPL'!$B44&lt;&gt;"",IFERROR(_xlfn.IFS(T44&gt;='NILAI CPL'!$B$3,4,T44&gt;='NILAI CPL'!$B$4,3,T44&gt;='NILAI CPL'!$B$5,2,T44&gt;'NILAI CPL'!$B$6,1),0),"")</f>
        <v/>
      </c>
      <c r="AR44" s="2" t="str" cm="1">
        <f t="array" ref="AR44">IF('NILAI CPL'!$B44&lt;&gt;"",IFERROR(_xlfn.IFS(U44&gt;='NILAI CPL'!$B$3,4,U44&gt;='NILAI CPL'!$B$4,3,U44&gt;='NILAI CPL'!$B$5,2,U44&gt;'NILAI CPL'!$B$6,1),0),"")</f>
        <v/>
      </c>
      <c r="AS44" s="2" t="str" cm="1">
        <f t="array" ref="AS44">IF('NILAI CPL'!$B44&lt;&gt;"",IFERROR(_xlfn.IFS(V44&gt;='NILAI CPL'!$B$3,4,V44&gt;='NILAI CPL'!$B$4,3,V44&gt;='NILAI CPL'!$B$5,2,V44&gt;'NILAI CPL'!$B$6,1),0),"")</f>
        <v/>
      </c>
      <c r="AT44" s="2" t="str" cm="1">
        <f t="array" ref="AT44">IF('NILAI CPL'!$B44&lt;&gt;"",IFERROR(_xlfn.IFS(W44&gt;='NILAI CPL'!$B$3,4,W44&gt;='NILAI CPL'!$B$4,3,W44&gt;='NILAI CPL'!$B$5,2,W44&gt;'NILAI CPL'!$B$6,1),0),"")</f>
        <v/>
      </c>
      <c r="AU44" s="2" t="str" cm="1">
        <f t="array" ref="AU44">IF('NILAI CPL'!$B44&lt;&gt;"",IFERROR(_xlfn.IFS(X44&gt;='NILAI CPL'!$B$3,4,X44&gt;='NILAI CPL'!$B$4,3,X44&gt;='NILAI CPL'!$B$5,2,X44&gt;'NILAI CPL'!$B$6,1),0),"")</f>
        <v/>
      </c>
      <c r="AV44" s="2" t="str" cm="1">
        <f t="array" ref="AV44">IF('NILAI CPL'!$B44&lt;&gt;"",IFERROR(_xlfn.IFS(Y44&gt;='NILAI CPL'!$B$3,4,Y44&gt;='NILAI CPL'!$B$4,3,Y44&gt;='NILAI CPL'!$B$5,2,Y44&gt;'NILAI CPL'!$B$6,1),0),"")</f>
        <v/>
      </c>
      <c r="AW44" s="2" t="str" cm="1">
        <f t="array" ref="AW44">IF('NILAI CPL'!$B44&lt;&gt;"",IFERROR(_xlfn.IFS(Z44&gt;='NILAI CPL'!$B$3,4,Z44&gt;='NILAI CPL'!$B$4,3,Z44&gt;='NILAI CPL'!$B$5,2,Z44&gt;'NILAI CPL'!$B$6,1),0),"")</f>
        <v/>
      </c>
      <c r="AX44" s="2" t="str" cm="1">
        <f t="array" ref="AX44">IF('NILAI CPL'!$B44&lt;&gt;"",IFERROR(_xlfn.IFS(AA44&gt;='NILAI CPL'!$B$3,4,AA44&gt;='NILAI CPL'!$B$4,3,AA44&gt;='NILAI CPL'!$B$5,2,AA44&gt;'NILAI CPL'!$B$6,1),0),"")</f>
        <v/>
      </c>
      <c r="AY44" s="2" t="str" cm="1">
        <f t="array" ref="AY44">IF('NILAI CPL'!$B44&lt;&gt;"",IFERROR(_xlfn.IFS(AB44&gt;='NILAI CPL'!$B$3,4,AB44&gt;='NILAI CPL'!$B$4,3,AB44&gt;='NILAI CPL'!$B$5,2,AB44&gt;'NILAI CPL'!$B$6,1),0),"")</f>
        <v/>
      </c>
      <c r="AZ44" s="2" t="str" cm="1">
        <f t="array" ref="AZ44">IF('NILAI CPL'!$B44&lt;&gt;"",IFERROR(_xlfn.IFS(AC44&gt;='NILAI CPL'!$B$3,4,AC44&gt;='NILAI CPL'!$B$4,3,AC44&gt;='NILAI CPL'!$B$5,2,AC44&gt;'NILAI CPL'!$B$6,1),0),"")</f>
        <v/>
      </c>
      <c r="BA44" s="2" t="str" cm="1">
        <f t="array" ref="BA44">IF('NILAI CPL'!$B44&lt;&gt;"",IFERROR(_xlfn.IFS(AD44&gt;='NILAI CPL'!$B$3,4,AD44&gt;='NILAI CPL'!$B$4,3,AD44&gt;='NILAI CPL'!$B$5,2,AD44&gt;'NILAI CPL'!$B$6,1),0),"")</f>
        <v/>
      </c>
      <c r="BB44" s="2" t="str" cm="1">
        <f t="array" ref="BB44">IF('NILAI CPL'!$B44&lt;&gt;"",IFERROR(_xlfn.IFS(AE44&gt;='NILAI CPL'!$B$3,4,AE44&gt;='NILAI CPL'!$B$4,3,AE44&gt;='NILAI CPL'!$B$5,2,AE44&gt;'NILAI CPL'!$B$6,1),0),"")</f>
        <v/>
      </c>
      <c r="BC44" s="2" t="str" cm="1">
        <f t="array" ref="BC44">IF('NILAI CPL'!$B44&lt;&gt;"",IFERROR(_xlfn.IFS(AF44&gt;='NILAI CPL'!$B$3,4,AF44&gt;='NILAI CPL'!$B$4,3,AF44&gt;='NILAI CPL'!$B$5,2,AF44&gt;'NILAI CPL'!$B$6,1),0),"")</f>
        <v/>
      </c>
      <c r="BD44" s="2" t="str" cm="1">
        <f t="array" ref="BD44">IF('NILAI CPL'!$B44&lt;&gt;"",IFERROR(_xlfn.IFS(AG44&gt;='NILAI CPL'!$B$3,4,AG44&gt;='NILAI CPL'!$B$4,3,AG44&gt;='NILAI CPL'!$B$5,2,AG44&gt;'NILAI CPL'!$B$6,1),0),"")</f>
        <v/>
      </c>
      <c r="BE44" s="2" t="str" cm="1">
        <f t="array" ref="BE44">IF('NILAI CPL'!$B44&lt;&gt;"",IFERROR(_xlfn.IFS(AH44&gt;='NILAI CPL'!$B$3,4,AH44&gt;='NILAI CPL'!$B$4,3,AH44&gt;='NILAI CPL'!$B$5,2,AH44&gt;'NILAI CPL'!$B$6,1),0),"")</f>
        <v/>
      </c>
      <c r="BF44" s="2" t="str" cm="1">
        <f t="array" ref="BF44">IF('NILAI CPL'!$B44&lt;&gt;"",IFERROR(_xlfn.IFS(AI44&gt;='NILAI CPL'!$B$3,4,AI44&gt;='NILAI CPL'!$B$4,3,AI44&gt;='NILAI CPL'!$B$5,2,AI44&gt;'NILAI CPL'!$B$6,1),0),"")</f>
        <v/>
      </c>
      <c r="BG44" s="2" t="str" cm="1">
        <f t="array" ref="BG44">IF('NILAI CPL'!$B44&lt;&gt;"",IFERROR(_xlfn.IFS(AJ44&gt;='NILAI CPL'!$B$3,4,AJ44&gt;='NILAI CPL'!$B$4,3,AJ44&gt;='NILAI CPL'!$B$5,2,AJ44&gt;'NILAI CPL'!$B$6,1),0),"")</f>
        <v/>
      </c>
      <c r="BH44" s="2" t="str" cm="1">
        <f t="array" ref="BH44">IF('NILAI CPL'!$B44&lt;&gt;"",IFERROR(_xlfn.IFS(AK44&gt;='NILAI CPL'!$B$3,4,AK44&gt;='NILAI CPL'!$B$4,3,AK44&gt;='NILAI CPL'!$B$5,2,AK44&gt;'NILAI CPL'!$B$6,1),0),"")</f>
        <v/>
      </c>
      <c r="BI44" s="2" t="str" cm="1">
        <f t="array" ref="BI44">IF('NILAI CPL'!$B44&lt;&gt;"",IFERROR(_xlfn.IFS(AL44&gt;='NILAI CPL'!$B$3,4,AL44&gt;='NILAI CPL'!$B$4,3,AL44&gt;='NILAI CPL'!$B$5,2,AL44&gt;'NILAI CPL'!$B$6,1),0),"")</f>
        <v/>
      </c>
      <c r="BJ44" s="2" t="str" cm="1">
        <f t="array" ref="BJ44">IF('NILAI CPL'!$B44&lt;&gt;"",IFERROR(_xlfn.IFS(AM44&gt;='NILAI CPL'!$B$3,4,AM44&gt;='NILAI CPL'!$B$4,3,AM44&gt;='NILAI CPL'!$B$5,2,AM44&gt;'NILAI CPL'!$B$6,1),0),"")</f>
        <v/>
      </c>
      <c r="BK44" s="2" t="str" cm="1">
        <f t="array" ref="BK44">IF('NILAI CPL'!$B44&lt;&gt;"",IFERROR(_xlfn.IFS(AN44&gt;='NILAI CPL'!$B$3,4,AN44&gt;='NILAI CPL'!$B$4,3,AN44&gt;='NILAI CPL'!$B$5,2,AN44&gt;'NILAI CPL'!$B$6,1),0),"")</f>
        <v/>
      </c>
    </row>
    <row r="45" spans="1:63" x14ac:dyDescent="0.2">
      <c r="A45" s="2">
        <v>35</v>
      </c>
      <c r="B45" s="2" t="str">
        <f>IF(LEN(SUMMARY!B45)&gt;0, SUMMARY!B45, "")</f>
        <v/>
      </c>
      <c r="C45" s="2" t="str">
        <f>IF(LEN(SUMMARY!C45)&gt;0, SUMMARY!C45, "")</f>
        <v/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" t="str">
        <f t="shared" si="2"/>
        <v/>
      </c>
      <c r="S45" s="2" t="str">
        <f t="shared" si="3"/>
        <v/>
      </c>
      <c r="T45" s="2" t="str">
        <f t="shared" si="4"/>
        <v/>
      </c>
      <c r="U45" s="2" t="str">
        <f t="shared" si="5"/>
        <v/>
      </c>
      <c r="V45" s="2" t="str">
        <f t="shared" si="6"/>
        <v/>
      </c>
      <c r="W45" s="2" t="str">
        <f t="shared" si="7"/>
        <v/>
      </c>
      <c r="X45" s="2" t="str">
        <f t="shared" si="8"/>
        <v/>
      </c>
      <c r="Y45" s="2" t="str">
        <f t="shared" si="9"/>
        <v/>
      </c>
      <c r="Z45" s="2" t="str">
        <f t="shared" si="10"/>
        <v/>
      </c>
      <c r="AA45" s="2" t="str">
        <f t="shared" si="11"/>
        <v/>
      </c>
      <c r="AB45" s="2" t="str">
        <f t="shared" si="12"/>
        <v/>
      </c>
      <c r="AC45" s="2" t="str">
        <f t="shared" si="13"/>
        <v/>
      </c>
      <c r="AD45" s="2" t="str">
        <f t="shared" si="14"/>
        <v/>
      </c>
      <c r="AE45" s="2" t="str">
        <f t="shared" si="15"/>
        <v/>
      </c>
      <c r="AF45" s="2" t="str">
        <f t="shared" si="16"/>
        <v/>
      </c>
      <c r="AG45" s="2" t="str">
        <f t="shared" si="17"/>
        <v/>
      </c>
      <c r="AH45" s="2" t="str">
        <f t="shared" si="18"/>
        <v/>
      </c>
      <c r="AI45" s="2" t="str">
        <f t="shared" si="19"/>
        <v/>
      </c>
      <c r="AJ45" s="2" t="str">
        <f t="shared" si="20"/>
        <v/>
      </c>
      <c r="AK45" s="2" t="str">
        <f t="shared" si="21"/>
        <v/>
      </c>
      <c r="AL45" s="2" t="str">
        <f t="shared" si="22"/>
        <v/>
      </c>
      <c r="AM45" s="2" t="str">
        <f t="shared" si="23"/>
        <v/>
      </c>
      <c r="AN45" s="2" t="str">
        <f t="shared" si="24"/>
        <v/>
      </c>
      <c r="AP45" s="2" t="str" cm="1">
        <f t="array" ref="AP45">IF('NILAI CPL'!$B45&lt;&gt;"",IFERROR(_xlfn.IFS(S45&gt;='NILAI CPL'!$B$3,4,S45&gt;='NILAI CPL'!$B$4,3,S45&gt;='NILAI CPL'!$B$5,2,S45&gt;'NILAI CPL'!$B$6,1),0),"")</f>
        <v/>
      </c>
      <c r="AQ45" s="2" t="str" cm="1">
        <f t="array" ref="AQ45">IF('NILAI CPL'!$B45&lt;&gt;"",IFERROR(_xlfn.IFS(T45&gt;='NILAI CPL'!$B$3,4,T45&gt;='NILAI CPL'!$B$4,3,T45&gt;='NILAI CPL'!$B$5,2,T45&gt;'NILAI CPL'!$B$6,1),0),"")</f>
        <v/>
      </c>
      <c r="AR45" s="2" t="str" cm="1">
        <f t="array" ref="AR45">IF('NILAI CPL'!$B45&lt;&gt;"",IFERROR(_xlfn.IFS(U45&gt;='NILAI CPL'!$B$3,4,U45&gt;='NILAI CPL'!$B$4,3,U45&gt;='NILAI CPL'!$B$5,2,U45&gt;'NILAI CPL'!$B$6,1),0),"")</f>
        <v/>
      </c>
      <c r="AS45" s="2" t="str" cm="1">
        <f t="array" ref="AS45">IF('NILAI CPL'!$B45&lt;&gt;"",IFERROR(_xlfn.IFS(V45&gt;='NILAI CPL'!$B$3,4,V45&gt;='NILAI CPL'!$B$4,3,V45&gt;='NILAI CPL'!$B$5,2,V45&gt;'NILAI CPL'!$B$6,1),0),"")</f>
        <v/>
      </c>
      <c r="AT45" s="2" t="str" cm="1">
        <f t="array" ref="AT45">IF('NILAI CPL'!$B45&lt;&gt;"",IFERROR(_xlfn.IFS(W45&gt;='NILAI CPL'!$B$3,4,W45&gt;='NILAI CPL'!$B$4,3,W45&gt;='NILAI CPL'!$B$5,2,W45&gt;'NILAI CPL'!$B$6,1),0),"")</f>
        <v/>
      </c>
      <c r="AU45" s="2" t="str" cm="1">
        <f t="array" ref="AU45">IF('NILAI CPL'!$B45&lt;&gt;"",IFERROR(_xlfn.IFS(X45&gt;='NILAI CPL'!$B$3,4,X45&gt;='NILAI CPL'!$B$4,3,X45&gt;='NILAI CPL'!$B$5,2,X45&gt;'NILAI CPL'!$B$6,1),0),"")</f>
        <v/>
      </c>
      <c r="AV45" s="2" t="str" cm="1">
        <f t="array" ref="AV45">IF('NILAI CPL'!$B45&lt;&gt;"",IFERROR(_xlfn.IFS(Y45&gt;='NILAI CPL'!$B$3,4,Y45&gt;='NILAI CPL'!$B$4,3,Y45&gt;='NILAI CPL'!$B$5,2,Y45&gt;'NILAI CPL'!$B$6,1),0),"")</f>
        <v/>
      </c>
      <c r="AW45" s="2" t="str" cm="1">
        <f t="array" ref="AW45">IF('NILAI CPL'!$B45&lt;&gt;"",IFERROR(_xlfn.IFS(Z45&gt;='NILAI CPL'!$B$3,4,Z45&gt;='NILAI CPL'!$B$4,3,Z45&gt;='NILAI CPL'!$B$5,2,Z45&gt;'NILAI CPL'!$B$6,1),0),"")</f>
        <v/>
      </c>
      <c r="AX45" s="2" t="str" cm="1">
        <f t="array" ref="AX45">IF('NILAI CPL'!$B45&lt;&gt;"",IFERROR(_xlfn.IFS(AA45&gt;='NILAI CPL'!$B$3,4,AA45&gt;='NILAI CPL'!$B$4,3,AA45&gt;='NILAI CPL'!$B$5,2,AA45&gt;'NILAI CPL'!$B$6,1),0),"")</f>
        <v/>
      </c>
      <c r="AY45" s="2" t="str" cm="1">
        <f t="array" ref="AY45">IF('NILAI CPL'!$B45&lt;&gt;"",IFERROR(_xlfn.IFS(AB45&gt;='NILAI CPL'!$B$3,4,AB45&gt;='NILAI CPL'!$B$4,3,AB45&gt;='NILAI CPL'!$B$5,2,AB45&gt;'NILAI CPL'!$B$6,1),0),"")</f>
        <v/>
      </c>
      <c r="AZ45" s="2" t="str" cm="1">
        <f t="array" ref="AZ45">IF('NILAI CPL'!$B45&lt;&gt;"",IFERROR(_xlfn.IFS(AC45&gt;='NILAI CPL'!$B$3,4,AC45&gt;='NILAI CPL'!$B$4,3,AC45&gt;='NILAI CPL'!$B$5,2,AC45&gt;'NILAI CPL'!$B$6,1),0),"")</f>
        <v/>
      </c>
      <c r="BA45" s="2" t="str" cm="1">
        <f t="array" ref="BA45">IF('NILAI CPL'!$B45&lt;&gt;"",IFERROR(_xlfn.IFS(AD45&gt;='NILAI CPL'!$B$3,4,AD45&gt;='NILAI CPL'!$B$4,3,AD45&gt;='NILAI CPL'!$B$5,2,AD45&gt;'NILAI CPL'!$B$6,1),0),"")</f>
        <v/>
      </c>
      <c r="BB45" s="2" t="str" cm="1">
        <f t="array" ref="BB45">IF('NILAI CPL'!$B45&lt;&gt;"",IFERROR(_xlfn.IFS(AE45&gt;='NILAI CPL'!$B$3,4,AE45&gt;='NILAI CPL'!$B$4,3,AE45&gt;='NILAI CPL'!$B$5,2,AE45&gt;'NILAI CPL'!$B$6,1),0),"")</f>
        <v/>
      </c>
      <c r="BC45" s="2" t="str" cm="1">
        <f t="array" ref="BC45">IF('NILAI CPL'!$B45&lt;&gt;"",IFERROR(_xlfn.IFS(AF45&gt;='NILAI CPL'!$B$3,4,AF45&gt;='NILAI CPL'!$B$4,3,AF45&gt;='NILAI CPL'!$B$5,2,AF45&gt;'NILAI CPL'!$B$6,1),0),"")</f>
        <v/>
      </c>
      <c r="BD45" s="2" t="str" cm="1">
        <f t="array" ref="BD45">IF('NILAI CPL'!$B45&lt;&gt;"",IFERROR(_xlfn.IFS(AG45&gt;='NILAI CPL'!$B$3,4,AG45&gt;='NILAI CPL'!$B$4,3,AG45&gt;='NILAI CPL'!$B$5,2,AG45&gt;'NILAI CPL'!$B$6,1),0),"")</f>
        <v/>
      </c>
      <c r="BE45" s="2" t="str" cm="1">
        <f t="array" ref="BE45">IF('NILAI CPL'!$B45&lt;&gt;"",IFERROR(_xlfn.IFS(AH45&gt;='NILAI CPL'!$B$3,4,AH45&gt;='NILAI CPL'!$B$4,3,AH45&gt;='NILAI CPL'!$B$5,2,AH45&gt;'NILAI CPL'!$B$6,1),0),"")</f>
        <v/>
      </c>
      <c r="BF45" s="2" t="str" cm="1">
        <f t="array" ref="BF45">IF('NILAI CPL'!$B45&lt;&gt;"",IFERROR(_xlfn.IFS(AI45&gt;='NILAI CPL'!$B$3,4,AI45&gt;='NILAI CPL'!$B$4,3,AI45&gt;='NILAI CPL'!$B$5,2,AI45&gt;'NILAI CPL'!$B$6,1),0),"")</f>
        <v/>
      </c>
      <c r="BG45" s="2" t="str" cm="1">
        <f t="array" ref="BG45">IF('NILAI CPL'!$B45&lt;&gt;"",IFERROR(_xlfn.IFS(AJ45&gt;='NILAI CPL'!$B$3,4,AJ45&gt;='NILAI CPL'!$B$4,3,AJ45&gt;='NILAI CPL'!$B$5,2,AJ45&gt;'NILAI CPL'!$B$6,1),0),"")</f>
        <v/>
      </c>
      <c r="BH45" s="2" t="str" cm="1">
        <f t="array" ref="BH45">IF('NILAI CPL'!$B45&lt;&gt;"",IFERROR(_xlfn.IFS(AK45&gt;='NILAI CPL'!$B$3,4,AK45&gt;='NILAI CPL'!$B$4,3,AK45&gt;='NILAI CPL'!$B$5,2,AK45&gt;'NILAI CPL'!$B$6,1),0),"")</f>
        <v/>
      </c>
      <c r="BI45" s="2" t="str" cm="1">
        <f t="array" ref="BI45">IF('NILAI CPL'!$B45&lt;&gt;"",IFERROR(_xlfn.IFS(AL45&gt;='NILAI CPL'!$B$3,4,AL45&gt;='NILAI CPL'!$B$4,3,AL45&gt;='NILAI CPL'!$B$5,2,AL45&gt;'NILAI CPL'!$B$6,1),0),"")</f>
        <v/>
      </c>
      <c r="BJ45" s="2" t="str" cm="1">
        <f t="array" ref="BJ45">IF('NILAI CPL'!$B45&lt;&gt;"",IFERROR(_xlfn.IFS(AM45&gt;='NILAI CPL'!$B$3,4,AM45&gt;='NILAI CPL'!$B$4,3,AM45&gt;='NILAI CPL'!$B$5,2,AM45&gt;'NILAI CPL'!$B$6,1),0),"")</f>
        <v/>
      </c>
      <c r="BK45" s="2" t="str" cm="1">
        <f t="array" ref="BK45">IF('NILAI CPL'!$B45&lt;&gt;"",IFERROR(_xlfn.IFS(AN45&gt;='NILAI CPL'!$B$3,4,AN45&gt;='NILAI CPL'!$B$4,3,AN45&gt;='NILAI CPL'!$B$5,2,AN45&gt;'NILAI CPL'!$B$6,1),0),"")</f>
        <v/>
      </c>
    </row>
    <row r="46" spans="1:63" x14ac:dyDescent="0.2">
      <c r="A46" s="2">
        <v>36</v>
      </c>
      <c r="B46" s="2" t="str">
        <f>IF(LEN(SUMMARY!B46)&gt;0, SUMMARY!B46, "")</f>
        <v/>
      </c>
      <c r="C46" s="2" t="str">
        <f>IF(LEN(SUMMARY!C46)&gt;0, SUMMARY!C46, "")</f>
        <v/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" t="str">
        <f t="shared" si="2"/>
        <v/>
      </c>
      <c r="S46" s="2" t="str">
        <f t="shared" si="3"/>
        <v/>
      </c>
      <c r="T46" s="2" t="str">
        <f t="shared" si="4"/>
        <v/>
      </c>
      <c r="U46" s="2" t="str">
        <f t="shared" si="5"/>
        <v/>
      </c>
      <c r="V46" s="2" t="str">
        <f t="shared" si="6"/>
        <v/>
      </c>
      <c r="W46" s="2" t="str">
        <f t="shared" si="7"/>
        <v/>
      </c>
      <c r="X46" s="2" t="str">
        <f t="shared" si="8"/>
        <v/>
      </c>
      <c r="Y46" s="2" t="str">
        <f t="shared" si="9"/>
        <v/>
      </c>
      <c r="Z46" s="2" t="str">
        <f t="shared" si="10"/>
        <v/>
      </c>
      <c r="AA46" s="2" t="str">
        <f t="shared" si="11"/>
        <v/>
      </c>
      <c r="AB46" s="2" t="str">
        <f t="shared" si="12"/>
        <v/>
      </c>
      <c r="AC46" s="2" t="str">
        <f t="shared" si="13"/>
        <v/>
      </c>
      <c r="AD46" s="2" t="str">
        <f t="shared" si="14"/>
        <v/>
      </c>
      <c r="AE46" s="2" t="str">
        <f t="shared" si="15"/>
        <v/>
      </c>
      <c r="AF46" s="2" t="str">
        <f t="shared" si="16"/>
        <v/>
      </c>
      <c r="AG46" s="2" t="str">
        <f t="shared" si="17"/>
        <v/>
      </c>
      <c r="AH46" s="2" t="str">
        <f t="shared" si="18"/>
        <v/>
      </c>
      <c r="AI46" s="2" t="str">
        <f t="shared" si="19"/>
        <v/>
      </c>
      <c r="AJ46" s="2" t="str">
        <f t="shared" si="20"/>
        <v/>
      </c>
      <c r="AK46" s="2" t="str">
        <f t="shared" si="21"/>
        <v/>
      </c>
      <c r="AL46" s="2" t="str">
        <f t="shared" si="22"/>
        <v/>
      </c>
      <c r="AM46" s="2" t="str">
        <f t="shared" si="23"/>
        <v/>
      </c>
      <c r="AN46" s="2" t="str">
        <f t="shared" si="24"/>
        <v/>
      </c>
      <c r="AP46" s="2" t="str" cm="1">
        <f t="array" ref="AP46">IF('NILAI CPL'!$B46&lt;&gt;"",IFERROR(_xlfn.IFS(S46&gt;='NILAI CPL'!$B$3,4,S46&gt;='NILAI CPL'!$B$4,3,S46&gt;='NILAI CPL'!$B$5,2,S46&gt;'NILAI CPL'!$B$6,1),0),"")</f>
        <v/>
      </c>
      <c r="AQ46" s="2" t="str" cm="1">
        <f t="array" ref="AQ46">IF('NILAI CPL'!$B46&lt;&gt;"",IFERROR(_xlfn.IFS(T46&gt;='NILAI CPL'!$B$3,4,T46&gt;='NILAI CPL'!$B$4,3,T46&gt;='NILAI CPL'!$B$5,2,T46&gt;'NILAI CPL'!$B$6,1),0),"")</f>
        <v/>
      </c>
      <c r="AR46" s="2" t="str" cm="1">
        <f t="array" ref="AR46">IF('NILAI CPL'!$B46&lt;&gt;"",IFERROR(_xlfn.IFS(U46&gt;='NILAI CPL'!$B$3,4,U46&gt;='NILAI CPL'!$B$4,3,U46&gt;='NILAI CPL'!$B$5,2,U46&gt;'NILAI CPL'!$B$6,1),0),"")</f>
        <v/>
      </c>
      <c r="AS46" s="2" t="str" cm="1">
        <f t="array" ref="AS46">IF('NILAI CPL'!$B46&lt;&gt;"",IFERROR(_xlfn.IFS(V46&gt;='NILAI CPL'!$B$3,4,V46&gt;='NILAI CPL'!$B$4,3,V46&gt;='NILAI CPL'!$B$5,2,V46&gt;'NILAI CPL'!$B$6,1),0),"")</f>
        <v/>
      </c>
      <c r="AT46" s="2" t="str" cm="1">
        <f t="array" ref="AT46">IF('NILAI CPL'!$B46&lt;&gt;"",IFERROR(_xlfn.IFS(W46&gt;='NILAI CPL'!$B$3,4,W46&gt;='NILAI CPL'!$B$4,3,W46&gt;='NILAI CPL'!$B$5,2,W46&gt;'NILAI CPL'!$B$6,1),0),"")</f>
        <v/>
      </c>
      <c r="AU46" s="2" t="str" cm="1">
        <f t="array" ref="AU46">IF('NILAI CPL'!$B46&lt;&gt;"",IFERROR(_xlfn.IFS(X46&gt;='NILAI CPL'!$B$3,4,X46&gt;='NILAI CPL'!$B$4,3,X46&gt;='NILAI CPL'!$B$5,2,X46&gt;'NILAI CPL'!$B$6,1),0),"")</f>
        <v/>
      </c>
      <c r="AV46" s="2" t="str" cm="1">
        <f t="array" ref="AV46">IF('NILAI CPL'!$B46&lt;&gt;"",IFERROR(_xlfn.IFS(Y46&gt;='NILAI CPL'!$B$3,4,Y46&gt;='NILAI CPL'!$B$4,3,Y46&gt;='NILAI CPL'!$B$5,2,Y46&gt;'NILAI CPL'!$B$6,1),0),"")</f>
        <v/>
      </c>
      <c r="AW46" s="2" t="str" cm="1">
        <f t="array" ref="AW46">IF('NILAI CPL'!$B46&lt;&gt;"",IFERROR(_xlfn.IFS(Z46&gt;='NILAI CPL'!$B$3,4,Z46&gt;='NILAI CPL'!$B$4,3,Z46&gt;='NILAI CPL'!$B$5,2,Z46&gt;'NILAI CPL'!$B$6,1),0),"")</f>
        <v/>
      </c>
      <c r="AX46" s="2" t="str" cm="1">
        <f t="array" ref="AX46">IF('NILAI CPL'!$B46&lt;&gt;"",IFERROR(_xlfn.IFS(AA46&gt;='NILAI CPL'!$B$3,4,AA46&gt;='NILAI CPL'!$B$4,3,AA46&gt;='NILAI CPL'!$B$5,2,AA46&gt;'NILAI CPL'!$B$6,1),0),"")</f>
        <v/>
      </c>
      <c r="AY46" s="2" t="str" cm="1">
        <f t="array" ref="AY46">IF('NILAI CPL'!$B46&lt;&gt;"",IFERROR(_xlfn.IFS(AB46&gt;='NILAI CPL'!$B$3,4,AB46&gt;='NILAI CPL'!$B$4,3,AB46&gt;='NILAI CPL'!$B$5,2,AB46&gt;'NILAI CPL'!$B$6,1),0),"")</f>
        <v/>
      </c>
      <c r="AZ46" s="2" t="str" cm="1">
        <f t="array" ref="AZ46">IF('NILAI CPL'!$B46&lt;&gt;"",IFERROR(_xlfn.IFS(AC46&gt;='NILAI CPL'!$B$3,4,AC46&gt;='NILAI CPL'!$B$4,3,AC46&gt;='NILAI CPL'!$B$5,2,AC46&gt;'NILAI CPL'!$B$6,1),0),"")</f>
        <v/>
      </c>
      <c r="BA46" s="2" t="str" cm="1">
        <f t="array" ref="BA46">IF('NILAI CPL'!$B46&lt;&gt;"",IFERROR(_xlfn.IFS(AD46&gt;='NILAI CPL'!$B$3,4,AD46&gt;='NILAI CPL'!$B$4,3,AD46&gt;='NILAI CPL'!$B$5,2,AD46&gt;'NILAI CPL'!$B$6,1),0),"")</f>
        <v/>
      </c>
      <c r="BB46" s="2" t="str" cm="1">
        <f t="array" ref="BB46">IF('NILAI CPL'!$B46&lt;&gt;"",IFERROR(_xlfn.IFS(AE46&gt;='NILAI CPL'!$B$3,4,AE46&gt;='NILAI CPL'!$B$4,3,AE46&gt;='NILAI CPL'!$B$5,2,AE46&gt;'NILAI CPL'!$B$6,1),0),"")</f>
        <v/>
      </c>
      <c r="BC46" s="2" t="str" cm="1">
        <f t="array" ref="BC46">IF('NILAI CPL'!$B46&lt;&gt;"",IFERROR(_xlfn.IFS(AF46&gt;='NILAI CPL'!$B$3,4,AF46&gt;='NILAI CPL'!$B$4,3,AF46&gt;='NILAI CPL'!$B$5,2,AF46&gt;'NILAI CPL'!$B$6,1),0),"")</f>
        <v/>
      </c>
      <c r="BD46" s="2" t="str" cm="1">
        <f t="array" ref="BD46">IF('NILAI CPL'!$B46&lt;&gt;"",IFERROR(_xlfn.IFS(AG46&gt;='NILAI CPL'!$B$3,4,AG46&gt;='NILAI CPL'!$B$4,3,AG46&gt;='NILAI CPL'!$B$5,2,AG46&gt;'NILAI CPL'!$B$6,1),0),"")</f>
        <v/>
      </c>
      <c r="BE46" s="2" t="str" cm="1">
        <f t="array" ref="BE46">IF('NILAI CPL'!$B46&lt;&gt;"",IFERROR(_xlfn.IFS(AH46&gt;='NILAI CPL'!$B$3,4,AH46&gt;='NILAI CPL'!$B$4,3,AH46&gt;='NILAI CPL'!$B$5,2,AH46&gt;'NILAI CPL'!$B$6,1),0),"")</f>
        <v/>
      </c>
      <c r="BF46" s="2" t="str" cm="1">
        <f t="array" ref="BF46">IF('NILAI CPL'!$B46&lt;&gt;"",IFERROR(_xlfn.IFS(AI46&gt;='NILAI CPL'!$B$3,4,AI46&gt;='NILAI CPL'!$B$4,3,AI46&gt;='NILAI CPL'!$B$5,2,AI46&gt;'NILAI CPL'!$B$6,1),0),"")</f>
        <v/>
      </c>
      <c r="BG46" s="2" t="str" cm="1">
        <f t="array" ref="BG46">IF('NILAI CPL'!$B46&lt;&gt;"",IFERROR(_xlfn.IFS(AJ46&gt;='NILAI CPL'!$B$3,4,AJ46&gt;='NILAI CPL'!$B$4,3,AJ46&gt;='NILAI CPL'!$B$5,2,AJ46&gt;'NILAI CPL'!$B$6,1),0),"")</f>
        <v/>
      </c>
      <c r="BH46" s="2" t="str" cm="1">
        <f t="array" ref="BH46">IF('NILAI CPL'!$B46&lt;&gt;"",IFERROR(_xlfn.IFS(AK46&gt;='NILAI CPL'!$B$3,4,AK46&gt;='NILAI CPL'!$B$4,3,AK46&gt;='NILAI CPL'!$B$5,2,AK46&gt;'NILAI CPL'!$B$6,1),0),"")</f>
        <v/>
      </c>
      <c r="BI46" s="2" t="str" cm="1">
        <f t="array" ref="BI46">IF('NILAI CPL'!$B46&lt;&gt;"",IFERROR(_xlfn.IFS(AL46&gt;='NILAI CPL'!$B$3,4,AL46&gt;='NILAI CPL'!$B$4,3,AL46&gt;='NILAI CPL'!$B$5,2,AL46&gt;'NILAI CPL'!$B$6,1),0),"")</f>
        <v/>
      </c>
      <c r="BJ46" s="2" t="str" cm="1">
        <f t="array" ref="BJ46">IF('NILAI CPL'!$B46&lt;&gt;"",IFERROR(_xlfn.IFS(AM46&gt;='NILAI CPL'!$B$3,4,AM46&gt;='NILAI CPL'!$B$4,3,AM46&gt;='NILAI CPL'!$B$5,2,AM46&gt;'NILAI CPL'!$B$6,1),0),"")</f>
        <v/>
      </c>
      <c r="BK46" s="2" t="str" cm="1">
        <f t="array" ref="BK46">IF('NILAI CPL'!$B46&lt;&gt;"",IFERROR(_xlfn.IFS(AN46&gt;='NILAI CPL'!$B$3,4,AN46&gt;='NILAI CPL'!$B$4,3,AN46&gt;='NILAI CPL'!$B$5,2,AN46&gt;'NILAI CPL'!$B$6,1),0),"")</f>
        <v/>
      </c>
    </row>
    <row r="47" spans="1:63" x14ac:dyDescent="0.2">
      <c r="A47" s="2">
        <v>37</v>
      </c>
      <c r="B47" s="2" t="str">
        <f>IF(LEN(SUMMARY!B47)&gt;0, SUMMARY!B47, "")</f>
        <v/>
      </c>
      <c r="C47" s="2" t="str">
        <f>IF(LEN(SUMMARY!C47)&gt;0, SUMMARY!C47, "")</f>
        <v/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" t="str">
        <f t="shared" si="2"/>
        <v/>
      </c>
      <c r="S47" s="2" t="str">
        <f t="shared" si="3"/>
        <v/>
      </c>
      <c r="T47" s="2" t="str">
        <f t="shared" si="4"/>
        <v/>
      </c>
      <c r="U47" s="2" t="str">
        <f t="shared" si="5"/>
        <v/>
      </c>
      <c r="V47" s="2" t="str">
        <f t="shared" si="6"/>
        <v/>
      </c>
      <c r="W47" s="2" t="str">
        <f t="shared" si="7"/>
        <v/>
      </c>
      <c r="X47" s="2" t="str">
        <f t="shared" si="8"/>
        <v/>
      </c>
      <c r="Y47" s="2" t="str">
        <f t="shared" si="9"/>
        <v/>
      </c>
      <c r="Z47" s="2" t="str">
        <f t="shared" si="10"/>
        <v/>
      </c>
      <c r="AA47" s="2" t="str">
        <f t="shared" si="11"/>
        <v/>
      </c>
      <c r="AB47" s="2" t="str">
        <f t="shared" si="12"/>
        <v/>
      </c>
      <c r="AC47" s="2" t="str">
        <f t="shared" si="13"/>
        <v/>
      </c>
      <c r="AD47" s="2" t="str">
        <f t="shared" si="14"/>
        <v/>
      </c>
      <c r="AE47" s="2" t="str">
        <f t="shared" si="15"/>
        <v/>
      </c>
      <c r="AF47" s="2" t="str">
        <f t="shared" si="16"/>
        <v/>
      </c>
      <c r="AG47" s="2" t="str">
        <f t="shared" si="17"/>
        <v/>
      </c>
      <c r="AH47" s="2" t="str">
        <f t="shared" si="18"/>
        <v/>
      </c>
      <c r="AI47" s="2" t="str">
        <f t="shared" si="19"/>
        <v/>
      </c>
      <c r="AJ47" s="2" t="str">
        <f t="shared" si="20"/>
        <v/>
      </c>
      <c r="AK47" s="2" t="str">
        <f t="shared" si="21"/>
        <v/>
      </c>
      <c r="AL47" s="2" t="str">
        <f t="shared" si="22"/>
        <v/>
      </c>
      <c r="AM47" s="2" t="str">
        <f t="shared" si="23"/>
        <v/>
      </c>
      <c r="AN47" s="2" t="str">
        <f t="shared" si="24"/>
        <v/>
      </c>
      <c r="AP47" s="2" t="str" cm="1">
        <f t="array" ref="AP47">IF('NILAI CPL'!$B47&lt;&gt;"",IFERROR(_xlfn.IFS(S47&gt;='NILAI CPL'!$B$3,4,S47&gt;='NILAI CPL'!$B$4,3,S47&gt;='NILAI CPL'!$B$5,2,S47&gt;'NILAI CPL'!$B$6,1),0),"")</f>
        <v/>
      </c>
      <c r="AQ47" s="2" t="str" cm="1">
        <f t="array" ref="AQ47">IF('NILAI CPL'!$B47&lt;&gt;"",IFERROR(_xlfn.IFS(T47&gt;='NILAI CPL'!$B$3,4,T47&gt;='NILAI CPL'!$B$4,3,T47&gt;='NILAI CPL'!$B$5,2,T47&gt;'NILAI CPL'!$B$6,1),0),"")</f>
        <v/>
      </c>
      <c r="AR47" s="2" t="str" cm="1">
        <f t="array" ref="AR47">IF('NILAI CPL'!$B47&lt;&gt;"",IFERROR(_xlfn.IFS(U47&gt;='NILAI CPL'!$B$3,4,U47&gt;='NILAI CPL'!$B$4,3,U47&gt;='NILAI CPL'!$B$5,2,U47&gt;'NILAI CPL'!$B$6,1),0),"")</f>
        <v/>
      </c>
      <c r="AS47" s="2" t="str" cm="1">
        <f t="array" ref="AS47">IF('NILAI CPL'!$B47&lt;&gt;"",IFERROR(_xlfn.IFS(V47&gt;='NILAI CPL'!$B$3,4,V47&gt;='NILAI CPL'!$B$4,3,V47&gt;='NILAI CPL'!$B$5,2,V47&gt;'NILAI CPL'!$B$6,1),0),"")</f>
        <v/>
      </c>
      <c r="AT47" s="2" t="str" cm="1">
        <f t="array" ref="AT47">IF('NILAI CPL'!$B47&lt;&gt;"",IFERROR(_xlfn.IFS(W47&gt;='NILAI CPL'!$B$3,4,W47&gt;='NILAI CPL'!$B$4,3,W47&gt;='NILAI CPL'!$B$5,2,W47&gt;'NILAI CPL'!$B$6,1),0),"")</f>
        <v/>
      </c>
      <c r="AU47" s="2" t="str" cm="1">
        <f t="array" ref="AU47">IF('NILAI CPL'!$B47&lt;&gt;"",IFERROR(_xlfn.IFS(X47&gt;='NILAI CPL'!$B$3,4,X47&gt;='NILAI CPL'!$B$4,3,X47&gt;='NILAI CPL'!$B$5,2,X47&gt;'NILAI CPL'!$B$6,1),0),"")</f>
        <v/>
      </c>
      <c r="AV47" s="2" t="str" cm="1">
        <f t="array" ref="AV47">IF('NILAI CPL'!$B47&lt;&gt;"",IFERROR(_xlfn.IFS(Y47&gt;='NILAI CPL'!$B$3,4,Y47&gt;='NILAI CPL'!$B$4,3,Y47&gt;='NILAI CPL'!$B$5,2,Y47&gt;'NILAI CPL'!$B$6,1),0),"")</f>
        <v/>
      </c>
      <c r="AW47" s="2" t="str" cm="1">
        <f t="array" ref="AW47">IF('NILAI CPL'!$B47&lt;&gt;"",IFERROR(_xlfn.IFS(Z47&gt;='NILAI CPL'!$B$3,4,Z47&gt;='NILAI CPL'!$B$4,3,Z47&gt;='NILAI CPL'!$B$5,2,Z47&gt;'NILAI CPL'!$B$6,1),0),"")</f>
        <v/>
      </c>
      <c r="AX47" s="2" t="str" cm="1">
        <f t="array" ref="AX47">IF('NILAI CPL'!$B47&lt;&gt;"",IFERROR(_xlfn.IFS(AA47&gt;='NILAI CPL'!$B$3,4,AA47&gt;='NILAI CPL'!$B$4,3,AA47&gt;='NILAI CPL'!$B$5,2,AA47&gt;'NILAI CPL'!$B$6,1),0),"")</f>
        <v/>
      </c>
      <c r="AY47" s="2" t="str" cm="1">
        <f t="array" ref="AY47">IF('NILAI CPL'!$B47&lt;&gt;"",IFERROR(_xlfn.IFS(AB47&gt;='NILAI CPL'!$B$3,4,AB47&gt;='NILAI CPL'!$B$4,3,AB47&gt;='NILAI CPL'!$B$5,2,AB47&gt;'NILAI CPL'!$B$6,1),0),"")</f>
        <v/>
      </c>
      <c r="AZ47" s="2" t="str" cm="1">
        <f t="array" ref="AZ47">IF('NILAI CPL'!$B47&lt;&gt;"",IFERROR(_xlfn.IFS(AC47&gt;='NILAI CPL'!$B$3,4,AC47&gt;='NILAI CPL'!$B$4,3,AC47&gt;='NILAI CPL'!$B$5,2,AC47&gt;'NILAI CPL'!$B$6,1),0),"")</f>
        <v/>
      </c>
      <c r="BA47" s="2" t="str" cm="1">
        <f t="array" ref="BA47">IF('NILAI CPL'!$B47&lt;&gt;"",IFERROR(_xlfn.IFS(AD47&gt;='NILAI CPL'!$B$3,4,AD47&gt;='NILAI CPL'!$B$4,3,AD47&gt;='NILAI CPL'!$B$5,2,AD47&gt;'NILAI CPL'!$B$6,1),0),"")</f>
        <v/>
      </c>
      <c r="BB47" s="2" t="str" cm="1">
        <f t="array" ref="BB47">IF('NILAI CPL'!$B47&lt;&gt;"",IFERROR(_xlfn.IFS(AE47&gt;='NILAI CPL'!$B$3,4,AE47&gt;='NILAI CPL'!$B$4,3,AE47&gt;='NILAI CPL'!$B$5,2,AE47&gt;'NILAI CPL'!$B$6,1),0),"")</f>
        <v/>
      </c>
      <c r="BC47" s="2" t="str" cm="1">
        <f t="array" ref="BC47">IF('NILAI CPL'!$B47&lt;&gt;"",IFERROR(_xlfn.IFS(AF47&gt;='NILAI CPL'!$B$3,4,AF47&gt;='NILAI CPL'!$B$4,3,AF47&gt;='NILAI CPL'!$B$5,2,AF47&gt;'NILAI CPL'!$B$6,1),0),"")</f>
        <v/>
      </c>
      <c r="BD47" s="2" t="str" cm="1">
        <f t="array" ref="BD47">IF('NILAI CPL'!$B47&lt;&gt;"",IFERROR(_xlfn.IFS(AG47&gt;='NILAI CPL'!$B$3,4,AG47&gt;='NILAI CPL'!$B$4,3,AG47&gt;='NILAI CPL'!$B$5,2,AG47&gt;'NILAI CPL'!$B$6,1),0),"")</f>
        <v/>
      </c>
      <c r="BE47" s="2" t="str" cm="1">
        <f t="array" ref="BE47">IF('NILAI CPL'!$B47&lt;&gt;"",IFERROR(_xlfn.IFS(AH47&gt;='NILAI CPL'!$B$3,4,AH47&gt;='NILAI CPL'!$B$4,3,AH47&gt;='NILAI CPL'!$B$5,2,AH47&gt;'NILAI CPL'!$B$6,1),0),"")</f>
        <v/>
      </c>
      <c r="BF47" s="2" t="str" cm="1">
        <f t="array" ref="BF47">IF('NILAI CPL'!$B47&lt;&gt;"",IFERROR(_xlfn.IFS(AI47&gt;='NILAI CPL'!$B$3,4,AI47&gt;='NILAI CPL'!$B$4,3,AI47&gt;='NILAI CPL'!$B$5,2,AI47&gt;'NILAI CPL'!$B$6,1),0),"")</f>
        <v/>
      </c>
      <c r="BG47" s="2" t="str" cm="1">
        <f t="array" ref="BG47">IF('NILAI CPL'!$B47&lt;&gt;"",IFERROR(_xlfn.IFS(AJ47&gt;='NILAI CPL'!$B$3,4,AJ47&gt;='NILAI CPL'!$B$4,3,AJ47&gt;='NILAI CPL'!$B$5,2,AJ47&gt;'NILAI CPL'!$B$6,1),0),"")</f>
        <v/>
      </c>
      <c r="BH47" s="2" t="str" cm="1">
        <f t="array" ref="BH47">IF('NILAI CPL'!$B47&lt;&gt;"",IFERROR(_xlfn.IFS(AK47&gt;='NILAI CPL'!$B$3,4,AK47&gt;='NILAI CPL'!$B$4,3,AK47&gt;='NILAI CPL'!$B$5,2,AK47&gt;'NILAI CPL'!$B$6,1),0),"")</f>
        <v/>
      </c>
      <c r="BI47" s="2" t="str" cm="1">
        <f t="array" ref="BI47">IF('NILAI CPL'!$B47&lt;&gt;"",IFERROR(_xlfn.IFS(AL47&gt;='NILAI CPL'!$B$3,4,AL47&gt;='NILAI CPL'!$B$4,3,AL47&gt;='NILAI CPL'!$B$5,2,AL47&gt;'NILAI CPL'!$B$6,1),0),"")</f>
        <v/>
      </c>
      <c r="BJ47" s="2" t="str" cm="1">
        <f t="array" ref="BJ47">IF('NILAI CPL'!$B47&lt;&gt;"",IFERROR(_xlfn.IFS(AM47&gt;='NILAI CPL'!$B$3,4,AM47&gt;='NILAI CPL'!$B$4,3,AM47&gt;='NILAI CPL'!$B$5,2,AM47&gt;'NILAI CPL'!$B$6,1),0),"")</f>
        <v/>
      </c>
      <c r="BK47" s="2" t="str" cm="1">
        <f t="array" ref="BK47">IF('NILAI CPL'!$B47&lt;&gt;"",IFERROR(_xlfn.IFS(AN47&gt;='NILAI CPL'!$B$3,4,AN47&gt;='NILAI CPL'!$B$4,3,AN47&gt;='NILAI CPL'!$B$5,2,AN47&gt;'NILAI CPL'!$B$6,1),0),"")</f>
        <v/>
      </c>
    </row>
    <row r="48" spans="1:63" x14ac:dyDescent="0.2">
      <c r="A48" s="2">
        <v>38</v>
      </c>
      <c r="B48" s="2" t="str">
        <f>IF(LEN(SUMMARY!B48)&gt;0, SUMMARY!B48, "")</f>
        <v/>
      </c>
      <c r="C48" s="2" t="str">
        <f>IF(LEN(SUMMARY!C48)&gt;0, SUMMARY!C48, "")</f>
        <v/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" t="str">
        <f t="shared" si="2"/>
        <v/>
      </c>
      <c r="S48" s="2" t="str">
        <f t="shared" si="3"/>
        <v/>
      </c>
      <c r="T48" s="2" t="str">
        <f t="shared" si="4"/>
        <v/>
      </c>
      <c r="U48" s="2" t="str">
        <f t="shared" si="5"/>
        <v/>
      </c>
      <c r="V48" s="2" t="str">
        <f t="shared" si="6"/>
        <v/>
      </c>
      <c r="W48" s="2" t="str">
        <f t="shared" si="7"/>
        <v/>
      </c>
      <c r="X48" s="2" t="str">
        <f t="shared" si="8"/>
        <v/>
      </c>
      <c r="Y48" s="2" t="str">
        <f t="shared" si="9"/>
        <v/>
      </c>
      <c r="Z48" s="2" t="str">
        <f t="shared" si="10"/>
        <v/>
      </c>
      <c r="AA48" s="2" t="str">
        <f t="shared" si="11"/>
        <v/>
      </c>
      <c r="AB48" s="2" t="str">
        <f t="shared" si="12"/>
        <v/>
      </c>
      <c r="AC48" s="2" t="str">
        <f t="shared" si="13"/>
        <v/>
      </c>
      <c r="AD48" s="2" t="str">
        <f t="shared" si="14"/>
        <v/>
      </c>
      <c r="AE48" s="2" t="str">
        <f t="shared" si="15"/>
        <v/>
      </c>
      <c r="AF48" s="2" t="str">
        <f t="shared" si="16"/>
        <v/>
      </c>
      <c r="AG48" s="2" t="str">
        <f t="shared" si="17"/>
        <v/>
      </c>
      <c r="AH48" s="2" t="str">
        <f t="shared" si="18"/>
        <v/>
      </c>
      <c r="AI48" s="2" t="str">
        <f t="shared" si="19"/>
        <v/>
      </c>
      <c r="AJ48" s="2" t="str">
        <f t="shared" si="20"/>
        <v/>
      </c>
      <c r="AK48" s="2" t="str">
        <f t="shared" si="21"/>
        <v/>
      </c>
      <c r="AL48" s="2" t="str">
        <f t="shared" si="22"/>
        <v/>
      </c>
      <c r="AM48" s="2" t="str">
        <f t="shared" si="23"/>
        <v/>
      </c>
      <c r="AN48" s="2" t="str">
        <f t="shared" si="24"/>
        <v/>
      </c>
      <c r="AP48" s="2" t="str" cm="1">
        <f t="array" ref="AP48">IF('NILAI CPL'!$B48&lt;&gt;"",IFERROR(_xlfn.IFS(S48&gt;='NILAI CPL'!$B$3,4,S48&gt;='NILAI CPL'!$B$4,3,S48&gt;='NILAI CPL'!$B$5,2,S48&gt;'NILAI CPL'!$B$6,1),0),"")</f>
        <v/>
      </c>
      <c r="AQ48" s="2" t="str" cm="1">
        <f t="array" ref="AQ48">IF('NILAI CPL'!$B48&lt;&gt;"",IFERROR(_xlfn.IFS(T48&gt;='NILAI CPL'!$B$3,4,T48&gt;='NILAI CPL'!$B$4,3,T48&gt;='NILAI CPL'!$B$5,2,T48&gt;'NILAI CPL'!$B$6,1),0),"")</f>
        <v/>
      </c>
      <c r="AR48" s="2" t="str" cm="1">
        <f t="array" ref="AR48">IF('NILAI CPL'!$B48&lt;&gt;"",IFERROR(_xlfn.IFS(U48&gt;='NILAI CPL'!$B$3,4,U48&gt;='NILAI CPL'!$B$4,3,U48&gt;='NILAI CPL'!$B$5,2,U48&gt;'NILAI CPL'!$B$6,1),0),"")</f>
        <v/>
      </c>
      <c r="AS48" s="2" t="str" cm="1">
        <f t="array" ref="AS48">IF('NILAI CPL'!$B48&lt;&gt;"",IFERROR(_xlfn.IFS(V48&gt;='NILAI CPL'!$B$3,4,V48&gt;='NILAI CPL'!$B$4,3,V48&gt;='NILAI CPL'!$B$5,2,V48&gt;'NILAI CPL'!$B$6,1),0),"")</f>
        <v/>
      </c>
      <c r="AT48" s="2" t="str" cm="1">
        <f t="array" ref="AT48">IF('NILAI CPL'!$B48&lt;&gt;"",IFERROR(_xlfn.IFS(W48&gt;='NILAI CPL'!$B$3,4,W48&gt;='NILAI CPL'!$B$4,3,W48&gt;='NILAI CPL'!$B$5,2,W48&gt;'NILAI CPL'!$B$6,1),0),"")</f>
        <v/>
      </c>
      <c r="AU48" s="2" t="str" cm="1">
        <f t="array" ref="AU48">IF('NILAI CPL'!$B48&lt;&gt;"",IFERROR(_xlfn.IFS(X48&gt;='NILAI CPL'!$B$3,4,X48&gt;='NILAI CPL'!$B$4,3,X48&gt;='NILAI CPL'!$B$5,2,X48&gt;'NILAI CPL'!$B$6,1),0),"")</f>
        <v/>
      </c>
      <c r="AV48" s="2" t="str" cm="1">
        <f t="array" ref="AV48">IF('NILAI CPL'!$B48&lt;&gt;"",IFERROR(_xlfn.IFS(Y48&gt;='NILAI CPL'!$B$3,4,Y48&gt;='NILAI CPL'!$B$4,3,Y48&gt;='NILAI CPL'!$B$5,2,Y48&gt;'NILAI CPL'!$B$6,1),0),"")</f>
        <v/>
      </c>
      <c r="AW48" s="2" t="str" cm="1">
        <f t="array" ref="AW48">IF('NILAI CPL'!$B48&lt;&gt;"",IFERROR(_xlfn.IFS(Z48&gt;='NILAI CPL'!$B$3,4,Z48&gt;='NILAI CPL'!$B$4,3,Z48&gt;='NILAI CPL'!$B$5,2,Z48&gt;'NILAI CPL'!$B$6,1),0),"")</f>
        <v/>
      </c>
      <c r="AX48" s="2" t="str" cm="1">
        <f t="array" ref="AX48">IF('NILAI CPL'!$B48&lt;&gt;"",IFERROR(_xlfn.IFS(AA48&gt;='NILAI CPL'!$B$3,4,AA48&gt;='NILAI CPL'!$B$4,3,AA48&gt;='NILAI CPL'!$B$5,2,AA48&gt;'NILAI CPL'!$B$6,1),0),"")</f>
        <v/>
      </c>
      <c r="AY48" s="2" t="str" cm="1">
        <f t="array" ref="AY48">IF('NILAI CPL'!$B48&lt;&gt;"",IFERROR(_xlfn.IFS(AB48&gt;='NILAI CPL'!$B$3,4,AB48&gt;='NILAI CPL'!$B$4,3,AB48&gt;='NILAI CPL'!$B$5,2,AB48&gt;'NILAI CPL'!$B$6,1),0),"")</f>
        <v/>
      </c>
      <c r="AZ48" s="2" t="str" cm="1">
        <f t="array" ref="AZ48">IF('NILAI CPL'!$B48&lt;&gt;"",IFERROR(_xlfn.IFS(AC48&gt;='NILAI CPL'!$B$3,4,AC48&gt;='NILAI CPL'!$B$4,3,AC48&gt;='NILAI CPL'!$B$5,2,AC48&gt;'NILAI CPL'!$B$6,1),0),"")</f>
        <v/>
      </c>
      <c r="BA48" s="2" t="str" cm="1">
        <f t="array" ref="BA48">IF('NILAI CPL'!$B48&lt;&gt;"",IFERROR(_xlfn.IFS(AD48&gt;='NILAI CPL'!$B$3,4,AD48&gt;='NILAI CPL'!$B$4,3,AD48&gt;='NILAI CPL'!$B$5,2,AD48&gt;'NILAI CPL'!$B$6,1),0),"")</f>
        <v/>
      </c>
      <c r="BB48" s="2" t="str" cm="1">
        <f t="array" ref="BB48">IF('NILAI CPL'!$B48&lt;&gt;"",IFERROR(_xlfn.IFS(AE48&gt;='NILAI CPL'!$B$3,4,AE48&gt;='NILAI CPL'!$B$4,3,AE48&gt;='NILAI CPL'!$B$5,2,AE48&gt;'NILAI CPL'!$B$6,1),0),"")</f>
        <v/>
      </c>
      <c r="BC48" s="2" t="str" cm="1">
        <f t="array" ref="BC48">IF('NILAI CPL'!$B48&lt;&gt;"",IFERROR(_xlfn.IFS(AF48&gt;='NILAI CPL'!$B$3,4,AF48&gt;='NILAI CPL'!$B$4,3,AF48&gt;='NILAI CPL'!$B$5,2,AF48&gt;'NILAI CPL'!$B$6,1),0),"")</f>
        <v/>
      </c>
      <c r="BD48" s="2" t="str" cm="1">
        <f t="array" ref="BD48">IF('NILAI CPL'!$B48&lt;&gt;"",IFERROR(_xlfn.IFS(AG48&gt;='NILAI CPL'!$B$3,4,AG48&gt;='NILAI CPL'!$B$4,3,AG48&gt;='NILAI CPL'!$B$5,2,AG48&gt;'NILAI CPL'!$B$6,1),0),"")</f>
        <v/>
      </c>
      <c r="BE48" s="2" t="str" cm="1">
        <f t="array" ref="BE48">IF('NILAI CPL'!$B48&lt;&gt;"",IFERROR(_xlfn.IFS(AH48&gt;='NILAI CPL'!$B$3,4,AH48&gt;='NILAI CPL'!$B$4,3,AH48&gt;='NILAI CPL'!$B$5,2,AH48&gt;'NILAI CPL'!$B$6,1),0),"")</f>
        <v/>
      </c>
      <c r="BF48" s="2" t="str" cm="1">
        <f t="array" ref="BF48">IF('NILAI CPL'!$B48&lt;&gt;"",IFERROR(_xlfn.IFS(AI48&gt;='NILAI CPL'!$B$3,4,AI48&gt;='NILAI CPL'!$B$4,3,AI48&gt;='NILAI CPL'!$B$5,2,AI48&gt;'NILAI CPL'!$B$6,1),0),"")</f>
        <v/>
      </c>
      <c r="BG48" s="2" t="str" cm="1">
        <f t="array" ref="BG48">IF('NILAI CPL'!$B48&lt;&gt;"",IFERROR(_xlfn.IFS(AJ48&gt;='NILAI CPL'!$B$3,4,AJ48&gt;='NILAI CPL'!$B$4,3,AJ48&gt;='NILAI CPL'!$B$5,2,AJ48&gt;'NILAI CPL'!$B$6,1),0),"")</f>
        <v/>
      </c>
      <c r="BH48" s="2" t="str" cm="1">
        <f t="array" ref="BH48">IF('NILAI CPL'!$B48&lt;&gt;"",IFERROR(_xlfn.IFS(AK48&gt;='NILAI CPL'!$B$3,4,AK48&gt;='NILAI CPL'!$B$4,3,AK48&gt;='NILAI CPL'!$B$5,2,AK48&gt;'NILAI CPL'!$B$6,1),0),"")</f>
        <v/>
      </c>
      <c r="BI48" s="2" t="str" cm="1">
        <f t="array" ref="BI48">IF('NILAI CPL'!$B48&lt;&gt;"",IFERROR(_xlfn.IFS(AL48&gt;='NILAI CPL'!$B$3,4,AL48&gt;='NILAI CPL'!$B$4,3,AL48&gt;='NILAI CPL'!$B$5,2,AL48&gt;'NILAI CPL'!$B$6,1),0),"")</f>
        <v/>
      </c>
      <c r="BJ48" s="2" t="str" cm="1">
        <f t="array" ref="BJ48">IF('NILAI CPL'!$B48&lt;&gt;"",IFERROR(_xlfn.IFS(AM48&gt;='NILAI CPL'!$B$3,4,AM48&gt;='NILAI CPL'!$B$4,3,AM48&gt;='NILAI CPL'!$B$5,2,AM48&gt;'NILAI CPL'!$B$6,1),0),"")</f>
        <v/>
      </c>
      <c r="BK48" s="2" t="str" cm="1">
        <f t="array" ref="BK48">IF('NILAI CPL'!$B48&lt;&gt;"",IFERROR(_xlfn.IFS(AN48&gt;='NILAI CPL'!$B$3,4,AN48&gt;='NILAI CPL'!$B$4,3,AN48&gt;='NILAI CPL'!$B$5,2,AN48&gt;'NILAI CPL'!$B$6,1),0),"")</f>
        <v/>
      </c>
    </row>
    <row r="49" spans="1:63" x14ac:dyDescent="0.2">
      <c r="A49" s="2">
        <v>39</v>
      </c>
      <c r="B49" s="2" t="str">
        <f>IF(LEN(SUMMARY!B49)&gt;0, SUMMARY!B49, "")</f>
        <v/>
      </c>
      <c r="C49" s="2" t="str">
        <f>IF(LEN(SUMMARY!C49)&gt;0, SUMMARY!C49, "")</f>
        <v/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" t="str">
        <f t="shared" si="2"/>
        <v/>
      </c>
      <c r="S49" s="2" t="str">
        <f t="shared" si="3"/>
        <v/>
      </c>
      <c r="T49" s="2" t="str">
        <f t="shared" si="4"/>
        <v/>
      </c>
      <c r="U49" s="2" t="str">
        <f t="shared" si="5"/>
        <v/>
      </c>
      <c r="V49" s="2" t="str">
        <f t="shared" si="6"/>
        <v/>
      </c>
      <c r="W49" s="2" t="str">
        <f t="shared" si="7"/>
        <v/>
      </c>
      <c r="X49" s="2" t="str">
        <f t="shared" si="8"/>
        <v/>
      </c>
      <c r="Y49" s="2" t="str">
        <f t="shared" si="9"/>
        <v/>
      </c>
      <c r="Z49" s="2" t="str">
        <f t="shared" si="10"/>
        <v/>
      </c>
      <c r="AA49" s="2" t="str">
        <f t="shared" si="11"/>
        <v/>
      </c>
      <c r="AB49" s="2" t="str">
        <f t="shared" si="12"/>
        <v/>
      </c>
      <c r="AC49" s="2" t="str">
        <f t="shared" si="13"/>
        <v/>
      </c>
      <c r="AD49" s="2" t="str">
        <f t="shared" si="14"/>
        <v/>
      </c>
      <c r="AE49" s="2" t="str">
        <f t="shared" si="15"/>
        <v/>
      </c>
      <c r="AF49" s="2" t="str">
        <f t="shared" si="16"/>
        <v/>
      </c>
      <c r="AG49" s="2" t="str">
        <f t="shared" si="17"/>
        <v/>
      </c>
      <c r="AH49" s="2" t="str">
        <f t="shared" si="18"/>
        <v/>
      </c>
      <c r="AI49" s="2" t="str">
        <f t="shared" si="19"/>
        <v/>
      </c>
      <c r="AJ49" s="2" t="str">
        <f t="shared" si="20"/>
        <v/>
      </c>
      <c r="AK49" s="2" t="str">
        <f t="shared" si="21"/>
        <v/>
      </c>
      <c r="AL49" s="2" t="str">
        <f t="shared" si="22"/>
        <v/>
      </c>
      <c r="AM49" s="2" t="str">
        <f t="shared" si="23"/>
        <v/>
      </c>
      <c r="AN49" s="2" t="str">
        <f t="shared" si="24"/>
        <v/>
      </c>
      <c r="AP49" s="2" t="str" cm="1">
        <f t="array" ref="AP49">IF('NILAI CPL'!$B49&lt;&gt;"",IFERROR(_xlfn.IFS(S49&gt;='NILAI CPL'!$B$3,4,S49&gt;='NILAI CPL'!$B$4,3,S49&gt;='NILAI CPL'!$B$5,2,S49&gt;'NILAI CPL'!$B$6,1),0),"")</f>
        <v/>
      </c>
      <c r="AQ49" s="2" t="str" cm="1">
        <f t="array" ref="AQ49">IF('NILAI CPL'!$B49&lt;&gt;"",IFERROR(_xlfn.IFS(T49&gt;='NILAI CPL'!$B$3,4,T49&gt;='NILAI CPL'!$B$4,3,T49&gt;='NILAI CPL'!$B$5,2,T49&gt;'NILAI CPL'!$B$6,1),0),"")</f>
        <v/>
      </c>
      <c r="AR49" s="2" t="str" cm="1">
        <f t="array" ref="AR49">IF('NILAI CPL'!$B49&lt;&gt;"",IFERROR(_xlfn.IFS(U49&gt;='NILAI CPL'!$B$3,4,U49&gt;='NILAI CPL'!$B$4,3,U49&gt;='NILAI CPL'!$B$5,2,U49&gt;'NILAI CPL'!$B$6,1),0),"")</f>
        <v/>
      </c>
      <c r="AS49" s="2" t="str" cm="1">
        <f t="array" ref="AS49">IF('NILAI CPL'!$B49&lt;&gt;"",IFERROR(_xlfn.IFS(V49&gt;='NILAI CPL'!$B$3,4,V49&gt;='NILAI CPL'!$B$4,3,V49&gt;='NILAI CPL'!$B$5,2,V49&gt;'NILAI CPL'!$B$6,1),0),"")</f>
        <v/>
      </c>
      <c r="AT49" s="2" t="str" cm="1">
        <f t="array" ref="AT49">IF('NILAI CPL'!$B49&lt;&gt;"",IFERROR(_xlfn.IFS(W49&gt;='NILAI CPL'!$B$3,4,W49&gt;='NILAI CPL'!$B$4,3,W49&gt;='NILAI CPL'!$B$5,2,W49&gt;'NILAI CPL'!$B$6,1),0),"")</f>
        <v/>
      </c>
      <c r="AU49" s="2" t="str" cm="1">
        <f t="array" ref="AU49">IF('NILAI CPL'!$B49&lt;&gt;"",IFERROR(_xlfn.IFS(X49&gt;='NILAI CPL'!$B$3,4,X49&gt;='NILAI CPL'!$B$4,3,X49&gt;='NILAI CPL'!$B$5,2,X49&gt;'NILAI CPL'!$B$6,1),0),"")</f>
        <v/>
      </c>
      <c r="AV49" s="2" t="str" cm="1">
        <f t="array" ref="AV49">IF('NILAI CPL'!$B49&lt;&gt;"",IFERROR(_xlfn.IFS(Y49&gt;='NILAI CPL'!$B$3,4,Y49&gt;='NILAI CPL'!$B$4,3,Y49&gt;='NILAI CPL'!$B$5,2,Y49&gt;'NILAI CPL'!$B$6,1),0),"")</f>
        <v/>
      </c>
      <c r="AW49" s="2" t="str" cm="1">
        <f t="array" ref="AW49">IF('NILAI CPL'!$B49&lt;&gt;"",IFERROR(_xlfn.IFS(Z49&gt;='NILAI CPL'!$B$3,4,Z49&gt;='NILAI CPL'!$B$4,3,Z49&gt;='NILAI CPL'!$B$5,2,Z49&gt;'NILAI CPL'!$B$6,1),0),"")</f>
        <v/>
      </c>
      <c r="AX49" s="2" t="str" cm="1">
        <f t="array" ref="AX49">IF('NILAI CPL'!$B49&lt;&gt;"",IFERROR(_xlfn.IFS(AA49&gt;='NILAI CPL'!$B$3,4,AA49&gt;='NILAI CPL'!$B$4,3,AA49&gt;='NILAI CPL'!$B$5,2,AA49&gt;'NILAI CPL'!$B$6,1),0),"")</f>
        <v/>
      </c>
      <c r="AY49" s="2" t="str" cm="1">
        <f t="array" ref="AY49">IF('NILAI CPL'!$B49&lt;&gt;"",IFERROR(_xlfn.IFS(AB49&gt;='NILAI CPL'!$B$3,4,AB49&gt;='NILAI CPL'!$B$4,3,AB49&gt;='NILAI CPL'!$B$5,2,AB49&gt;'NILAI CPL'!$B$6,1),0),"")</f>
        <v/>
      </c>
      <c r="AZ49" s="2" t="str" cm="1">
        <f t="array" ref="AZ49">IF('NILAI CPL'!$B49&lt;&gt;"",IFERROR(_xlfn.IFS(AC49&gt;='NILAI CPL'!$B$3,4,AC49&gt;='NILAI CPL'!$B$4,3,AC49&gt;='NILAI CPL'!$B$5,2,AC49&gt;'NILAI CPL'!$B$6,1),0),"")</f>
        <v/>
      </c>
      <c r="BA49" s="2" t="str" cm="1">
        <f t="array" ref="BA49">IF('NILAI CPL'!$B49&lt;&gt;"",IFERROR(_xlfn.IFS(AD49&gt;='NILAI CPL'!$B$3,4,AD49&gt;='NILAI CPL'!$B$4,3,AD49&gt;='NILAI CPL'!$B$5,2,AD49&gt;'NILAI CPL'!$B$6,1),0),"")</f>
        <v/>
      </c>
      <c r="BB49" s="2" t="str" cm="1">
        <f t="array" ref="BB49">IF('NILAI CPL'!$B49&lt;&gt;"",IFERROR(_xlfn.IFS(AE49&gt;='NILAI CPL'!$B$3,4,AE49&gt;='NILAI CPL'!$B$4,3,AE49&gt;='NILAI CPL'!$B$5,2,AE49&gt;'NILAI CPL'!$B$6,1),0),"")</f>
        <v/>
      </c>
      <c r="BC49" s="2" t="str" cm="1">
        <f t="array" ref="BC49">IF('NILAI CPL'!$B49&lt;&gt;"",IFERROR(_xlfn.IFS(AF49&gt;='NILAI CPL'!$B$3,4,AF49&gt;='NILAI CPL'!$B$4,3,AF49&gt;='NILAI CPL'!$B$5,2,AF49&gt;'NILAI CPL'!$B$6,1),0),"")</f>
        <v/>
      </c>
      <c r="BD49" s="2" t="str" cm="1">
        <f t="array" ref="BD49">IF('NILAI CPL'!$B49&lt;&gt;"",IFERROR(_xlfn.IFS(AG49&gt;='NILAI CPL'!$B$3,4,AG49&gt;='NILAI CPL'!$B$4,3,AG49&gt;='NILAI CPL'!$B$5,2,AG49&gt;'NILAI CPL'!$B$6,1),0),"")</f>
        <v/>
      </c>
      <c r="BE49" s="2" t="str" cm="1">
        <f t="array" ref="BE49">IF('NILAI CPL'!$B49&lt;&gt;"",IFERROR(_xlfn.IFS(AH49&gt;='NILAI CPL'!$B$3,4,AH49&gt;='NILAI CPL'!$B$4,3,AH49&gt;='NILAI CPL'!$B$5,2,AH49&gt;'NILAI CPL'!$B$6,1),0),"")</f>
        <v/>
      </c>
      <c r="BF49" s="2" t="str" cm="1">
        <f t="array" ref="BF49">IF('NILAI CPL'!$B49&lt;&gt;"",IFERROR(_xlfn.IFS(AI49&gt;='NILAI CPL'!$B$3,4,AI49&gt;='NILAI CPL'!$B$4,3,AI49&gt;='NILAI CPL'!$B$5,2,AI49&gt;'NILAI CPL'!$B$6,1),0),"")</f>
        <v/>
      </c>
      <c r="BG49" s="2" t="str" cm="1">
        <f t="array" ref="BG49">IF('NILAI CPL'!$B49&lt;&gt;"",IFERROR(_xlfn.IFS(AJ49&gt;='NILAI CPL'!$B$3,4,AJ49&gt;='NILAI CPL'!$B$4,3,AJ49&gt;='NILAI CPL'!$B$5,2,AJ49&gt;'NILAI CPL'!$B$6,1),0),"")</f>
        <v/>
      </c>
      <c r="BH49" s="2" t="str" cm="1">
        <f t="array" ref="BH49">IF('NILAI CPL'!$B49&lt;&gt;"",IFERROR(_xlfn.IFS(AK49&gt;='NILAI CPL'!$B$3,4,AK49&gt;='NILAI CPL'!$B$4,3,AK49&gt;='NILAI CPL'!$B$5,2,AK49&gt;'NILAI CPL'!$B$6,1),0),"")</f>
        <v/>
      </c>
      <c r="BI49" s="2" t="str" cm="1">
        <f t="array" ref="BI49">IF('NILAI CPL'!$B49&lt;&gt;"",IFERROR(_xlfn.IFS(AL49&gt;='NILAI CPL'!$B$3,4,AL49&gt;='NILAI CPL'!$B$4,3,AL49&gt;='NILAI CPL'!$B$5,2,AL49&gt;'NILAI CPL'!$B$6,1),0),"")</f>
        <v/>
      </c>
      <c r="BJ49" s="2" t="str" cm="1">
        <f t="array" ref="BJ49">IF('NILAI CPL'!$B49&lt;&gt;"",IFERROR(_xlfn.IFS(AM49&gt;='NILAI CPL'!$B$3,4,AM49&gt;='NILAI CPL'!$B$4,3,AM49&gt;='NILAI CPL'!$B$5,2,AM49&gt;'NILAI CPL'!$B$6,1),0),"")</f>
        <v/>
      </c>
      <c r="BK49" s="2" t="str" cm="1">
        <f t="array" ref="BK49">IF('NILAI CPL'!$B49&lt;&gt;"",IFERROR(_xlfn.IFS(AN49&gt;='NILAI CPL'!$B$3,4,AN49&gt;='NILAI CPL'!$B$4,3,AN49&gt;='NILAI CPL'!$B$5,2,AN49&gt;'NILAI CPL'!$B$6,1),0),"")</f>
        <v/>
      </c>
    </row>
    <row r="50" spans="1:63" x14ac:dyDescent="0.2">
      <c r="A50" s="2">
        <v>40</v>
      </c>
      <c r="B50" s="2" t="str">
        <f>IF(LEN(SUMMARY!B50)&gt;0, SUMMARY!B50, "")</f>
        <v/>
      </c>
      <c r="C50" s="2" t="str">
        <f>IF(LEN(SUMMARY!C50)&gt;0, SUMMARY!C50, "")</f>
        <v/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" t="str">
        <f t="shared" si="2"/>
        <v/>
      </c>
      <c r="S50" s="2" t="str">
        <f t="shared" si="3"/>
        <v/>
      </c>
      <c r="T50" s="2" t="str">
        <f t="shared" si="4"/>
        <v/>
      </c>
      <c r="U50" s="2" t="str">
        <f t="shared" si="5"/>
        <v/>
      </c>
      <c r="V50" s="2" t="str">
        <f t="shared" si="6"/>
        <v/>
      </c>
      <c r="W50" s="2" t="str">
        <f t="shared" si="7"/>
        <v/>
      </c>
      <c r="X50" s="2" t="str">
        <f t="shared" si="8"/>
        <v/>
      </c>
      <c r="Y50" s="2" t="str">
        <f t="shared" si="9"/>
        <v/>
      </c>
      <c r="Z50" s="2" t="str">
        <f t="shared" si="10"/>
        <v/>
      </c>
      <c r="AA50" s="2" t="str">
        <f t="shared" si="11"/>
        <v/>
      </c>
      <c r="AB50" s="2" t="str">
        <f t="shared" si="12"/>
        <v/>
      </c>
      <c r="AC50" s="2" t="str">
        <f t="shared" si="13"/>
        <v/>
      </c>
      <c r="AD50" s="2" t="str">
        <f t="shared" si="14"/>
        <v/>
      </c>
      <c r="AE50" s="2" t="str">
        <f t="shared" si="15"/>
        <v/>
      </c>
      <c r="AF50" s="2" t="str">
        <f t="shared" si="16"/>
        <v/>
      </c>
      <c r="AG50" s="2" t="str">
        <f t="shared" si="17"/>
        <v/>
      </c>
      <c r="AH50" s="2" t="str">
        <f t="shared" si="18"/>
        <v/>
      </c>
      <c r="AI50" s="2" t="str">
        <f t="shared" si="19"/>
        <v/>
      </c>
      <c r="AJ50" s="2" t="str">
        <f t="shared" si="20"/>
        <v/>
      </c>
      <c r="AK50" s="2" t="str">
        <f t="shared" si="21"/>
        <v/>
      </c>
      <c r="AL50" s="2" t="str">
        <f t="shared" si="22"/>
        <v/>
      </c>
      <c r="AM50" s="2" t="str">
        <f t="shared" si="23"/>
        <v/>
      </c>
      <c r="AN50" s="2" t="str">
        <f t="shared" si="24"/>
        <v/>
      </c>
      <c r="AP50" s="2" t="str" cm="1">
        <f t="array" ref="AP50">IF('NILAI CPL'!$B50&lt;&gt;"",IFERROR(_xlfn.IFS(S50&gt;='NILAI CPL'!$B$3,4,S50&gt;='NILAI CPL'!$B$4,3,S50&gt;='NILAI CPL'!$B$5,2,S50&gt;'NILAI CPL'!$B$6,1),0),"")</f>
        <v/>
      </c>
      <c r="AQ50" s="2" t="str" cm="1">
        <f t="array" ref="AQ50">IF('NILAI CPL'!$B50&lt;&gt;"",IFERROR(_xlfn.IFS(T50&gt;='NILAI CPL'!$B$3,4,T50&gt;='NILAI CPL'!$B$4,3,T50&gt;='NILAI CPL'!$B$5,2,T50&gt;'NILAI CPL'!$B$6,1),0),"")</f>
        <v/>
      </c>
      <c r="AR50" s="2" t="str" cm="1">
        <f t="array" ref="AR50">IF('NILAI CPL'!$B50&lt;&gt;"",IFERROR(_xlfn.IFS(U50&gt;='NILAI CPL'!$B$3,4,U50&gt;='NILAI CPL'!$B$4,3,U50&gt;='NILAI CPL'!$B$5,2,U50&gt;'NILAI CPL'!$B$6,1),0),"")</f>
        <v/>
      </c>
      <c r="AS50" s="2" t="str" cm="1">
        <f t="array" ref="AS50">IF('NILAI CPL'!$B50&lt;&gt;"",IFERROR(_xlfn.IFS(V50&gt;='NILAI CPL'!$B$3,4,V50&gt;='NILAI CPL'!$B$4,3,V50&gt;='NILAI CPL'!$B$5,2,V50&gt;'NILAI CPL'!$B$6,1),0),"")</f>
        <v/>
      </c>
      <c r="AT50" s="2" t="str" cm="1">
        <f t="array" ref="AT50">IF('NILAI CPL'!$B50&lt;&gt;"",IFERROR(_xlfn.IFS(W50&gt;='NILAI CPL'!$B$3,4,W50&gt;='NILAI CPL'!$B$4,3,W50&gt;='NILAI CPL'!$B$5,2,W50&gt;'NILAI CPL'!$B$6,1),0),"")</f>
        <v/>
      </c>
      <c r="AU50" s="2" t="str" cm="1">
        <f t="array" ref="AU50">IF('NILAI CPL'!$B50&lt;&gt;"",IFERROR(_xlfn.IFS(X50&gt;='NILAI CPL'!$B$3,4,X50&gt;='NILAI CPL'!$B$4,3,X50&gt;='NILAI CPL'!$B$5,2,X50&gt;'NILAI CPL'!$B$6,1),0),"")</f>
        <v/>
      </c>
      <c r="AV50" s="2" t="str" cm="1">
        <f t="array" ref="AV50">IF('NILAI CPL'!$B50&lt;&gt;"",IFERROR(_xlfn.IFS(Y50&gt;='NILAI CPL'!$B$3,4,Y50&gt;='NILAI CPL'!$B$4,3,Y50&gt;='NILAI CPL'!$B$5,2,Y50&gt;'NILAI CPL'!$B$6,1),0),"")</f>
        <v/>
      </c>
      <c r="AW50" s="2" t="str" cm="1">
        <f t="array" ref="AW50">IF('NILAI CPL'!$B50&lt;&gt;"",IFERROR(_xlfn.IFS(Z50&gt;='NILAI CPL'!$B$3,4,Z50&gt;='NILAI CPL'!$B$4,3,Z50&gt;='NILAI CPL'!$B$5,2,Z50&gt;'NILAI CPL'!$B$6,1),0),"")</f>
        <v/>
      </c>
      <c r="AX50" s="2" t="str" cm="1">
        <f t="array" ref="AX50">IF('NILAI CPL'!$B50&lt;&gt;"",IFERROR(_xlfn.IFS(AA50&gt;='NILAI CPL'!$B$3,4,AA50&gt;='NILAI CPL'!$B$4,3,AA50&gt;='NILAI CPL'!$B$5,2,AA50&gt;'NILAI CPL'!$B$6,1),0),"")</f>
        <v/>
      </c>
      <c r="AY50" s="2" t="str" cm="1">
        <f t="array" ref="AY50">IF('NILAI CPL'!$B50&lt;&gt;"",IFERROR(_xlfn.IFS(AB50&gt;='NILAI CPL'!$B$3,4,AB50&gt;='NILAI CPL'!$B$4,3,AB50&gt;='NILAI CPL'!$B$5,2,AB50&gt;'NILAI CPL'!$B$6,1),0),"")</f>
        <v/>
      </c>
      <c r="AZ50" s="2" t="str" cm="1">
        <f t="array" ref="AZ50">IF('NILAI CPL'!$B50&lt;&gt;"",IFERROR(_xlfn.IFS(AC50&gt;='NILAI CPL'!$B$3,4,AC50&gt;='NILAI CPL'!$B$4,3,AC50&gt;='NILAI CPL'!$B$5,2,AC50&gt;'NILAI CPL'!$B$6,1),0),"")</f>
        <v/>
      </c>
      <c r="BA50" s="2" t="str" cm="1">
        <f t="array" ref="BA50">IF('NILAI CPL'!$B50&lt;&gt;"",IFERROR(_xlfn.IFS(AD50&gt;='NILAI CPL'!$B$3,4,AD50&gt;='NILAI CPL'!$B$4,3,AD50&gt;='NILAI CPL'!$B$5,2,AD50&gt;'NILAI CPL'!$B$6,1),0),"")</f>
        <v/>
      </c>
      <c r="BB50" s="2" t="str" cm="1">
        <f t="array" ref="BB50">IF('NILAI CPL'!$B50&lt;&gt;"",IFERROR(_xlfn.IFS(AE50&gt;='NILAI CPL'!$B$3,4,AE50&gt;='NILAI CPL'!$B$4,3,AE50&gt;='NILAI CPL'!$B$5,2,AE50&gt;'NILAI CPL'!$B$6,1),0),"")</f>
        <v/>
      </c>
      <c r="BC50" s="2" t="str" cm="1">
        <f t="array" ref="BC50">IF('NILAI CPL'!$B50&lt;&gt;"",IFERROR(_xlfn.IFS(AF50&gt;='NILAI CPL'!$B$3,4,AF50&gt;='NILAI CPL'!$B$4,3,AF50&gt;='NILAI CPL'!$B$5,2,AF50&gt;'NILAI CPL'!$B$6,1),0),"")</f>
        <v/>
      </c>
      <c r="BD50" s="2" t="str" cm="1">
        <f t="array" ref="BD50">IF('NILAI CPL'!$B50&lt;&gt;"",IFERROR(_xlfn.IFS(AG50&gt;='NILAI CPL'!$B$3,4,AG50&gt;='NILAI CPL'!$B$4,3,AG50&gt;='NILAI CPL'!$B$5,2,AG50&gt;'NILAI CPL'!$B$6,1),0),"")</f>
        <v/>
      </c>
      <c r="BE50" s="2" t="str" cm="1">
        <f t="array" ref="BE50">IF('NILAI CPL'!$B50&lt;&gt;"",IFERROR(_xlfn.IFS(AH50&gt;='NILAI CPL'!$B$3,4,AH50&gt;='NILAI CPL'!$B$4,3,AH50&gt;='NILAI CPL'!$B$5,2,AH50&gt;'NILAI CPL'!$B$6,1),0),"")</f>
        <v/>
      </c>
      <c r="BF50" s="2" t="str" cm="1">
        <f t="array" ref="BF50">IF('NILAI CPL'!$B50&lt;&gt;"",IFERROR(_xlfn.IFS(AI50&gt;='NILAI CPL'!$B$3,4,AI50&gt;='NILAI CPL'!$B$4,3,AI50&gt;='NILAI CPL'!$B$5,2,AI50&gt;'NILAI CPL'!$B$6,1),0),"")</f>
        <v/>
      </c>
      <c r="BG50" s="2" t="str" cm="1">
        <f t="array" ref="BG50">IF('NILAI CPL'!$B50&lt;&gt;"",IFERROR(_xlfn.IFS(AJ50&gt;='NILAI CPL'!$B$3,4,AJ50&gt;='NILAI CPL'!$B$4,3,AJ50&gt;='NILAI CPL'!$B$5,2,AJ50&gt;'NILAI CPL'!$B$6,1),0),"")</f>
        <v/>
      </c>
      <c r="BH50" s="2" t="str" cm="1">
        <f t="array" ref="BH50">IF('NILAI CPL'!$B50&lt;&gt;"",IFERROR(_xlfn.IFS(AK50&gt;='NILAI CPL'!$B$3,4,AK50&gt;='NILAI CPL'!$B$4,3,AK50&gt;='NILAI CPL'!$B$5,2,AK50&gt;'NILAI CPL'!$B$6,1),0),"")</f>
        <v/>
      </c>
      <c r="BI50" s="2" t="str" cm="1">
        <f t="array" ref="BI50">IF('NILAI CPL'!$B50&lt;&gt;"",IFERROR(_xlfn.IFS(AL50&gt;='NILAI CPL'!$B$3,4,AL50&gt;='NILAI CPL'!$B$4,3,AL50&gt;='NILAI CPL'!$B$5,2,AL50&gt;'NILAI CPL'!$B$6,1),0),"")</f>
        <v/>
      </c>
      <c r="BJ50" s="2" t="str" cm="1">
        <f t="array" ref="BJ50">IF('NILAI CPL'!$B50&lt;&gt;"",IFERROR(_xlfn.IFS(AM50&gt;='NILAI CPL'!$B$3,4,AM50&gt;='NILAI CPL'!$B$4,3,AM50&gt;='NILAI CPL'!$B$5,2,AM50&gt;'NILAI CPL'!$B$6,1),0),"")</f>
        <v/>
      </c>
      <c r="BK50" s="2" t="str" cm="1">
        <f t="array" ref="BK50">IF('NILAI CPL'!$B50&lt;&gt;"",IFERROR(_xlfn.IFS(AN50&gt;='NILAI CPL'!$B$3,4,AN50&gt;='NILAI CPL'!$B$4,3,AN50&gt;='NILAI CPL'!$B$5,2,AN50&gt;'NILAI CPL'!$B$6,1),0),"")</f>
        <v/>
      </c>
    </row>
    <row r="51" spans="1:63" x14ac:dyDescent="0.2">
      <c r="A51" s="2">
        <v>41</v>
      </c>
      <c r="B51" s="2" t="str">
        <f>IF(LEN(SUMMARY!B51)&gt;0, SUMMARY!B51, "")</f>
        <v/>
      </c>
      <c r="C51" s="2" t="str">
        <f>IF(LEN(SUMMARY!C51)&gt;0, SUMMARY!C51, "")</f>
        <v/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" t="str">
        <f t="shared" si="2"/>
        <v/>
      </c>
      <c r="S51" s="2" t="str">
        <f t="shared" si="3"/>
        <v/>
      </c>
      <c r="T51" s="2" t="str">
        <f t="shared" si="4"/>
        <v/>
      </c>
      <c r="U51" s="2" t="str">
        <f t="shared" si="5"/>
        <v/>
      </c>
      <c r="V51" s="2" t="str">
        <f t="shared" si="6"/>
        <v/>
      </c>
      <c r="W51" s="2" t="str">
        <f t="shared" si="7"/>
        <v/>
      </c>
      <c r="X51" s="2" t="str">
        <f t="shared" si="8"/>
        <v/>
      </c>
      <c r="Y51" s="2" t="str">
        <f t="shared" si="9"/>
        <v/>
      </c>
      <c r="Z51" s="2" t="str">
        <f t="shared" si="10"/>
        <v/>
      </c>
      <c r="AA51" s="2" t="str">
        <f t="shared" si="11"/>
        <v/>
      </c>
      <c r="AB51" s="2" t="str">
        <f t="shared" si="12"/>
        <v/>
      </c>
      <c r="AC51" s="2" t="str">
        <f t="shared" si="13"/>
        <v/>
      </c>
      <c r="AD51" s="2" t="str">
        <f t="shared" si="14"/>
        <v/>
      </c>
      <c r="AE51" s="2" t="str">
        <f t="shared" si="15"/>
        <v/>
      </c>
      <c r="AF51" s="2" t="str">
        <f t="shared" si="16"/>
        <v/>
      </c>
      <c r="AG51" s="2" t="str">
        <f t="shared" si="17"/>
        <v/>
      </c>
      <c r="AH51" s="2" t="str">
        <f t="shared" si="18"/>
        <v/>
      </c>
      <c r="AI51" s="2" t="str">
        <f t="shared" si="19"/>
        <v/>
      </c>
      <c r="AJ51" s="2" t="str">
        <f t="shared" si="20"/>
        <v/>
      </c>
      <c r="AK51" s="2" t="str">
        <f t="shared" si="21"/>
        <v/>
      </c>
      <c r="AL51" s="2" t="str">
        <f t="shared" si="22"/>
        <v/>
      </c>
      <c r="AM51" s="2" t="str">
        <f t="shared" si="23"/>
        <v/>
      </c>
      <c r="AN51" s="2" t="str">
        <f t="shared" si="24"/>
        <v/>
      </c>
      <c r="AP51" s="2" t="str" cm="1">
        <f t="array" ref="AP51">IF('NILAI CPL'!$B51&lt;&gt;"",IFERROR(_xlfn.IFS(S51&gt;='NILAI CPL'!$B$3,4,S51&gt;='NILAI CPL'!$B$4,3,S51&gt;='NILAI CPL'!$B$5,2,S51&gt;'NILAI CPL'!$B$6,1),0),"")</f>
        <v/>
      </c>
      <c r="AQ51" s="2" t="str" cm="1">
        <f t="array" ref="AQ51">IF('NILAI CPL'!$B51&lt;&gt;"",IFERROR(_xlfn.IFS(T51&gt;='NILAI CPL'!$B$3,4,T51&gt;='NILAI CPL'!$B$4,3,T51&gt;='NILAI CPL'!$B$5,2,T51&gt;'NILAI CPL'!$B$6,1),0),"")</f>
        <v/>
      </c>
      <c r="AR51" s="2" t="str" cm="1">
        <f t="array" ref="AR51">IF('NILAI CPL'!$B51&lt;&gt;"",IFERROR(_xlfn.IFS(U51&gt;='NILAI CPL'!$B$3,4,U51&gt;='NILAI CPL'!$B$4,3,U51&gt;='NILAI CPL'!$B$5,2,U51&gt;'NILAI CPL'!$B$6,1),0),"")</f>
        <v/>
      </c>
      <c r="AS51" s="2" t="str" cm="1">
        <f t="array" ref="AS51">IF('NILAI CPL'!$B51&lt;&gt;"",IFERROR(_xlfn.IFS(V51&gt;='NILAI CPL'!$B$3,4,V51&gt;='NILAI CPL'!$B$4,3,V51&gt;='NILAI CPL'!$B$5,2,V51&gt;'NILAI CPL'!$B$6,1),0),"")</f>
        <v/>
      </c>
      <c r="AT51" s="2" t="str" cm="1">
        <f t="array" ref="AT51">IF('NILAI CPL'!$B51&lt;&gt;"",IFERROR(_xlfn.IFS(W51&gt;='NILAI CPL'!$B$3,4,W51&gt;='NILAI CPL'!$B$4,3,W51&gt;='NILAI CPL'!$B$5,2,W51&gt;'NILAI CPL'!$B$6,1),0),"")</f>
        <v/>
      </c>
      <c r="AU51" s="2" t="str" cm="1">
        <f t="array" ref="AU51">IF('NILAI CPL'!$B51&lt;&gt;"",IFERROR(_xlfn.IFS(X51&gt;='NILAI CPL'!$B$3,4,X51&gt;='NILAI CPL'!$B$4,3,X51&gt;='NILAI CPL'!$B$5,2,X51&gt;'NILAI CPL'!$B$6,1),0),"")</f>
        <v/>
      </c>
      <c r="AV51" s="2" t="str" cm="1">
        <f t="array" ref="AV51">IF('NILAI CPL'!$B51&lt;&gt;"",IFERROR(_xlfn.IFS(Y51&gt;='NILAI CPL'!$B$3,4,Y51&gt;='NILAI CPL'!$B$4,3,Y51&gt;='NILAI CPL'!$B$5,2,Y51&gt;'NILAI CPL'!$B$6,1),0),"")</f>
        <v/>
      </c>
      <c r="AW51" s="2" t="str" cm="1">
        <f t="array" ref="AW51">IF('NILAI CPL'!$B51&lt;&gt;"",IFERROR(_xlfn.IFS(Z51&gt;='NILAI CPL'!$B$3,4,Z51&gt;='NILAI CPL'!$B$4,3,Z51&gt;='NILAI CPL'!$B$5,2,Z51&gt;'NILAI CPL'!$B$6,1),0),"")</f>
        <v/>
      </c>
      <c r="AX51" s="2" t="str" cm="1">
        <f t="array" ref="AX51">IF('NILAI CPL'!$B51&lt;&gt;"",IFERROR(_xlfn.IFS(AA51&gt;='NILAI CPL'!$B$3,4,AA51&gt;='NILAI CPL'!$B$4,3,AA51&gt;='NILAI CPL'!$B$5,2,AA51&gt;'NILAI CPL'!$B$6,1),0),"")</f>
        <v/>
      </c>
      <c r="AY51" s="2" t="str" cm="1">
        <f t="array" ref="AY51">IF('NILAI CPL'!$B51&lt;&gt;"",IFERROR(_xlfn.IFS(AB51&gt;='NILAI CPL'!$B$3,4,AB51&gt;='NILAI CPL'!$B$4,3,AB51&gt;='NILAI CPL'!$B$5,2,AB51&gt;'NILAI CPL'!$B$6,1),0),"")</f>
        <v/>
      </c>
      <c r="AZ51" s="2" t="str" cm="1">
        <f t="array" ref="AZ51">IF('NILAI CPL'!$B51&lt;&gt;"",IFERROR(_xlfn.IFS(AC51&gt;='NILAI CPL'!$B$3,4,AC51&gt;='NILAI CPL'!$B$4,3,AC51&gt;='NILAI CPL'!$B$5,2,AC51&gt;'NILAI CPL'!$B$6,1),0),"")</f>
        <v/>
      </c>
      <c r="BA51" s="2" t="str" cm="1">
        <f t="array" ref="BA51">IF('NILAI CPL'!$B51&lt;&gt;"",IFERROR(_xlfn.IFS(AD51&gt;='NILAI CPL'!$B$3,4,AD51&gt;='NILAI CPL'!$B$4,3,AD51&gt;='NILAI CPL'!$B$5,2,AD51&gt;'NILAI CPL'!$B$6,1),0),"")</f>
        <v/>
      </c>
      <c r="BB51" s="2" t="str" cm="1">
        <f t="array" ref="BB51">IF('NILAI CPL'!$B51&lt;&gt;"",IFERROR(_xlfn.IFS(AE51&gt;='NILAI CPL'!$B$3,4,AE51&gt;='NILAI CPL'!$B$4,3,AE51&gt;='NILAI CPL'!$B$5,2,AE51&gt;'NILAI CPL'!$B$6,1),0),"")</f>
        <v/>
      </c>
      <c r="BC51" s="2" t="str" cm="1">
        <f t="array" ref="BC51">IF('NILAI CPL'!$B51&lt;&gt;"",IFERROR(_xlfn.IFS(AF51&gt;='NILAI CPL'!$B$3,4,AF51&gt;='NILAI CPL'!$B$4,3,AF51&gt;='NILAI CPL'!$B$5,2,AF51&gt;'NILAI CPL'!$B$6,1),0),"")</f>
        <v/>
      </c>
      <c r="BD51" s="2" t="str" cm="1">
        <f t="array" ref="BD51">IF('NILAI CPL'!$B51&lt;&gt;"",IFERROR(_xlfn.IFS(AG51&gt;='NILAI CPL'!$B$3,4,AG51&gt;='NILAI CPL'!$B$4,3,AG51&gt;='NILAI CPL'!$B$5,2,AG51&gt;'NILAI CPL'!$B$6,1),0),"")</f>
        <v/>
      </c>
      <c r="BE51" s="2" t="str" cm="1">
        <f t="array" ref="BE51">IF('NILAI CPL'!$B51&lt;&gt;"",IFERROR(_xlfn.IFS(AH51&gt;='NILAI CPL'!$B$3,4,AH51&gt;='NILAI CPL'!$B$4,3,AH51&gt;='NILAI CPL'!$B$5,2,AH51&gt;'NILAI CPL'!$B$6,1),0),"")</f>
        <v/>
      </c>
      <c r="BF51" s="2" t="str" cm="1">
        <f t="array" ref="BF51">IF('NILAI CPL'!$B51&lt;&gt;"",IFERROR(_xlfn.IFS(AI51&gt;='NILAI CPL'!$B$3,4,AI51&gt;='NILAI CPL'!$B$4,3,AI51&gt;='NILAI CPL'!$B$5,2,AI51&gt;'NILAI CPL'!$B$6,1),0),"")</f>
        <v/>
      </c>
      <c r="BG51" s="2" t="str" cm="1">
        <f t="array" ref="BG51">IF('NILAI CPL'!$B51&lt;&gt;"",IFERROR(_xlfn.IFS(AJ51&gt;='NILAI CPL'!$B$3,4,AJ51&gt;='NILAI CPL'!$B$4,3,AJ51&gt;='NILAI CPL'!$B$5,2,AJ51&gt;'NILAI CPL'!$B$6,1),0),"")</f>
        <v/>
      </c>
      <c r="BH51" s="2" t="str" cm="1">
        <f t="array" ref="BH51">IF('NILAI CPL'!$B51&lt;&gt;"",IFERROR(_xlfn.IFS(AK51&gt;='NILAI CPL'!$B$3,4,AK51&gt;='NILAI CPL'!$B$4,3,AK51&gt;='NILAI CPL'!$B$5,2,AK51&gt;'NILAI CPL'!$B$6,1),0),"")</f>
        <v/>
      </c>
      <c r="BI51" s="2" t="str" cm="1">
        <f t="array" ref="BI51">IF('NILAI CPL'!$B51&lt;&gt;"",IFERROR(_xlfn.IFS(AL51&gt;='NILAI CPL'!$B$3,4,AL51&gt;='NILAI CPL'!$B$4,3,AL51&gt;='NILAI CPL'!$B$5,2,AL51&gt;'NILAI CPL'!$B$6,1),0),"")</f>
        <v/>
      </c>
      <c r="BJ51" s="2" t="str" cm="1">
        <f t="array" ref="BJ51">IF('NILAI CPL'!$B51&lt;&gt;"",IFERROR(_xlfn.IFS(AM51&gt;='NILAI CPL'!$B$3,4,AM51&gt;='NILAI CPL'!$B$4,3,AM51&gt;='NILAI CPL'!$B$5,2,AM51&gt;'NILAI CPL'!$B$6,1),0),"")</f>
        <v/>
      </c>
      <c r="BK51" s="2" t="str" cm="1">
        <f t="array" ref="BK51">IF('NILAI CPL'!$B51&lt;&gt;"",IFERROR(_xlfn.IFS(AN51&gt;='NILAI CPL'!$B$3,4,AN51&gt;='NILAI CPL'!$B$4,3,AN51&gt;='NILAI CPL'!$B$5,2,AN51&gt;'NILAI CPL'!$B$6,1),0),"")</f>
        <v/>
      </c>
    </row>
    <row r="52" spans="1:63" x14ac:dyDescent="0.2">
      <c r="A52" s="2">
        <v>42</v>
      </c>
      <c r="B52" s="2" t="str">
        <f>IF(LEN(SUMMARY!B52)&gt;0, SUMMARY!B52, "")</f>
        <v/>
      </c>
      <c r="C52" s="2" t="str">
        <f>IF(LEN(SUMMARY!C52)&gt;0, SUMMARY!C52, "")</f>
        <v/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" t="str">
        <f t="shared" si="2"/>
        <v/>
      </c>
      <c r="S52" s="2" t="str">
        <f t="shared" si="3"/>
        <v/>
      </c>
      <c r="T52" s="2" t="str">
        <f t="shared" si="4"/>
        <v/>
      </c>
      <c r="U52" s="2" t="str">
        <f t="shared" si="5"/>
        <v/>
      </c>
      <c r="V52" s="2" t="str">
        <f t="shared" si="6"/>
        <v/>
      </c>
      <c r="W52" s="2" t="str">
        <f t="shared" si="7"/>
        <v/>
      </c>
      <c r="X52" s="2" t="str">
        <f t="shared" si="8"/>
        <v/>
      </c>
      <c r="Y52" s="2" t="str">
        <f t="shared" si="9"/>
        <v/>
      </c>
      <c r="Z52" s="2" t="str">
        <f t="shared" si="10"/>
        <v/>
      </c>
      <c r="AA52" s="2" t="str">
        <f t="shared" si="11"/>
        <v/>
      </c>
      <c r="AB52" s="2" t="str">
        <f t="shared" si="12"/>
        <v/>
      </c>
      <c r="AC52" s="2" t="str">
        <f t="shared" si="13"/>
        <v/>
      </c>
      <c r="AD52" s="2" t="str">
        <f t="shared" si="14"/>
        <v/>
      </c>
      <c r="AE52" s="2" t="str">
        <f t="shared" si="15"/>
        <v/>
      </c>
      <c r="AF52" s="2" t="str">
        <f t="shared" si="16"/>
        <v/>
      </c>
      <c r="AG52" s="2" t="str">
        <f t="shared" si="17"/>
        <v/>
      </c>
      <c r="AH52" s="2" t="str">
        <f t="shared" si="18"/>
        <v/>
      </c>
      <c r="AI52" s="2" t="str">
        <f t="shared" si="19"/>
        <v/>
      </c>
      <c r="AJ52" s="2" t="str">
        <f t="shared" si="20"/>
        <v/>
      </c>
      <c r="AK52" s="2" t="str">
        <f t="shared" si="21"/>
        <v/>
      </c>
      <c r="AL52" s="2" t="str">
        <f t="shared" si="22"/>
        <v/>
      </c>
      <c r="AM52" s="2" t="str">
        <f t="shared" si="23"/>
        <v/>
      </c>
      <c r="AN52" s="2" t="str">
        <f t="shared" si="24"/>
        <v/>
      </c>
      <c r="AP52" s="2" t="str" cm="1">
        <f t="array" ref="AP52">IF('NILAI CPL'!$B52&lt;&gt;"",IFERROR(_xlfn.IFS(S52&gt;='NILAI CPL'!$B$3,4,S52&gt;='NILAI CPL'!$B$4,3,S52&gt;='NILAI CPL'!$B$5,2,S52&gt;'NILAI CPL'!$B$6,1),0),"")</f>
        <v/>
      </c>
      <c r="AQ52" s="2" t="str" cm="1">
        <f t="array" ref="AQ52">IF('NILAI CPL'!$B52&lt;&gt;"",IFERROR(_xlfn.IFS(T52&gt;='NILAI CPL'!$B$3,4,T52&gt;='NILAI CPL'!$B$4,3,T52&gt;='NILAI CPL'!$B$5,2,T52&gt;'NILAI CPL'!$B$6,1),0),"")</f>
        <v/>
      </c>
      <c r="AR52" s="2" t="str" cm="1">
        <f t="array" ref="AR52">IF('NILAI CPL'!$B52&lt;&gt;"",IFERROR(_xlfn.IFS(U52&gt;='NILAI CPL'!$B$3,4,U52&gt;='NILAI CPL'!$B$4,3,U52&gt;='NILAI CPL'!$B$5,2,U52&gt;'NILAI CPL'!$B$6,1),0),"")</f>
        <v/>
      </c>
      <c r="AS52" s="2" t="str" cm="1">
        <f t="array" ref="AS52">IF('NILAI CPL'!$B52&lt;&gt;"",IFERROR(_xlfn.IFS(V52&gt;='NILAI CPL'!$B$3,4,V52&gt;='NILAI CPL'!$B$4,3,V52&gt;='NILAI CPL'!$B$5,2,V52&gt;'NILAI CPL'!$B$6,1),0),"")</f>
        <v/>
      </c>
      <c r="AT52" s="2" t="str" cm="1">
        <f t="array" ref="AT52">IF('NILAI CPL'!$B52&lt;&gt;"",IFERROR(_xlfn.IFS(W52&gt;='NILAI CPL'!$B$3,4,W52&gt;='NILAI CPL'!$B$4,3,W52&gt;='NILAI CPL'!$B$5,2,W52&gt;'NILAI CPL'!$B$6,1),0),"")</f>
        <v/>
      </c>
      <c r="AU52" s="2" t="str" cm="1">
        <f t="array" ref="AU52">IF('NILAI CPL'!$B52&lt;&gt;"",IFERROR(_xlfn.IFS(X52&gt;='NILAI CPL'!$B$3,4,X52&gt;='NILAI CPL'!$B$4,3,X52&gt;='NILAI CPL'!$B$5,2,X52&gt;'NILAI CPL'!$B$6,1),0),"")</f>
        <v/>
      </c>
      <c r="AV52" s="2" t="str" cm="1">
        <f t="array" ref="AV52">IF('NILAI CPL'!$B52&lt;&gt;"",IFERROR(_xlfn.IFS(Y52&gt;='NILAI CPL'!$B$3,4,Y52&gt;='NILAI CPL'!$B$4,3,Y52&gt;='NILAI CPL'!$B$5,2,Y52&gt;'NILAI CPL'!$B$6,1),0),"")</f>
        <v/>
      </c>
      <c r="AW52" s="2" t="str" cm="1">
        <f t="array" ref="AW52">IF('NILAI CPL'!$B52&lt;&gt;"",IFERROR(_xlfn.IFS(Z52&gt;='NILAI CPL'!$B$3,4,Z52&gt;='NILAI CPL'!$B$4,3,Z52&gt;='NILAI CPL'!$B$5,2,Z52&gt;'NILAI CPL'!$B$6,1),0),"")</f>
        <v/>
      </c>
      <c r="AX52" s="2" t="str" cm="1">
        <f t="array" ref="AX52">IF('NILAI CPL'!$B52&lt;&gt;"",IFERROR(_xlfn.IFS(AA52&gt;='NILAI CPL'!$B$3,4,AA52&gt;='NILAI CPL'!$B$4,3,AA52&gt;='NILAI CPL'!$B$5,2,AA52&gt;'NILAI CPL'!$B$6,1),0),"")</f>
        <v/>
      </c>
      <c r="AY52" s="2" t="str" cm="1">
        <f t="array" ref="AY52">IF('NILAI CPL'!$B52&lt;&gt;"",IFERROR(_xlfn.IFS(AB52&gt;='NILAI CPL'!$B$3,4,AB52&gt;='NILAI CPL'!$B$4,3,AB52&gt;='NILAI CPL'!$B$5,2,AB52&gt;'NILAI CPL'!$B$6,1),0),"")</f>
        <v/>
      </c>
      <c r="AZ52" s="2" t="str" cm="1">
        <f t="array" ref="AZ52">IF('NILAI CPL'!$B52&lt;&gt;"",IFERROR(_xlfn.IFS(AC52&gt;='NILAI CPL'!$B$3,4,AC52&gt;='NILAI CPL'!$B$4,3,AC52&gt;='NILAI CPL'!$B$5,2,AC52&gt;'NILAI CPL'!$B$6,1),0),"")</f>
        <v/>
      </c>
      <c r="BA52" s="2" t="str" cm="1">
        <f t="array" ref="BA52">IF('NILAI CPL'!$B52&lt;&gt;"",IFERROR(_xlfn.IFS(AD52&gt;='NILAI CPL'!$B$3,4,AD52&gt;='NILAI CPL'!$B$4,3,AD52&gt;='NILAI CPL'!$B$5,2,AD52&gt;'NILAI CPL'!$B$6,1),0),"")</f>
        <v/>
      </c>
      <c r="BB52" s="2" t="str" cm="1">
        <f t="array" ref="BB52">IF('NILAI CPL'!$B52&lt;&gt;"",IFERROR(_xlfn.IFS(AE52&gt;='NILAI CPL'!$B$3,4,AE52&gt;='NILAI CPL'!$B$4,3,AE52&gt;='NILAI CPL'!$B$5,2,AE52&gt;'NILAI CPL'!$B$6,1),0),"")</f>
        <v/>
      </c>
      <c r="BC52" s="2" t="str" cm="1">
        <f t="array" ref="BC52">IF('NILAI CPL'!$B52&lt;&gt;"",IFERROR(_xlfn.IFS(AF52&gt;='NILAI CPL'!$B$3,4,AF52&gt;='NILAI CPL'!$B$4,3,AF52&gt;='NILAI CPL'!$B$5,2,AF52&gt;'NILAI CPL'!$B$6,1),0),"")</f>
        <v/>
      </c>
      <c r="BD52" s="2" t="str" cm="1">
        <f t="array" ref="BD52">IF('NILAI CPL'!$B52&lt;&gt;"",IFERROR(_xlfn.IFS(AG52&gt;='NILAI CPL'!$B$3,4,AG52&gt;='NILAI CPL'!$B$4,3,AG52&gt;='NILAI CPL'!$B$5,2,AG52&gt;'NILAI CPL'!$B$6,1),0),"")</f>
        <v/>
      </c>
      <c r="BE52" s="2" t="str" cm="1">
        <f t="array" ref="BE52">IF('NILAI CPL'!$B52&lt;&gt;"",IFERROR(_xlfn.IFS(AH52&gt;='NILAI CPL'!$B$3,4,AH52&gt;='NILAI CPL'!$B$4,3,AH52&gt;='NILAI CPL'!$B$5,2,AH52&gt;'NILAI CPL'!$B$6,1),0),"")</f>
        <v/>
      </c>
      <c r="BF52" s="2" t="str" cm="1">
        <f t="array" ref="BF52">IF('NILAI CPL'!$B52&lt;&gt;"",IFERROR(_xlfn.IFS(AI52&gt;='NILAI CPL'!$B$3,4,AI52&gt;='NILAI CPL'!$B$4,3,AI52&gt;='NILAI CPL'!$B$5,2,AI52&gt;'NILAI CPL'!$B$6,1),0),"")</f>
        <v/>
      </c>
      <c r="BG52" s="2" t="str" cm="1">
        <f t="array" ref="BG52">IF('NILAI CPL'!$B52&lt;&gt;"",IFERROR(_xlfn.IFS(AJ52&gt;='NILAI CPL'!$B$3,4,AJ52&gt;='NILAI CPL'!$B$4,3,AJ52&gt;='NILAI CPL'!$B$5,2,AJ52&gt;'NILAI CPL'!$B$6,1),0),"")</f>
        <v/>
      </c>
      <c r="BH52" s="2" t="str" cm="1">
        <f t="array" ref="BH52">IF('NILAI CPL'!$B52&lt;&gt;"",IFERROR(_xlfn.IFS(AK52&gt;='NILAI CPL'!$B$3,4,AK52&gt;='NILAI CPL'!$B$4,3,AK52&gt;='NILAI CPL'!$B$5,2,AK52&gt;'NILAI CPL'!$B$6,1),0),"")</f>
        <v/>
      </c>
      <c r="BI52" s="2" t="str" cm="1">
        <f t="array" ref="BI52">IF('NILAI CPL'!$B52&lt;&gt;"",IFERROR(_xlfn.IFS(AL52&gt;='NILAI CPL'!$B$3,4,AL52&gt;='NILAI CPL'!$B$4,3,AL52&gt;='NILAI CPL'!$B$5,2,AL52&gt;'NILAI CPL'!$B$6,1),0),"")</f>
        <v/>
      </c>
      <c r="BJ52" s="2" t="str" cm="1">
        <f t="array" ref="BJ52">IF('NILAI CPL'!$B52&lt;&gt;"",IFERROR(_xlfn.IFS(AM52&gt;='NILAI CPL'!$B$3,4,AM52&gt;='NILAI CPL'!$B$4,3,AM52&gt;='NILAI CPL'!$B$5,2,AM52&gt;'NILAI CPL'!$B$6,1),0),"")</f>
        <v/>
      </c>
      <c r="BK52" s="2" t="str" cm="1">
        <f t="array" ref="BK52">IF('NILAI CPL'!$B52&lt;&gt;"",IFERROR(_xlfn.IFS(AN52&gt;='NILAI CPL'!$B$3,4,AN52&gt;='NILAI CPL'!$B$4,3,AN52&gt;='NILAI CPL'!$B$5,2,AN52&gt;'NILAI CPL'!$B$6,1),0),"")</f>
        <v/>
      </c>
    </row>
    <row r="53" spans="1:63" x14ac:dyDescent="0.2">
      <c r="A53" s="2">
        <v>43</v>
      </c>
      <c r="B53" s="2" t="str">
        <f>IF(LEN(SUMMARY!B53)&gt;0, SUMMARY!B53, "")</f>
        <v/>
      </c>
      <c r="C53" s="2" t="str">
        <f>IF(LEN(SUMMARY!C53)&gt;0, SUMMARY!C53, "")</f>
        <v/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" t="str">
        <f t="shared" si="2"/>
        <v/>
      </c>
      <c r="S53" s="2" t="str">
        <f t="shared" si="3"/>
        <v/>
      </c>
      <c r="T53" s="2" t="str">
        <f t="shared" si="4"/>
        <v/>
      </c>
      <c r="U53" s="2" t="str">
        <f t="shared" si="5"/>
        <v/>
      </c>
      <c r="V53" s="2" t="str">
        <f t="shared" si="6"/>
        <v/>
      </c>
      <c r="W53" s="2" t="str">
        <f t="shared" si="7"/>
        <v/>
      </c>
      <c r="X53" s="2" t="str">
        <f t="shared" si="8"/>
        <v/>
      </c>
      <c r="Y53" s="2" t="str">
        <f t="shared" si="9"/>
        <v/>
      </c>
      <c r="Z53" s="2" t="str">
        <f t="shared" si="10"/>
        <v/>
      </c>
      <c r="AA53" s="2" t="str">
        <f t="shared" si="11"/>
        <v/>
      </c>
      <c r="AB53" s="2" t="str">
        <f t="shared" si="12"/>
        <v/>
      </c>
      <c r="AC53" s="2" t="str">
        <f t="shared" si="13"/>
        <v/>
      </c>
      <c r="AD53" s="2" t="str">
        <f t="shared" si="14"/>
        <v/>
      </c>
      <c r="AE53" s="2" t="str">
        <f t="shared" si="15"/>
        <v/>
      </c>
      <c r="AF53" s="2" t="str">
        <f t="shared" si="16"/>
        <v/>
      </c>
      <c r="AG53" s="2" t="str">
        <f t="shared" si="17"/>
        <v/>
      </c>
      <c r="AH53" s="2" t="str">
        <f t="shared" si="18"/>
        <v/>
      </c>
      <c r="AI53" s="2" t="str">
        <f t="shared" si="19"/>
        <v/>
      </c>
      <c r="AJ53" s="2" t="str">
        <f t="shared" si="20"/>
        <v/>
      </c>
      <c r="AK53" s="2" t="str">
        <f t="shared" si="21"/>
        <v/>
      </c>
      <c r="AL53" s="2" t="str">
        <f t="shared" si="22"/>
        <v/>
      </c>
      <c r="AM53" s="2" t="str">
        <f t="shared" si="23"/>
        <v/>
      </c>
      <c r="AN53" s="2" t="str">
        <f t="shared" si="24"/>
        <v/>
      </c>
      <c r="AP53" s="2" t="str" cm="1">
        <f t="array" ref="AP53">IF('NILAI CPL'!$B53&lt;&gt;"",IFERROR(_xlfn.IFS(S53&gt;='NILAI CPL'!$B$3,4,S53&gt;='NILAI CPL'!$B$4,3,S53&gt;='NILAI CPL'!$B$5,2,S53&gt;'NILAI CPL'!$B$6,1),0),"")</f>
        <v/>
      </c>
      <c r="AQ53" s="2" t="str" cm="1">
        <f t="array" ref="AQ53">IF('NILAI CPL'!$B53&lt;&gt;"",IFERROR(_xlfn.IFS(T53&gt;='NILAI CPL'!$B$3,4,T53&gt;='NILAI CPL'!$B$4,3,T53&gt;='NILAI CPL'!$B$5,2,T53&gt;'NILAI CPL'!$B$6,1),0),"")</f>
        <v/>
      </c>
      <c r="AR53" s="2" t="str" cm="1">
        <f t="array" ref="AR53">IF('NILAI CPL'!$B53&lt;&gt;"",IFERROR(_xlfn.IFS(U53&gt;='NILAI CPL'!$B$3,4,U53&gt;='NILAI CPL'!$B$4,3,U53&gt;='NILAI CPL'!$B$5,2,U53&gt;'NILAI CPL'!$B$6,1),0),"")</f>
        <v/>
      </c>
      <c r="AS53" s="2" t="str" cm="1">
        <f t="array" ref="AS53">IF('NILAI CPL'!$B53&lt;&gt;"",IFERROR(_xlfn.IFS(V53&gt;='NILAI CPL'!$B$3,4,V53&gt;='NILAI CPL'!$B$4,3,V53&gt;='NILAI CPL'!$B$5,2,V53&gt;'NILAI CPL'!$B$6,1),0),"")</f>
        <v/>
      </c>
      <c r="AT53" s="2" t="str" cm="1">
        <f t="array" ref="AT53">IF('NILAI CPL'!$B53&lt;&gt;"",IFERROR(_xlfn.IFS(W53&gt;='NILAI CPL'!$B$3,4,W53&gt;='NILAI CPL'!$B$4,3,W53&gt;='NILAI CPL'!$B$5,2,W53&gt;'NILAI CPL'!$B$6,1),0),"")</f>
        <v/>
      </c>
      <c r="AU53" s="2" t="str" cm="1">
        <f t="array" ref="AU53">IF('NILAI CPL'!$B53&lt;&gt;"",IFERROR(_xlfn.IFS(X53&gt;='NILAI CPL'!$B$3,4,X53&gt;='NILAI CPL'!$B$4,3,X53&gt;='NILAI CPL'!$B$5,2,X53&gt;'NILAI CPL'!$B$6,1),0),"")</f>
        <v/>
      </c>
      <c r="AV53" s="2" t="str" cm="1">
        <f t="array" ref="AV53">IF('NILAI CPL'!$B53&lt;&gt;"",IFERROR(_xlfn.IFS(Y53&gt;='NILAI CPL'!$B$3,4,Y53&gt;='NILAI CPL'!$B$4,3,Y53&gt;='NILAI CPL'!$B$5,2,Y53&gt;'NILAI CPL'!$B$6,1),0),"")</f>
        <v/>
      </c>
      <c r="AW53" s="2" t="str" cm="1">
        <f t="array" ref="AW53">IF('NILAI CPL'!$B53&lt;&gt;"",IFERROR(_xlfn.IFS(Z53&gt;='NILAI CPL'!$B$3,4,Z53&gt;='NILAI CPL'!$B$4,3,Z53&gt;='NILAI CPL'!$B$5,2,Z53&gt;'NILAI CPL'!$B$6,1),0),"")</f>
        <v/>
      </c>
      <c r="AX53" s="2" t="str" cm="1">
        <f t="array" ref="AX53">IF('NILAI CPL'!$B53&lt;&gt;"",IFERROR(_xlfn.IFS(AA53&gt;='NILAI CPL'!$B$3,4,AA53&gt;='NILAI CPL'!$B$4,3,AA53&gt;='NILAI CPL'!$B$5,2,AA53&gt;'NILAI CPL'!$B$6,1),0),"")</f>
        <v/>
      </c>
      <c r="AY53" s="2" t="str" cm="1">
        <f t="array" ref="AY53">IF('NILAI CPL'!$B53&lt;&gt;"",IFERROR(_xlfn.IFS(AB53&gt;='NILAI CPL'!$B$3,4,AB53&gt;='NILAI CPL'!$B$4,3,AB53&gt;='NILAI CPL'!$B$5,2,AB53&gt;'NILAI CPL'!$B$6,1),0),"")</f>
        <v/>
      </c>
      <c r="AZ53" s="2" t="str" cm="1">
        <f t="array" ref="AZ53">IF('NILAI CPL'!$B53&lt;&gt;"",IFERROR(_xlfn.IFS(AC53&gt;='NILAI CPL'!$B$3,4,AC53&gt;='NILAI CPL'!$B$4,3,AC53&gt;='NILAI CPL'!$B$5,2,AC53&gt;'NILAI CPL'!$B$6,1),0),"")</f>
        <v/>
      </c>
      <c r="BA53" s="2" t="str" cm="1">
        <f t="array" ref="BA53">IF('NILAI CPL'!$B53&lt;&gt;"",IFERROR(_xlfn.IFS(AD53&gt;='NILAI CPL'!$B$3,4,AD53&gt;='NILAI CPL'!$B$4,3,AD53&gt;='NILAI CPL'!$B$5,2,AD53&gt;'NILAI CPL'!$B$6,1),0),"")</f>
        <v/>
      </c>
      <c r="BB53" s="2" t="str" cm="1">
        <f t="array" ref="BB53">IF('NILAI CPL'!$B53&lt;&gt;"",IFERROR(_xlfn.IFS(AE53&gt;='NILAI CPL'!$B$3,4,AE53&gt;='NILAI CPL'!$B$4,3,AE53&gt;='NILAI CPL'!$B$5,2,AE53&gt;'NILAI CPL'!$B$6,1),0),"")</f>
        <v/>
      </c>
      <c r="BC53" s="2" t="str" cm="1">
        <f t="array" ref="BC53">IF('NILAI CPL'!$B53&lt;&gt;"",IFERROR(_xlfn.IFS(AF53&gt;='NILAI CPL'!$B$3,4,AF53&gt;='NILAI CPL'!$B$4,3,AF53&gt;='NILAI CPL'!$B$5,2,AF53&gt;'NILAI CPL'!$B$6,1),0),"")</f>
        <v/>
      </c>
      <c r="BD53" s="2" t="str" cm="1">
        <f t="array" ref="BD53">IF('NILAI CPL'!$B53&lt;&gt;"",IFERROR(_xlfn.IFS(AG53&gt;='NILAI CPL'!$B$3,4,AG53&gt;='NILAI CPL'!$B$4,3,AG53&gt;='NILAI CPL'!$B$5,2,AG53&gt;'NILAI CPL'!$B$6,1),0),"")</f>
        <v/>
      </c>
      <c r="BE53" s="2" t="str" cm="1">
        <f t="array" ref="BE53">IF('NILAI CPL'!$B53&lt;&gt;"",IFERROR(_xlfn.IFS(AH53&gt;='NILAI CPL'!$B$3,4,AH53&gt;='NILAI CPL'!$B$4,3,AH53&gt;='NILAI CPL'!$B$5,2,AH53&gt;'NILAI CPL'!$B$6,1),0),"")</f>
        <v/>
      </c>
      <c r="BF53" s="2" t="str" cm="1">
        <f t="array" ref="BF53">IF('NILAI CPL'!$B53&lt;&gt;"",IFERROR(_xlfn.IFS(AI53&gt;='NILAI CPL'!$B$3,4,AI53&gt;='NILAI CPL'!$B$4,3,AI53&gt;='NILAI CPL'!$B$5,2,AI53&gt;'NILAI CPL'!$B$6,1),0),"")</f>
        <v/>
      </c>
      <c r="BG53" s="2" t="str" cm="1">
        <f t="array" ref="BG53">IF('NILAI CPL'!$B53&lt;&gt;"",IFERROR(_xlfn.IFS(AJ53&gt;='NILAI CPL'!$B$3,4,AJ53&gt;='NILAI CPL'!$B$4,3,AJ53&gt;='NILAI CPL'!$B$5,2,AJ53&gt;'NILAI CPL'!$B$6,1),0),"")</f>
        <v/>
      </c>
      <c r="BH53" s="2" t="str" cm="1">
        <f t="array" ref="BH53">IF('NILAI CPL'!$B53&lt;&gt;"",IFERROR(_xlfn.IFS(AK53&gt;='NILAI CPL'!$B$3,4,AK53&gt;='NILAI CPL'!$B$4,3,AK53&gt;='NILAI CPL'!$B$5,2,AK53&gt;'NILAI CPL'!$B$6,1),0),"")</f>
        <v/>
      </c>
      <c r="BI53" s="2" t="str" cm="1">
        <f t="array" ref="BI53">IF('NILAI CPL'!$B53&lt;&gt;"",IFERROR(_xlfn.IFS(AL53&gt;='NILAI CPL'!$B$3,4,AL53&gt;='NILAI CPL'!$B$4,3,AL53&gt;='NILAI CPL'!$B$5,2,AL53&gt;'NILAI CPL'!$B$6,1),0),"")</f>
        <v/>
      </c>
      <c r="BJ53" s="2" t="str" cm="1">
        <f t="array" ref="BJ53">IF('NILAI CPL'!$B53&lt;&gt;"",IFERROR(_xlfn.IFS(AM53&gt;='NILAI CPL'!$B$3,4,AM53&gt;='NILAI CPL'!$B$4,3,AM53&gt;='NILAI CPL'!$B$5,2,AM53&gt;'NILAI CPL'!$B$6,1),0),"")</f>
        <v/>
      </c>
      <c r="BK53" s="2" t="str" cm="1">
        <f t="array" ref="BK53">IF('NILAI CPL'!$B53&lt;&gt;"",IFERROR(_xlfn.IFS(AN53&gt;='NILAI CPL'!$B$3,4,AN53&gt;='NILAI CPL'!$B$4,3,AN53&gt;='NILAI CPL'!$B$5,2,AN53&gt;'NILAI CPL'!$B$6,1),0),"")</f>
        <v/>
      </c>
    </row>
    <row r="54" spans="1:63" x14ac:dyDescent="0.2">
      <c r="A54" s="2">
        <v>44</v>
      </c>
      <c r="B54" s="2" t="str">
        <f>IF(LEN(SUMMARY!B54)&gt;0, SUMMARY!B54, "")</f>
        <v/>
      </c>
      <c r="C54" s="2" t="str">
        <f>IF(LEN(SUMMARY!C54)&gt;0, SUMMARY!C54, "")</f>
        <v/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" t="str">
        <f t="shared" si="2"/>
        <v/>
      </c>
      <c r="S54" s="2" t="str">
        <f t="shared" si="3"/>
        <v/>
      </c>
      <c r="T54" s="2" t="str">
        <f t="shared" si="4"/>
        <v/>
      </c>
      <c r="U54" s="2" t="str">
        <f t="shared" si="5"/>
        <v/>
      </c>
      <c r="V54" s="2" t="str">
        <f t="shared" si="6"/>
        <v/>
      </c>
      <c r="W54" s="2" t="str">
        <f t="shared" si="7"/>
        <v/>
      </c>
      <c r="X54" s="2" t="str">
        <f t="shared" si="8"/>
        <v/>
      </c>
      <c r="Y54" s="2" t="str">
        <f t="shared" si="9"/>
        <v/>
      </c>
      <c r="Z54" s="2" t="str">
        <f t="shared" si="10"/>
        <v/>
      </c>
      <c r="AA54" s="2" t="str">
        <f t="shared" si="11"/>
        <v/>
      </c>
      <c r="AB54" s="2" t="str">
        <f t="shared" si="12"/>
        <v/>
      </c>
      <c r="AC54" s="2" t="str">
        <f t="shared" si="13"/>
        <v/>
      </c>
      <c r="AD54" s="2" t="str">
        <f t="shared" si="14"/>
        <v/>
      </c>
      <c r="AE54" s="2" t="str">
        <f t="shared" si="15"/>
        <v/>
      </c>
      <c r="AF54" s="2" t="str">
        <f t="shared" si="16"/>
        <v/>
      </c>
      <c r="AG54" s="2" t="str">
        <f t="shared" si="17"/>
        <v/>
      </c>
      <c r="AH54" s="2" t="str">
        <f t="shared" si="18"/>
        <v/>
      </c>
      <c r="AI54" s="2" t="str">
        <f t="shared" si="19"/>
        <v/>
      </c>
      <c r="AJ54" s="2" t="str">
        <f t="shared" si="20"/>
        <v/>
      </c>
      <c r="AK54" s="2" t="str">
        <f t="shared" si="21"/>
        <v/>
      </c>
      <c r="AL54" s="2" t="str">
        <f t="shared" si="22"/>
        <v/>
      </c>
      <c r="AM54" s="2" t="str">
        <f t="shared" si="23"/>
        <v/>
      </c>
      <c r="AN54" s="2" t="str">
        <f t="shared" si="24"/>
        <v/>
      </c>
      <c r="AP54" s="2" t="str" cm="1">
        <f t="array" ref="AP54">IF('NILAI CPL'!$B54&lt;&gt;"",IFERROR(_xlfn.IFS(S54&gt;='NILAI CPL'!$B$3,4,S54&gt;='NILAI CPL'!$B$4,3,S54&gt;='NILAI CPL'!$B$5,2,S54&gt;'NILAI CPL'!$B$6,1),0),"")</f>
        <v/>
      </c>
      <c r="AQ54" s="2" t="str" cm="1">
        <f t="array" ref="AQ54">IF('NILAI CPL'!$B54&lt;&gt;"",IFERROR(_xlfn.IFS(T54&gt;='NILAI CPL'!$B$3,4,T54&gt;='NILAI CPL'!$B$4,3,T54&gt;='NILAI CPL'!$B$5,2,T54&gt;'NILAI CPL'!$B$6,1),0),"")</f>
        <v/>
      </c>
      <c r="AR54" s="2" t="str" cm="1">
        <f t="array" ref="AR54">IF('NILAI CPL'!$B54&lt;&gt;"",IFERROR(_xlfn.IFS(U54&gt;='NILAI CPL'!$B$3,4,U54&gt;='NILAI CPL'!$B$4,3,U54&gt;='NILAI CPL'!$B$5,2,U54&gt;'NILAI CPL'!$B$6,1),0),"")</f>
        <v/>
      </c>
      <c r="AS54" s="2" t="str" cm="1">
        <f t="array" ref="AS54">IF('NILAI CPL'!$B54&lt;&gt;"",IFERROR(_xlfn.IFS(V54&gt;='NILAI CPL'!$B$3,4,V54&gt;='NILAI CPL'!$B$4,3,V54&gt;='NILAI CPL'!$B$5,2,V54&gt;'NILAI CPL'!$B$6,1),0),"")</f>
        <v/>
      </c>
      <c r="AT54" s="2" t="str" cm="1">
        <f t="array" ref="AT54">IF('NILAI CPL'!$B54&lt;&gt;"",IFERROR(_xlfn.IFS(W54&gt;='NILAI CPL'!$B$3,4,W54&gt;='NILAI CPL'!$B$4,3,W54&gt;='NILAI CPL'!$B$5,2,W54&gt;'NILAI CPL'!$B$6,1),0),"")</f>
        <v/>
      </c>
      <c r="AU54" s="2" t="str" cm="1">
        <f t="array" ref="AU54">IF('NILAI CPL'!$B54&lt;&gt;"",IFERROR(_xlfn.IFS(X54&gt;='NILAI CPL'!$B$3,4,X54&gt;='NILAI CPL'!$B$4,3,X54&gt;='NILAI CPL'!$B$5,2,X54&gt;'NILAI CPL'!$B$6,1),0),"")</f>
        <v/>
      </c>
      <c r="AV54" s="2" t="str" cm="1">
        <f t="array" ref="AV54">IF('NILAI CPL'!$B54&lt;&gt;"",IFERROR(_xlfn.IFS(Y54&gt;='NILAI CPL'!$B$3,4,Y54&gt;='NILAI CPL'!$B$4,3,Y54&gt;='NILAI CPL'!$B$5,2,Y54&gt;'NILAI CPL'!$B$6,1),0),"")</f>
        <v/>
      </c>
      <c r="AW54" s="2" t="str" cm="1">
        <f t="array" ref="AW54">IF('NILAI CPL'!$B54&lt;&gt;"",IFERROR(_xlfn.IFS(Z54&gt;='NILAI CPL'!$B$3,4,Z54&gt;='NILAI CPL'!$B$4,3,Z54&gt;='NILAI CPL'!$B$5,2,Z54&gt;'NILAI CPL'!$B$6,1),0),"")</f>
        <v/>
      </c>
      <c r="AX54" s="2" t="str" cm="1">
        <f t="array" ref="AX54">IF('NILAI CPL'!$B54&lt;&gt;"",IFERROR(_xlfn.IFS(AA54&gt;='NILAI CPL'!$B$3,4,AA54&gt;='NILAI CPL'!$B$4,3,AA54&gt;='NILAI CPL'!$B$5,2,AA54&gt;'NILAI CPL'!$B$6,1),0),"")</f>
        <v/>
      </c>
      <c r="AY54" s="2" t="str" cm="1">
        <f t="array" ref="AY54">IF('NILAI CPL'!$B54&lt;&gt;"",IFERROR(_xlfn.IFS(AB54&gt;='NILAI CPL'!$B$3,4,AB54&gt;='NILAI CPL'!$B$4,3,AB54&gt;='NILAI CPL'!$B$5,2,AB54&gt;'NILAI CPL'!$B$6,1),0),"")</f>
        <v/>
      </c>
      <c r="AZ54" s="2" t="str" cm="1">
        <f t="array" ref="AZ54">IF('NILAI CPL'!$B54&lt;&gt;"",IFERROR(_xlfn.IFS(AC54&gt;='NILAI CPL'!$B$3,4,AC54&gt;='NILAI CPL'!$B$4,3,AC54&gt;='NILAI CPL'!$B$5,2,AC54&gt;'NILAI CPL'!$B$6,1),0),"")</f>
        <v/>
      </c>
      <c r="BA54" s="2" t="str" cm="1">
        <f t="array" ref="BA54">IF('NILAI CPL'!$B54&lt;&gt;"",IFERROR(_xlfn.IFS(AD54&gt;='NILAI CPL'!$B$3,4,AD54&gt;='NILAI CPL'!$B$4,3,AD54&gt;='NILAI CPL'!$B$5,2,AD54&gt;'NILAI CPL'!$B$6,1),0),"")</f>
        <v/>
      </c>
      <c r="BB54" s="2" t="str" cm="1">
        <f t="array" ref="BB54">IF('NILAI CPL'!$B54&lt;&gt;"",IFERROR(_xlfn.IFS(AE54&gt;='NILAI CPL'!$B$3,4,AE54&gt;='NILAI CPL'!$B$4,3,AE54&gt;='NILAI CPL'!$B$5,2,AE54&gt;'NILAI CPL'!$B$6,1),0),"")</f>
        <v/>
      </c>
      <c r="BC54" s="2" t="str" cm="1">
        <f t="array" ref="BC54">IF('NILAI CPL'!$B54&lt;&gt;"",IFERROR(_xlfn.IFS(AF54&gt;='NILAI CPL'!$B$3,4,AF54&gt;='NILAI CPL'!$B$4,3,AF54&gt;='NILAI CPL'!$B$5,2,AF54&gt;'NILAI CPL'!$B$6,1),0),"")</f>
        <v/>
      </c>
      <c r="BD54" s="2" t="str" cm="1">
        <f t="array" ref="BD54">IF('NILAI CPL'!$B54&lt;&gt;"",IFERROR(_xlfn.IFS(AG54&gt;='NILAI CPL'!$B$3,4,AG54&gt;='NILAI CPL'!$B$4,3,AG54&gt;='NILAI CPL'!$B$5,2,AG54&gt;'NILAI CPL'!$B$6,1),0),"")</f>
        <v/>
      </c>
      <c r="BE54" s="2" t="str" cm="1">
        <f t="array" ref="BE54">IF('NILAI CPL'!$B54&lt;&gt;"",IFERROR(_xlfn.IFS(AH54&gt;='NILAI CPL'!$B$3,4,AH54&gt;='NILAI CPL'!$B$4,3,AH54&gt;='NILAI CPL'!$B$5,2,AH54&gt;'NILAI CPL'!$B$6,1),0),"")</f>
        <v/>
      </c>
      <c r="BF54" s="2" t="str" cm="1">
        <f t="array" ref="BF54">IF('NILAI CPL'!$B54&lt;&gt;"",IFERROR(_xlfn.IFS(AI54&gt;='NILAI CPL'!$B$3,4,AI54&gt;='NILAI CPL'!$B$4,3,AI54&gt;='NILAI CPL'!$B$5,2,AI54&gt;'NILAI CPL'!$B$6,1),0),"")</f>
        <v/>
      </c>
      <c r="BG54" s="2" t="str" cm="1">
        <f t="array" ref="BG54">IF('NILAI CPL'!$B54&lt;&gt;"",IFERROR(_xlfn.IFS(AJ54&gt;='NILAI CPL'!$B$3,4,AJ54&gt;='NILAI CPL'!$B$4,3,AJ54&gt;='NILAI CPL'!$B$5,2,AJ54&gt;'NILAI CPL'!$B$6,1),0),"")</f>
        <v/>
      </c>
      <c r="BH54" s="2" t="str" cm="1">
        <f t="array" ref="BH54">IF('NILAI CPL'!$B54&lt;&gt;"",IFERROR(_xlfn.IFS(AK54&gt;='NILAI CPL'!$B$3,4,AK54&gt;='NILAI CPL'!$B$4,3,AK54&gt;='NILAI CPL'!$B$5,2,AK54&gt;'NILAI CPL'!$B$6,1),0),"")</f>
        <v/>
      </c>
      <c r="BI54" s="2" t="str" cm="1">
        <f t="array" ref="BI54">IF('NILAI CPL'!$B54&lt;&gt;"",IFERROR(_xlfn.IFS(AL54&gt;='NILAI CPL'!$B$3,4,AL54&gt;='NILAI CPL'!$B$4,3,AL54&gt;='NILAI CPL'!$B$5,2,AL54&gt;'NILAI CPL'!$B$6,1),0),"")</f>
        <v/>
      </c>
      <c r="BJ54" s="2" t="str" cm="1">
        <f t="array" ref="BJ54">IF('NILAI CPL'!$B54&lt;&gt;"",IFERROR(_xlfn.IFS(AM54&gt;='NILAI CPL'!$B$3,4,AM54&gt;='NILAI CPL'!$B$4,3,AM54&gt;='NILAI CPL'!$B$5,2,AM54&gt;'NILAI CPL'!$B$6,1),0),"")</f>
        <v/>
      </c>
      <c r="BK54" s="2" t="str" cm="1">
        <f t="array" ref="BK54">IF('NILAI CPL'!$B54&lt;&gt;"",IFERROR(_xlfn.IFS(AN54&gt;='NILAI CPL'!$B$3,4,AN54&gt;='NILAI CPL'!$B$4,3,AN54&gt;='NILAI CPL'!$B$5,2,AN54&gt;'NILAI CPL'!$B$6,1),0),"")</f>
        <v/>
      </c>
    </row>
    <row r="55" spans="1:63" x14ac:dyDescent="0.2">
      <c r="A55" s="2">
        <v>45</v>
      </c>
      <c r="B55" s="2" t="str">
        <f>IF(LEN(SUMMARY!B55)&gt;0, SUMMARY!B55, "")</f>
        <v/>
      </c>
      <c r="C55" s="2" t="str">
        <f>IF(LEN(SUMMARY!C55)&gt;0, SUMMARY!C55, "")</f>
        <v/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" t="str">
        <f t="shared" si="2"/>
        <v/>
      </c>
      <c r="S55" s="2" t="str">
        <f t="shared" si="3"/>
        <v/>
      </c>
      <c r="T55" s="2" t="str">
        <f t="shared" si="4"/>
        <v/>
      </c>
      <c r="U55" s="2" t="str">
        <f t="shared" si="5"/>
        <v/>
      </c>
      <c r="V55" s="2" t="str">
        <f t="shared" si="6"/>
        <v/>
      </c>
      <c r="W55" s="2" t="str">
        <f t="shared" si="7"/>
        <v/>
      </c>
      <c r="X55" s="2" t="str">
        <f t="shared" si="8"/>
        <v/>
      </c>
      <c r="Y55" s="2" t="str">
        <f t="shared" si="9"/>
        <v/>
      </c>
      <c r="Z55" s="2" t="str">
        <f t="shared" si="10"/>
        <v/>
      </c>
      <c r="AA55" s="2" t="str">
        <f t="shared" si="11"/>
        <v/>
      </c>
      <c r="AB55" s="2" t="str">
        <f t="shared" si="12"/>
        <v/>
      </c>
      <c r="AC55" s="2" t="str">
        <f t="shared" si="13"/>
        <v/>
      </c>
      <c r="AD55" s="2" t="str">
        <f t="shared" si="14"/>
        <v/>
      </c>
      <c r="AE55" s="2" t="str">
        <f t="shared" si="15"/>
        <v/>
      </c>
      <c r="AF55" s="2" t="str">
        <f t="shared" si="16"/>
        <v/>
      </c>
      <c r="AG55" s="2" t="str">
        <f t="shared" si="17"/>
        <v/>
      </c>
      <c r="AH55" s="2" t="str">
        <f t="shared" si="18"/>
        <v/>
      </c>
      <c r="AI55" s="2" t="str">
        <f t="shared" si="19"/>
        <v/>
      </c>
      <c r="AJ55" s="2" t="str">
        <f t="shared" si="20"/>
        <v/>
      </c>
      <c r="AK55" s="2" t="str">
        <f t="shared" si="21"/>
        <v/>
      </c>
      <c r="AL55" s="2" t="str">
        <f t="shared" si="22"/>
        <v/>
      </c>
      <c r="AM55" s="2" t="str">
        <f t="shared" si="23"/>
        <v/>
      </c>
      <c r="AN55" s="2" t="str">
        <f t="shared" si="24"/>
        <v/>
      </c>
      <c r="AP55" s="2" t="str" cm="1">
        <f t="array" ref="AP55">IF('NILAI CPL'!$B55&lt;&gt;"",IFERROR(_xlfn.IFS(S55&gt;='NILAI CPL'!$B$3,4,S55&gt;='NILAI CPL'!$B$4,3,S55&gt;='NILAI CPL'!$B$5,2,S55&gt;'NILAI CPL'!$B$6,1),0),"")</f>
        <v/>
      </c>
      <c r="AQ55" s="2" t="str" cm="1">
        <f t="array" ref="AQ55">IF('NILAI CPL'!$B55&lt;&gt;"",IFERROR(_xlfn.IFS(T55&gt;='NILAI CPL'!$B$3,4,T55&gt;='NILAI CPL'!$B$4,3,T55&gt;='NILAI CPL'!$B$5,2,T55&gt;'NILAI CPL'!$B$6,1),0),"")</f>
        <v/>
      </c>
      <c r="AR55" s="2" t="str" cm="1">
        <f t="array" ref="AR55">IF('NILAI CPL'!$B55&lt;&gt;"",IFERROR(_xlfn.IFS(U55&gt;='NILAI CPL'!$B$3,4,U55&gt;='NILAI CPL'!$B$4,3,U55&gt;='NILAI CPL'!$B$5,2,U55&gt;'NILAI CPL'!$B$6,1),0),"")</f>
        <v/>
      </c>
      <c r="AS55" s="2" t="str" cm="1">
        <f t="array" ref="AS55">IF('NILAI CPL'!$B55&lt;&gt;"",IFERROR(_xlfn.IFS(V55&gt;='NILAI CPL'!$B$3,4,V55&gt;='NILAI CPL'!$B$4,3,V55&gt;='NILAI CPL'!$B$5,2,V55&gt;'NILAI CPL'!$B$6,1),0),"")</f>
        <v/>
      </c>
      <c r="AT55" s="2" t="str" cm="1">
        <f t="array" ref="AT55">IF('NILAI CPL'!$B55&lt;&gt;"",IFERROR(_xlfn.IFS(W55&gt;='NILAI CPL'!$B$3,4,W55&gt;='NILAI CPL'!$B$4,3,W55&gt;='NILAI CPL'!$B$5,2,W55&gt;'NILAI CPL'!$B$6,1),0),"")</f>
        <v/>
      </c>
      <c r="AU55" s="2" t="str" cm="1">
        <f t="array" ref="AU55">IF('NILAI CPL'!$B55&lt;&gt;"",IFERROR(_xlfn.IFS(X55&gt;='NILAI CPL'!$B$3,4,X55&gt;='NILAI CPL'!$B$4,3,X55&gt;='NILAI CPL'!$B$5,2,X55&gt;'NILAI CPL'!$B$6,1),0),"")</f>
        <v/>
      </c>
      <c r="AV55" s="2" t="str" cm="1">
        <f t="array" ref="AV55">IF('NILAI CPL'!$B55&lt;&gt;"",IFERROR(_xlfn.IFS(Y55&gt;='NILAI CPL'!$B$3,4,Y55&gt;='NILAI CPL'!$B$4,3,Y55&gt;='NILAI CPL'!$B$5,2,Y55&gt;'NILAI CPL'!$B$6,1),0),"")</f>
        <v/>
      </c>
      <c r="AW55" s="2" t="str" cm="1">
        <f t="array" ref="AW55">IF('NILAI CPL'!$B55&lt;&gt;"",IFERROR(_xlfn.IFS(Z55&gt;='NILAI CPL'!$B$3,4,Z55&gt;='NILAI CPL'!$B$4,3,Z55&gt;='NILAI CPL'!$B$5,2,Z55&gt;'NILAI CPL'!$B$6,1),0),"")</f>
        <v/>
      </c>
      <c r="AX55" s="2" t="str" cm="1">
        <f t="array" ref="AX55">IF('NILAI CPL'!$B55&lt;&gt;"",IFERROR(_xlfn.IFS(AA55&gt;='NILAI CPL'!$B$3,4,AA55&gt;='NILAI CPL'!$B$4,3,AA55&gt;='NILAI CPL'!$B$5,2,AA55&gt;'NILAI CPL'!$B$6,1),0),"")</f>
        <v/>
      </c>
      <c r="AY55" s="2" t="str" cm="1">
        <f t="array" ref="AY55">IF('NILAI CPL'!$B55&lt;&gt;"",IFERROR(_xlfn.IFS(AB55&gt;='NILAI CPL'!$B$3,4,AB55&gt;='NILAI CPL'!$B$4,3,AB55&gt;='NILAI CPL'!$B$5,2,AB55&gt;'NILAI CPL'!$B$6,1),0),"")</f>
        <v/>
      </c>
      <c r="AZ55" s="2" t="str" cm="1">
        <f t="array" ref="AZ55">IF('NILAI CPL'!$B55&lt;&gt;"",IFERROR(_xlfn.IFS(AC55&gt;='NILAI CPL'!$B$3,4,AC55&gt;='NILAI CPL'!$B$4,3,AC55&gt;='NILAI CPL'!$B$5,2,AC55&gt;'NILAI CPL'!$B$6,1),0),"")</f>
        <v/>
      </c>
      <c r="BA55" s="2" t="str" cm="1">
        <f t="array" ref="BA55">IF('NILAI CPL'!$B55&lt;&gt;"",IFERROR(_xlfn.IFS(AD55&gt;='NILAI CPL'!$B$3,4,AD55&gt;='NILAI CPL'!$B$4,3,AD55&gt;='NILAI CPL'!$B$5,2,AD55&gt;'NILAI CPL'!$B$6,1),0),"")</f>
        <v/>
      </c>
      <c r="BB55" s="2" t="str" cm="1">
        <f t="array" ref="BB55">IF('NILAI CPL'!$B55&lt;&gt;"",IFERROR(_xlfn.IFS(AE55&gt;='NILAI CPL'!$B$3,4,AE55&gt;='NILAI CPL'!$B$4,3,AE55&gt;='NILAI CPL'!$B$5,2,AE55&gt;'NILAI CPL'!$B$6,1),0),"")</f>
        <v/>
      </c>
      <c r="BC55" s="2" t="str" cm="1">
        <f t="array" ref="BC55">IF('NILAI CPL'!$B55&lt;&gt;"",IFERROR(_xlfn.IFS(AF55&gt;='NILAI CPL'!$B$3,4,AF55&gt;='NILAI CPL'!$B$4,3,AF55&gt;='NILAI CPL'!$B$5,2,AF55&gt;'NILAI CPL'!$B$6,1),0),"")</f>
        <v/>
      </c>
      <c r="BD55" s="2" t="str" cm="1">
        <f t="array" ref="BD55">IF('NILAI CPL'!$B55&lt;&gt;"",IFERROR(_xlfn.IFS(AG55&gt;='NILAI CPL'!$B$3,4,AG55&gt;='NILAI CPL'!$B$4,3,AG55&gt;='NILAI CPL'!$B$5,2,AG55&gt;'NILAI CPL'!$B$6,1),0),"")</f>
        <v/>
      </c>
      <c r="BE55" s="2" t="str" cm="1">
        <f t="array" ref="BE55">IF('NILAI CPL'!$B55&lt;&gt;"",IFERROR(_xlfn.IFS(AH55&gt;='NILAI CPL'!$B$3,4,AH55&gt;='NILAI CPL'!$B$4,3,AH55&gt;='NILAI CPL'!$B$5,2,AH55&gt;'NILAI CPL'!$B$6,1),0),"")</f>
        <v/>
      </c>
      <c r="BF55" s="2" t="str" cm="1">
        <f t="array" ref="BF55">IF('NILAI CPL'!$B55&lt;&gt;"",IFERROR(_xlfn.IFS(AI55&gt;='NILAI CPL'!$B$3,4,AI55&gt;='NILAI CPL'!$B$4,3,AI55&gt;='NILAI CPL'!$B$5,2,AI55&gt;'NILAI CPL'!$B$6,1),0),"")</f>
        <v/>
      </c>
      <c r="BG55" s="2" t="str" cm="1">
        <f t="array" ref="BG55">IF('NILAI CPL'!$B55&lt;&gt;"",IFERROR(_xlfn.IFS(AJ55&gt;='NILAI CPL'!$B$3,4,AJ55&gt;='NILAI CPL'!$B$4,3,AJ55&gt;='NILAI CPL'!$B$5,2,AJ55&gt;'NILAI CPL'!$B$6,1),0),"")</f>
        <v/>
      </c>
      <c r="BH55" s="2" t="str" cm="1">
        <f t="array" ref="BH55">IF('NILAI CPL'!$B55&lt;&gt;"",IFERROR(_xlfn.IFS(AK55&gt;='NILAI CPL'!$B$3,4,AK55&gt;='NILAI CPL'!$B$4,3,AK55&gt;='NILAI CPL'!$B$5,2,AK55&gt;'NILAI CPL'!$B$6,1),0),"")</f>
        <v/>
      </c>
      <c r="BI55" s="2" t="str" cm="1">
        <f t="array" ref="BI55">IF('NILAI CPL'!$B55&lt;&gt;"",IFERROR(_xlfn.IFS(AL55&gt;='NILAI CPL'!$B$3,4,AL55&gt;='NILAI CPL'!$B$4,3,AL55&gt;='NILAI CPL'!$B$5,2,AL55&gt;'NILAI CPL'!$B$6,1),0),"")</f>
        <v/>
      </c>
      <c r="BJ55" s="2" t="str" cm="1">
        <f t="array" ref="BJ55">IF('NILAI CPL'!$B55&lt;&gt;"",IFERROR(_xlfn.IFS(AM55&gt;='NILAI CPL'!$B$3,4,AM55&gt;='NILAI CPL'!$B$4,3,AM55&gt;='NILAI CPL'!$B$5,2,AM55&gt;'NILAI CPL'!$B$6,1),0),"")</f>
        <v/>
      </c>
      <c r="BK55" s="2" t="str" cm="1">
        <f t="array" ref="BK55">IF('NILAI CPL'!$B55&lt;&gt;"",IFERROR(_xlfn.IFS(AN55&gt;='NILAI CPL'!$B$3,4,AN55&gt;='NILAI CPL'!$B$4,3,AN55&gt;='NILAI CPL'!$B$5,2,AN55&gt;'NILAI CPL'!$B$6,1),0),"")</f>
        <v/>
      </c>
    </row>
    <row r="56" spans="1:63" x14ac:dyDescent="0.2">
      <c r="A56" s="2">
        <v>46</v>
      </c>
      <c r="B56" s="2" t="str">
        <f>IF(LEN(SUMMARY!B56)&gt;0, SUMMARY!B56, "")</f>
        <v/>
      </c>
      <c r="C56" s="2" t="str">
        <f>IF(LEN(SUMMARY!C56)&gt;0, SUMMARY!C56, "")</f>
        <v/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" t="str">
        <f t="shared" si="2"/>
        <v/>
      </c>
      <c r="S56" s="2" t="str">
        <f t="shared" si="3"/>
        <v/>
      </c>
      <c r="T56" s="2" t="str">
        <f t="shared" si="4"/>
        <v/>
      </c>
      <c r="U56" s="2" t="str">
        <f t="shared" si="5"/>
        <v/>
      </c>
      <c r="V56" s="2" t="str">
        <f t="shared" si="6"/>
        <v/>
      </c>
      <c r="W56" s="2" t="str">
        <f t="shared" si="7"/>
        <v/>
      </c>
      <c r="X56" s="2" t="str">
        <f t="shared" si="8"/>
        <v/>
      </c>
      <c r="Y56" s="2" t="str">
        <f t="shared" si="9"/>
        <v/>
      </c>
      <c r="Z56" s="2" t="str">
        <f t="shared" si="10"/>
        <v/>
      </c>
      <c r="AA56" s="2" t="str">
        <f t="shared" si="11"/>
        <v/>
      </c>
      <c r="AB56" s="2" t="str">
        <f t="shared" si="12"/>
        <v/>
      </c>
      <c r="AC56" s="2" t="str">
        <f t="shared" si="13"/>
        <v/>
      </c>
      <c r="AD56" s="2" t="str">
        <f t="shared" si="14"/>
        <v/>
      </c>
      <c r="AE56" s="2" t="str">
        <f t="shared" si="15"/>
        <v/>
      </c>
      <c r="AF56" s="2" t="str">
        <f t="shared" si="16"/>
        <v/>
      </c>
      <c r="AG56" s="2" t="str">
        <f t="shared" si="17"/>
        <v/>
      </c>
      <c r="AH56" s="2" t="str">
        <f t="shared" si="18"/>
        <v/>
      </c>
      <c r="AI56" s="2" t="str">
        <f t="shared" si="19"/>
        <v/>
      </c>
      <c r="AJ56" s="2" t="str">
        <f t="shared" si="20"/>
        <v/>
      </c>
      <c r="AK56" s="2" t="str">
        <f t="shared" si="21"/>
        <v/>
      </c>
      <c r="AL56" s="2" t="str">
        <f t="shared" si="22"/>
        <v/>
      </c>
      <c r="AM56" s="2" t="str">
        <f t="shared" si="23"/>
        <v/>
      </c>
      <c r="AN56" s="2" t="str">
        <f t="shared" si="24"/>
        <v/>
      </c>
      <c r="AP56" s="2" t="str" cm="1">
        <f t="array" ref="AP56">IF('NILAI CPL'!$B56&lt;&gt;"",IFERROR(_xlfn.IFS(S56&gt;='NILAI CPL'!$B$3,4,S56&gt;='NILAI CPL'!$B$4,3,S56&gt;='NILAI CPL'!$B$5,2,S56&gt;'NILAI CPL'!$B$6,1),0),"")</f>
        <v/>
      </c>
      <c r="AQ56" s="2" t="str" cm="1">
        <f t="array" ref="AQ56">IF('NILAI CPL'!$B56&lt;&gt;"",IFERROR(_xlfn.IFS(T56&gt;='NILAI CPL'!$B$3,4,T56&gt;='NILAI CPL'!$B$4,3,T56&gt;='NILAI CPL'!$B$5,2,T56&gt;'NILAI CPL'!$B$6,1),0),"")</f>
        <v/>
      </c>
      <c r="AR56" s="2" t="str" cm="1">
        <f t="array" ref="AR56">IF('NILAI CPL'!$B56&lt;&gt;"",IFERROR(_xlfn.IFS(U56&gt;='NILAI CPL'!$B$3,4,U56&gt;='NILAI CPL'!$B$4,3,U56&gt;='NILAI CPL'!$B$5,2,U56&gt;'NILAI CPL'!$B$6,1),0),"")</f>
        <v/>
      </c>
      <c r="AS56" s="2" t="str" cm="1">
        <f t="array" ref="AS56">IF('NILAI CPL'!$B56&lt;&gt;"",IFERROR(_xlfn.IFS(V56&gt;='NILAI CPL'!$B$3,4,V56&gt;='NILAI CPL'!$B$4,3,V56&gt;='NILAI CPL'!$B$5,2,V56&gt;'NILAI CPL'!$B$6,1),0),"")</f>
        <v/>
      </c>
      <c r="AT56" s="2" t="str" cm="1">
        <f t="array" ref="AT56">IF('NILAI CPL'!$B56&lt;&gt;"",IFERROR(_xlfn.IFS(W56&gt;='NILAI CPL'!$B$3,4,W56&gt;='NILAI CPL'!$B$4,3,W56&gt;='NILAI CPL'!$B$5,2,W56&gt;'NILAI CPL'!$B$6,1),0),"")</f>
        <v/>
      </c>
      <c r="AU56" s="2" t="str" cm="1">
        <f t="array" ref="AU56">IF('NILAI CPL'!$B56&lt;&gt;"",IFERROR(_xlfn.IFS(X56&gt;='NILAI CPL'!$B$3,4,X56&gt;='NILAI CPL'!$B$4,3,X56&gt;='NILAI CPL'!$B$5,2,X56&gt;'NILAI CPL'!$B$6,1),0),"")</f>
        <v/>
      </c>
      <c r="AV56" s="2" t="str" cm="1">
        <f t="array" ref="AV56">IF('NILAI CPL'!$B56&lt;&gt;"",IFERROR(_xlfn.IFS(Y56&gt;='NILAI CPL'!$B$3,4,Y56&gt;='NILAI CPL'!$B$4,3,Y56&gt;='NILAI CPL'!$B$5,2,Y56&gt;'NILAI CPL'!$B$6,1),0),"")</f>
        <v/>
      </c>
      <c r="AW56" s="2" t="str" cm="1">
        <f t="array" ref="AW56">IF('NILAI CPL'!$B56&lt;&gt;"",IFERROR(_xlfn.IFS(Z56&gt;='NILAI CPL'!$B$3,4,Z56&gt;='NILAI CPL'!$B$4,3,Z56&gt;='NILAI CPL'!$B$5,2,Z56&gt;'NILAI CPL'!$B$6,1),0),"")</f>
        <v/>
      </c>
      <c r="AX56" s="2" t="str" cm="1">
        <f t="array" ref="AX56">IF('NILAI CPL'!$B56&lt;&gt;"",IFERROR(_xlfn.IFS(AA56&gt;='NILAI CPL'!$B$3,4,AA56&gt;='NILAI CPL'!$B$4,3,AA56&gt;='NILAI CPL'!$B$5,2,AA56&gt;'NILAI CPL'!$B$6,1),0),"")</f>
        <v/>
      </c>
      <c r="AY56" s="2" t="str" cm="1">
        <f t="array" ref="AY56">IF('NILAI CPL'!$B56&lt;&gt;"",IFERROR(_xlfn.IFS(AB56&gt;='NILAI CPL'!$B$3,4,AB56&gt;='NILAI CPL'!$B$4,3,AB56&gt;='NILAI CPL'!$B$5,2,AB56&gt;'NILAI CPL'!$B$6,1),0),"")</f>
        <v/>
      </c>
      <c r="AZ56" s="2" t="str" cm="1">
        <f t="array" ref="AZ56">IF('NILAI CPL'!$B56&lt;&gt;"",IFERROR(_xlfn.IFS(AC56&gt;='NILAI CPL'!$B$3,4,AC56&gt;='NILAI CPL'!$B$4,3,AC56&gt;='NILAI CPL'!$B$5,2,AC56&gt;'NILAI CPL'!$B$6,1),0),"")</f>
        <v/>
      </c>
      <c r="BA56" s="2" t="str" cm="1">
        <f t="array" ref="BA56">IF('NILAI CPL'!$B56&lt;&gt;"",IFERROR(_xlfn.IFS(AD56&gt;='NILAI CPL'!$B$3,4,AD56&gt;='NILAI CPL'!$B$4,3,AD56&gt;='NILAI CPL'!$B$5,2,AD56&gt;'NILAI CPL'!$B$6,1),0),"")</f>
        <v/>
      </c>
      <c r="BB56" s="2" t="str" cm="1">
        <f t="array" ref="BB56">IF('NILAI CPL'!$B56&lt;&gt;"",IFERROR(_xlfn.IFS(AE56&gt;='NILAI CPL'!$B$3,4,AE56&gt;='NILAI CPL'!$B$4,3,AE56&gt;='NILAI CPL'!$B$5,2,AE56&gt;'NILAI CPL'!$B$6,1),0),"")</f>
        <v/>
      </c>
      <c r="BC56" s="2" t="str" cm="1">
        <f t="array" ref="BC56">IF('NILAI CPL'!$B56&lt;&gt;"",IFERROR(_xlfn.IFS(AF56&gt;='NILAI CPL'!$B$3,4,AF56&gt;='NILAI CPL'!$B$4,3,AF56&gt;='NILAI CPL'!$B$5,2,AF56&gt;'NILAI CPL'!$B$6,1),0),"")</f>
        <v/>
      </c>
      <c r="BD56" s="2" t="str" cm="1">
        <f t="array" ref="BD56">IF('NILAI CPL'!$B56&lt;&gt;"",IFERROR(_xlfn.IFS(AG56&gt;='NILAI CPL'!$B$3,4,AG56&gt;='NILAI CPL'!$B$4,3,AG56&gt;='NILAI CPL'!$B$5,2,AG56&gt;'NILAI CPL'!$B$6,1),0),"")</f>
        <v/>
      </c>
      <c r="BE56" s="2" t="str" cm="1">
        <f t="array" ref="BE56">IF('NILAI CPL'!$B56&lt;&gt;"",IFERROR(_xlfn.IFS(AH56&gt;='NILAI CPL'!$B$3,4,AH56&gt;='NILAI CPL'!$B$4,3,AH56&gt;='NILAI CPL'!$B$5,2,AH56&gt;'NILAI CPL'!$B$6,1),0),"")</f>
        <v/>
      </c>
      <c r="BF56" s="2" t="str" cm="1">
        <f t="array" ref="BF56">IF('NILAI CPL'!$B56&lt;&gt;"",IFERROR(_xlfn.IFS(AI56&gt;='NILAI CPL'!$B$3,4,AI56&gt;='NILAI CPL'!$B$4,3,AI56&gt;='NILAI CPL'!$B$5,2,AI56&gt;'NILAI CPL'!$B$6,1),0),"")</f>
        <v/>
      </c>
      <c r="BG56" s="2" t="str" cm="1">
        <f t="array" ref="BG56">IF('NILAI CPL'!$B56&lt;&gt;"",IFERROR(_xlfn.IFS(AJ56&gt;='NILAI CPL'!$B$3,4,AJ56&gt;='NILAI CPL'!$B$4,3,AJ56&gt;='NILAI CPL'!$B$5,2,AJ56&gt;'NILAI CPL'!$B$6,1),0),"")</f>
        <v/>
      </c>
      <c r="BH56" s="2" t="str" cm="1">
        <f t="array" ref="BH56">IF('NILAI CPL'!$B56&lt;&gt;"",IFERROR(_xlfn.IFS(AK56&gt;='NILAI CPL'!$B$3,4,AK56&gt;='NILAI CPL'!$B$4,3,AK56&gt;='NILAI CPL'!$B$5,2,AK56&gt;'NILAI CPL'!$B$6,1),0),"")</f>
        <v/>
      </c>
      <c r="BI56" s="2" t="str" cm="1">
        <f t="array" ref="BI56">IF('NILAI CPL'!$B56&lt;&gt;"",IFERROR(_xlfn.IFS(AL56&gt;='NILAI CPL'!$B$3,4,AL56&gt;='NILAI CPL'!$B$4,3,AL56&gt;='NILAI CPL'!$B$5,2,AL56&gt;'NILAI CPL'!$B$6,1),0),"")</f>
        <v/>
      </c>
      <c r="BJ56" s="2" t="str" cm="1">
        <f t="array" ref="BJ56">IF('NILAI CPL'!$B56&lt;&gt;"",IFERROR(_xlfn.IFS(AM56&gt;='NILAI CPL'!$B$3,4,AM56&gt;='NILAI CPL'!$B$4,3,AM56&gt;='NILAI CPL'!$B$5,2,AM56&gt;'NILAI CPL'!$B$6,1),0),"")</f>
        <v/>
      </c>
      <c r="BK56" s="2" t="str" cm="1">
        <f t="array" ref="BK56">IF('NILAI CPL'!$B56&lt;&gt;"",IFERROR(_xlfn.IFS(AN56&gt;='NILAI CPL'!$B$3,4,AN56&gt;='NILAI CPL'!$B$4,3,AN56&gt;='NILAI CPL'!$B$5,2,AN56&gt;'NILAI CPL'!$B$6,1),0),"")</f>
        <v/>
      </c>
    </row>
    <row r="57" spans="1:63" x14ac:dyDescent="0.2">
      <c r="A57" s="2">
        <v>47</v>
      </c>
      <c r="B57" s="2" t="str">
        <f>IF(LEN(SUMMARY!B57)&gt;0, SUMMARY!B57, "")</f>
        <v/>
      </c>
      <c r="C57" s="2" t="str">
        <f>IF(LEN(SUMMARY!C57)&gt;0, SUMMARY!C57, "")</f>
        <v/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" t="str">
        <f t="shared" si="2"/>
        <v/>
      </c>
      <c r="S57" s="2" t="str">
        <f t="shared" si="3"/>
        <v/>
      </c>
      <c r="T57" s="2" t="str">
        <f t="shared" si="4"/>
        <v/>
      </c>
      <c r="U57" s="2" t="str">
        <f t="shared" si="5"/>
        <v/>
      </c>
      <c r="V57" s="2" t="str">
        <f t="shared" si="6"/>
        <v/>
      </c>
      <c r="W57" s="2" t="str">
        <f t="shared" si="7"/>
        <v/>
      </c>
      <c r="X57" s="2" t="str">
        <f t="shared" si="8"/>
        <v/>
      </c>
      <c r="Y57" s="2" t="str">
        <f t="shared" si="9"/>
        <v/>
      </c>
      <c r="Z57" s="2" t="str">
        <f t="shared" si="10"/>
        <v/>
      </c>
      <c r="AA57" s="2" t="str">
        <f t="shared" si="11"/>
        <v/>
      </c>
      <c r="AB57" s="2" t="str">
        <f t="shared" si="12"/>
        <v/>
      </c>
      <c r="AC57" s="2" t="str">
        <f t="shared" si="13"/>
        <v/>
      </c>
      <c r="AD57" s="2" t="str">
        <f t="shared" si="14"/>
        <v/>
      </c>
      <c r="AE57" s="2" t="str">
        <f t="shared" si="15"/>
        <v/>
      </c>
      <c r="AF57" s="2" t="str">
        <f t="shared" si="16"/>
        <v/>
      </c>
      <c r="AG57" s="2" t="str">
        <f t="shared" si="17"/>
        <v/>
      </c>
      <c r="AH57" s="2" t="str">
        <f t="shared" si="18"/>
        <v/>
      </c>
      <c r="AI57" s="2" t="str">
        <f t="shared" si="19"/>
        <v/>
      </c>
      <c r="AJ57" s="2" t="str">
        <f t="shared" si="20"/>
        <v/>
      </c>
      <c r="AK57" s="2" t="str">
        <f t="shared" si="21"/>
        <v/>
      </c>
      <c r="AL57" s="2" t="str">
        <f t="shared" si="22"/>
        <v/>
      </c>
      <c r="AM57" s="2" t="str">
        <f t="shared" si="23"/>
        <v/>
      </c>
      <c r="AN57" s="2" t="str">
        <f t="shared" si="24"/>
        <v/>
      </c>
      <c r="AP57" s="2" t="str" cm="1">
        <f t="array" ref="AP57">IF('NILAI CPL'!$B57&lt;&gt;"",IFERROR(_xlfn.IFS(S57&gt;='NILAI CPL'!$B$3,4,S57&gt;='NILAI CPL'!$B$4,3,S57&gt;='NILAI CPL'!$B$5,2,S57&gt;'NILAI CPL'!$B$6,1),0),"")</f>
        <v/>
      </c>
      <c r="AQ57" s="2" t="str" cm="1">
        <f t="array" ref="AQ57">IF('NILAI CPL'!$B57&lt;&gt;"",IFERROR(_xlfn.IFS(T57&gt;='NILAI CPL'!$B$3,4,T57&gt;='NILAI CPL'!$B$4,3,T57&gt;='NILAI CPL'!$B$5,2,T57&gt;'NILAI CPL'!$B$6,1),0),"")</f>
        <v/>
      </c>
      <c r="AR57" s="2" t="str" cm="1">
        <f t="array" ref="AR57">IF('NILAI CPL'!$B57&lt;&gt;"",IFERROR(_xlfn.IFS(U57&gt;='NILAI CPL'!$B$3,4,U57&gt;='NILAI CPL'!$B$4,3,U57&gt;='NILAI CPL'!$B$5,2,U57&gt;'NILAI CPL'!$B$6,1),0),"")</f>
        <v/>
      </c>
      <c r="AS57" s="2" t="str" cm="1">
        <f t="array" ref="AS57">IF('NILAI CPL'!$B57&lt;&gt;"",IFERROR(_xlfn.IFS(V57&gt;='NILAI CPL'!$B$3,4,V57&gt;='NILAI CPL'!$B$4,3,V57&gt;='NILAI CPL'!$B$5,2,V57&gt;'NILAI CPL'!$B$6,1),0),"")</f>
        <v/>
      </c>
      <c r="AT57" s="2" t="str" cm="1">
        <f t="array" ref="AT57">IF('NILAI CPL'!$B57&lt;&gt;"",IFERROR(_xlfn.IFS(W57&gt;='NILAI CPL'!$B$3,4,W57&gt;='NILAI CPL'!$B$4,3,W57&gt;='NILAI CPL'!$B$5,2,W57&gt;'NILAI CPL'!$B$6,1),0),"")</f>
        <v/>
      </c>
      <c r="AU57" s="2" t="str" cm="1">
        <f t="array" ref="AU57">IF('NILAI CPL'!$B57&lt;&gt;"",IFERROR(_xlfn.IFS(X57&gt;='NILAI CPL'!$B$3,4,X57&gt;='NILAI CPL'!$B$4,3,X57&gt;='NILAI CPL'!$B$5,2,X57&gt;'NILAI CPL'!$B$6,1),0),"")</f>
        <v/>
      </c>
      <c r="AV57" s="2" t="str" cm="1">
        <f t="array" ref="AV57">IF('NILAI CPL'!$B57&lt;&gt;"",IFERROR(_xlfn.IFS(Y57&gt;='NILAI CPL'!$B$3,4,Y57&gt;='NILAI CPL'!$B$4,3,Y57&gt;='NILAI CPL'!$B$5,2,Y57&gt;'NILAI CPL'!$B$6,1),0),"")</f>
        <v/>
      </c>
      <c r="AW57" s="2" t="str" cm="1">
        <f t="array" ref="AW57">IF('NILAI CPL'!$B57&lt;&gt;"",IFERROR(_xlfn.IFS(Z57&gt;='NILAI CPL'!$B$3,4,Z57&gt;='NILAI CPL'!$B$4,3,Z57&gt;='NILAI CPL'!$B$5,2,Z57&gt;'NILAI CPL'!$B$6,1),0),"")</f>
        <v/>
      </c>
      <c r="AX57" s="2" t="str" cm="1">
        <f t="array" ref="AX57">IF('NILAI CPL'!$B57&lt;&gt;"",IFERROR(_xlfn.IFS(AA57&gt;='NILAI CPL'!$B$3,4,AA57&gt;='NILAI CPL'!$B$4,3,AA57&gt;='NILAI CPL'!$B$5,2,AA57&gt;'NILAI CPL'!$B$6,1),0),"")</f>
        <v/>
      </c>
      <c r="AY57" s="2" t="str" cm="1">
        <f t="array" ref="AY57">IF('NILAI CPL'!$B57&lt;&gt;"",IFERROR(_xlfn.IFS(AB57&gt;='NILAI CPL'!$B$3,4,AB57&gt;='NILAI CPL'!$B$4,3,AB57&gt;='NILAI CPL'!$B$5,2,AB57&gt;'NILAI CPL'!$B$6,1),0),"")</f>
        <v/>
      </c>
      <c r="AZ57" s="2" t="str" cm="1">
        <f t="array" ref="AZ57">IF('NILAI CPL'!$B57&lt;&gt;"",IFERROR(_xlfn.IFS(AC57&gt;='NILAI CPL'!$B$3,4,AC57&gt;='NILAI CPL'!$B$4,3,AC57&gt;='NILAI CPL'!$B$5,2,AC57&gt;'NILAI CPL'!$B$6,1),0),"")</f>
        <v/>
      </c>
      <c r="BA57" s="2" t="str" cm="1">
        <f t="array" ref="BA57">IF('NILAI CPL'!$B57&lt;&gt;"",IFERROR(_xlfn.IFS(AD57&gt;='NILAI CPL'!$B$3,4,AD57&gt;='NILAI CPL'!$B$4,3,AD57&gt;='NILAI CPL'!$B$5,2,AD57&gt;'NILAI CPL'!$B$6,1),0),"")</f>
        <v/>
      </c>
      <c r="BB57" s="2" t="str" cm="1">
        <f t="array" ref="BB57">IF('NILAI CPL'!$B57&lt;&gt;"",IFERROR(_xlfn.IFS(AE57&gt;='NILAI CPL'!$B$3,4,AE57&gt;='NILAI CPL'!$B$4,3,AE57&gt;='NILAI CPL'!$B$5,2,AE57&gt;'NILAI CPL'!$B$6,1),0),"")</f>
        <v/>
      </c>
      <c r="BC57" s="2" t="str" cm="1">
        <f t="array" ref="BC57">IF('NILAI CPL'!$B57&lt;&gt;"",IFERROR(_xlfn.IFS(AF57&gt;='NILAI CPL'!$B$3,4,AF57&gt;='NILAI CPL'!$B$4,3,AF57&gt;='NILAI CPL'!$B$5,2,AF57&gt;'NILAI CPL'!$B$6,1),0),"")</f>
        <v/>
      </c>
      <c r="BD57" s="2" t="str" cm="1">
        <f t="array" ref="BD57">IF('NILAI CPL'!$B57&lt;&gt;"",IFERROR(_xlfn.IFS(AG57&gt;='NILAI CPL'!$B$3,4,AG57&gt;='NILAI CPL'!$B$4,3,AG57&gt;='NILAI CPL'!$B$5,2,AG57&gt;'NILAI CPL'!$B$6,1),0),"")</f>
        <v/>
      </c>
      <c r="BE57" s="2" t="str" cm="1">
        <f t="array" ref="BE57">IF('NILAI CPL'!$B57&lt;&gt;"",IFERROR(_xlfn.IFS(AH57&gt;='NILAI CPL'!$B$3,4,AH57&gt;='NILAI CPL'!$B$4,3,AH57&gt;='NILAI CPL'!$B$5,2,AH57&gt;'NILAI CPL'!$B$6,1),0),"")</f>
        <v/>
      </c>
      <c r="BF57" s="2" t="str" cm="1">
        <f t="array" ref="BF57">IF('NILAI CPL'!$B57&lt;&gt;"",IFERROR(_xlfn.IFS(AI57&gt;='NILAI CPL'!$B$3,4,AI57&gt;='NILAI CPL'!$B$4,3,AI57&gt;='NILAI CPL'!$B$5,2,AI57&gt;'NILAI CPL'!$B$6,1),0),"")</f>
        <v/>
      </c>
      <c r="BG57" s="2" t="str" cm="1">
        <f t="array" ref="BG57">IF('NILAI CPL'!$B57&lt;&gt;"",IFERROR(_xlfn.IFS(AJ57&gt;='NILAI CPL'!$B$3,4,AJ57&gt;='NILAI CPL'!$B$4,3,AJ57&gt;='NILAI CPL'!$B$5,2,AJ57&gt;'NILAI CPL'!$B$6,1),0),"")</f>
        <v/>
      </c>
      <c r="BH57" s="2" t="str" cm="1">
        <f t="array" ref="BH57">IF('NILAI CPL'!$B57&lt;&gt;"",IFERROR(_xlfn.IFS(AK57&gt;='NILAI CPL'!$B$3,4,AK57&gt;='NILAI CPL'!$B$4,3,AK57&gt;='NILAI CPL'!$B$5,2,AK57&gt;'NILAI CPL'!$B$6,1),0),"")</f>
        <v/>
      </c>
      <c r="BI57" s="2" t="str" cm="1">
        <f t="array" ref="BI57">IF('NILAI CPL'!$B57&lt;&gt;"",IFERROR(_xlfn.IFS(AL57&gt;='NILAI CPL'!$B$3,4,AL57&gt;='NILAI CPL'!$B$4,3,AL57&gt;='NILAI CPL'!$B$5,2,AL57&gt;'NILAI CPL'!$B$6,1),0),"")</f>
        <v/>
      </c>
      <c r="BJ57" s="2" t="str" cm="1">
        <f t="array" ref="BJ57">IF('NILAI CPL'!$B57&lt;&gt;"",IFERROR(_xlfn.IFS(AM57&gt;='NILAI CPL'!$B$3,4,AM57&gt;='NILAI CPL'!$B$4,3,AM57&gt;='NILAI CPL'!$B$5,2,AM57&gt;'NILAI CPL'!$B$6,1),0),"")</f>
        <v/>
      </c>
      <c r="BK57" s="2" t="str" cm="1">
        <f t="array" ref="BK57">IF('NILAI CPL'!$B57&lt;&gt;"",IFERROR(_xlfn.IFS(AN57&gt;='NILAI CPL'!$B$3,4,AN57&gt;='NILAI CPL'!$B$4,3,AN57&gt;='NILAI CPL'!$B$5,2,AN57&gt;'NILAI CPL'!$B$6,1),0),"")</f>
        <v/>
      </c>
    </row>
    <row r="58" spans="1:63" x14ac:dyDescent="0.2">
      <c r="A58" s="2">
        <v>48</v>
      </c>
      <c r="B58" s="2" t="str">
        <f>IF(LEN(SUMMARY!B58)&gt;0, SUMMARY!B58, "")</f>
        <v/>
      </c>
      <c r="C58" s="2" t="str">
        <f>IF(LEN(SUMMARY!C58)&gt;0, SUMMARY!C58, "")</f>
        <v/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" t="str">
        <f t="shared" si="2"/>
        <v/>
      </c>
      <c r="S58" s="2" t="str">
        <f t="shared" si="3"/>
        <v/>
      </c>
      <c r="T58" s="2" t="str">
        <f t="shared" si="4"/>
        <v/>
      </c>
      <c r="U58" s="2" t="str">
        <f t="shared" si="5"/>
        <v/>
      </c>
      <c r="V58" s="2" t="str">
        <f t="shared" si="6"/>
        <v/>
      </c>
      <c r="W58" s="2" t="str">
        <f t="shared" si="7"/>
        <v/>
      </c>
      <c r="X58" s="2" t="str">
        <f t="shared" si="8"/>
        <v/>
      </c>
      <c r="Y58" s="2" t="str">
        <f t="shared" si="9"/>
        <v/>
      </c>
      <c r="Z58" s="2" t="str">
        <f t="shared" si="10"/>
        <v/>
      </c>
      <c r="AA58" s="2" t="str">
        <f t="shared" si="11"/>
        <v/>
      </c>
      <c r="AB58" s="2" t="str">
        <f t="shared" si="12"/>
        <v/>
      </c>
      <c r="AC58" s="2" t="str">
        <f t="shared" si="13"/>
        <v/>
      </c>
      <c r="AD58" s="2" t="str">
        <f t="shared" si="14"/>
        <v/>
      </c>
      <c r="AE58" s="2" t="str">
        <f t="shared" si="15"/>
        <v/>
      </c>
      <c r="AF58" s="2" t="str">
        <f t="shared" si="16"/>
        <v/>
      </c>
      <c r="AG58" s="2" t="str">
        <f t="shared" si="17"/>
        <v/>
      </c>
      <c r="AH58" s="2" t="str">
        <f t="shared" si="18"/>
        <v/>
      </c>
      <c r="AI58" s="2" t="str">
        <f t="shared" si="19"/>
        <v/>
      </c>
      <c r="AJ58" s="2" t="str">
        <f t="shared" si="20"/>
        <v/>
      </c>
      <c r="AK58" s="2" t="str">
        <f t="shared" si="21"/>
        <v/>
      </c>
      <c r="AL58" s="2" t="str">
        <f t="shared" si="22"/>
        <v/>
      </c>
      <c r="AM58" s="2" t="str">
        <f t="shared" si="23"/>
        <v/>
      </c>
      <c r="AN58" s="2" t="str">
        <f t="shared" si="24"/>
        <v/>
      </c>
      <c r="AP58" s="2" t="str" cm="1">
        <f t="array" ref="AP58">IF('NILAI CPL'!$B58&lt;&gt;"",IFERROR(_xlfn.IFS(S58&gt;='NILAI CPL'!$B$3,4,S58&gt;='NILAI CPL'!$B$4,3,S58&gt;='NILAI CPL'!$B$5,2,S58&gt;'NILAI CPL'!$B$6,1),0),"")</f>
        <v/>
      </c>
      <c r="AQ58" s="2" t="str" cm="1">
        <f t="array" ref="AQ58">IF('NILAI CPL'!$B58&lt;&gt;"",IFERROR(_xlfn.IFS(T58&gt;='NILAI CPL'!$B$3,4,T58&gt;='NILAI CPL'!$B$4,3,T58&gt;='NILAI CPL'!$B$5,2,T58&gt;'NILAI CPL'!$B$6,1),0),"")</f>
        <v/>
      </c>
      <c r="AR58" s="2" t="str" cm="1">
        <f t="array" ref="AR58">IF('NILAI CPL'!$B58&lt;&gt;"",IFERROR(_xlfn.IFS(U58&gt;='NILAI CPL'!$B$3,4,U58&gt;='NILAI CPL'!$B$4,3,U58&gt;='NILAI CPL'!$B$5,2,U58&gt;'NILAI CPL'!$B$6,1),0),"")</f>
        <v/>
      </c>
      <c r="AS58" s="2" t="str" cm="1">
        <f t="array" ref="AS58">IF('NILAI CPL'!$B58&lt;&gt;"",IFERROR(_xlfn.IFS(V58&gt;='NILAI CPL'!$B$3,4,V58&gt;='NILAI CPL'!$B$4,3,V58&gt;='NILAI CPL'!$B$5,2,V58&gt;'NILAI CPL'!$B$6,1),0),"")</f>
        <v/>
      </c>
      <c r="AT58" s="2" t="str" cm="1">
        <f t="array" ref="AT58">IF('NILAI CPL'!$B58&lt;&gt;"",IFERROR(_xlfn.IFS(W58&gt;='NILAI CPL'!$B$3,4,W58&gt;='NILAI CPL'!$B$4,3,W58&gt;='NILAI CPL'!$B$5,2,W58&gt;'NILAI CPL'!$B$6,1),0),"")</f>
        <v/>
      </c>
      <c r="AU58" s="2" t="str" cm="1">
        <f t="array" ref="AU58">IF('NILAI CPL'!$B58&lt;&gt;"",IFERROR(_xlfn.IFS(X58&gt;='NILAI CPL'!$B$3,4,X58&gt;='NILAI CPL'!$B$4,3,X58&gt;='NILAI CPL'!$B$5,2,X58&gt;'NILAI CPL'!$B$6,1),0),"")</f>
        <v/>
      </c>
      <c r="AV58" s="2" t="str" cm="1">
        <f t="array" ref="AV58">IF('NILAI CPL'!$B58&lt;&gt;"",IFERROR(_xlfn.IFS(Y58&gt;='NILAI CPL'!$B$3,4,Y58&gt;='NILAI CPL'!$B$4,3,Y58&gt;='NILAI CPL'!$B$5,2,Y58&gt;'NILAI CPL'!$B$6,1),0),"")</f>
        <v/>
      </c>
      <c r="AW58" s="2" t="str" cm="1">
        <f t="array" ref="AW58">IF('NILAI CPL'!$B58&lt;&gt;"",IFERROR(_xlfn.IFS(Z58&gt;='NILAI CPL'!$B$3,4,Z58&gt;='NILAI CPL'!$B$4,3,Z58&gt;='NILAI CPL'!$B$5,2,Z58&gt;'NILAI CPL'!$B$6,1),0),"")</f>
        <v/>
      </c>
      <c r="AX58" s="2" t="str" cm="1">
        <f t="array" ref="AX58">IF('NILAI CPL'!$B58&lt;&gt;"",IFERROR(_xlfn.IFS(AA58&gt;='NILAI CPL'!$B$3,4,AA58&gt;='NILAI CPL'!$B$4,3,AA58&gt;='NILAI CPL'!$B$5,2,AA58&gt;'NILAI CPL'!$B$6,1),0),"")</f>
        <v/>
      </c>
      <c r="AY58" s="2" t="str" cm="1">
        <f t="array" ref="AY58">IF('NILAI CPL'!$B58&lt;&gt;"",IFERROR(_xlfn.IFS(AB58&gt;='NILAI CPL'!$B$3,4,AB58&gt;='NILAI CPL'!$B$4,3,AB58&gt;='NILAI CPL'!$B$5,2,AB58&gt;'NILAI CPL'!$B$6,1),0),"")</f>
        <v/>
      </c>
      <c r="AZ58" s="2" t="str" cm="1">
        <f t="array" ref="AZ58">IF('NILAI CPL'!$B58&lt;&gt;"",IFERROR(_xlfn.IFS(AC58&gt;='NILAI CPL'!$B$3,4,AC58&gt;='NILAI CPL'!$B$4,3,AC58&gt;='NILAI CPL'!$B$5,2,AC58&gt;'NILAI CPL'!$B$6,1),0),"")</f>
        <v/>
      </c>
      <c r="BA58" s="2" t="str" cm="1">
        <f t="array" ref="BA58">IF('NILAI CPL'!$B58&lt;&gt;"",IFERROR(_xlfn.IFS(AD58&gt;='NILAI CPL'!$B$3,4,AD58&gt;='NILAI CPL'!$B$4,3,AD58&gt;='NILAI CPL'!$B$5,2,AD58&gt;'NILAI CPL'!$B$6,1),0),"")</f>
        <v/>
      </c>
      <c r="BB58" s="2" t="str" cm="1">
        <f t="array" ref="BB58">IF('NILAI CPL'!$B58&lt;&gt;"",IFERROR(_xlfn.IFS(AE58&gt;='NILAI CPL'!$B$3,4,AE58&gt;='NILAI CPL'!$B$4,3,AE58&gt;='NILAI CPL'!$B$5,2,AE58&gt;'NILAI CPL'!$B$6,1),0),"")</f>
        <v/>
      </c>
      <c r="BC58" s="2" t="str" cm="1">
        <f t="array" ref="BC58">IF('NILAI CPL'!$B58&lt;&gt;"",IFERROR(_xlfn.IFS(AF58&gt;='NILAI CPL'!$B$3,4,AF58&gt;='NILAI CPL'!$B$4,3,AF58&gt;='NILAI CPL'!$B$5,2,AF58&gt;'NILAI CPL'!$B$6,1),0),"")</f>
        <v/>
      </c>
      <c r="BD58" s="2" t="str" cm="1">
        <f t="array" ref="BD58">IF('NILAI CPL'!$B58&lt;&gt;"",IFERROR(_xlfn.IFS(AG58&gt;='NILAI CPL'!$B$3,4,AG58&gt;='NILAI CPL'!$B$4,3,AG58&gt;='NILAI CPL'!$B$5,2,AG58&gt;'NILAI CPL'!$B$6,1),0),"")</f>
        <v/>
      </c>
      <c r="BE58" s="2" t="str" cm="1">
        <f t="array" ref="BE58">IF('NILAI CPL'!$B58&lt;&gt;"",IFERROR(_xlfn.IFS(AH58&gt;='NILAI CPL'!$B$3,4,AH58&gt;='NILAI CPL'!$B$4,3,AH58&gt;='NILAI CPL'!$B$5,2,AH58&gt;'NILAI CPL'!$B$6,1),0),"")</f>
        <v/>
      </c>
      <c r="BF58" s="2" t="str" cm="1">
        <f t="array" ref="BF58">IF('NILAI CPL'!$B58&lt;&gt;"",IFERROR(_xlfn.IFS(AI58&gt;='NILAI CPL'!$B$3,4,AI58&gt;='NILAI CPL'!$B$4,3,AI58&gt;='NILAI CPL'!$B$5,2,AI58&gt;'NILAI CPL'!$B$6,1),0),"")</f>
        <v/>
      </c>
      <c r="BG58" s="2" t="str" cm="1">
        <f t="array" ref="BG58">IF('NILAI CPL'!$B58&lt;&gt;"",IFERROR(_xlfn.IFS(AJ58&gt;='NILAI CPL'!$B$3,4,AJ58&gt;='NILAI CPL'!$B$4,3,AJ58&gt;='NILAI CPL'!$B$5,2,AJ58&gt;'NILAI CPL'!$B$6,1),0),"")</f>
        <v/>
      </c>
      <c r="BH58" s="2" t="str" cm="1">
        <f t="array" ref="BH58">IF('NILAI CPL'!$B58&lt;&gt;"",IFERROR(_xlfn.IFS(AK58&gt;='NILAI CPL'!$B$3,4,AK58&gt;='NILAI CPL'!$B$4,3,AK58&gt;='NILAI CPL'!$B$5,2,AK58&gt;'NILAI CPL'!$B$6,1),0),"")</f>
        <v/>
      </c>
      <c r="BI58" s="2" t="str" cm="1">
        <f t="array" ref="BI58">IF('NILAI CPL'!$B58&lt;&gt;"",IFERROR(_xlfn.IFS(AL58&gt;='NILAI CPL'!$B$3,4,AL58&gt;='NILAI CPL'!$B$4,3,AL58&gt;='NILAI CPL'!$B$5,2,AL58&gt;'NILAI CPL'!$B$6,1),0),"")</f>
        <v/>
      </c>
      <c r="BJ58" s="2" t="str" cm="1">
        <f t="array" ref="BJ58">IF('NILAI CPL'!$B58&lt;&gt;"",IFERROR(_xlfn.IFS(AM58&gt;='NILAI CPL'!$B$3,4,AM58&gt;='NILAI CPL'!$B$4,3,AM58&gt;='NILAI CPL'!$B$5,2,AM58&gt;'NILAI CPL'!$B$6,1),0),"")</f>
        <v/>
      </c>
      <c r="BK58" s="2" t="str" cm="1">
        <f t="array" ref="BK58">IF('NILAI CPL'!$B58&lt;&gt;"",IFERROR(_xlfn.IFS(AN58&gt;='NILAI CPL'!$B$3,4,AN58&gt;='NILAI CPL'!$B$4,3,AN58&gt;='NILAI CPL'!$B$5,2,AN58&gt;'NILAI CPL'!$B$6,1),0),"")</f>
        <v/>
      </c>
    </row>
    <row r="59" spans="1:63" x14ac:dyDescent="0.2">
      <c r="A59" s="2">
        <v>49</v>
      </c>
      <c r="B59" s="2" t="str">
        <f>IF(LEN(SUMMARY!B59)&gt;0, SUMMARY!B59, "")</f>
        <v/>
      </c>
      <c r="C59" s="2" t="str">
        <f>IF(LEN(SUMMARY!C59)&gt;0, SUMMARY!C59, "")</f>
        <v/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" t="str">
        <f t="shared" si="2"/>
        <v/>
      </c>
      <c r="S59" s="2" t="str">
        <f t="shared" si="3"/>
        <v/>
      </c>
      <c r="T59" s="2" t="str">
        <f t="shared" si="4"/>
        <v/>
      </c>
      <c r="U59" s="2" t="str">
        <f t="shared" si="5"/>
        <v/>
      </c>
      <c r="V59" s="2" t="str">
        <f t="shared" si="6"/>
        <v/>
      </c>
      <c r="W59" s="2" t="str">
        <f t="shared" si="7"/>
        <v/>
      </c>
      <c r="X59" s="2" t="str">
        <f t="shared" si="8"/>
        <v/>
      </c>
      <c r="Y59" s="2" t="str">
        <f t="shared" si="9"/>
        <v/>
      </c>
      <c r="Z59" s="2" t="str">
        <f t="shared" si="10"/>
        <v/>
      </c>
      <c r="AA59" s="2" t="str">
        <f t="shared" si="11"/>
        <v/>
      </c>
      <c r="AB59" s="2" t="str">
        <f t="shared" si="12"/>
        <v/>
      </c>
      <c r="AC59" s="2" t="str">
        <f t="shared" si="13"/>
        <v/>
      </c>
      <c r="AD59" s="2" t="str">
        <f t="shared" si="14"/>
        <v/>
      </c>
      <c r="AE59" s="2" t="str">
        <f t="shared" si="15"/>
        <v/>
      </c>
      <c r="AF59" s="2" t="str">
        <f t="shared" si="16"/>
        <v/>
      </c>
      <c r="AG59" s="2" t="str">
        <f t="shared" si="17"/>
        <v/>
      </c>
      <c r="AH59" s="2" t="str">
        <f t="shared" si="18"/>
        <v/>
      </c>
      <c r="AI59" s="2" t="str">
        <f t="shared" si="19"/>
        <v/>
      </c>
      <c r="AJ59" s="2" t="str">
        <f t="shared" si="20"/>
        <v/>
      </c>
      <c r="AK59" s="2" t="str">
        <f t="shared" si="21"/>
        <v/>
      </c>
      <c r="AL59" s="2" t="str">
        <f t="shared" si="22"/>
        <v/>
      </c>
      <c r="AM59" s="2" t="str">
        <f t="shared" si="23"/>
        <v/>
      </c>
      <c r="AN59" s="2" t="str">
        <f t="shared" si="24"/>
        <v/>
      </c>
      <c r="AP59" s="2" t="str" cm="1">
        <f t="array" ref="AP59">IF('NILAI CPL'!$B59&lt;&gt;"",IFERROR(_xlfn.IFS(S59&gt;='NILAI CPL'!$B$3,4,S59&gt;='NILAI CPL'!$B$4,3,S59&gt;='NILAI CPL'!$B$5,2,S59&gt;'NILAI CPL'!$B$6,1),0),"")</f>
        <v/>
      </c>
      <c r="AQ59" s="2" t="str" cm="1">
        <f t="array" ref="AQ59">IF('NILAI CPL'!$B59&lt;&gt;"",IFERROR(_xlfn.IFS(T59&gt;='NILAI CPL'!$B$3,4,T59&gt;='NILAI CPL'!$B$4,3,T59&gt;='NILAI CPL'!$B$5,2,T59&gt;'NILAI CPL'!$B$6,1),0),"")</f>
        <v/>
      </c>
      <c r="AR59" s="2" t="str" cm="1">
        <f t="array" ref="AR59">IF('NILAI CPL'!$B59&lt;&gt;"",IFERROR(_xlfn.IFS(U59&gt;='NILAI CPL'!$B$3,4,U59&gt;='NILAI CPL'!$B$4,3,U59&gt;='NILAI CPL'!$B$5,2,U59&gt;'NILAI CPL'!$B$6,1),0),"")</f>
        <v/>
      </c>
      <c r="AS59" s="2" t="str" cm="1">
        <f t="array" ref="AS59">IF('NILAI CPL'!$B59&lt;&gt;"",IFERROR(_xlfn.IFS(V59&gt;='NILAI CPL'!$B$3,4,V59&gt;='NILAI CPL'!$B$4,3,V59&gt;='NILAI CPL'!$B$5,2,V59&gt;'NILAI CPL'!$B$6,1),0),"")</f>
        <v/>
      </c>
      <c r="AT59" s="2" t="str" cm="1">
        <f t="array" ref="AT59">IF('NILAI CPL'!$B59&lt;&gt;"",IFERROR(_xlfn.IFS(W59&gt;='NILAI CPL'!$B$3,4,W59&gt;='NILAI CPL'!$B$4,3,W59&gt;='NILAI CPL'!$B$5,2,W59&gt;'NILAI CPL'!$B$6,1),0),"")</f>
        <v/>
      </c>
      <c r="AU59" s="2" t="str" cm="1">
        <f t="array" ref="AU59">IF('NILAI CPL'!$B59&lt;&gt;"",IFERROR(_xlfn.IFS(X59&gt;='NILAI CPL'!$B$3,4,X59&gt;='NILAI CPL'!$B$4,3,X59&gt;='NILAI CPL'!$B$5,2,X59&gt;'NILAI CPL'!$B$6,1),0),"")</f>
        <v/>
      </c>
      <c r="AV59" s="2" t="str" cm="1">
        <f t="array" ref="AV59">IF('NILAI CPL'!$B59&lt;&gt;"",IFERROR(_xlfn.IFS(Y59&gt;='NILAI CPL'!$B$3,4,Y59&gt;='NILAI CPL'!$B$4,3,Y59&gt;='NILAI CPL'!$B$5,2,Y59&gt;'NILAI CPL'!$B$6,1),0),"")</f>
        <v/>
      </c>
      <c r="AW59" s="2" t="str" cm="1">
        <f t="array" ref="AW59">IF('NILAI CPL'!$B59&lt;&gt;"",IFERROR(_xlfn.IFS(Z59&gt;='NILAI CPL'!$B$3,4,Z59&gt;='NILAI CPL'!$B$4,3,Z59&gt;='NILAI CPL'!$B$5,2,Z59&gt;'NILAI CPL'!$B$6,1),0),"")</f>
        <v/>
      </c>
      <c r="AX59" s="2" t="str" cm="1">
        <f t="array" ref="AX59">IF('NILAI CPL'!$B59&lt;&gt;"",IFERROR(_xlfn.IFS(AA59&gt;='NILAI CPL'!$B$3,4,AA59&gt;='NILAI CPL'!$B$4,3,AA59&gt;='NILAI CPL'!$B$5,2,AA59&gt;'NILAI CPL'!$B$6,1),0),"")</f>
        <v/>
      </c>
      <c r="AY59" s="2" t="str" cm="1">
        <f t="array" ref="AY59">IF('NILAI CPL'!$B59&lt;&gt;"",IFERROR(_xlfn.IFS(AB59&gt;='NILAI CPL'!$B$3,4,AB59&gt;='NILAI CPL'!$B$4,3,AB59&gt;='NILAI CPL'!$B$5,2,AB59&gt;'NILAI CPL'!$B$6,1),0),"")</f>
        <v/>
      </c>
      <c r="AZ59" s="2" t="str" cm="1">
        <f t="array" ref="AZ59">IF('NILAI CPL'!$B59&lt;&gt;"",IFERROR(_xlfn.IFS(AC59&gt;='NILAI CPL'!$B$3,4,AC59&gt;='NILAI CPL'!$B$4,3,AC59&gt;='NILAI CPL'!$B$5,2,AC59&gt;'NILAI CPL'!$B$6,1),0),"")</f>
        <v/>
      </c>
      <c r="BA59" s="2" t="str" cm="1">
        <f t="array" ref="BA59">IF('NILAI CPL'!$B59&lt;&gt;"",IFERROR(_xlfn.IFS(AD59&gt;='NILAI CPL'!$B$3,4,AD59&gt;='NILAI CPL'!$B$4,3,AD59&gt;='NILAI CPL'!$B$5,2,AD59&gt;'NILAI CPL'!$B$6,1),0),"")</f>
        <v/>
      </c>
      <c r="BB59" s="2" t="str" cm="1">
        <f t="array" ref="BB59">IF('NILAI CPL'!$B59&lt;&gt;"",IFERROR(_xlfn.IFS(AE59&gt;='NILAI CPL'!$B$3,4,AE59&gt;='NILAI CPL'!$B$4,3,AE59&gt;='NILAI CPL'!$B$5,2,AE59&gt;'NILAI CPL'!$B$6,1),0),"")</f>
        <v/>
      </c>
      <c r="BC59" s="2" t="str" cm="1">
        <f t="array" ref="BC59">IF('NILAI CPL'!$B59&lt;&gt;"",IFERROR(_xlfn.IFS(AF59&gt;='NILAI CPL'!$B$3,4,AF59&gt;='NILAI CPL'!$B$4,3,AF59&gt;='NILAI CPL'!$B$5,2,AF59&gt;'NILAI CPL'!$B$6,1),0),"")</f>
        <v/>
      </c>
      <c r="BD59" s="2" t="str" cm="1">
        <f t="array" ref="BD59">IF('NILAI CPL'!$B59&lt;&gt;"",IFERROR(_xlfn.IFS(AG59&gt;='NILAI CPL'!$B$3,4,AG59&gt;='NILAI CPL'!$B$4,3,AG59&gt;='NILAI CPL'!$B$5,2,AG59&gt;'NILAI CPL'!$B$6,1),0),"")</f>
        <v/>
      </c>
      <c r="BE59" s="2" t="str" cm="1">
        <f t="array" ref="BE59">IF('NILAI CPL'!$B59&lt;&gt;"",IFERROR(_xlfn.IFS(AH59&gt;='NILAI CPL'!$B$3,4,AH59&gt;='NILAI CPL'!$B$4,3,AH59&gt;='NILAI CPL'!$B$5,2,AH59&gt;'NILAI CPL'!$B$6,1),0),"")</f>
        <v/>
      </c>
      <c r="BF59" s="2" t="str" cm="1">
        <f t="array" ref="BF59">IF('NILAI CPL'!$B59&lt;&gt;"",IFERROR(_xlfn.IFS(AI59&gt;='NILAI CPL'!$B$3,4,AI59&gt;='NILAI CPL'!$B$4,3,AI59&gt;='NILAI CPL'!$B$5,2,AI59&gt;'NILAI CPL'!$B$6,1),0),"")</f>
        <v/>
      </c>
      <c r="BG59" s="2" t="str" cm="1">
        <f t="array" ref="BG59">IF('NILAI CPL'!$B59&lt;&gt;"",IFERROR(_xlfn.IFS(AJ59&gt;='NILAI CPL'!$B$3,4,AJ59&gt;='NILAI CPL'!$B$4,3,AJ59&gt;='NILAI CPL'!$B$5,2,AJ59&gt;'NILAI CPL'!$B$6,1),0),"")</f>
        <v/>
      </c>
      <c r="BH59" s="2" t="str" cm="1">
        <f t="array" ref="BH59">IF('NILAI CPL'!$B59&lt;&gt;"",IFERROR(_xlfn.IFS(AK59&gt;='NILAI CPL'!$B$3,4,AK59&gt;='NILAI CPL'!$B$4,3,AK59&gt;='NILAI CPL'!$B$5,2,AK59&gt;'NILAI CPL'!$B$6,1),0),"")</f>
        <v/>
      </c>
      <c r="BI59" s="2" t="str" cm="1">
        <f t="array" ref="BI59">IF('NILAI CPL'!$B59&lt;&gt;"",IFERROR(_xlfn.IFS(AL59&gt;='NILAI CPL'!$B$3,4,AL59&gt;='NILAI CPL'!$B$4,3,AL59&gt;='NILAI CPL'!$B$5,2,AL59&gt;'NILAI CPL'!$B$6,1),0),"")</f>
        <v/>
      </c>
      <c r="BJ59" s="2" t="str" cm="1">
        <f t="array" ref="BJ59">IF('NILAI CPL'!$B59&lt;&gt;"",IFERROR(_xlfn.IFS(AM59&gt;='NILAI CPL'!$B$3,4,AM59&gt;='NILAI CPL'!$B$4,3,AM59&gt;='NILAI CPL'!$B$5,2,AM59&gt;'NILAI CPL'!$B$6,1),0),"")</f>
        <v/>
      </c>
      <c r="BK59" s="2" t="str" cm="1">
        <f t="array" ref="BK59">IF('NILAI CPL'!$B59&lt;&gt;"",IFERROR(_xlfn.IFS(AN59&gt;='NILAI CPL'!$B$3,4,AN59&gt;='NILAI CPL'!$B$4,3,AN59&gt;='NILAI CPL'!$B$5,2,AN59&gt;'NILAI CPL'!$B$6,1),0),"")</f>
        <v/>
      </c>
    </row>
    <row r="60" spans="1:63" x14ac:dyDescent="0.2">
      <c r="A60" s="2">
        <v>50</v>
      </c>
      <c r="B60" s="2" t="str">
        <f>IF(LEN(SUMMARY!B60)&gt;0, SUMMARY!B60, "")</f>
        <v/>
      </c>
      <c r="C60" s="2" t="str">
        <f>IF(LEN(SUMMARY!C60)&gt;0, SUMMARY!C60, "")</f>
        <v/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" t="str">
        <f t="shared" si="2"/>
        <v/>
      </c>
      <c r="S60" s="2" t="str">
        <f t="shared" si="3"/>
        <v/>
      </c>
      <c r="T60" s="2" t="str">
        <f t="shared" si="4"/>
        <v/>
      </c>
      <c r="U60" s="2" t="str">
        <f t="shared" si="5"/>
        <v/>
      </c>
      <c r="V60" s="2" t="str">
        <f t="shared" si="6"/>
        <v/>
      </c>
      <c r="W60" s="2" t="str">
        <f t="shared" si="7"/>
        <v/>
      </c>
      <c r="X60" s="2" t="str">
        <f t="shared" si="8"/>
        <v/>
      </c>
      <c r="Y60" s="2" t="str">
        <f t="shared" si="9"/>
        <v/>
      </c>
      <c r="Z60" s="2" t="str">
        <f t="shared" si="10"/>
        <v/>
      </c>
      <c r="AA60" s="2" t="str">
        <f t="shared" si="11"/>
        <v/>
      </c>
      <c r="AB60" s="2" t="str">
        <f t="shared" si="12"/>
        <v/>
      </c>
      <c r="AC60" s="2" t="str">
        <f t="shared" si="13"/>
        <v/>
      </c>
      <c r="AD60" s="2" t="str">
        <f t="shared" si="14"/>
        <v/>
      </c>
      <c r="AE60" s="2" t="str">
        <f t="shared" si="15"/>
        <v/>
      </c>
      <c r="AF60" s="2" t="str">
        <f t="shared" si="16"/>
        <v/>
      </c>
      <c r="AG60" s="2" t="str">
        <f t="shared" si="17"/>
        <v/>
      </c>
      <c r="AH60" s="2" t="str">
        <f t="shared" si="18"/>
        <v/>
      </c>
      <c r="AI60" s="2" t="str">
        <f t="shared" si="19"/>
        <v/>
      </c>
      <c r="AJ60" s="2" t="str">
        <f t="shared" si="20"/>
        <v/>
      </c>
      <c r="AK60" s="2" t="str">
        <f t="shared" si="21"/>
        <v/>
      </c>
      <c r="AL60" s="2" t="str">
        <f t="shared" si="22"/>
        <v/>
      </c>
      <c r="AM60" s="2" t="str">
        <f t="shared" si="23"/>
        <v/>
      </c>
      <c r="AN60" s="2" t="str">
        <f t="shared" si="24"/>
        <v/>
      </c>
      <c r="AP60" s="2" t="str" cm="1">
        <f t="array" ref="AP60">IF('NILAI CPL'!$B60&lt;&gt;"",IFERROR(_xlfn.IFS(S60&gt;='NILAI CPL'!$B$3,4,S60&gt;='NILAI CPL'!$B$4,3,S60&gt;='NILAI CPL'!$B$5,2,S60&gt;'NILAI CPL'!$B$6,1),0),"")</f>
        <v/>
      </c>
      <c r="AQ60" s="2" t="str" cm="1">
        <f t="array" ref="AQ60">IF('NILAI CPL'!$B60&lt;&gt;"",IFERROR(_xlfn.IFS(T60&gt;='NILAI CPL'!$B$3,4,T60&gt;='NILAI CPL'!$B$4,3,T60&gt;='NILAI CPL'!$B$5,2,T60&gt;'NILAI CPL'!$B$6,1),0),"")</f>
        <v/>
      </c>
      <c r="AR60" s="2" t="str" cm="1">
        <f t="array" ref="AR60">IF('NILAI CPL'!$B60&lt;&gt;"",IFERROR(_xlfn.IFS(U60&gt;='NILAI CPL'!$B$3,4,U60&gt;='NILAI CPL'!$B$4,3,U60&gt;='NILAI CPL'!$B$5,2,U60&gt;'NILAI CPL'!$B$6,1),0),"")</f>
        <v/>
      </c>
      <c r="AS60" s="2" t="str" cm="1">
        <f t="array" ref="AS60">IF('NILAI CPL'!$B60&lt;&gt;"",IFERROR(_xlfn.IFS(V60&gt;='NILAI CPL'!$B$3,4,V60&gt;='NILAI CPL'!$B$4,3,V60&gt;='NILAI CPL'!$B$5,2,V60&gt;'NILAI CPL'!$B$6,1),0),"")</f>
        <v/>
      </c>
      <c r="AT60" s="2" t="str" cm="1">
        <f t="array" ref="AT60">IF('NILAI CPL'!$B60&lt;&gt;"",IFERROR(_xlfn.IFS(W60&gt;='NILAI CPL'!$B$3,4,W60&gt;='NILAI CPL'!$B$4,3,W60&gt;='NILAI CPL'!$B$5,2,W60&gt;'NILAI CPL'!$B$6,1),0),"")</f>
        <v/>
      </c>
      <c r="AU60" s="2" t="str" cm="1">
        <f t="array" ref="AU60">IF('NILAI CPL'!$B60&lt;&gt;"",IFERROR(_xlfn.IFS(X60&gt;='NILAI CPL'!$B$3,4,X60&gt;='NILAI CPL'!$B$4,3,X60&gt;='NILAI CPL'!$B$5,2,X60&gt;'NILAI CPL'!$B$6,1),0),"")</f>
        <v/>
      </c>
      <c r="AV60" s="2" t="str" cm="1">
        <f t="array" ref="AV60">IF('NILAI CPL'!$B60&lt;&gt;"",IFERROR(_xlfn.IFS(Y60&gt;='NILAI CPL'!$B$3,4,Y60&gt;='NILAI CPL'!$B$4,3,Y60&gt;='NILAI CPL'!$B$5,2,Y60&gt;'NILAI CPL'!$B$6,1),0),"")</f>
        <v/>
      </c>
      <c r="AW60" s="2" t="str" cm="1">
        <f t="array" ref="AW60">IF('NILAI CPL'!$B60&lt;&gt;"",IFERROR(_xlfn.IFS(Z60&gt;='NILAI CPL'!$B$3,4,Z60&gt;='NILAI CPL'!$B$4,3,Z60&gt;='NILAI CPL'!$B$5,2,Z60&gt;'NILAI CPL'!$B$6,1),0),"")</f>
        <v/>
      </c>
      <c r="AX60" s="2" t="str" cm="1">
        <f t="array" ref="AX60">IF('NILAI CPL'!$B60&lt;&gt;"",IFERROR(_xlfn.IFS(AA60&gt;='NILAI CPL'!$B$3,4,AA60&gt;='NILAI CPL'!$B$4,3,AA60&gt;='NILAI CPL'!$B$5,2,AA60&gt;'NILAI CPL'!$B$6,1),0),"")</f>
        <v/>
      </c>
      <c r="AY60" s="2" t="str" cm="1">
        <f t="array" ref="AY60">IF('NILAI CPL'!$B60&lt;&gt;"",IFERROR(_xlfn.IFS(AB60&gt;='NILAI CPL'!$B$3,4,AB60&gt;='NILAI CPL'!$B$4,3,AB60&gt;='NILAI CPL'!$B$5,2,AB60&gt;'NILAI CPL'!$B$6,1),0),"")</f>
        <v/>
      </c>
      <c r="AZ60" s="2" t="str" cm="1">
        <f t="array" ref="AZ60">IF('NILAI CPL'!$B60&lt;&gt;"",IFERROR(_xlfn.IFS(AC60&gt;='NILAI CPL'!$B$3,4,AC60&gt;='NILAI CPL'!$B$4,3,AC60&gt;='NILAI CPL'!$B$5,2,AC60&gt;'NILAI CPL'!$B$6,1),0),"")</f>
        <v/>
      </c>
      <c r="BA60" s="2" t="str" cm="1">
        <f t="array" ref="BA60">IF('NILAI CPL'!$B60&lt;&gt;"",IFERROR(_xlfn.IFS(AD60&gt;='NILAI CPL'!$B$3,4,AD60&gt;='NILAI CPL'!$B$4,3,AD60&gt;='NILAI CPL'!$B$5,2,AD60&gt;'NILAI CPL'!$B$6,1),0),"")</f>
        <v/>
      </c>
      <c r="BB60" s="2" t="str" cm="1">
        <f t="array" ref="BB60">IF('NILAI CPL'!$B60&lt;&gt;"",IFERROR(_xlfn.IFS(AE60&gt;='NILAI CPL'!$B$3,4,AE60&gt;='NILAI CPL'!$B$4,3,AE60&gt;='NILAI CPL'!$B$5,2,AE60&gt;'NILAI CPL'!$B$6,1),0),"")</f>
        <v/>
      </c>
      <c r="BC60" s="2" t="str" cm="1">
        <f t="array" ref="BC60">IF('NILAI CPL'!$B60&lt;&gt;"",IFERROR(_xlfn.IFS(AF60&gt;='NILAI CPL'!$B$3,4,AF60&gt;='NILAI CPL'!$B$4,3,AF60&gt;='NILAI CPL'!$B$5,2,AF60&gt;'NILAI CPL'!$B$6,1),0),"")</f>
        <v/>
      </c>
      <c r="BD60" s="2" t="str" cm="1">
        <f t="array" ref="BD60">IF('NILAI CPL'!$B60&lt;&gt;"",IFERROR(_xlfn.IFS(AG60&gt;='NILAI CPL'!$B$3,4,AG60&gt;='NILAI CPL'!$B$4,3,AG60&gt;='NILAI CPL'!$B$5,2,AG60&gt;'NILAI CPL'!$B$6,1),0),"")</f>
        <v/>
      </c>
      <c r="BE60" s="2" t="str" cm="1">
        <f t="array" ref="BE60">IF('NILAI CPL'!$B60&lt;&gt;"",IFERROR(_xlfn.IFS(AH60&gt;='NILAI CPL'!$B$3,4,AH60&gt;='NILAI CPL'!$B$4,3,AH60&gt;='NILAI CPL'!$B$5,2,AH60&gt;'NILAI CPL'!$B$6,1),0),"")</f>
        <v/>
      </c>
      <c r="BF60" s="2" t="str" cm="1">
        <f t="array" ref="BF60">IF('NILAI CPL'!$B60&lt;&gt;"",IFERROR(_xlfn.IFS(AI60&gt;='NILAI CPL'!$B$3,4,AI60&gt;='NILAI CPL'!$B$4,3,AI60&gt;='NILAI CPL'!$B$5,2,AI60&gt;'NILAI CPL'!$B$6,1),0),"")</f>
        <v/>
      </c>
      <c r="BG60" s="2" t="str" cm="1">
        <f t="array" ref="BG60">IF('NILAI CPL'!$B60&lt;&gt;"",IFERROR(_xlfn.IFS(AJ60&gt;='NILAI CPL'!$B$3,4,AJ60&gt;='NILAI CPL'!$B$4,3,AJ60&gt;='NILAI CPL'!$B$5,2,AJ60&gt;'NILAI CPL'!$B$6,1),0),"")</f>
        <v/>
      </c>
      <c r="BH60" s="2" t="str" cm="1">
        <f t="array" ref="BH60">IF('NILAI CPL'!$B60&lt;&gt;"",IFERROR(_xlfn.IFS(AK60&gt;='NILAI CPL'!$B$3,4,AK60&gt;='NILAI CPL'!$B$4,3,AK60&gt;='NILAI CPL'!$B$5,2,AK60&gt;'NILAI CPL'!$B$6,1),0),"")</f>
        <v/>
      </c>
      <c r="BI60" s="2" t="str" cm="1">
        <f t="array" ref="BI60">IF('NILAI CPL'!$B60&lt;&gt;"",IFERROR(_xlfn.IFS(AL60&gt;='NILAI CPL'!$B$3,4,AL60&gt;='NILAI CPL'!$B$4,3,AL60&gt;='NILAI CPL'!$B$5,2,AL60&gt;'NILAI CPL'!$B$6,1),0),"")</f>
        <v/>
      </c>
      <c r="BJ60" s="2" t="str" cm="1">
        <f t="array" ref="BJ60">IF('NILAI CPL'!$B60&lt;&gt;"",IFERROR(_xlfn.IFS(AM60&gt;='NILAI CPL'!$B$3,4,AM60&gt;='NILAI CPL'!$B$4,3,AM60&gt;='NILAI CPL'!$B$5,2,AM60&gt;'NILAI CPL'!$B$6,1),0),"")</f>
        <v/>
      </c>
      <c r="BK60" s="2" t="str" cm="1">
        <f t="array" ref="BK60">IF('NILAI CPL'!$B60&lt;&gt;"",IFERROR(_xlfn.IFS(AN60&gt;='NILAI CPL'!$B$3,4,AN60&gt;='NILAI CPL'!$B$4,3,AN60&gt;='NILAI CPL'!$B$5,2,AN60&gt;'NILAI CPL'!$B$6,1),0),"")</f>
        <v/>
      </c>
    </row>
    <row r="61" spans="1:63" x14ac:dyDescent="0.2">
      <c r="A61" s="2">
        <v>51</v>
      </c>
      <c r="B61" s="2" t="str">
        <f>IF(LEN(SUMMARY!B61)&gt;0, SUMMARY!B61, "")</f>
        <v/>
      </c>
      <c r="C61" s="2" t="str">
        <f>IF(LEN(SUMMARY!C61)&gt;0, SUMMARY!C61, "")</f>
        <v/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" t="str">
        <f t="shared" si="2"/>
        <v/>
      </c>
      <c r="S61" s="2" t="str">
        <f t="shared" si="3"/>
        <v/>
      </c>
      <c r="T61" s="2" t="str">
        <f t="shared" si="4"/>
        <v/>
      </c>
      <c r="U61" s="2" t="str">
        <f t="shared" si="5"/>
        <v/>
      </c>
      <c r="V61" s="2" t="str">
        <f t="shared" si="6"/>
        <v/>
      </c>
      <c r="W61" s="2" t="str">
        <f t="shared" si="7"/>
        <v/>
      </c>
      <c r="X61" s="2" t="str">
        <f t="shared" si="8"/>
        <v/>
      </c>
      <c r="Y61" s="2" t="str">
        <f t="shared" si="9"/>
        <v/>
      </c>
      <c r="Z61" s="2" t="str">
        <f t="shared" si="10"/>
        <v/>
      </c>
      <c r="AA61" s="2" t="str">
        <f t="shared" si="11"/>
        <v/>
      </c>
      <c r="AB61" s="2" t="str">
        <f t="shared" si="12"/>
        <v/>
      </c>
      <c r="AC61" s="2" t="str">
        <f t="shared" si="13"/>
        <v/>
      </c>
      <c r="AD61" s="2" t="str">
        <f t="shared" si="14"/>
        <v/>
      </c>
      <c r="AE61" s="2" t="str">
        <f t="shared" si="15"/>
        <v/>
      </c>
      <c r="AF61" s="2" t="str">
        <f t="shared" si="16"/>
        <v/>
      </c>
      <c r="AG61" s="2" t="str">
        <f t="shared" si="17"/>
        <v/>
      </c>
      <c r="AH61" s="2" t="str">
        <f t="shared" si="18"/>
        <v/>
      </c>
      <c r="AI61" s="2" t="str">
        <f t="shared" si="19"/>
        <v/>
      </c>
      <c r="AJ61" s="2" t="str">
        <f t="shared" si="20"/>
        <v/>
      </c>
      <c r="AK61" s="2" t="str">
        <f t="shared" si="21"/>
        <v/>
      </c>
      <c r="AL61" s="2" t="str">
        <f t="shared" si="22"/>
        <v/>
      </c>
      <c r="AM61" s="2" t="str">
        <f t="shared" si="23"/>
        <v/>
      </c>
      <c r="AN61" s="2" t="str">
        <f t="shared" si="24"/>
        <v/>
      </c>
      <c r="AP61" s="2" t="str" cm="1">
        <f t="array" ref="AP61">IF('NILAI CPL'!$B61&lt;&gt;"",IFERROR(_xlfn.IFS(S61&gt;='NILAI CPL'!$B$3,4,S61&gt;='NILAI CPL'!$B$4,3,S61&gt;='NILAI CPL'!$B$5,2,S61&gt;'NILAI CPL'!$B$6,1),0),"")</f>
        <v/>
      </c>
      <c r="AQ61" s="2" t="str" cm="1">
        <f t="array" ref="AQ61">IF('NILAI CPL'!$B61&lt;&gt;"",IFERROR(_xlfn.IFS(T61&gt;='NILAI CPL'!$B$3,4,T61&gt;='NILAI CPL'!$B$4,3,T61&gt;='NILAI CPL'!$B$5,2,T61&gt;'NILAI CPL'!$B$6,1),0),"")</f>
        <v/>
      </c>
      <c r="AR61" s="2" t="str" cm="1">
        <f t="array" ref="AR61">IF('NILAI CPL'!$B61&lt;&gt;"",IFERROR(_xlfn.IFS(U61&gt;='NILAI CPL'!$B$3,4,U61&gt;='NILAI CPL'!$B$4,3,U61&gt;='NILAI CPL'!$B$5,2,U61&gt;'NILAI CPL'!$B$6,1),0),"")</f>
        <v/>
      </c>
      <c r="AS61" s="2" t="str" cm="1">
        <f t="array" ref="AS61">IF('NILAI CPL'!$B61&lt;&gt;"",IFERROR(_xlfn.IFS(V61&gt;='NILAI CPL'!$B$3,4,V61&gt;='NILAI CPL'!$B$4,3,V61&gt;='NILAI CPL'!$B$5,2,V61&gt;'NILAI CPL'!$B$6,1),0),"")</f>
        <v/>
      </c>
      <c r="AT61" s="2" t="str" cm="1">
        <f t="array" ref="AT61">IF('NILAI CPL'!$B61&lt;&gt;"",IFERROR(_xlfn.IFS(W61&gt;='NILAI CPL'!$B$3,4,W61&gt;='NILAI CPL'!$B$4,3,W61&gt;='NILAI CPL'!$B$5,2,W61&gt;'NILAI CPL'!$B$6,1),0),"")</f>
        <v/>
      </c>
      <c r="AU61" s="2" t="str" cm="1">
        <f t="array" ref="AU61">IF('NILAI CPL'!$B61&lt;&gt;"",IFERROR(_xlfn.IFS(X61&gt;='NILAI CPL'!$B$3,4,X61&gt;='NILAI CPL'!$B$4,3,X61&gt;='NILAI CPL'!$B$5,2,X61&gt;'NILAI CPL'!$B$6,1),0),"")</f>
        <v/>
      </c>
      <c r="AV61" s="2" t="str" cm="1">
        <f t="array" ref="AV61">IF('NILAI CPL'!$B61&lt;&gt;"",IFERROR(_xlfn.IFS(Y61&gt;='NILAI CPL'!$B$3,4,Y61&gt;='NILAI CPL'!$B$4,3,Y61&gt;='NILAI CPL'!$B$5,2,Y61&gt;'NILAI CPL'!$B$6,1),0),"")</f>
        <v/>
      </c>
      <c r="AW61" s="2" t="str" cm="1">
        <f t="array" ref="AW61">IF('NILAI CPL'!$B61&lt;&gt;"",IFERROR(_xlfn.IFS(Z61&gt;='NILAI CPL'!$B$3,4,Z61&gt;='NILAI CPL'!$B$4,3,Z61&gt;='NILAI CPL'!$B$5,2,Z61&gt;'NILAI CPL'!$B$6,1),0),"")</f>
        <v/>
      </c>
      <c r="AX61" s="2" t="str" cm="1">
        <f t="array" ref="AX61">IF('NILAI CPL'!$B61&lt;&gt;"",IFERROR(_xlfn.IFS(AA61&gt;='NILAI CPL'!$B$3,4,AA61&gt;='NILAI CPL'!$B$4,3,AA61&gt;='NILAI CPL'!$B$5,2,AA61&gt;'NILAI CPL'!$B$6,1),0),"")</f>
        <v/>
      </c>
      <c r="AY61" s="2" t="str" cm="1">
        <f t="array" ref="AY61">IF('NILAI CPL'!$B61&lt;&gt;"",IFERROR(_xlfn.IFS(AB61&gt;='NILAI CPL'!$B$3,4,AB61&gt;='NILAI CPL'!$B$4,3,AB61&gt;='NILAI CPL'!$B$5,2,AB61&gt;'NILAI CPL'!$B$6,1),0),"")</f>
        <v/>
      </c>
      <c r="AZ61" s="2" t="str" cm="1">
        <f t="array" ref="AZ61">IF('NILAI CPL'!$B61&lt;&gt;"",IFERROR(_xlfn.IFS(AC61&gt;='NILAI CPL'!$B$3,4,AC61&gt;='NILAI CPL'!$B$4,3,AC61&gt;='NILAI CPL'!$B$5,2,AC61&gt;'NILAI CPL'!$B$6,1),0),"")</f>
        <v/>
      </c>
      <c r="BA61" s="2" t="str" cm="1">
        <f t="array" ref="BA61">IF('NILAI CPL'!$B61&lt;&gt;"",IFERROR(_xlfn.IFS(AD61&gt;='NILAI CPL'!$B$3,4,AD61&gt;='NILAI CPL'!$B$4,3,AD61&gt;='NILAI CPL'!$B$5,2,AD61&gt;'NILAI CPL'!$B$6,1),0),"")</f>
        <v/>
      </c>
      <c r="BB61" s="2" t="str" cm="1">
        <f t="array" ref="BB61">IF('NILAI CPL'!$B61&lt;&gt;"",IFERROR(_xlfn.IFS(AE61&gt;='NILAI CPL'!$B$3,4,AE61&gt;='NILAI CPL'!$B$4,3,AE61&gt;='NILAI CPL'!$B$5,2,AE61&gt;'NILAI CPL'!$B$6,1),0),"")</f>
        <v/>
      </c>
      <c r="BC61" s="2" t="str" cm="1">
        <f t="array" ref="BC61">IF('NILAI CPL'!$B61&lt;&gt;"",IFERROR(_xlfn.IFS(AF61&gt;='NILAI CPL'!$B$3,4,AF61&gt;='NILAI CPL'!$B$4,3,AF61&gt;='NILAI CPL'!$B$5,2,AF61&gt;'NILAI CPL'!$B$6,1),0),"")</f>
        <v/>
      </c>
      <c r="BD61" s="2" t="str" cm="1">
        <f t="array" ref="BD61">IF('NILAI CPL'!$B61&lt;&gt;"",IFERROR(_xlfn.IFS(AG61&gt;='NILAI CPL'!$B$3,4,AG61&gt;='NILAI CPL'!$B$4,3,AG61&gt;='NILAI CPL'!$B$5,2,AG61&gt;'NILAI CPL'!$B$6,1),0),"")</f>
        <v/>
      </c>
      <c r="BE61" s="2" t="str" cm="1">
        <f t="array" ref="BE61">IF('NILAI CPL'!$B61&lt;&gt;"",IFERROR(_xlfn.IFS(AH61&gt;='NILAI CPL'!$B$3,4,AH61&gt;='NILAI CPL'!$B$4,3,AH61&gt;='NILAI CPL'!$B$5,2,AH61&gt;'NILAI CPL'!$B$6,1),0),"")</f>
        <v/>
      </c>
      <c r="BF61" s="2" t="str" cm="1">
        <f t="array" ref="BF61">IF('NILAI CPL'!$B61&lt;&gt;"",IFERROR(_xlfn.IFS(AI61&gt;='NILAI CPL'!$B$3,4,AI61&gt;='NILAI CPL'!$B$4,3,AI61&gt;='NILAI CPL'!$B$5,2,AI61&gt;'NILAI CPL'!$B$6,1),0),"")</f>
        <v/>
      </c>
      <c r="BG61" s="2" t="str" cm="1">
        <f t="array" ref="BG61">IF('NILAI CPL'!$B61&lt;&gt;"",IFERROR(_xlfn.IFS(AJ61&gt;='NILAI CPL'!$B$3,4,AJ61&gt;='NILAI CPL'!$B$4,3,AJ61&gt;='NILAI CPL'!$B$5,2,AJ61&gt;'NILAI CPL'!$B$6,1),0),"")</f>
        <v/>
      </c>
      <c r="BH61" s="2" t="str" cm="1">
        <f t="array" ref="BH61">IF('NILAI CPL'!$B61&lt;&gt;"",IFERROR(_xlfn.IFS(AK61&gt;='NILAI CPL'!$B$3,4,AK61&gt;='NILAI CPL'!$B$4,3,AK61&gt;='NILAI CPL'!$B$5,2,AK61&gt;'NILAI CPL'!$B$6,1),0),"")</f>
        <v/>
      </c>
      <c r="BI61" s="2" t="str" cm="1">
        <f t="array" ref="BI61">IF('NILAI CPL'!$B61&lt;&gt;"",IFERROR(_xlfn.IFS(AL61&gt;='NILAI CPL'!$B$3,4,AL61&gt;='NILAI CPL'!$B$4,3,AL61&gt;='NILAI CPL'!$B$5,2,AL61&gt;'NILAI CPL'!$B$6,1),0),"")</f>
        <v/>
      </c>
      <c r="BJ61" s="2" t="str" cm="1">
        <f t="array" ref="BJ61">IF('NILAI CPL'!$B61&lt;&gt;"",IFERROR(_xlfn.IFS(AM61&gt;='NILAI CPL'!$B$3,4,AM61&gt;='NILAI CPL'!$B$4,3,AM61&gt;='NILAI CPL'!$B$5,2,AM61&gt;'NILAI CPL'!$B$6,1),0),"")</f>
        <v/>
      </c>
      <c r="BK61" s="2" t="str" cm="1">
        <f t="array" ref="BK61">IF('NILAI CPL'!$B61&lt;&gt;"",IFERROR(_xlfn.IFS(AN61&gt;='NILAI CPL'!$B$3,4,AN61&gt;='NILAI CPL'!$B$4,3,AN61&gt;='NILAI CPL'!$B$5,2,AN61&gt;'NILAI CPL'!$B$6,1),0),"")</f>
        <v/>
      </c>
    </row>
    <row r="62" spans="1:63" x14ac:dyDescent="0.2">
      <c r="A62" s="2">
        <v>52</v>
      </c>
      <c r="B62" s="2" t="str">
        <f>IF(LEN(SUMMARY!B62)&gt;0, SUMMARY!B62, "")</f>
        <v/>
      </c>
      <c r="C62" s="2" t="str">
        <f>IF(LEN(SUMMARY!C62)&gt;0, SUMMARY!C62, "")</f>
        <v/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" t="str">
        <f t="shared" si="2"/>
        <v/>
      </c>
      <c r="S62" s="2" t="str">
        <f t="shared" si="3"/>
        <v/>
      </c>
      <c r="T62" s="2" t="str">
        <f t="shared" si="4"/>
        <v/>
      </c>
      <c r="U62" s="2" t="str">
        <f t="shared" si="5"/>
        <v/>
      </c>
      <c r="V62" s="2" t="str">
        <f t="shared" si="6"/>
        <v/>
      </c>
      <c r="W62" s="2" t="str">
        <f t="shared" si="7"/>
        <v/>
      </c>
      <c r="X62" s="2" t="str">
        <f t="shared" si="8"/>
        <v/>
      </c>
      <c r="Y62" s="2" t="str">
        <f t="shared" si="9"/>
        <v/>
      </c>
      <c r="Z62" s="2" t="str">
        <f t="shared" si="10"/>
        <v/>
      </c>
      <c r="AA62" s="2" t="str">
        <f t="shared" si="11"/>
        <v/>
      </c>
      <c r="AB62" s="2" t="str">
        <f t="shared" si="12"/>
        <v/>
      </c>
      <c r="AC62" s="2" t="str">
        <f t="shared" si="13"/>
        <v/>
      </c>
      <c r="AD62" s="2" t="str">
        <f t="shared" si="14"/>
        <v/>
      </c>
      <c r="AE62" s="2" t="str">
        <f t="shared" si="15"/>
        <v/>
      </c>
      <c r="AF62" s="2" t="str">
        <f t="shared" si="16"/>
        <v/>
      </c>
      <c r="AG62" s="2" t="str">
        <f t="shared" si="17"/>
        <v/>
      </c>
      <c r="AH62" s="2" t="str">
        <f t="shared" si="18"/>
        <v/>
      </c>
      <c r="AI62" s="2" t="str">
        <f t="shared" si="19"/>
        <v/>
      </c>
      <c r="AJ62" s="2" t="str">
        <f t="shared" si="20"/>
        <v/>
      </c>
      <c r="AK62" s="2" t="str">
        <f t="shared" si="21"/>
        <v/>
      </c>
      <c r="AL62" s="2" t="str">
        <f t="shared" si="22"/>
        <v/>
      </c>
      <c r="AM62" s="2" t="str">
        <f t="shared" si="23"/>
        <v/>
      </c>
      <c r="AN62" s="2" t="str">
        <f t="shared" si="24"/>
        <v/>
      </c>
      <c r="AP62" s="2" t="str" cm="1">
        <f t="array" ref="AP62">IF('NILAI CPL'!$B62&lt;&gt;"",IFERROR(_xlfn.IFS(S62&gt;='NILAI CPL'!$B$3,4,S62&gt;='NILAI CPL'!$B$4,3,S62&gt;='NILAI CPL'!$B$5,2,S62&gt;'NILAI CPL'!$B$6,1),0),"")</f>
        <v/>
      </c>
      <c r="AQ62" s="2" t="str" cm="1">
        <f t="array" ref="AQ62">IF('NILAI CPL'!$B62&lt;&gt;"",IFERROR(_xlfn.IFS(T62&gt;='NILAI CPL'!$B$3,4,T62&gt;='NILAI CPL'!$B$4,3,T62&gt;='NILAI CPL'!$B$5,2,T62&gt;'NILAI CPL'!$B$6,1),0),"")</f>
        <v/>
      </c>
      <c r="AR62" s="2" t="str" cm="1">
        <f t="array" ref="AR62">IF('NILAI CPL'!$B62&lt;&gt;"",IFERROR(_xlfn.IFS(U62&gt;='NILAI CPL'!$B$3,4,U62&gt;='NILAI CPL'!$B$4,3,U62&gt;='NILAI CPL'!$B$5,2,U62&gt;'NILAI CPL'!$B$6,1),0),"")</f>
        <v/>
      </c>
      <c r="AS62" s="2" t="str" cm="1">
        <f t="array" ref="AS62">IF('NILAI CPL'!$B62&lt;&gt;"",IFERROR(_xlfn.IFS(V62&gt;='NILAI CPL'!$B$3,4,V62&gt;='NILAI CPL'!$B$4,3,V62&gt;='NILAI CPL'!$B$5,2,V62&gt;'NILAI CPL'!$B$6,1),0),"")</f>
        <v/>
      </c>
      <c r="AT62" s="2" t="str" cm="1">
        <f t="array" ref="AT62">IF('NILAI CPL'!$B62&lt;&gt;"",IFERROR(_xlfn.IFS(W62&gt;='NILAI CPL'!$B$3,4,W62&gt;='NILAI CPL'!$B$4,3,W62&gt;='NILAI CPL'!$B$5,2,W62&gt;'NILAI CPL'!$B$6,1),0),"")</f>
        <v/>
      </c>
      <c r="AU62" s="2" t="str" cm="1">
        <f t="array" ref="AU62">IF('NILAI CPL'!$B62&lt;&gt;"",IFERROR(_xlfn.IFS(X62&gt;='NILAI CPL'!$B$3,4,X62&gt;='NILAI CPL'!$B$4,3,X62&gt;='NILAI CPL'!$B$5,2,X62&gt;'NILAI CPL'!$B$6,1),0),"")</f>
        <v/>
      </c>
      <c r="AV62" s="2" t="str" cm="1">
        <f t="array" ref="AV62">IF('NILAI CPL'!$B62&lt;&gt;"",IFERROR(_xlfn.IFS(Y62&gt;='NILAI CPL'!$B$3,4,Y62&gt;='NILAI CPL'!$B$4,3,Y62&gt;='NILAI CPL'!$B$5,2,Y62&gt;'NILAI CPL'!$B$6,1),0),"")</f>
        <v/>
      </c>
      <c r="AW62" s="2" t="str" cm="1">
        <f t="array" ref="AW62">IF('NILAI CPL'!$B62&lt;&gt;"",IFERROR(_xlfn.IFS(Z62&gt;='NILAI CPL'!$B$3,4,Z62&gt;='NILAI CPL'!$B$4,3,Z62&gt;='NILAI CPL'!$B$5,2,Z62&gt;'NILAI CPL'!$B$6,1),0),"")</f>
        <v/>
      </c>
      <c r="AX62" s="2" t="str" cm="1">
        <f t="array" ref="AX62">IF('NILAI CPL'!$B62&lt;&gt;"",IFERROR(_xlfn.IFS(AA62&gt;='NILAI CPL'!$B$3,4,AA62&gt;='NILAI CPL'!$B$4,3,AA62&gt;='NILAI CPL'!$B$5,2,AA62&gt;'NILAI CPL'!$B$6,1),0),"")</f>
        <v/>
      </c>
      <c r="AY62" s="2" t="str" cm="1">
        <f t="array" ref="AY62">IF('NILAI CPL'!$B62&lt;&gt;"",IFERROR(_xlfn.IFS(AB62&gt;='NILAI CPL'!$B$3,4,AB62&gt;='NILAI CPL'!$B$4,3,AB62&gt;='NILAI CPL'!$B$5,2,AB62&gt;'NILAI CPL'!$B$6,1),0),"")</f>
        <v/>
      </c>
      <c r="AZ62" s="2" t="str" cm="1">
        <f t="array" ref="AZ62">IF('NILAI CPL'!$B62&lt;&gt;"",IFERROR(_xlfn.IFS(AC62&gt;='NILAI CPL'!$B$3,4,AC62&gt;='NILAI CPL'!$B$4,3,AC62&gt;='NILAI CPL'!$B$5,2,AC62&gt;'NILAI CPL'!$B$6,1),0),"")</f>
        <v/>
      </c>
      <c r="BA62" s="2" t="str" cm="1">
        <f t="array" ref="BA62">IF('NILAI CPL'!$B62&lt;&gt;"",IFERROR(_xlfn.IFS(AD62&gt;='NILAI CPL'!$B$3,4,AD62&gt;='NILAI CPL'!$B$4,3,AD62&gt;='NILAI CPL'!$B$5,2,AD62&gt;'NILAI CPL'!$B$6,1),0),"")</f>
        <v/>
      </c>
      <c r="BB62" s="2" t="str" cm="1">
        <f t="array" ref="BB62">IF('NILAI CPL'!$B62&lt;&gt;"",IFERROR(_xlfn.IFS(AE62&gt;='NILAI CPL'!$B$3,4,AE62&gt;='NILAI CPL'!$B$4,3,AE62&gt;='NILAI CPL'!$B$5,2,AE62&gt;'NILAI CPL'!$B$6,1),0),"")</f>
        <v/>
      </c>
      <c r="BC62" s="2" t="str" cm="1">
        <f t="array" ref="BC62">IF('NILAI CPL'!$B62&lt;&gt;"",IFERROR(_xlfn.IFS(AF62&gt;='NILAI CPL'!$B$3,4,AF62&gt;='NILAI CPL'!$B$4,3,AF62&gt;='NILAI CPL'!$B$5,2,AF62&gt;'NILAI CPL'!$B$6,1),0),"")</f>
        <v/>
      </c>
      <c r="BD62" s="2" t="str" cm="1">
        <f t="array" ref="BD62">IF('NILAI CPL'!$B62&lt;&gt;"",IFERROR(_xlfn.IFS(AG62&gt;='NILAI CPL'!$B$3,4,AG62&gt;='NILAI CPL'!$B$4,3,AG62&gt;='NILAI CPL'!$B$5,2,AG62&gt;'NILAI CPL'!$B$6,1),0),"")</f>
        <v/>
      </c>
      <c r="BE62" s="2" t="str" cm="1">
        <f t="array" ref="BE62">IF('NILAI CPL'!$B62&lt;&gt;"",IFERROR(_xlfn.IFS(AH62&gt;='NILAI CPL'!$B$3,4,AH62&gt;='NILAI CPL'!$B$4,3,AH62&gt;='NILAI CPL'!$B$5,2,AH62&gt;'NILAI CPL'!$B$6,1),0),"")</f>
        <v/>
      </c>
      <c r="BF62" s="2" t="str" cm="1">
        <f t="array" ref="BF62">IF('NILAI CPL'!$B62&lt;&gt;"",IFERROR(_xlfn.IFS(AI62&gt;='NILAI CPL'!$B$3,4,AI62&gt;='NILAI CPL'!$B$4,3,AI62&gt;='NILAI CPL'!$B$5,2,AI62&gt;'NILAI CPL'!$B$6,1),0),"")</f>
        <v/>
      </c>
      <c r="BG62" s="2" t="str" cm="1">
        <f t="array" ref="BG62">IF('NILAI CPL'!$B62&lt;&gt;"",IFERROR(_xlfn.IFS(AJ62&gt;='NILAI CPL'!$B$3,4,AJ62&gt;='NILAI CPL'!$B$4,3,AJ62&gt;='NILAI CPL'!$B$5,2,AJ62&gt;'NILAI CPL'!$B$6,1),0),"")</f>
        <v/>
      </c>
      <c r="BH62" s="2" t="str" cm="1">
        <f t="array" ref="BH62">IF('NILAI CPL'!$B62&lt;&gt;"",IFERROR(_xlfn.IFS(AK62&gt;='NILAI CPL'!$B$3,4,AK62&gt;='NILAI CPL'!$B$4,3,AK62&gt;='NILAI CPL'!$B$5,2,AK62&gt;'NILAI CPL'!$B$6,1),0),"")</f>
        <v/>
      </c>
      <c r="BI62" s="2" t="str" cm="1">
        <f t="array" ref="BI62">IF('NILAI CPL'!$B62&lt;&gt;"",IFERROR(_xlfn.IFS(AL62&gt;='NILAI CPL'!$B$3,4,AL62&gt;='NILAI CPL'!$B$4,3,AL62&gt;='NILAI CPL'!$B$5,2,AL62&gt;'NILAI CPL'!$B$6,1),0),"")</f>
        <v/>
      </c>
      <c r="BJ62" s="2" t="str" cm="1">
        <f t="array" ref="BJ62">IF('NILAI CPL'!$B62&lt;&gt;"",IFERROR(_xlfn.IFS(AM62&gt;='NILAI CPL'!$B$3,4,AM62&gt;='NILAI CPL'!$B$4,3,AM62&gt;='NILAI CPL'!$B$5,2,AM62&gt;'NILAI CPL'!$B$6,1),0),"")</f>
        <v/>
      </c>
      <c r="BK62" s="2" t="str" cm="1">
        <f t="array" ref="BK62">IF('NILAI CPL'!$B62&lt;&gt;"",IFERROR(_xlfn.IFS(AN62&gt;='NILAI CPL'!$B$3,4,AN62&gt;='NILAI CPL'!$B$4,3,AN62&gt;='NILAI CPL'!$B$5,2,AN62&gt;'NILAI CPL'!$B$6,1),0),"")</f>
        <v/>
      </c>
    </row>
    <row r="63" spans="1:63" x14ac:dyDescent="0.2">
      <c r="A63" s="2">
        <v>53</v>
      </c>
      <c r="B63" s="2" t="str">
        <f>IF(LEN(SUMMARY!B63)&gt;0, SUMMARY!B63, "")</f>
        <v/>
      </c>
      <c r="C63" s="2" t="str">
        <f>IF(LEN(SUMMARY!C63)&gt;0, SUMMARY!C63, "")</f>
        <v/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" t="str">
        <f t="shared" si="2"/>
        <v/>
      </c>
      <c r="S63" s="2" t="str">
        <f t="shared" si="3"/>
        <v/>
      </c>
      <c r="T63" s="2" t="str">
        <f t="shared" si="4"/>
        <v/>
      </c>
      <c r="U63" s="2" t="str">
        <f t="shared" si="5"/>
        <v/>
      </c>
      <c r="V63" s="2" t="str">
        <f t="shared" si="6"/>
        <v/>
      </c>
      <c r="W63" s="2" t="str">
        <f t="shared" si="7"/>
        <v/>
      </c>
      <c r="X63" s="2" t="str">
        <f t="shared" si="8"/>
        <v/>
      </c>
      <c r="Y63" s="2" t="str">
        <f t="shared" si="9"/>
        <v/>
      </c>
      <c r="Z63" s="2" t="str">
        <f t="shared" si="10"/>
        <v/>
      </c>
      <c r="AA63" s="2" t="str">
        <f t="shared" si="11"/>
        <v/>
      </c>
      <c r="AB63" s="2" t="str">
        <f t="shared" si="12"/>
        <v/>
      </c>
      <c r="AC63" s="2" t="str">
        <f t="shared" si="13"/>
        <v/>
      </c>
      <c r="AD63" s="2" t="str">
        <f t="shared" si="14"/>
        <v/>
      </c>
      <c r="AE63" s="2" t="str">
        <f t="shared" si="15"/>
        <v/>
      </c>
      <c r="AF63" s="2" t="str">
        <f t="shared" si="16"/>
        <v/>
      </c>
      <c r="AG63" s="2" t="str">
        <f t="shared" si="17"/>
        <v/>
      </c>
      <c r="AH63" s="2" t="str">
        <f t="shared" si="18"/>
        <v/>
      </c>
      <c r="AI63" s="2" t="str">
        <f t="shared" si="19"/>
        <v/>
      </c>
      <c r="AJ63" s="2" t="str">
        <f t="shared" si="20"/>
        <v/>
      </c>
      <c r="AK63" s="2" t="str">
        <f t="shared" si="21"/>
        <v/>
      </c>
      <c r="AL63" s="2" t="str">
        <f t="shared" si="22"/>
        <v/>
      </c>
      <c r="AM63" s="2" t="str">
        <f t="shared" si="23"/>
        <v/>
      </c>
      <c r="AN63" s="2" t="str">
        <f t="shared" si="24"/>
        <v/>
      </c>
      <c r="AP63" s="2" t="str" cm="1">
        <f t="array" ref="AP63">IF('NILAI CPL'!$B63&lt;&gt;"",IFERROR(_xlfn.IFS(S63&gt;='NILAI CPL'!$B$3,4,S63&gt;='NILAI CPL'!$B$4,3,S63&gt;='NILAI CPL'!$B$5,2,S63&gt;'NILAI CPL'!$B$6,1),0),"")</f>
        <v/>
      </c>
      <c r="AQ63" s="2" t="str" cm="1">
        <f t="array" ref="AQ63">IF('NILAI CPL'!$B63&lt;&gt;"",IFERROR(_xlfn.IFS(T63&gt;='NILAI CPL'!$B$3,4,T63&gt;='NILAI CPL'!$B$4,3,T63&gt;='NILAI CPL'!$B$5,2,T63&gt;'NILAI CPL'!$B$6,1),0),"")</f>
        <v/>
      </c>
      <c r="AR63" s="2" t="str" cm="1">
        <f t="array" ref="AR63">IF('NILAI CPL'!$B63&lt;&gt;"",IFERROR(_xlfn.IFS(U63&gt;='NILAI CPL'!$B$3,4,U63&gt;='NILAI CPL'!$B$4,3,U63&gt;='NILAI CPL'!$B$5,2,U63&gt;'NILAI CPL'!$B$6,1),0),"")</f>
        <v/>
      </c>
      <c r="AS63" s="2" t="str" cm="1">
        <f t="array" ref="AS63">IF('NILAI CPL'!$B63&lt;&gt;"",IFERROR(_xlfn.IFS(V63&gt;='NILAI CPL'!$B$3,4,V63&gt;='NILAI CPL'!$B$4,3,V63&gt;='NILAI CPL'!$B$5,2,V63&gt;'NILAI CPL'!$B$6,1),0),"")</f>
        <v/>
      </c>
      <c r="AT63" s="2" t="str" cm="1">
        <f t="array" ref="AT63">IF('NILAI CPL'!$B63&lt;&gt;"",IFERROR(_xlfn.IFS(W63&gt;='NILAI CPL'!$B$3,4,W63&gt;='NILAI CPL'!$B$4,3,W63&gt;='NILAI CPL'!$B$5,2,W63&gt;'NILAI CPL'!$B$6,1),0),"")</f>
        <v/>
      </c>
      <c r="AU63" s="2" t="str" cm="1">
        <f t="array" ref="AU63">IF('NILAI CPL'!$B63&lt;&gt;"",IFERROR(_xlfn.IFS(X63&gt;='NILAI CPL'!$B$3,4,X63&gt;='NILAI CPL'!$B$4,3,X63&gt;='NILAI CPL'!$B$5,2,X63&gt;'NILAI CPL'!$B$6,1),0),"")</f>
        <v/>
      </c>
      <c r="AV63" s="2" t="str" cm="1">
        <f t="array" ref="AV63">IF('NILAI CPL'!$B63&lt;&gt;"",IFERROR(_xlfn.IFS(Y63&gt;='NILAI CPL'!$B$3,4,Y63&gt;='NILAI CPL'!$B$4,3,Y63&gt;='NILAI CPL'!$B$5,2,Y63&gt;'NILAI CPL'!$B$6,1),0),"")</f>
        <v/>
      </c>
      <c r="AW63" s="2" t="str" cm="1">
        <f t="array" ref="AW63">IF('NILAI CPL'!$B63&lt;&gt;"",IFERROR(_xlfn.IFS(Z63&gt;='NILAI CPL'!$B$3,4,Z63&gt;='NILAI CPL'!$B$4,3,Z63&gt;='NILAI CPL'!$B$5,2,Z63&gt;'NILAI CPL'!$B$6,1),0),"")</f>
        <v/>
      </c>
      <c r="AX63" s="2" t="str" cm="1">
        <f t="array" ref="AX63">IF('NILAI CPL'!$B63&lt;&gt;"",IFERROR(_xlfn.IFS(AA63&gt;='NILAI CPL'!$B$3,4,AA63&gt;='NILAI CPL'!$B$4,3,AA63&gt;='NILAI CPL'!$B$5,2,AA63&gt;'NILAI CPL'!$B$6,1),0),"")</f>
        <v/>
      </c>
      <c r="AY63" s="2" t="str" cm="1">
        <f t="array" ref="AY63">IF('NILAI CPL'!$B63&lt;&gt;"",IFERROR(_xlfn.IFS(AB63&gt;='NILAI CPL'!$B$3,4,AB63&gt;='NILAI CPL'!$B$4,3,AB63&gt;='NILAI CPL'!$B$5,2,AB63&gt;'NILAI CPL'!$B$6,1),0),"")</f>
        <v/>
      </c>
      <c r="AZ63" s="2" t="str" cm="1">
        <f t="array" ref="AZ63">IF('NILAI CPL'!$B63&lt;&gt;"",IFERROR(_xlfn.IFS(AC63&gt;='NILAI CPL'!$B$3,4,AC63&gt;='NILAI CPL'!$B$4,3,AC63&gt;='NILAI CPL'!$B$5,2,AC63&gt;'NILAI CPL'!$B$6,1),0),"")</f>
        <v/>
      </c>
      <c r="BA63" s="2" t="str" cm="1">
        <f t="array" ref="BA63">IF('NILAI CPL'!$B63&lt;&gt;"",IFERROR(_xlfn.IFS(AD63&gt;='NILAI CPL'!$B$3,4,AD63&gt;='NILAI CPL'!$B$4,3,AD63&gt;='NILAI CPL'!$B$5,2,AD63&gt;'NILAI CPL'!$B$6,1),0),"")</f>
        <v/>
      </c>
      <c r="BB63" s="2" t="str" cm="1">
        <f t="array" ref="BB63">IF('NILAI CPL'!$B63&lt;&gt;"",IFERROR(_xlfn.IFS(AE63&gt;='NILAI CPL'!$B$3,4,AE63&gt;='NILAI CPL'!$B$4,3,AE63&gt;='NILAI CPL'!$B$5,2,AE63&gt;'NILAI CPL'!$B$6,1),0),"")</f>
        <v/>
      </c>
      <c r="BC63" s="2" t="str" cm="1">
        <f t="array" ref="BC63">IF('NILAI CPL'!$B63&lt;&gt;"",IFERROR(_xlfn.IFS(AF63&gt;='NILAI CPL'!$B$3,4,AF63&gt;='NILAI CPL'!$B$4,3,AF63&gt;='NILAI CPL'!$B$5,2,AF63&gt;'NILAI CPL'!$B$6,1),0),"")</f>
        <v/>
      </c>
      <c r="BD63" s="2" t="str" cm="1">
        <f t="array" ref="BD63">IF('NILAI CPL'!$B63&lt;&gt;"",IFERROR(_xlfn.IFS(AG63&gt;='NILAI CPL'!$B$3,4,AG63&gt;='NILAI CPL'!$B$4,3,AG63&gt;='NILAI CPL'!$B$5,2,AG63&gt;'NILAI CPL'!$B$6,1),0),"")</f>
        <v/>
      </c>
      <c r="BE63" s="2" t="str" cm="1">
        <f t="array" ref="BE63">IF('NILAI CPL'!$B63&lt;&gt;"",IFERROR(_xlfn.IFS(AH63&gt;='NILAI CPL'!$B$3,4,AH63&gt;='NILAI CPL'!$B$4,3,AH63&gt;='NILAI CPL'!$B$5,2,AH63&gt;'NILAI CPL'!$B$6,1),0),"")</f>
        <v/>
      </c>
      <c r="BF63" s="2" t="str" cm="1">
        <f t="array" ref="BF63">IF('NILAI CPL'!$B63&lt;&gt;"",IFERROR(_xlfn.IFS(AI63&gt;='NILAI CPL'!$B$3,4,AI63&gt;='NILAI CPL'!$B$4,3,AI63&gt;='NILAI CPL'!$B$5,2,AI63&gt;'NILAI CPL'!$B$6,1),0),"")</f>
        <v/>
      </c>
      <c r="BG63" s="2" t="str" cm="1">
        <f t="array" ref="BG63">IF('NILAI CPL'!$B63&lt;&gt;"",IFERROR(_xlfn.IFS(AJ63&gt;='NILAI CPL'!$B$3,4,AJ63&gt;='NILAI CPL'!$B$4,3,AJ63&gt;='NILAI CPL'!$B$5,2,AJ63&gt;'NILAI CPL'!$B$6,1),0),"")</f>
        <v/>
      </c>
      <c r="BH63" s="2" t="str" cm="1">
        <f t="array" ref="BH63">IF('NILAI CPL'!$B63&lt;&gt;"",IFERROR(_xlfn.IFS(AK63&gt;='NILAI CPL'!$B$3,4,AK63&gt;='NILAI CPL'!$B$4,3,AK63&gt;='NILAI CPL'!$B$5,2,AK63&gt;'NILAI CPL'!$B$6,1),0),"")</f>
        <v/>
      </c>
      <c r="BI63" s="2" t="str" cm="1">
        <f t="array" ref="BI63">IF('NILAI CPL'!$B63&lt;&gt;"",IFERROR(_xlfn.IFS(AL63&gt;='NILAI CPL'!$B$3,4,AL63&gt;='NILAI CPL'!$B$4,3,AL63&gt;='NILAI CPL'!$B$5,2,AL63&gt;'NILAI CPL'!$B$6,1),0),"")</f>
        <v/>
      </c>
      <c r="BJ63" s="2" t="str" cm="1">
        <f t="array" ref="BJ63">IF('NILAI CPL'!$B63&lt;&gt;"",IFERROR(_xlfn.IFS(AM63&gt;='NILAI CPL'!$B$3,4,AM63&gt;='NILAI CPL'!$B$4,3,AM63&gt;='NILAI CPL'!$B$5,2,AM63&gt;'NILAI CPL'!$B$6,1),0),"")</f>
        <v/>
      </c>
      <c r="BK63" s="2" t="str" cm="1">
        <f t="array" ref="BK63">IF('NILAI CPL'!$B63&lt;&gt;"",IFERROR(_xlfn.IFS(AN63&gt;='NILAI CPL'!$B$3,4,AN63&gt;='NILAI CPL'!$B$4,3,AN63&gt;='NILAI CPL'!$B$5,2,AN63&gt;'NILAI CPL'!$B$6,1),0),"")</f>
        <v/>
      </c>
    </row>
    <row r="64" spans="1:63" x14ac:dyDescent="0.2">
      <c r="A64" s="2">
        <v>54</v>
      </c>
      <c r="B64" s="2" t="str">
        <f>IF(LEN(SUMMARY!B64)&gt;0, SUMMARY!B64, "")</f>
        <v/>
      </c>
      <c r="C64" s="2" t="str">
        <f>IF(LEN(SUMMARY!C64)&gt;0, SUMMARY!C64, "")</f>
        <v/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" t="str">
        <f t="shared" si="2"/>
        <v/>
      </c>
      <c r="S64" s="2" t="str">
        <f t="shared" si="3"/>
        <v/>
      </c>
      <c r="T64" s="2" t="str">
        <f t="shared" si="4"/>
        <v/>
      </c>
      <c r="U64" s="2" t="str">
        <f t="shared" si="5"/>
        <v/>
      </c>
      <c r="V64" s="2" t="str">
        <f t="shared" si="6"/>
        <v/>
      </c>
      <c r="W64" s="2" t="str">
        <f t="shared" si="7"/>
        <v/>
      </c>
      <c r="X64" s="2" t="str">
        <f t="shared" si="8"/>
        <v/>
      </c>
      <c r="Y64" s="2" t="str">
        <f t="shared" si="9"/>
        <v/>
      </c>
      <c r="Z64" s="2" t="str">
        <f t="shared" si="10"/>
        <v/>
      </c>
      <c r="AA64" s="2" t="str">
        <f t="shared" si="11"/>
        <v/>
      </c>
      <c r="AB64" s="2" t="str">
        <f t="shared" si="12"/>
        <v/>
      </c>
      <c r="AC64" s="2" t="str">
        <f t="shared" si="13"/>
        <v/>
      </c>
      <c r="AD64" s="2" t="str">
        <f t="shared" si="14"/>
        <v/>
      </c>
      <c r="AE64" s="2" t="str">
        <f t="shared" si="15"/>
        <v/>
      </c>
      <c r="AF64" s="2" t="str">
        <f t="shared" si="16"/>
        <v/>
      </c>
      <c r="AG64" s="2" t="str">
        <f t="shared" si="17"/>
        <v/>
      </c>
      <c r="AH64" s="2" t="str">
        <f t="shared" si="18"/>
        <v/>
      </c>
      <c r="AI64" s="2" t="str">
        <f t="shared" si="19"/>
        <v/>
      </c>
      <c r="AJ64" s="2" t="str">
        <f t="shared" si="20"/>
        <v/>
      </c>
      <c r="AK64" s="2" t="str">
        <f t="shared" si="21"/>
        <v/>
      </c>
      <c r="AL64" s="2" t="str">
        <f t="shared" si="22"/>
        <v/>
      </c>
      <c r="AM64" s="2" t="str">
        <f t="shared" si="23"/>
        <v/>
      </c>
      <c r="AN64" s="2" t="str">
        <f t="shared" si="24"/>
        <v/>
      </c>
      <c r="AP64" s="2" t="str" cm="1">
        <f t="array" ref="AP64">IF('NILAI CPL'!$B64&lt;&gt;"",IFERROR(_xlfn.IFS(S64&gt;='NILAI CPL'!$B$3,4,S64&gt;='NILAI CPL'!$B$4,3,S64&gt;='NILAI CPL'!$B$5,2,S64&gt;'NILAI CPL'!$B$6,1),0),"")</f>
        <v/>
      </c>
      <c r="AQ64" s="2" t="str" cm="1">
        <f t="array" ref="AQ64">IF('NILAI CPL'!$B64&lt;&gt;"",IFERROR(_xlfn.IFS(T64&gt;='NILAI CPL'!$B$3,4,T64&gt;='NILAI CPL'!$B$4,3,T64&gt;='NILAI CPL'!$B$5,2,T64&gt;'NILAI CPL'!$B$6,1),0),"")</f>
        <v/>
      </c>
      <c r="AR64" s="2" t="str" cm="1">
        <f t="array" ref="AR64">IF('NILAI CPL'!$B64&lt;&gt;"",IFERROR(_xlfn.IFS(U64&gt;='NILAI CPL'!$B$3,4,U64&gt;='NILAI CPL'!$B$4,3,U64&gt;='NILAI CPL'!$B$5,2,U64&gt;'NILAI CPL'!$B$6,1),0),"")</f>
        <v/>
      </c>
      <c r="AS64" s="2" t="str" cm="1">
        <f t="array" ref="AS64">IF('NILAI CPL'!$B64&lt;&gt;"",IFERROR(_xlfn.IFS(V64&gt;='NILAI CPL'!$B$3,4,V64&gt;='NILAI CPL'!$B$4,3,V64&gt;='NILAI CPL'!$B$5,2,V64&gt;'NILAI CPL'!$B$6,1),0),"")</f>
        <v/>
      </c>
      <c r="AT64" s="2" t="str" cm="1">
        <f t="array" ref="AT64">IF('NILAI CPL'!$B64&lt;&gt;"",IFERROR(_xlfn.IFS(W64&gt;='NILAI CPL'!$B$3,4,W64&gt;='NILAI CPL'!$B$4,3,W64&gt;='NILAI CPL'!$B$5,2,W64&gt;'NILAI CPL'!$B$6,1),0),"")</f>
        <v/>
      </c>
      <c r="AU64" s="2" t="str" cm="1">
        <f t="array" ref="AU64">IF('NILAI CPL'!$B64&lt;&gt;"",IFERROR(_xlfn.IFS(X64&gt;='NILAI CPL'!$B$3,4,X64&gt;='NILAI CPL'!$B$4,3,X64&gt;='NILAI CPL'!$B$5,2,X64&gt;'NILAI CPL'!$B$6,1),0),"")</f>
        <v/>
      </c>
      <c r="AV64" s="2" t="str" cm="1">
        <f t="array" ref="AV64">IF('NILAI CPL'!$B64&lt;&gt;"",IFERROR(_xlfn.IFS(Y64&gt;='NILAI CPL'!$B$3,4,Y64&gt;='NILAI CPL'!$B$4,3,Y64&gt;='NILAI CPL'!$B$5,2,Y64&gt;'NILAI CPL'!$B$6,1),0),"")</f>
        <v/>
      </c>
      <c r="AW64" s="2" t="str" cm="1">
        <f t="array" ref="AW64">IF('NILAI CPL'!$B64&lt;&gt;"",IFERROR(_xlfn.IFS(Z64&gt;='NILAI CPL'!$B$3,4,Z64&gt;='NILAI CPL'!$B$4,3,Z64&gt;='NILAI CPL'!$B$5,2,Z64&gt;'NILAI CPL'!$B$6,1),0),"")</f>
        <v/>
      </c>
      <c r="AX64" s="2" t="str" cm="1">
        <f t="array" ref="AX64">IF('NILAI CPL'!$B64&lt;&gt;"",IFERROR(_xlfn.IFS(AA64&gt;='NILAI CPL'!$B$3,4,AA64&gt;='NILAI CPL'!$B$4,3,AA64&gt;='NILAI CPL'!$B$5,2,AA64&gt;'NILAI CPL'!$B$6,1),0),"")</f>
        <v/>
      </c>
      <c r="AY64" s="2" t="str" cm="1">
        <f t="array" ref="AY64">IF('NILAI CPL'!$B64&lt;&gt;"",IFERROR(_xlfn.IFS(AB64&gt;='NILAI CPL'!$B$3,4,AB64&gt;='NILAI CPL'!$B$4,3,AB64&gt;='NILAI CPL'!$B$5,2,AB64&gt;'NILAI CPL'!$B$6,1),0),"")</f>
        <v/>
      </c>
      <c r="AZ64" s="2" t="str" cm="1">
        <f t="array" ref="AZ64">IF('NILAI CPL'!$B64&lt;&gt;"",IFERROR(_xlfn.IFS(AC64&gt;='NILAI CPL'!$B$3,4,AC64&gt;='NILAI CPL'!$B$4,3,AC64&gt;='NILAI CPL'!$B$5,2,AC64&gt;'NILAI CPL'!$B$6,1),0),"")</f>
        <v/>
      </c>
      <c r="BA64" s="2" t="str" cm="1">
        <f t="array" ref="BA64">IF('NILAI CPL'!$B64&lt;&gt;"",IFERROR(_xlfn.IFS(AD64&gt;='NILAI CPL'!$B$3,4,AD64&gt;='NILAI CPL'!$B$4,3,AD64&gt;='NILAI CPL'!$B$5,2,AD64&gt;'NILAI CPL'!$B$6,1),0),"")</f>
        <v/>
      </c>
      <c r="BB64" s="2" t="str" cm="1">
        <f t="array" ref="BB64">IF('NILAI CPL'!$B64&lt;&gt;"",IFERROR(_xlfn.IFS(AE64&gt;='NILAI CPL'!$B$3,4,AE64&gt;='NILAI CPL'!$B$4,3,AE64&gt;='NILAI CPL'!$B$5,2,AE64&gt;'NILAI CPL'!$B$6,1),0),"")</f>
        <v/>
      </c>
      <c r="BC64" s="2" t="str" cm="1">
        <f t="array" ref="BC64">IF('NILAI CPL'!$B64&lt;&gt;"",IFERROR(_xlfn.IFS(AF64&gt;='NILAI CPL'!$B$3,4,AF64&gt;='NILAI CPL'!$B$4,3,AF64&gt;='NILAI CPL'!$B$5,2,AF64&gt;'NILAI CPL'!$B$6,1),0),"")</f>
        <v/>
      </c>
      <c r="BD64" s="2" t="str" cm="1">
        <f t="array" ref="BD64">IF('NILAI CPL'!$B64&lt;&gt;"",IFERROR(_xlfn.IFS(AG64&gt;='NILAI CPL'!$B$3,4,AG64&gt;='NILAI CPL'!$B$4,3,AG64&gt;='NILAI CPL'!$B$5,2,AG64&gt;'NILAI CPL'!$B$6,1),0),"")</f>
        <v/>
      </c>
      <c r="BE64" s="2" t="str" cm="1">
        <f t="array" ref="BE64">IF('NILAI CPL'!$B64&lt;&gt;"",IFERROR(_xlfn.IFS(AH64&gt;='NILAI CPL'!$B$3,4,AH64&gt;='NILAI CPL'!$B$4,3,AH64&gt;='NILAI CPL'!$B$5,2,AH64&gt;'NILAI CPL'!$B$6,1),0),"")</f>
        <v/>
      </c>
      <c r="BF64" s="2" t="str" cm="1">
        <f t="array" ref="BF64">IF('NILAI CPL'!$B64&lt;&gt;"",IFERROR(_xlfn.IFS(AI64&gt;='NILAI CPL'!$B$3,4,AI64&gt;='NILAI CPL'!$B$4,3,AI64&gt;='NILAI CPL'!$B$5,2,AI64&gt;'NILAI CPL'!$B$6,1),0),"")</f>
        <v/>
      </c>
      <c r="BG64" s="2" t="str" cm="1">
        <f t="array" ref="BG64">IF('NILAI CPL'!$B64&lt;&gt;"",IFERROR(_xlfn.IFS(AJ64&gt;='NILAI CPL'!$B$3,4,AJ64&gt;='NILAI CPL'!$B$4,3,AJ64&gt;='NILAI CPL'!$B$5,2,AJ64&gt;'NILAI CPL'!$B$6,1),0),"")</f>
        <v/>
      </c>
      <c r="BH64" s="2" t="str" cm="1">
        <f t="array" ref="BH64">IF('NILAI CPL'!$B64&lt;&gt;"",IFERROR(_xlfn.IFS(AK64&gt;='NILAI CPL'!$B$3,4,AK64&gt;='NILAI CPL'!$B$4,3,AK64&gt;='NILAI CPL'!$B$5,2,AK64&gt;'NILAI CPL'!$B$6,1),0),"")</f>
        <v/>
      </c>
      <c r="BI64" s="2" t="str" cm="1">
        <f t="array" ref="BI64">IF('NILAI CPL'!$B64&lt;&gt;"",IFERROR(_xlfn.IFS(AL64&gt;='NILAI CPL'!$B$3,4,AL64&gt;='NILAI CPL'!$B$4,3,AL64&gt;='NILAI CPL'!$B$5,2,AL64&gt;'NILAI CPL'!$B$6,1),0),"")</f>
        <v/>
      </c>
      <c r="BJ64" s="2" t="str" cm="1">
        <f t="array" ref="BJ64">IF('NILAI CPL'!$B64&lt;&gt;"",IFERROR(_xlfn.IFS(AM64&gt;='NILAI CPL'!$B$3,4,AM64&gt;='NILAI CPL'!$B$4,3,AM64&gt;='NILAI CPL'!$B$5,2,AM64&gt;'NILAI CPL'!$B$6,1),0),"")</f>
        <v/>
      </c>
      <c r="BK64" s="2" t="str" cm="1">
        <f t="array" ref="BK64">IF('NILAI CPL'!$B64&lt;&gt;"",IFERROR(_xlfn.IFS(AN64&gt;='NILAI CPL'!$B$3,4,AN64&gt;='NILAI CPL'!$B$4,3,AN64&gt;='NILAI CPL'!$B$5,2,AN64&gt;'NILAI CPL'!$B$6,1),0),"")</f>
        <v/>
      </c>
    </row>
    <row r="65" spans="1:63" x14ac:dyDescent="0.2">
      <c r="A65" s="2">
        <v>55</v>
      </c>
      <c r="B65" s="2" t="str">
        <f>IF(LEN(SUMMARY!B65)&gt;0, SUMMARY!B65, "")</f>
        <v/>
      </c>
      <c r="C65" s="2" t="str">
        <f>IF(LEN(SUMMARY!C65)&gt;0, SUMMARY!C65, "")</f>
        <v/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" t="str">
        <f t="shared" si="2"/>
        <v/>
      </c>
      <c r="S65" s="2" t="str">
        <f t="shared" si="3"/>
        <v/>
      </c>
      <c r="T65" s="2" t="str">
        <f t="shared" si="4"/>
        <v/>
      </c>
      <c r="U65" s="2" t="str">
        <f t="shared" si="5"/>
        <v/>
      </c>
      <c r="V65" s="2" t="str">
        <f t="shared" si="6"/>
        <v/>
      </c>
      <c r="W65" s="2" t="str">
        <f t="shared" si="7"/>
        <v/>
      </c>
      <c r="X65" s="2" t="str">
        <f t="shared" si="8"/>
        <v/>
      </c>
      <c r="Y65" s="2" t="str">
        <f t="shared" si="9"/>
        <v/>
      </c>
      <c r="Z65" s="2" t="str">
        <f t="shared" si="10"/>
        <v/>
      </c>
      <c r="AA65" s="2" t="str">
        <f t="shared" si="11"/>
        <v/>
      </c>
      <c r="AB65" s="2" t="str">
        <f t="shared" si="12"/>
        <v/>
      </c>
      <c r="AC65" s="2" t="str">
        <f t="shared" si="13"/>
        <v/>
      </c>
      <c r="AD65" s="2" t="str">
        <f t="shared" si="14"/>
        <v/>
      </c>
      <c r="AE65" s="2" t="str">
        <f t="shared" si="15"/>
        <v/>
      </c>
      <c r="AF65" s="2" t="str">
        <f t="shared" si="16"/>
        <v/>
      </c>
      <c r="AG65" s="2" t="str">
        <f t="shared" si="17"/>
        <v/>
      </c>
      <c r="AH65" s="2" t="str">
        <f t="shared" si="18"/>
        <v/>
      </c>
      <c r="AI65" s="2" t="str">
        <f t="shared" si="19"/>
        <v/>
      </c>
      <c r="AJ65" s="2" t="str">
        <f t="shared" si="20"/>
        <v/>
      </c>
      <c r="AK65" s="2" t="str">
        <f t="shared" si="21"/>
        <v/>
      </c>
      <c r="AL65" s="2" t="str">
        <f t="shared" si="22"/>
        <v/>
      </c>
      <c r="AM65" s="2" t="str">
        <f t="shared" si="23"/>
        <v/>
      </c>
      <c r="AN65" s="2" t="str">
        <f t="shared" si="24"/>
        <v/>
      </c>
      <c r="AP65" s="2" t="str" cm="1">
        <f t="array" ref="AP65">IF('NILAI CPL'!$B65&lt;&gt;"",IFERROR(_xlfn.IFS(S65&gt;='NILAI CPL'!$B$3,4,S65&gt;='NILAI CPL'!$B$4,3,S65&gt;='NILAI CPL'!$B$5,2,S65&gt;'NILAI CPL'!$B$6,1),0),"")</f>
        <v/>
      </c>
      <c r="AQ65" s="2" t="str" cm="1">
        <f t="array" ref="AQ65">IF('NILAI CPL'!$B65&lt;&gt;"",IFERROR(_xlfn.IFS(T65&gt;='NILAI CPL'!$B$3,4,T65&gt;='NILAI CPL'!$B$4,3,T65&gt;='NILAI CPL'!$B$5,2,T65&gt;'NILAI CPL'!$B$6,1),0),"")</f>
        <v/>
      </c>
      <c r="AR65" s="2" t="str" cm="1">
        <f t="array" ref="AR65">IF('NILAI CPL'!$B65&lt;&gt;"",IFERROR(_xlfn.IFS(U65&gt;='NILAI CPL'!$B$3,4,U65&gt;='NILAI CPL'!$B$4,3,U65&gt;='NILAI CPL'!$B$5,2,U65&gt;'NILAI CPL'!$B$6,1),0),"")</f>
        <v/>
      </c>
      <c r="AS65" s="2" t="str" cm="1">
        <f t="array" ref="AS65">IF('NILAI CPL'!$B65&lt;&gt;"",IFERROR(_xlfn.IFS(V65&gt;='NILAI CPL'!$B$3,4,V65&gt;='NILAI CPL'!$B$4,3,V65&gt;='NILAI CPL'!$B$5,2,V65&gt;'NILAI CPL'!$B$6,1),0),"")</f>
        <v/>
      </c>
      <c r="AT65" s="2" t="str" cm="1">
        <f t="array" ref="AT65">IF('NILAI CPL'!$B65&lt;&gt;"",IFERROR(_xlfn.IFS(W65&gt;='NILAI CPL'!$B$3,4,W65&gt;='NILAI CPL'!$B$4,3,W65&gt;='NILAI CPL'!$B$5,2,W65&gt;'NILAI CPL'!$B$6,1),0),"")</f>
        <v/>
      </c>
      <c r="AU65" s="2" t="str" cm="1">
        <f t="array" ref="AU65">IF('NILAI CPL'!$B65&lt;&gt;"",IFERROR(_xlfn.IFS(X65&gt;='NILAI CPL'!$B$3,4,X65&gt;='NILAI CPL'!$B$4,3,X65&gt;='NILAI CPL'!$B$5,2,X65&gt;'NILAI CPL'!$B$6,1),0),"")</f>
        <v/>
      </c>
      <c r="AV65" s="2" t="str" cm="1">
        <f t="array" ref="AV65">IF('NILAI CPL'!$B65&lt;&gt;"",IFERROR(_xlfn.IFS(Y65&gt;='NILAI CPL'!$B$3,4,Y65&gt;='NILAI CPL'!$B$4,3,Y65&gt;='NILAI CPL'!$B$5,2,Y65&gt;'NILAI CPL'!$B$6,1),0),"")</f>
        <v/>
      </c>
      <c r="AW65" s="2" t="str" cm="1">
        <f t="array" ref="AW65">IF('NILAI CPL'!$B65&lt;&gt;"",IFERROR(_xlfn.IFS(Z65&gt;='NILAI CPL'!$B$3,4,Z65&gt;='NILAI CPL'!$B$4,3,Z65&gt;='NILAI CPL'!$B$5,2,Z65&gt;'NILAI CPL'!$B$6,1),0),"")</f>
        <v/>
      </c>
      <c r="AX65" s="2" t="str" cm="1">
        <f t="array" ref="AX65">IF('NILAI CPL'!$B65&lt;&gt;"",IFERROR(_xlfn.IFS(AA65&gt;='NILAI CPL'!$B$3,4,AA65&gt;='NILAI CPL'!$B$4,3,AA65&gt;='NILAI CPL'!$B$5,2,AA65&gt;'NILAI CPL'!$B$6,1),0),"")</f>
        <v/>
      </c>
      <c r="AY65" s="2" t="str" cm="1">
        <f t="array" ref="AY65">IF('NILAI CPL'!$B65&lt;&gt;"",IFERROR(_xlfn.IFS(AB65&gt;='NILAI CPL'!$B$3,4,AB65&gt;='NILAI CPL'!$B$4,3,AB65&gt;='NILAI CPL'!$B$5,2,AB65&gt;'NILAI CPL'!$B$6,1),0),"")</f>
        <v/>
      </c>
      <c r="AZ65" s="2" t="str" cm="1">
        <f t="array" ref="AZ65">IF('NILAI CPL'!$B65&lt;&gt;"",IFERROR(_xlfn.IFS(AC65&gt;='NILAI CPL'!$B$3,4,AC65&gt;='NILAI CPL'!$B$4,3,AC65&gt;='NILAI CPL'!$B$5,2,AC65&gt;'NILAI CPL'!$B$6,1),0),"")</f>
        <v/>
      </c>
      <c r="BA65" s="2" t="str" cm="1">
        <f t="array" ref="BA65">IF('NILAI CPL'!$B65&lt;&gt;"",IFERROR(_xlfn.IFS(AD65&gt;='NILAI CPL'!$B$3,4,AD65&gt;='NILAI CPL'!$B$4,3,AD65&gt;='NILAI CPL'!$B$5,2,AD65&gt;'NILAI CPL'!$B$6,1),0),"")</f>
        <v/>
      </c>
      <c r="BB65" s="2" t="str" cm="1">
        <f t="array" ref="BB65">IF('NILAI CPL'!$B65&lt;&gt;"",IFERROR(_xlfn.IFS(AE65&gt;='NILAI CPL'!$B$3,4,AE65&gt;='NILAI CPL'!$B$4,3,AE65&gt;='NILAI CPL'!$B$5,2,AE65&gt;'NILAI CPL'!$B$6,1),0),"")</f>
        <v/>
      </c>
      <c r="BC65" s="2" t="str" cm="1">
        <f t="array" ref="BC65">IF('NILAI CPL'!$B65&lt;&gt;"",IFERROR(_xlfn.IFS(AF65&gt;='NILAI CPL'!$B$3,4,AF65&gt;='NILAI CPL'!$B$4,3,AF65&gt;='NILAI CPL'!$B$5,2,AF65&gt;'NILAI CPL'!$B$6,1),0),"")</f>
        <v/>
      </c>
      <c r="BD65" s="2" t="str" cm="1">
        <f t="array" ref="BD65">IF('NILAI CPL'!$B65&lt;&gt;"",IFERROR(_xlfn.IFS(AG65&gt;='NILAI CPL'!$B$3,4,AG65&gt;='NILAI CPL'!$B$4,3,AG65&gt;='NILAI CPL'!$B$5,2,AG65&gt;'NILAI CPL'!$B$6,1),0),"")</f>
        <v/>
      </c>
      <c r="BE65" s="2" t="str" cm="1">
        <f t="array" ref="BE65">IF('NILAI CPL'!$B65&lt;&gt;"",IFERROR(_xlfn.IFS(AH65&gt;='NILAI CPL'!$B$3,4,AH65&gt;='NILAI CPL'!$B$4,3,AH65&gt;='NILAI CPL'!$B$5,2,AH65&gt;'NILAI CPL'!$B$6,1),0),"")</f>
        <v/>
      </c>
      <c r="BF65" s="2" t="str" cm="1">
        <f t="array" ref="BF65">IF('NILAI CPL'!$B65&lt;&gt;"",IFERROR(_xlfn.IFS(AI65&gt;='NILAI CPL'!$B$3,4,AI65&gt;='NILAI CPL'!$B$4,3,AI65&gt;='NILAI CPL'!$B$5,2,AI65&gt;'NILAI CPL'!$B$6,1),0),"")</f>
        <v/>
      </c>
      <c r="BG65" s="2" t="str" cm="1">
        <f t="array" ref="BG65">IF('NILAI CPL'!$B65&lt;&gt;"",IFERROR(_xlfn.IFS(AJ65&gt;='NILAI CPL'!$B$3,4,AJ65&gt;='NILAI CPL'!$B$4,3,AJ65&gt;='NILAI CPL'!$B$5,2,AJ65&gt;'NILAI CPL'!$B$6,1),0),"")</f>
        <v/>
      </c>
      <c r="BH65" s="2" t="str" cm="1">
        <f t="array" ref="BH65">IF('NILAI CPL'!$B65&lt;&gt;"",IFERROR(_xlfn.IFS(AK65&gt;='NILAI CPL'!$B$3,4,AK65&gt;='NILAI CPL'!$B$4,3,AK65&gt;='NILAI CPL'!$B$5,2,AK65&gt;'NILAI CPL'!$B$6,1),0),"")</f>
        <v/>
      </c>
      <c r="BI65" s="2" t="str" cm="1">
        <f t="array" ref="BI65">IF('NILAI CPL'!$B65&lt;&gt;"",IFERROR(_xlfn.IFS(AL65&gt;='NILAI CPL'!$B$3,4,AL65&gt;='NILAI CPL'!$B$4,3,AL65&gt;='NILAI CPL'!$B$5,2,AL65&gt;'NILAI CPL'!$B$6,1),0),"")</f>
        <v/>
      </c>
      <c r="BJ65" s="2" t="str" cm="1">
        <f t="array" ref="BJ65">IF('NILAI CPL'!$B65&lt;&gt;"",IFERROR(_xlfn.IFS(AM65&gt;='NILAI CPL'!$B$3,4,AM65&gt;='NILAI CPL'!$B$4,3,AM65&gt;='NILAI CPL'!$B$5,2,AM65&gt;'NILAI CPL'!$B$6,1),0),"")</f>
        <v/>
      </c>
      <c r="BK65" s="2" t="str" cm="1">
        <f t="array" ref="BK65">IF('NILAI CPL'!$B65&lt;&gt;"",IFERROR(_xlfn.IFS(AN65&gt;='NILAI CPL'!$B$3,4,AN65&gt;='NILAI CPL'!$B$4,3,AN65&gt;='NILAI CPL'!$B$5,2,AN65&gt;'NILAI CPL'!$B$6,1),0),"")</f>
        <v/>
      </c>
    </row>
    <row r="66" spans="1:63" x14ac:dyDescent="0.2">
      <c r="A66" s="2">
        <v>56</v>
      </c>
      <c r="B66" s="2" t="str">
        <f>IF(LEN(SUMMARY!B66)&gt;0, SUMMARY!B66, "")</f>
        <v/>
      </c>
      <c r="C66" s="2" t="str">
        <f>IF(LEN(SUMMARY!C66)&gt;0, SUMMARY!C66, "")</f>
        <v/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" t="str">
        <f t="shared" si="2"/>
        <v/>
      </c>
      <c r="S66" s="2" t="str">
        <f t="shared" si="3"/>
        <v/>
      </c>
      <c r="T66" s="2" t="str">
        <f t="shared" si="4"/>
        <v/>
      </c>
      <c r="U66" s="2" t="str">
        <f t="shared" si="5"/>
        <v/>
      </c>
      <c r="V66" s="2" t="str">
        <f t="shared" si="6"/>
        <v/>
      </c>
      <c r="W66" s="2" t="str">
        <f t="shared" si="7"/>
        <v/>
      </c>
      <c r="X66" s="2" t="str">
        <f t="shared" si="8"/>
        <v/>
      </c>
      <c r="Y66" s="2" t="str">
        <f t="shared" si="9"/>
        <v/>
      </c>
      <c r="Z66" s="2" t="str">
        <f t="shared" si="10"/>
        <v/>
      </c>
      <c r="AA66" s="2" t="str">
        <f t="shared" si="11"/>
        <v/>
      </c>
      <c r="AB66" s="2" t="str">
        <f t="shared" si="12"/>
        <v/>
      </c>
      <c r="AC66" s="2" t="str">
        <f t="shared" si="13"/>
        <v/>
      </c>
      <c r="AD66" s="2" t="str">
        <f t="shared" si="14"/>
        <v/>
      </c>
      <c r="AE66" s="2" t="str">
        <f t="shared" si="15"/>
        <v/>
      </c>
      <c r="AF66" s="2" t="str">
        <f t="shared" si="16"/>
        <v/>
      </c>
      <c r="AG66" s="2" t="str">
        <f t="shared" si="17"/>
        <v/>
      </c>
      <c r="AH66" s="2" t="str">
        <f t="shared" si="18"/>
        <v/>
      </c>
      <c r="AI66" s="2" t="str">
        <f t="shared" si="19"/>
        <v/>
      </c>
      <c r="AJ66" s="2" t="str">
        <f t="shared" si="20"/>
        <v/>
      </c>
      <c r="AK66" s="2" t="str">
        <f t="shared" si="21"/>
        <v/>
      </c>
      <c r="AL66" s="2" t="str">
        <f t="shared" si="22"/>
        <v/>
      </c>
      <c r="AM66" s="2" t="str">
        <f t="shared" si="23"/>
        <v/>
      </c>
      <c r="AN66" s="2" t="str">
        <f t="shared" si="24"/>
        <v/>
      </c>
      <c r="AP66" s="2" t="str" cm="1">
        <f t="array" ref="AP66">IF('NILAI CPL'!$B66&lt;&gt;"",IFERROR(_xlfn.IFS(S66&gt;='NILAI CPL'!$B$3,4,S66&gt;='NILAI CPL'!$B$4,3,S66&gt;='NILAI CPL'!$B$5,2,S66&gt;'NILAI CPL'!$B$6,1),0),"")</f>
        <v/>
      </c>
      <c r="AQ66" s="2" t="str" cm="1">
        <f t="array" ref="AQ66">IF('NILAI CPL'!$B66&lt;&gt;"",IFERROR(_xlfn.IFS(T66&gt;='NILAI CPL'!$B$3,4,T66&gt;='NILAI CPL'!$B$4,3,T66&gt;='NILAI CPL'!$B$5,2,T66&gt;'NILAI CPL'!$B$6,1),0),"")</f>
        <v/>
      </c>
      <c r="AR66" s="2" t="str" cm="1">
        <f t="array" ref="AR66">IF('NILAI CPL'!$B66&lt;&gt;"",IFERROR(_xlfn.IFS(U66&gt;='NILAI CPL'!$B$3,4,U66&gt;='NILAI CPL'!$B$4,3,U66&gt;='NILAI CPL'!$B$5,2,U66&gt;'NILAI CPL'!$B$6,1),0),"")</f>
        <v/>
      </c>
      <c r="AS66" s="2" t="str" cm="1">
        <f t="array" ref="AS66">IF('NILAI CPL'!$B66&lt;&gt;"",IFERROR(_xlfn.IFS(V66&gt;='NILAI CPL'!$B$3,4,V66&gt;='NILAI CPL'!$B$4,3,V66&gt;='NILAI CPL'!$B$5,2,V66&gt;'NILAI CPL'!$B$6,1),0),"")</f>
        <v/>
      </c>
      <c r="AT66" s="2" t="str" cm="1">
        <f t="array" ref="AT66">IF('NILAI CPL'!$B66&lt;&gt;"",IFERROR(_xlfn.IFS(W66&gt;='NILAI CPL'!$B$3,4,W66&gt;='NILAI CPL'!$B$4,3,W66&gt;='NILAI CPL'!$B$5,2,W66&gt;'NILAI CPL'!$B$6,1),0),"")</f>
        <v/>
      </c>
      <c r="AU66" s="2" t="str" cm="1">
        <f t="array" ref="AU66">IF('NILAI CPL'!$B66&lt;&gt;"",IFERROR(_xlfn.IFS(X66&gt;='NILAI CPL'!$B$3,4,X66&gt;='NILAI CPL'!$B$4,3,X66&gt;='NILAI CPL'!$B$5,2,X66&gt;'NILAI CPL'!$B$6,1),0),"")</f>
        <v/>
      </c>
      <c r="AV66" s="2" t="str" cm="1">
        <f t="array" ref="AV66">IF('NILAI CPL'!$B66&lt;&gt;"",IFERROR(_xlfn.IFS(Y66&gt;='NILAI CPL'!$B$3,4,Y66&gt;='NILAI CPL'!$B$4,3,Y66&gt;='NILAI CPL'!$B$5,2,Y66&gt;'NILAI CPL'!$B$6,1),0),"")</f>
        <v/>
      </c>
      <c r="AW66" s="2" t="str" cm="1">
        <f t="array" ref="AW66">IF('NILAI CPL'!$B66&lt;&gt;"",IFERROR(_xlfn.IFS(Z66&gt;='NILAI CPL'!$B$3,4,Z66&gt;='NILAI CPL'!$B$4,3,Z66&gt;='NILAI CPL'!$B$5,2,Z66&gt;'NILAI CPL'!$B$6,1),0),"")</f>
        <v/>
      </c>
      <c r="AX66" s="2" t="str" cm="1">
        <f t="array" ref="AX66">IF('NILAI CPL'!$B66&lt;&gt;"",IFERROR(_xlfn.IFS(AA66&gt;='NILAI CPL'!$B$3,4,AA66&gt;='NILAI CPL'!$B$4,3,AA66&gt;='NILAI CPL'!$B$5,2,AA66&gt;'NILAI CPL'!$B$6,1),0),"")</f>
        <v/>
      </c>
      <c r="AY66" s="2" t="str" cm="1">
        <f t="array" ref="AY66">IF('NILAI CPL'!$B66&lt;&gt;"",IFERROR(_xlfn.IFS(AB66&gt;='NILAI CPL'!$B$3,4,AB66&gt;='NILAI CPL'!$B$4,3,AB66&gt;='NILAI CPL'!$B$5,2,AB66&gt;'NILAI CPL'!$B$6,1),0),"")</f>
        <v/>
      </c>
      <c r="AZ66" s="2" t="str" cm="1">
        <f t="array" ref="AZ66">IF('NILAI CPL'!$B66&lt;&gt;"",IFERROR(_xlfn.IFS(AC66&gt;='NILAI CPL'!$B$3,4,AC66&gt;='NILAI CPL'!$B$4,3,AC66&gt;='NILAI CPL'!$B$5,2,AC66&gt;'NILAI CPL'!$B$6,1),0),"")</f>
        <v/>
      </c>
      <c r="BA66" s="2" t="str" cm="1">
        <f t="array" ref="BA66">IF('NILAI CPL'!$B66&lt;&gt;"",IFERROR(_xlfn.IFS(AD66&gt;='NILAI CPL'!$B$3,4,AD66&gt;='NILAI CPL'!$B$4,3,AD66&gt;='NILAI CPL'!$B$5,2,AD66&gt;'NILAI CPL'!$B$6,1),0),"")</f>
        <v/>
      </c>
      <c r="BB66" s="2" t="str" cm="1">
        <f t="array" ref="BB66">IF('NILAI CPL'!$B66&lt;&gt;"",IFERROR(_xlfn.IFS(AE66&gt;='NILAI CPL'!$B$3,4,AE66&gt;='NILAI CPL'!$B$4,3,AE66&gt;='NILAI CPL'!$B$5,2,AE66&gt;'NILAI CPL'!$B$6,1),0),"")</f>
        <v/>
      </c>
      <c r="BC66" s="2" t="str" cm="1">
        <f t="array" ref="BC66">IF('NILAI CPL'!$B66&lt;&gt;"",IFERROR(_xlfn.IFS(AF66&gt;='NILAI CPL'!$B$3,4,AF66&gt;='NILAI CPL'!$B$4,3,AF66&gt;='NILAI CPL'!$B$5,2,AF66&gt;'NILAI CPL'!$B$6,1),0),"")</f>
        <v/>
      </c>
      <c r="BD66" s="2" t="str" cm="1">
        <f t="array" ref="BD66">IF('NILAI CPL'!$B66&lt;&gt;"",IFERROR(_xlfn.IFS(AG66&gt;='NILAI CPL'!$B$3,4,AG66&gt;='NILAI CPL'!$B$4,3,AG66&gt;='NILAI CPL'!$B$5,2,AG66&gt;'NILAI CPL'!$B$6,1),0),"")</f>
        <v/>
      </c>
      <c r="BE66" s="2" t="str" cm="1">
        <f t="array" ref="BE66">IF('NILAI CPL'!$B66&lt;&gt;"",IFERROR(_xlfn.IFS(AH66&gt;='NILAI CPL'!$B$3,4,AH66&gt;='NILAI CPL'!$B$4,3,AH66&gt;='NILAI CPL'!$B$5,2,AH66&gt;'NILAI CPL'!$B$6,1),0),"")</f>
        <v/>
      </c>
      <c r="BF66" s="2" t="str" cm="1">
        <f t="array" ref="BF66">IF('NILAI CPL'!$B66&lt;&gt;"",IFERROR(_xlfn.IFS(AI66&gt;='NILAI CPL'!$B$3,4,AI66&gt;='NILAI CPL'!$B$4,3,AI66&gt;='NILAI CPL'!$B$5,2,AI66&gt;'NILAI CPL'!$B$6,1),0),"")</f>
        <v/>
      </c>
      <c r="BG66" s="2" t="str" cm="1">
        <f t="array" ref="BG66">IF('NILAI CPL'!$B66&lt;&gt;"",IFERROR(_xlfn.IFS(AJ66&gt;='NILAI CPL'!$B$3,4,AJ66&gt;='NILAI CPL'!$B$4,3,AJ66&gt;='NILAI CPL'!$B$5,2,AJ66&gt;'NILAI CPL'!$B$6,1),0),"")</f>
        <v/>
      </c>
      <c r="BH66" s="2" t="str" cm="1">
        <f t="array" ref="BH66">IF('NILAI CPL'!$B66&lt;&gt;"",IFERROR(_xlfn.IFS(AK66&gt;='NILAI CPL'!$B$3,4,AK66&gt;='NILAI CPL'!$B$4,3,AK66&gt;='NILAI CPL'!$B$5,2,AK66&gt;'NILAI CPL'!$B$6,1),0),"")</f>
        <v/>
      </c>
      <c r="BI66" s="2" t="str" cm="1">
        <f t="array" ref="BI66">IF('NILAI CPL'!$B66&lt;&gt;"",IFERROR(_xlfn.IFS(AL66&gt;='NILAI CPL'!$B$3,4,AL66&gt;='NILAI CPL'!$B$4,3,AL66&gt;='NILAI CPL'!$B$5,2,AL66&gt;'NILAI CPL'!$B$6,1),0),"")</f>
        <v/>
      </c>
      <c r="BJ66" s="2" t="str" cm="1">
        <f t="array" ref="BJ66">IF('NILAI CPL'!$B66&lt;&gt;"",IFERROR(_xlfn.IFS(AM66&gt;='NILAI CPL'!$B$3,4,AM66&gt;='NILAI CPL'!$B$4,3,AM66&gt;='NILAI CPL'!$B$5,2,AM66&gt;'NILAI CPL'!$B$6,1),0),"")</f>
        <v/>
      </c>
      <c r="BK66" s="2" t="str" cm="1">
        <f t="array" ref="BK66">IF('NILAI CPL'!$B66&lt;&gt;"",IFERROR(_xlfn.IFS(AN66&gt;='NILAI CPL'!$B$3,4,AN66&gt;='NILAI CPL'!$B$4,3,AN66&gt;='NILAI CPL'!$B$5,2,AN66&gt;'NILAI CPL'!$B$6,1),0),"")</f>
        <v/>
      </c>
    </row>
    <row r="67" spans="1:63" x14ac:dyDescent="0.2">
      <c r="A67" s="2">
        <v>57</v>
      </c>
      <c r="B67" s="2" t="str">
        <f>IF(LEN(SUMMARY!B67)&gt;0, SUMMARY!B67, "")</f>
        <v/>
      </c>
      <c r="C67" s="2" t="str">
        <f>IF(LEN(SUMMARY!C67)&gt;0, SUMMARY!C67, "")</f>
        <v/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" t="str">
        <f t="shared" si="2"/>
        <v/>
      </c>
      <c r="S67" s="2" t="str">
        <f t="shared" si="3"/>
        <v/>
      </c>
      <c r="T67" s="2" t="str">
        <f t="shared" si="4"/>
        <v/>
      </c>
      <c r="U67" s="2" t="str">
        <f t="shared" si="5"/>
        <v/>
      </c>
      <c r="V67" s="2" t="str">
        <f t="shared" si="6"/>
        <v/>
      </c>
      <c r="W67" s="2" t="str">
        <f t="shared" si="7"/>
        <v/>
      </c>
      <c r="X67" s="2" t="str">
        <f t="shared" si="8"/>
        <v/>
      </c>
      <c r="Y67" s="2" t="str">
        <f t="shared" si="9"/>
        <v/>
      </c>
      <c r="Z67" s="2" t="str">
        <f t="shared" si="10"/>
        <v/>
      </c>
      <c r="AA67" s="2" t="str">
        <f t="shared" si="11"/>
        <v/>
      </c>
      <c r="AB67" s="2" t="str">
        <f t="shared" si="12"/>
        <v/>
      </c>
      <c r="AC67" s="2" t="str">
        <f t="shared" si="13"/>
        <v/>
      </c>
      <c r="AD67" s="2" t="str">
        <f t="shared" si="14"/>
        <v/>
      </c>
      <c r="AE67" s="2" t="str">
        <f t="shared" si="15"/>
        <v/>
      </c>
      <c r="AF67" s="2" t="str">
        <f t="shared" si="16"/>
        <v/>
      </c>
      <c r="AG67" s="2" t="str">
        <f t="shared" si="17"/>
        <v/>
      </c>
      <c r="AH67" s="2" t="str">
        <f t="shared" si="18"/>
        <v/>
      </c>
      <c r="AI67" s="2" t="str">
        <f t="shared" si="19"/>
        <v/>
      </c>
      <c r="AJ67" s="2" t="str">
        <f t="shared" si="20"/>
        <v/>
      </c>
      <c r="AK67" s="2" t="str">
        <f t="shared" si="21"/>
        <v/>
      </c>
      <c r="AL67" s="2" t="str">
        <f t="shared" si="22"/>
        <v/>
      </c>
      <c r="AM67" s="2" t="str">
        <f t="shared" si="23"/>
        <v/>
      </c>
      <c r="AN67" s="2" t="str">
        <f t="shared" si="24"/>
        <v/>
      </c>
      <c r="AP67" s="2" t="str" cm="1">
        <f t="array" ref="AP67">IF('NILAI CPL'!$B67&lt;&gt;"",IFERROR(_xlfn.IFS(S67&gt;='NILAI CPL'!$B$3,4,S67&gt;='NILAI CPL'!$B$4,3,S67&gt;='NILAI CPL'!$B$5,2,S67&gt;'NILAI CPL'!$B$6,1),0),"")</f>
        <v/>
      </c>
      <c r="AQ67" s="2" t="str" cm="1">
        <f t="array" ref="AQ67">IF('NILAI CPL'!$B67&lt;&gt;"",IFERROR(_xlfn.IFS(T67&gt;='NILAI CPL'!$B$3,4,T67&gt;='NILAI CPL'!$B$4,3,T67&gt;='NILAI CPL'!$B$5,2,T67&gt;'NILAI CPL'!$B$6,1),0),"")</f>
        <v/>
      </c>
      <c r="AR67" s="2" t="str" cm="1">
        <f t="array" ref="AR67">IF('NILAI CPL'!$B67&lt;&gt;"",IFERROR(_xlfn.IFS(U67&gt;='NILAI CPL'!$B$3,4,U67&gt;='NILAI CPL'!$B$4,3,U67&gt;='NILAI CPL'!$B$5,2,U67&gt;'NILAI CPL'!$B$6,1),0),"")</f>
        <v/>
      </c>
      <c r="AS67" s="2" t="str" cm="1">
        <f t="array" ref="AS67">IF('NILAI CPL'!$B67&lt;&gt;"",IFERROR(_xlfn.IFS(V67&gt;='NILAI CPL'!$B$3,4,V67&gt;='NILAI CPL'!$B$4,3,V67&gt;='NILAI CPL'!$B$5,2,V67&gt;'NILAI CPL'!$B$6,1),0),"")</f>
        <v/>
      </c>
      <c r="AT67" s="2" t="str" cm="1">
        <f t="array" ref="AT67">IF('NILAI CPL'!$B67&lt;&gt;"",IFERROR(_xlfn.IFS(W67&gt;='NILAI CPL'!$B$3,4,W67&gt;='NILAI CPL'!$B$4,3,W67&gt;='NILAI CPL'!$B$5,2,W67&gt;'NILAI CPL'!$B$6,1),0),"")</f>
        <v/>
      </c>
      <c r="AU67" s="2" t="str" cm="1">
        <f t="array" ref="AU67">IF('NILAI CPL'!$B67&lt;&gt;"",IFERROR(_xlfn.IFS(X67&gt;='NILAI CPL'!$B$3,4,X67&gt;='NILAI CPL'!$B$4,3,X67&gt;='NILAI CPL'!$B$5,2,X67&gt;'NILAI CPL'!$B$6,1),0),"")</f>
        <v/>
      </c>
      <c r="AV67" s="2" t="str" cm="1">
        <f t="array" ref="AV67">IF('NILAI CPL'!$B67&lt;&gt;"",IFERROR(_xlfn.IFS(Y67&gt;='NILAI CPL'!$B$3,4,Y67&gt;='NILAI CPL'!$B$4,3,Y67&gt;='NILAI CPL'!$B$5,2,Y67&gt;'NILAI CPL'!$B$6,1),0),"")</f>
        <v/>
      </c>
      <c r="AW67" s="2" t="str" cm="1">
        <f t="array" ref="AW67">IF('NILAI CPL'!$B67&lt;&gt;"",IFERROR(_xlfn.IFS(Z67&gt;='NILAI CPL'!$B$3,4,Z67&gt;='NILAI CPL'!$B$4,3,Z67&gt;='NILAI CPL'!$B$5,2,Z67&gt;'NILAI CPL'!$B$6,1),0),"")</f>
        <v/>
      </c>
      <c r="AX67" s="2" t="str" cm="1">
        <f t="array" ref="AX67">IF('NILAI CPL'!$B67&lt;&gt;"",IFERROR(_xlfn.IFS(AA67&gt;='NILAI CPL'!$B$3,4,AA67&gt;='NILAI CPL'!$B$4,3,AA67&gt;='NILAI CPL'!$B$5,2,AA67&gt;'NILAI CPL'!$B$6,1),0),"")</f>
        <v/>
      </c>
      <c r="AY67" s="2" t="str" cm="1">
        <f t="array" ref="AY67">IF('NILAI CPL'!$B67&lt;&gt;"",IFERROR(_xlfn.IFS(AB67&gt;='NILAI CPL'!$B$3,4,AB67&gt;='NILAI CPL'!$B$4,3,AB67&gt;='NILAI CPL'!$B$5,2,AB67&gt;'NILAI CPL'!$B$6,1),0),"")</f>
        <v/>
      </c>
      <c r="AZ67" s="2" t="str" cm="1">
        <f t="array" ref="AZ67">IF('NILAI CPL'!$B67&lt;&gt;"",IFERROR(_xlfn.IFS(AC67&gt;='NILAI CPL'!$B$3,4,AC67&gt;='NILAI CPL'!$B$4,3,AC67&gt;='NILAI CPL'!$B$5,2,AC67&gt;'NILAI CPL'!$B$6,1),0),"")</f>
        <v/>
      </c>
      <c r="BA67" s="2" t="str" cm="1">
        <f t="array" ref="BA67">IF('NILAI CPL'!$B67&lt;&gt;"",IFERROR(_xlfn.IFS(AD67&gt;='NILAI CPL'!$B$3,4,AD67&gt;='NILAI CPL'!$B$4,3,AD67&gt;='NILAI CPL'!$B$5,2,AD67&gt;'NILAI CPL'!$B$6,1),0),"")</f>
        <v/>
      </c>
      <c r="BB67" s="2" t="str" cm="1">
        <f t="array" ref="BB67">IF('NILAI CPL'!$B67&lt;&gt;"",IFERROR(_xlfn.IFS(AE67&gt;='NILAI CPL'!$B$3,4,AE67&gt;='NILAI CPL'!$B$4,3,AE67&gt;='NILAI CPL'!$B$5,2,AE67&gt;'NILAI CPL'!$B$6,1),0),"")</f>
        <v/>
      </c>
      <c r="BC67" s="2" t="str" cm="1">
        <f t="array" ref="BC67">IF('NILAI CPL'!$B67&lt;&gt;"",IFERROR(_xlfn.IFS(AF67&gt;='NILAI CPL'!$B$3,4,AF67&gt;='NILAI CPL'!$B$4,3,AF67&gt;='NILAI CPL'!$B$5,2,AF67&gt;'NILAI CPL'!$B$6,1),0),"")</f>
        <v/>
      </c>
      <c r="BD67" s="2" t="str" cm="1">
        <f t="array" ref="BD67">IF('NILAI CPL'!$B67&lt;&gt;"",IFERROR(_xlfn.IFS(AG67&gt;='NILAI CPL'!$B$3,4,AG67&gt;='NILAI CPL'!$B$4,3,AG67&gt;='NILAI CPL'!$B$5,2,AG67&gt;'NILAI CPL'!$B$6,1),0),"")</f>
        <v/>
      </c>
      <c r="BE67" s="2" t="str" cm="1">
        <f t="array" ref="BE67">IF('NILAI CPL'!$B67&lt;&gt;"",IFERROR(_xlfn.IFS(AH67&gt;='NILAI CPL'!$B$3,4,AH67&gt;='NILAI CPL'!$B$4,3,AH67&gt;='NILAI CPL'!$B$5,2,AH67&gt;'NILAI CPL'!$B$6,1),0),"")</f>
        <v/>
      </c>
      <c r="BF67" s="2" t="str" cm="1">
        <f t="array" ref="BF67">IF('NILAI CPL'!$B67&lt;&gt;"",IFERROR(_xlfn.IFS(AI67&gt;='NILAI CPL'!$B$3,4,AI67&gt;='NILAI CPL'!$B$4,3,AI67&gt;='NILAI CPL'!$B$5,2,AI67&gt;'NILAI CPL'!$B$6,1),0),"")</f>
        <v/>
      </c>
      <c r="BG67" s="2" t="str" cm="1">
        <f t="array" ref="BG67">IF('NILAI CPL'!$B67&lt;&gt;"",IFERROR(_xlfn.IFS(AJ67&gt;='NILAI CPL'!$B$3,4,AJ67&gt;='NILAI CPL'!$B$4,3,AJ67&gt;='NILAI CPL'!$B$5,2,AJ67&gt;'NILAI CPL'!$B$6,1),0),"")</f>
        <v/>
      </c>
      <c r="BH67" s="2" t="str" cm="1">
        <f t="array" ref="BH67">IF('NILAI CPL'!$B67&lt;&gt;"",IFERROR(_xlfn.IFS(AK67&gt;='NILAI CPL'!$B$3,4,AK67&gt;='NILAI CPL'!$B$4,3,AK67&gt;='NILAI CPL'!$B$5,2,AK67&gt;'NILAI CPL'!$B$6,1),0),"")</f>
        <v/>
      </c>
      <c r="BI67" s="2" t="str" cm="1">
        <f t="array" ref="BI67">IF('NILAI CPL'!$B67&lt;&gt;"",IFERROR(_xlfn.IFS(AL67&gt;='NILAI CPL'!$B$3,4,AL67&gt;='NILAI CPL'!$B$4,3,AL67&gt;='NILAI CPL'!$B$5,2,AL67&gt;'NILAI CPL'!$B$6,1),0),"")</f>
        <v/>
      </c>
      <c r="BJ67" s="2" t="str" cm="1">
        <f t="array" ref="BJ67">IF('NILAI CPL'!$B67&lt;&gt;"",IFERROR(_xlfn.IFS(AM67&gt;='NILAI CPL'!$B$3,4,AM67&gt;='NILAI CPL'!$B$4,3,AM67&gt;='NILAI CPL'!$B$5,2,AM67&gt;'NILAI CPL'!$B$6,1),0),"")</f>
        <v/>
      </c>
      <c r="BK67" s="2" t="str" cm="1">
        <f t="array" ref="BK67">IF('NILAI CPL'!$B67&lt;&gt;"",IFERROR(_xlfn.IFS(AN67&gt;='NILAI CPL'!$B$3,4,AN67&gt;='NILAI CPL'!$B$4,3,AN67&gt;='NILAI CPL'!$B$5,2,AN67&gt;'NILAI CPL'!$B$6,1),0),"")</f>
        <v/>
      </c>
    </row>
    <row r="68" spans="1:63" x14ac:dyDescent="0.2">
      <c r="A68" s="2">
        <v>58</v>
      </c>
      <c r="B68" s="2" t="str">
        <f>IF(LEN(SUMMARY!B68)&gt;0, SUMMARY!B68, "")</f>
        <v/>
      </c>
      <c r="C68" s="2" t="str">
        <f>IF(LEN(SUMMARY!C68)&gt;0, SUMMARY!C68, "")</f>
        <v/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" t="str">
        <f t="shared" si="2"/>
        <v/>
      </c>
      <c r="S68" s="2" t="str">
        <f t="shared" si="3"/>
        <v/>
      </c>
      <c r="T68" s="2" t="str">
        <f t="shared" si="4"/>
        <v/>
      </c>
      <c r="U68" s="2" t="str">
        <f t="shared" si="5"/>
        <v/>
      </c>
      <c r="V68" s="2" t="str">
        <f t="shared" si="6"/>
        <v/>
      </c>
      <c r="W68" s="2" t="str">
        <f t="shared" si="7"/>
        <v/>
      </c>
      <c r="X68" s="2" t="str">
        <f t="shared" si="8"/>
        <v/>
      </c>
      <c r="Y68" s="2" t="str">
        <f t="shared" si="9"/>
        <v/>
      </c>
      <c r="Z68" s="2" t="str">
        <f t="shared" si="10"/>
        <v/>
      </c>
      <c r="AA68" s="2" t="str">
        <f t="shared" si="11"/>
        <v/>
      </c>
      <c r="AB68" s="2" t="str">
        <f t="shared" si="12"/>
        <v/>
      </c>
      <c r="AC68" s="2" t="str">
        <f t="shared" si="13"/>
        <v/>
      </c>
      <c r="AD68" s="2" t="str">
        <f t="shared" si="14"/>
        <v/>
      </c>
      <c r="AE68" s="2" t="str">
        <f t="shared" si="15"/>
        <v/>
      </c>
      <c r="AF68" s="2" t="str">
        <f t="shared" si="16"/>
        <v/>
      </c>
      <c r="AG68" s="2" t="str">
        <f t="shared" si="17"/>
        <v/>
      </c>
      <c r="AH68" s="2" t="str">
        <f t="shared" si="18"/>
        <v/>
      </c>
      <c r="AI68" s="2" t="str">
        <f t="shared" si="19"/>
        <v/>
      </c>
      <c r="AJ68" s="2" t="str">
        <f t="shared" si="20"/>
        <v/>
      </c>
      <c r="AK68" s="2" t="str">
        <f t="shared" si="21"/>
        <v/>
      </c>
      <c r="AL68" s="2" t="str">
        <f t="shared" si="22"/>
        <v/>
      </c>
      <c r="AM68" s="2" t="str">
        <f t="shared" si="23"/>
        <v/>
      </c>
      <c r="AN68" s="2" t="str">
        <f t="shared" si="24"/>
        <v/>
      </c>
      <c r="AP68" s="2" t="str" cm="1">
        <f t="array" ref="AP68">IF('NILAI CPL'!$B68&lt;&gt;"",IFERROR(_xlfn.IFS(S68&gt;='NILAI CPL'!$B$3,4,S68&gt;='NILAI CPL'!$B$4,3,S68&gt;='NILAI CPL'!$B$5,2,S68&gt;'NILAI CPL'!$B$6,1),0),"")</f>
        <v/>
      </c>
      <c r="AQ68" s="2" t="str" cm="1">
        <f t="array" ref="AQ68">IF('NILAI CPL'!$B68&lt;&gt;"",IFERROR(_xlfn.IFS(T68&gt;='NILAI CPL'!$B$3,4,T68&gt;='NILAI CPL'!$B$4,3,T68&gt;='NILAI CPL'!$B$5,2,T68&gt;'NILAI CPL'!$B$6,1),0),"")</f>
        <v/>
      </c>
      <c r="AR68" s="2" t="str" cm="1">
        <f t="array" ref="AR68">IF('NILAI CPL'!$B68&lt;&gt;"",IFERROR(_xlfn.IFS(U68&gt;='NILAI CPL'!$B$3,4,U68&gt;='NILAI CPL'!$B$4,3,U68&gt;='NILAI CPL'!$B$5,2,U68&gt;'NILAI CPL'!$B$6,1),0),"")</f>
        <v/>
      </c>
      <c r="AS68" s="2" t="str" cm="1">
        <f t="array" ref="AS68">IF('NILAI CPL'!$B68&lt;&gt;"",IFERROR(_xlfn.IFS(V68&gt;='NILAI CPL'!$B$3,4,V68&gt;='NILAI CPL'!$B$4,3,V68&gt;='NILAI CPL'!$B$5,2,V68&gt;'NILAI CPL'!$B$6,1),0),"")</f>
        <v/>
      </c>
      <c r="AT68" s="2" t="str" cm="1">
        <f t="array" ref="AT68">IF('NILAI CPL'!$B68&lt;&gt;"",IFERROR(_xlfn.IFS(W68&gt;='NILAI CPL'!$B$3,4,W68&gt;='NILAI CPL'!$B$4,3,W68&gt;='NILAI CPL'!$B$5,2,W68&gt;'NILAI CPL'!$B$6,1),0),"")</f>
        <v/>
      </c>
      <c r="AU68" s="2" t="str" cm="1">
        <f t="array" ref="AU68">IF('NILAI CPL'!$B68&lt;&gt;"",IFERROR(_xlfn.IFS(X68&gt;='NILAI CPL'!$B$3,4,X68&gt;='NILAI CPL'!$B$4,3,X68&gt;='NILAI CPL'!$B$5,2,X68&gt;'NILAI CPL'!$B$6,1),0),"")</f>
        <v/>
      </c>
      <c r="AV68" s="2" t="str" cm="1">
        <f t="array" ref="AV68">IF('NILAI CPL'!$B68&lt;&gt;"",IFERROR(_xlfn.IFS(Y68&gt;='NILAI CPL'!$B$3,4,Y68&gt;='NILAI CPL'!$B$4,3,Y68&gt;='NILAI CPL'!$B$5,2,Y68&gt;'NILAI CPL'!$B$6,1),0),"")</f>
        <v/>
      </c>
      <c r="AW68" s="2" t="str" cm="1">
        <f t="array" ref="AW68">IF('NILAI CPL'!$B68&lt;&gt;"",IFERROR(_xlfn.IFS(Z68&gt;='NILAI CPL'!$B$3,4,Z68&gt;='NILAI CPL'!$B$4,3,Z68&gt;='NILAI CPL'!$B$5,2,Z68&gt;'NILAI CPL'!$B$6,1),0),"")</f>
        <v/>
      </c>
      <c r="AX68" s="2" t="str" cm="1">
        <f t="array" ref="AX68">IF('NILAI CPL'!$B68&lt;&gt;"",IFERROR(_xlfn.IFS(AA68&gt;='NILAI CPL'!$B$3,4,AA68&gt;='NILAI CPL'!$B$4,3,AA68&gt;='NILAI CPL'!$B$5,2,AA68&gt;'NILAI CPL'!$B$6,1),0),"")</f>
        <v/>
      </c>
      <c r="AY68" s="2" t="str" cm="1">
        <f t="array" ref="AY68">IF('NILAI CPL'!$B68&lt;&gt;"",IFERROR(_xlfn.IFS(AB68&gt;='NILAI CPL'!$B$3,4,AB68&gt;='NILAI CPL'!$B$4,3,AB68&gt;='NILAI CPL'!$B$5,2,AB68&gt;'NILAI CPL'!$B$6,1),0),"")</f>
        <v/>
      </c>
      <c r="AZ68" s="2" t="str" cm="1">
        <f t="array" ref="AZ68">IF('NILAI CPL'!$B68&lt;&gt;"",IFERROR(_xlfn.IFS(AC68&gt;='NILAI CPL'!$B$3,4,AC68&gt;='NILAI CPL'!$B$4,3,AC68&gt;='NILAI CPL'!$B$5,2,AC68&gt;'NILAI CPL'!$B$6,1),0),"")</f>
        <v/>
      </c>
      <c r="BA68" s="2" t="str" cm="1">
        <f t="array" ref="BA68">IF('NILAI CPL'!$B68&lt;&gt;"",IFERROR(_xlfn.IFS(AD68&gt;='NILAI CPL'!$B$3,4,AD68&gt;='NILAI CPL'!$B$4,3,AD68&gt;='NILAI CPL'!$B$5,2,AD68&gt;'NILAI CPL'!$B$6,1),0),"")</f>
        <v/>
      </c>
      <c r="BB68" s="2" t="str" cm="1">
        <f t="array" ref="BB68">IF('NILAI CPL'!$B68&lt;&gt;"",IFERROR(_xlfn.IFS(AE68&gt;='NILAI CPL'!$B$3,4,AE68&gt;='NILAI CPL'!$B$4,3,AE68&gt;='NILAI CPL'!$B$5,2,AE68&gt;'NILAI CPL'!$B$6,1),0),"")</f>
        <v/>
      </c>
      <c r="BC68" s="2" t="str" cm="1">
        <f t="array" ref="BC68">IF('NILAI CPL'!$B68&lt;&gt;"",IFERROR(_xlfn.IFS(AF68&gt;='NILAI CPL'!$B$3,4,AF68&gt;='NILAI CPL'!$B$4,3,AF68&gt;='NILAI CPL'!$B$5,2,AF68&gt;'NILAI CPL'!$B$6,1),0),"")</f>
        <v/>
      </c>
      <c r="BD68" s="2" t="str" cm="1">
        <f t="array" ref="BD68">IF('NILAI CPL'!$B68&lt;&gt;"",IFERROR(_xlfn.IFS(AG68&gt;='NILAI CPL'!$B$3,4,AG68&gt;='NILAI CPL'!$B$4,3,AG68&gt;='NILAI CPL'!$B$5,2,AG68&gt;'NILAI CPL'!$B$6,1),0),"")</f>
        <v/>
      </c>
      <c r="BE68" s="2" t="str" cm="1">
        <f t="array" ref="BE68">IF('NILAI CPL'!$B68&lt;&gt;"",IFERROR(_xlfn.IFS(AH68&gt;='NILAI CPL'!$B$3,4,AH68&gt;='NILAI CPL'!$B$4,3,AH68&gt;='NILAI CPL'!$B$5,2,AH68&gt;'NILAI CPL'!$B$6,1),0),"")</f>
        <v/>
      </c>
      <c r="BF68" s="2" t="str" cm="1">
        <f t="array" ref="BF68">IF('NILAI CPL'!$B68&lt;&gt;"",IFERROR(_xlfn.IFS(AI68&gt;='NILAI CPL'!$B$3,4,AI68&gt;='NILAI CPL'!$B$4,3,AI68&gt;='NILAI CPL'!$B$5,2,AI68&gt;'NILAI CPL'!$B$6,1),0),"")</f>
        <v/>
      </c>
      <c r="BG68" s="2" t="str" cm="1">
        <f t="array" ref="BG68">IF('NILAI CPL'!$B68&lt;&gt;"",IFERROR(_xlfn.IFS(AJ68&gt;='NILAI CPL'!$B$3,4,AJ68&gt;='NILAI CPL'!$B$4,3,AJ68&gt;='NILAI CPL'!$B$5,2,AJ68&gt;'NILAI CPL'!$B$6,1),0),"")</f>
        <v/>
      </c>
      <c r="BH68" s="2" t="str" cm="1">
        <f t="array" ref="BH68">IF('NILAI CPL'!$B68&lt;&gt;"",IFERROR(_xlfn.IFS(AK68&gt;='NILAI CPL'!$B$3,4,AK68&gt;='NILAI CPL'!$B$4,3,AK68&gt;='NILAI CPL'!$B$5,2,AK68&gt;'NILAI CPL'!$B$6,1),0),"")</f>
        <v/>
      </c>
      <c r="BI68" s="2" t="str" cm="1">
        <f t="array" ref="BI68">IF('NILAI CPL'!$B68&lt;&gt;"",IFERROR(_xlfn.IFS(AL68&gt;='NILAI CPL'!$B$3,4,AL68&gt;='NILAI CPL'!$B$4,3,AL68&gt;='NILAI CPL'!$B$5,2,AL68&gt;'NILAI CPL'!$B$6,1),0),"")</f>
        <v/>
      </c>
      <c r="BJ68" s="2" t="str" cm="1">
        <f t="array" ref="BJ68">IF('NILAI CPL'!$B68&lt;&gt;"",IFERROR(_xlfn.IFS(AM68&gt;='NILAI CPL'!$B$3,4,AM68&gt;='NILAI CPL'!$B$4,3,AM68&gt;='NILAI CPL'!$B$5,2,AM68&gt;'NILAI CPL'!$B$6,1),0),"")</f>
        <v/>
      </c>
      <c r="BK68" s="2" t="str" cm="1">
        <f t="array" ref="BK68">IF('NILAI CPL'!$B68&lt;&gt;"",IFERROR(_xlfn.IFS(AN68&gt;='NILAI CPL'!$B$3,4,AN68&gt;='NILAI CPL'!$B$4,3,AN68&gt;='NILAI CPL'!$B$5,2,AN68&gt;'NILAI CPL'!$B$6,1),0),"")</f>
        <v/>
      </c>
    </row>
    <row r="69" spans="1:63" x14ac:dyDescent="0.2">
      <c r="A69" s="2">
        <v>59</v>
      </c>
      <c r="B69" s="2" t="str">
        <f>IF(LEN(SUMMARY!B69)&gt;0, SUMMARY!B69, "")</f>
        <v/>
      </c>
      <c r="C69" s="2" t="str">
        <f>IF(LEN(SUMMARY!C69)&gt;0, SUMMARY!C69, "")</f>
        <v/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" t="str">
        <f t="shared" si="2"/>
        <v/>
      </c>
      <c r="S69" s="2" t="str">
        <f t="shared" si="3"/>
        <v/>
      </c>
      <c r="T69" s="2" t="str">
        <f t="shared" si="4"/>
        <v/>
      </c>
      <c r="U69" s="2" t="str">
        <f t="shared" si="5"/>
        <v/>
      </c>
      <c r="V69" s="2" t="str">
        <f t="shared" si="6"/>
        <v/>
      </c>
      <c r="W69" s="2" t="str">
        <f t="shared" si="7"/>
        <v/>
      </c>
      <c r="X69" s="2" t="str">
        <f t="shared" si="8"/>
        <v/>
      </c>
      <c r="Y69" s="2" t="str">
        <f t="shared" si="9"/>
        <v/>
      </c>
      <c r="Z69" s="2" t="str">
        <f t="shared" si="10"/>
        <v/>
      </c>
      <c r="AA69" s="2" t="str">
        <f t="shared" si="11"/>
        <v/>
      </c>
      <c r="AB69" s="2" t="str">
        <f t="shared" si="12"/>
        <v/>
      </c>
      <c r="AC69" s="2" t="str">
        <f t="shared" si="13"/>
        <v/>
      </c>
      <c r="AD69" s="2" t="str">
        <f t="shared" si="14"/>
        <v/>
      </c>
      <c r="AE69" s="2" t="str">
        <f t="shared" si="15"/>
        <v/>
      </c>
      <c r="AF69" s="2" t="str">
        <f t="shared" si="16"/>
        <v/>
      </c>
      <c r="AG69" s="2" t="str">
        <f t="shared" si="17"/>
        <v/>
      </c>
      <c r="AH69" s="2" t="str">
        <f t="shared" si="18"/>
        <v/>
      </c>
      <c r="AI69" s="2" t="str">
        <f t="shared" si="19"/>
        <v/>
      </c>
      <c r="AJ69" s="2" t="str">
        <f t="shared" si="20"/>
        <v/>
      </c>
      <c r="AK69" s="2" t="str">
        <f t="shared" si="21"/>
        <v/>
      </c>
      <c r="AL69" s="2" t="str">
        <f t="shared" si="22"/>
        <v/>
      </c>
      <c r="AM69" s="2" t="str">
        <f t="shared" si="23"/>
        <v/>
      </c>
      <c r="AN69" s="2" t="str">
        <f t="shared" si="24"/>
        <v/>
      </c>
      <c r="AP69" s="2" t="str" cm="1">
        <f t="array" ref="AP69">IF('NILAI CPL'!$B69&lt;&gt;"",IFERROR(_xlfn.IFS(S69&gt;='NILAI CPL'!$B$3,4,S69&gt;='NILAI CPL'!$B$4,3,S69&gt;='NILAI CPL'!$B$5,2,S69&gt;'NILAI CPL'!$B$6,1),0),"")</f>
        <v/>
      </c>
      <c r="AQ69" s="2" t="str" cm="1">
        <f t="array" ref="AQ69">IF('NILAI CPL'!$B69&lt;&gt;"",IFERROR(_xlfn.IFS(T69&gt;='NILAI CPL'!$B$3,4,T69&gt;='NILAI CPL'!$B$4,3,T69&gt;='NILAI CPL'!$B$5,2,T69&gt;'NILAI CPL'!$B$6,1),0),"")</f>
        <v/>
      </c>
      <c r="AR69" s="2" t="str" cm="1">
        <f t="array" ref="AR69">IF('NILAI CPL'!$B69&lt;&gt;"",IFERROR(_xlfn.IFS(U69&gt;='NILAI CPL'!$B$3,4,U69&gt;='NILAI CPL'!$B$4,3,U69&gt;='NILAI CPL'!$B$5,2,U69&gt;'NILAI CPL'!$B$6,1),0),"")</f>
        <v/>
      </c>
      <c r="AS69" s="2" t="str" cm="1">
        <f t="array" ref="AS69">IF('NILAI CPL'!$B69&lt;&gt;"",IFERROR(_xlfn.IFS(V69&gt;='NILAI CPL'!$B$3,4,V69&gt;='NILAI CPL'!$B$4,3,V69&gt;='NILAI CPL'!$B$5,2,V69&gt;'NILAI CPL'!$B$6,1),0),"")</f>
        <v/>
      </c>
      <c r="AT69" s="2" t="str" cm="1">
        <f t="array" ref="AT69">IF('NILAI CPL'!$B69&lt;&gt;"",IFERROR(_xlfn.IFS(W69&gt;='NILAI CPL'!$B$3,4,W69&gt;='NILAI CPL'!$B$4,3,W69&gt;='NILAI CPL'!$B$5,2,W69&gt;'NILAI CPL'!$B$6,1),0),"")</f>
        <v/>
      </c>
      <c r="AU69" s="2" t="str" cm="1">
        <f t="array" ref="AU69">IF('NILAI CPL'!$B69&lt;&gt;"",IFERROR(_xlfn.IFS(X69&gt;='NILAI CPL'!$B$3,4,X69&gt;='NILAI CPL'!$B$4,3,X69&gt;='NILAI CPL'!$B$5,2,X69&gt;'NILAI CPL'!$B$6,1),0),"")</f>
        <v/>
      </c>
      <c r="AV69" s="2" t="str" cm="1">
        <f t="array" ref="AV69">IF('NILAI CPL'!$B69&lt;&gt;"",IFERROR(_xlfn.IFS(Y69&gt;='NILAI CPL'!$B$3,4,Y69&gt;='NILAI CPL'!$B$4,3,Y69&gt;='NILAI CPL'!$B$5,2,Y69&gt;'NILAI CPL'!$B$6,1),0),"")</f>
        <v/>
      </c>
      <c r="AW69" s="2" t="str" cm="1">
        <f t="array" ref="AW69">IF('NILAI CPL'!$B69&lt;&gt;"",IFERROR(_xlfn.IFS(Z69&gt;='NILAI CPL'!$B$3,4,Z69&gt;='NILAI CPL'!$B$4,3,Z69&gt;='NILAI CPL'!$B$5,2,Z69&gt;'NILAI CPL'!$B$6,1),0),"")</f>
        <v/>
      </c>
      <c r="AX69" s="2" t="str" cm="1">
        <f t="array" ref="AX69">IF('NILAI CPL'!$B69&lt;&gt;"",IFERROR(_xlfn.IFS(AA69&gt;='NILAI CPL'!$B$3,4,AA69&gt;='NILAI CPL'!$B$4,3,AA69&gt;='NILAI CPL'!$B$5,2,AA69&gt;'NILAI CPL'!$B$6,1),0),"")</f>
        <v/>
      </c>
      <c r="AY69" s="2" t="str" cm="1">
        <f t="array" ref="AY69">IF('NILAI CPL'!$B69&lt;&gt;"",IFERROR(_xlfn.IFS(AB69&gt;='NILAI CPL'!$B$3,4,AB69&gt;='NILAI CPL'!$B$4,3,AB69&gt;='NILAI CPL'!$B$5,2,AB69&gt;'NILAI CPL'!$B$6,1),0),"")</f>
        <v/>
      </c>
      <c r="AZ69" s="2" t="str" cm="1">
        <f t="array" ref="AZ69">IF('NILAI CPL'!$B69&lt;&gt;"",IFERROR(_xlfn.IFS(AC69&gt;='NILAI CPL'!$B$3,4,AC69&gt;='NILAI CPL'!$B$4,3,AC69&gt;='NILAI CPL'!$B$5,2,AC69&gt;'NILAI CPL'!$B$6,1),0),"")</f>
        <v/>
      </c>
      <c r="BA69" s="2" t="str" cm="1">
        <f t="array" ref="BA69">IF('NILAI CPL'!$B69&lt;&gt;"",IFERROR(_xlfn.IFS(AD69&gt;='NILAI CPL'!$B$3,4,AD69&gt;='NILAI CPL'!$B$4,3,AD69&gt;='NILAI CPL'!$B$5,2,AD69&gt;'NILAI CPL'!$B$6,1),0),"")</f>
        <v/>
      </c>
      <c r="BB69" s="2" t="str" cm="1">
        <f t="array" ref="BB69">IF('NILAI CPL'!$B69&lt;&gt;"",IFERROR(_xlfn.IFS(AE69&gt;='NILAI CPL'!$B$3,4,AE69&gt;='NILAI CPL'!$B$4,3,AE69&gt;='NILAI CPL'!$B$5,2,AE69&gt;'NILAI CPL'!$B$6,1),0),"")</f>
        <v/>
      </c>
      <c r="BC69" s="2" t="str" cm="1">
        <f t="array" ref="BC69">IF('NILAI CPL'!$B69&lt;&gt;"",IFERROR(_xlfn.IFS(AF69&gt;='NILAI CPL'!$B$3,4,AF69&gt;='NILAI CPL'!$B$4,3,AF69&gt;='NILAI CPL'!$B$5,2,AF69&gt;'NILAI CPL'!$B$6,1),0),"")</f>
        <v/>
      </c>
      <c r="BD69" s="2" t="str" cm="1">
        <f t="array" ref="BD69">IF('NILAI CPL'!$B69&lt;&gt;"",IFERROR(_xlfn.IFS(AG69&gt;='NILAI CPL'!$B$3,4,AG69&gt;='NILAI CPL'!$B$4,3,AG69&gt;='NILAI CPL'!$B$5,2,AG69&gt;'NILAI CPL'!$B$6,1),0),"")</f>
        <v/>
      </c>
      <c r="BE69" s="2" t="str" cm="1">
        <f t="array" ref="BE69">IF('NILAI CPL'!$B69&lt;&gt;"",IFERROR(_xlfn.IFS(AH69&gt;='NILAI CPL'!$B$3,4,AH69&gt;='NILAI CPL'!$B$4,3,AH69&gt;='NILAI CPL'!$B$5,2,AH69&gt;'NILAI CPL'!$B$6,1),0),"")</f>
        <v/>
      </c>
      <c r="BF69" s="2" t="str" cm="1">
        <f t="array" ref="BF69">IF('NILAI CPL'!$B69&lt;&gt;"",IFERROR(_xlfn.IFS(AI69&gt;='NILAI CPL'!$B$3,4,AI69&gt;='NILAI CPL'!$B$4,3,AI69&gt;='NILAI CPL'!$B$5,2,AI69&gt;'NILAI CPL'!$B$6,1),0),"")</f>
        <v/>
      </c>
      <c r="BG69" s="2" t="str" cm="1">
        <f t="array" ref="BG69">IF('NILAI CPL'!$B69&lt;&gt;"",IFERROR(_xlfn.IFS(AJ69&gt;='NILAI CPL'!$B$3,4,AJ69&gt;='NILAI CPL'!$B$4,3,AJ69&gt;='NILAI CPL'!$B$5,2,AJ69&gt;'NILAI CPL'!$B$6,1),0),"")</f>
        <v/>
      </c>
      <c r="BH69" s="2" t="str" cm="1">
        <f t="array" ref="BH69">IF('NILAI CPL'!$B69&lt;&gt;"",IFERROR(_xlfn.IFS(AK69&gt;='NILAI CPL'!$B$3,4,AK69&gt;='NILAI CPL'!$B$4,3,AK69&gt;='NILAI CPL'!$B$5,2,AK69&gt;'NILAI CPL'!$B$6,1),0),"")</f>
        <v/>
      </c>
      <c r="BI69" s="2" t="str" cm="1">
        <f t="array" ref="BI69">IF('NILAI CPL'!$B69&lt;&gt;"",IFERROR(_xlfn.IFS(AL69&gt;='NILAI CPL'!$B$3,4,AL69&gt;='NILAI CPL'!$B$4,3,AL69&gt;='NILAI CPL'!$B$5,2,AL69&gt;'NILAI CPL'!$B$6,1),0),"")</f>
        <v/>
      </c>
      <c r="BJ69" s="2" t="str" cm="1">
        <f t="array" ref="BJ69">IF('NILAI CPL'!$B69&lt;&gt;"",IFERROR(_xlfn.IFS(AM69&gt;='NILAI CPL'!$B$3,4,AM69&gt;='NILAI CPL'!$B$4,3,AM69&gt;='NILAI CPL'!$B$5,2,AM69&gt;'NILAI CPL'!$B$6,1),0),"")</f>
        <v/>
      </c>
      <c r="BK69" s="2" t="str" cm="1">
        <f t="array" ref="BK69">IF('NILAI CPL'!$B69&lt;&gt;"",IFERROR(_xlfn.IFS(AN69&gt;='NILAI CPL'!$B$3,4,AN69&gt;='NILAI CPL'!$B$4,3,AN69&gt;='NILAI CPL'!$B$5,2,AN69&gt;'NILAI CPL'!$B$6,1),0),"")</f>
        <v/>
      </c>
    </row>
    <row r="70" spans="1:63" x14ac:dyDescent="0.2">
      <c r="A70" s="2">
        <v>60</v>
      </c>
      <c r="B70" s="2" t="str">
        <f>IF(LEN(SUMMARY!B70)&gt;0, SUMMARY!B70, "")</f>
        <v/>
      </c>
      <c r="C70" s="2" t="str">
        <f>IF(LEN(SUMMARY!C70)&gt;0, SUMMARY!C70, "")</f>
        <v/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" t="str">
        <f t="shared" si="2"/>
        <v/>
      </c>
      <c r="S70" s="2" t="str">
        <f t="shared" si="3"/>
        <v/>
      </c>
      <c r="T70" s="2" t="str">
        <f t="shared" si="4"/>
        <v/>
      </c>
      <c r="U70" s="2" t="str">
        <f t="shared" si="5"/>
        <v/>
      </c>
      <c r="V70" s="2" t="str">
        <f t="shared" si="6"/>
        <v/>
      </c>
      <c r="W70" s="2" t="str">
        <f t="shared" si="7"/>
        <v/>
      </c>
      <c r="X70" s="2" t="str">
        <f t="shared" si="8"/>
        <v/>
      </c>
      <c r="Y70" s="2" t="str">
        <f t="shared" si="9"/>
        <v/>
      </c>
      <c r="Z70" s="2" t="str">
        <f t="shared" si="10"/>
        <v/>
      </c>
      <c r="AA70" s="2" t="str">
        <f t="shared" si="11"/>
        <v/>
      </c>
      <c r="AB70" s="2" t="str">
        <f t="shared" si="12"/>
        <v/>
      </c>
      <c r="AC70" s="2" t="str">
        <f t="shared" si="13"/>
        <v/>
      </c>
      <c r="AD70" s="2" t="str">
        <f t="shared" si="14"/>
        <v/>
      </c>
      <c r="AE70" s="2" t="str">
        <f t="shared" si="15"/>
        <v/>
      </c>
      <c r="AF70" s="2" t="str">
        <f t="shared" si="16"/>
        <v/>
      </c>
      <c r="AG70" s="2" t="str">
        <f t="shared" si="17"/>
        <v/>
      </c>
      <c r="AH70" s="2" t="str">
        <f t="shared" si="18"/>
        <v/>
      </c>
      <c r="AI70" s="2" t="str">
        <f t="shared" si="19"/>
        <v/>
      </c>
      <c r="AJ70" s="2" t="str">
        <f t="shared" si="20"/>
        <v/>
      </c>
      <c r="AK70" s="2" t="str">
        <f t="shared" si="21"/>
        <v/>
      </c>
      <c r="AL70" s="2" t="str">
        <f t="shared" si="22"/>
        <v/>
      </c>
      <c r="AM70" s="2" t="str">
        <f t="shared" si="23"/>
        <v/>
      </c>
      <c r="AN70" s="2" t="str">
        <f t="shared" si="24"/>
        <v/>
      </c>
      <c r="AP70" s="2" t="str" cm="1">
        <f t="array" ref="AP70">IF('NILAI CPL'!$B70&lt;&gt;"",IFERROR(_xlfn.IFS(S70&gt;='NILAI CPL'!$B$3,4,S70&gt;='NILAI CPL'!$B$4,3,S70&gt;='NILAI CPL'!$B$5,2,S70&gt;'NILAI CPL'!$B$6,1),0),"")</f>
        <v/>
      </c>
      <c r="AQ70" s="2" t="str" cm="1">
        <f t="array" ref="AQ70">IF('NILAI CPL'!$B70&lt;&gt;"",IFERROR(_xlfn.IFS(T70&gt;='NILAI CPL'!$B$3,4,T70&gt;='NILAI CPL'!$B$4,3,T70&gt;='NILAI CPL'!$B$5,2,T70&gt;'NILAI CPL'!$B$6,1),0),"")</f>
        <v/>
      </c>
      <c r="AR70" s="2" t="str" cm="1">
        <f t="array" ref="AR70">IF('NILAI CPL'!$B70&lt;&gt;"",IFERROR(_xlfn.IFS(U70&gt;='NILAI CPL'!$B$3,4,U70&gt;='NILAI CPL'!$B$4,3,U70&gt;='NILAI CPL'!$B$5,2,U70&gt;'NILAI CPL'!$B$6,1),0),"")</f>
        <v/>
      </c>
      <c r="AS70" s="2" t="str" cm="1">
        <f t="array" ref="AS70">IF('NILAI CPL'!$B70&lt;&gt;"",IFERROR(_xlfn.IFS(V70&gt;='NILAI CPL'!$B$3,4,V70&gt;='NILAI CPL'!$B$4,3,V70&gt;='NILAI CPL'!$B$5,2,V70&gt;'NILAI CPL'!$B$6,1),0),"")</f>
        <v/>
      </c>
      <c r="AT70" s="2" t="str" cm="1">
        <f t="array" ref="AT70">IF('NILAI CPL'!$B70&lt;&gt;"",IFERROR(_xlfn.IFS(W70&gt;='NILAI CPL'!$B$3,4,W70&gt;='NILAI CPL'!$B$4,3,W70&gt;='NILAI CPL'!$B$5,2,W70&gt;'NILAI CPL'!$B$6,1),0),"")</f>
        <v/>
      </c>
      <c r="AU70" s="2" t="str" cm="1">
        <f t="array" ref="AU70">IF('NILAI CPL'!$B70&lt;&gt;"",IFERROR(_xlfn.IFS(X70&gt;='NILAI CPL'!$B$3,4,X70&gt;='NILAI CPL'!$B$4,3,X70&gt;='NILAI CPL'!$B$5,2,X70&gt;'NILAI CPL'!$B$6,1),0),"")</f>
        <v/>
      </c>
      <c r="AV70" s="2" t="str" cm="1">
        <f t="array" ref="AV70">IF('NILAI CPL'!$B70&lt;&gt;"",IFERROR(_xlfn.IFS(Y70&gt;='NILAI CPL'!$B$3,4,Y70&gt;='NILAI CPL'!$B$4,3,Y70&gt;='NILAI CPL'!$B$5,2,Y70&gt;'NILAI CPL'!$B$6,1),0),"")</f>
        <v/>
      </c>
      <c r="AW70" s="2" t="str" cm="1">
        <f t="array" ref="AW70">IF('NILAI CPL'!$B70&lt;&gt;"",IFERROR(_xlfn.IFS(Z70&gt;='NILAI CPL'!$B$3,4,Z70&gt;='NILAI CPL'!$B$4,3,Z70&gt;='NILAI CPL'!$B$5,2,Z70&gt;'NILAI CPL'!$B$6,1),0),"")</f>
        <v/>
      </c>
      <c r="AX70" s="2" t="str" cm="1">
        <f t="array" ref="AX70">IF('NILAI CPL'!$B70&lt;&gt;"",IFERROR(_xlfn.IFS(AA70&gt;='NILAI CPL'!$B$3,4,AA70&gt;='NILAI CPL'!$B$4,3,AA70&gt;='NILAI CPL'!$B$5,2,AA70&gt;'NILAI CPL'!$B$6,1),0),"")</f>
        <v/>
      </c>
      <c r="AY70" s="2" t="str" cm="1">
        <f t="array" ref="AY70">IF('NILAI CPL'!$B70&lt;&gt;"",IFERROR(_xlfn.IFS(AB70&gt;='NILAI CPL'!$B$3,4,AB70&gt;='NILAI CPL'!$B$4,3,AB70&gt;='NILAI CPL'!$B$5,2,AB70&gt;'NILAI CPL'!$B$6,1),0),"")</f>
        <v/>
      </c>
      <c r="AZ70" s="2" t="str" cm="1">
        <f t="array" ref="AZ70">IF('NILAI CPL'!$B70&lt;&gt;"",IFERROR(_xlfn.IFS(AC70&gt;='NILAI CPL'!$B$3,4,AC70&gt;='NILAI CPL'!$B$4,3,AC70&gt;='NILAI CPL'!$B$5,2,AC70&gt;'NILAI CPL'!$B$6,1),0),"")</f>
        <v/>
      </c>
      <c r="BA70" s="2" t="str" cm="1">
        <f t="array" ref="BA70">IF('NILAI CPL'!$B70&lt;&gt;"",IFERROR(_xlfn.IFS(AD70&gt;='NILAI CPL'!$B$3,4,AD70&gt;='NILAI CPL'!$B$4,3,AD70&gt;='NILAI CPL'!$B$5,2,AD70&gt;'NILAI CPL'!$B$6,1),0),"")</f>
        <v/>
      </c>
      <c r="BB70" s="2" t="str" cm="1">
        <f t="array" ref="BB70">IF('NILAI CPL'!$B70&lt;&gt;"",IFERROR(_xlfn.IFS(AE70&gt;='NILAI CPL'!$B$3,4,AE70&gt;='NILAI CPL'!$B$4,3,AE70&gt;='NILAI CPL'!$B$5,2,AE70&gt;'NILAI CPL'!$B$6,1),0),"")</f>
        <v/>
      </c>
      <c r="BC70" s="2" t="str" cm="1">
        <f t="array" ref="BC70">IF('NILAI CPL'!$B70&lt;&gt;"",IFERROR(_xlfn.IFS(AF70&gt;='NILAI CPL'!$B$3,4,AF70&gt;='NILAI CPL'!$B$4,3,AF70&gt;='NILAI CPL'!$B$5,2,AF70&gt;'NILAI CPL'!$B$6,1),0),"")</f>
        <v/>
      </c>
      <c r="BD70" s="2" t="str" cm="1">
        <f t="array" ref="BD70">IF('NILAI CPL'!$B70&lt;&gt;"",IFERROR(_xlfn.IFS(AG70&gt;='NILAI CPL'!$B$3,4,AG70&gt;='NILAI CPL'!$B$4,3,AG70&gt;='NILAI CPL'!$B$5,2,AG70&gt;'NILAI CPL'!$B$6,1),0),"")</f>
        <v/>
      </c>
      <c r="BE70" s="2" t="str" cm="1">
        <f t="array" ref="BE70">IF('NILAI CPL'!$B70&lt;&gt;"",IFERROR(_xlfn.IFS(AH70&gt;='NILAI CPL'!$B$3,4,AH70&gt;='NILAI CPL'!$B$4,3,AH70&gt;='NILAI CPL'!$B$5,2,AH70&gt;'NILAI CPL'!$B$6,1),0),"")</f>
        <v/>
      </c>
      <c r="BF70" s="2" t="str" cm="1">
        <f t="array" ref="BF70">IF('NILAI CPL'!$B70&lt;&gt;"",IFERROR(_xlfn.IFS(AI70&gt;='NILAI CPL'!$B$3,4,AI70&gt;='NILAI CPL'!$B$4,3,AI70&gt;='NILAI CPL'!$B$5,2,AI70&gt;'NILAI CPL'!$B$6,1),0),"")</f>
        <v/>
      </c>
      <c r="BG70" s="2" t="str" cm="1">
        <f t="array" ref="BG70">IF('NILAI CPL'!$B70&lt;&gt;"",IFERROR(_xlfn.IFS(AJ70&gt;='NILAI CPL'!$B$3,4,AJ70&gt;='NILAI CPL'!$B$4,3,AJ70&gt;='NILAI CPL'!$B$5,2,AJ70&gt;'NILAI CPL'!$B$6,1),0),"")</f>
        <v/>
      </c>
      <c r="BH70" s="2" t="str" cm="1">
        <f t="array" ref="BH70">IF('NILAI CPL'!$B70&lt;&gt;"",IFERROR(_xlfn.IFS(AK70&gt;='NILAI CPL'!$B$3,4,AK70&gt;='NILAI CPL'!$B$4,3,AK70&gt;='NILAI CPL'!$B$5,2,AK70&gt;'NILAI CPL'!$B$6,1),0),"")</f>
        <v/>
      </c>
      <c r="BI70" s="2" t="str" cm="1">
        <f t="array" ref="BI70">IF('NILAI CPL'!$B70&lt;&gt;"",IFERROR(_xlfn.IFS(AL70&gt;='NILAI CPL'!$B$3,4,AL70&gt;='NILAI CPL'!$B$4,3,AL70&gt;='NILAI CPL'!$B$5,2,AL70&gt;'NILAI CPL'!$B$6,1),0),"")</f>
        <v/>
      </c>
      <c r="BJ70" s="2" t="str" cm="1">
        <f t="array" ref="BJ70">IF('NILAI CPL'!$B70&lt;&gt;"",IFERROR(_xlfn.IFS(AM70&gt;='NILAI CPL'!$B$3,4,AM70&gt;='NILAI CPL'!$B$4,3,AM70&gt;='NILAI CPL'!$B$5,2,AM70&gt;'NILAI CPL'!$B$6,1),0),"")</f>
        <v/>
      </c>
      <c r="BK70" s="2" t="str" cm="1">
        <f t="array" ref="BK70">IF('NILAI CPL'!$B70&lt;&gt;"",IFERROR(_xlfn.IFS(AN70&gt;='NILAI CPL'!$B$3,4,AN70&gt;='NILAI CPL'!$B$4,3,AN70&gt;='NILAI CPL'!$B$5,2,AN70&gt;'NILAI CPL'!$B$6,1),0),"")</f>
        <v/>
      </c>
    </row>
    <row r="71" spans="1:63" x14ac:dyDescent="0.2">
      <c r="A71" s="2">
        <v>61</v>
      </c>
      <c r="B71" s="2" t="str">
        <f>IF(LEN(SUMMARY!B71)&gt;0, SUMMARY!B71, "")</f>
        <v/>
      </c>
      <c r="C71" s="2" t="str">
        <f>IF(LEN(SUMMARY!C71)&gt;0, SUMMARY!C71, "")</f>
        <v/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" t="str">
        <f t="shared" si="2"/>
        <v/>
      </c>
      <c r="S71" s="2" t="str">
        <f t="shared" si="3"/>
        <v/>
      </c>
      <c r="T71" s="2" t="str">
        <f t="shared" si="4"/>
        <v/>
      </c>
      <c r="U71" s="2" t="str">
        <f t="shared" si="5"/>
        <v/>
      </c>
      <c r="V71" s="2" t="str">
        <f t="shared" si="6"/>
        <v/>
      </c>
      <c r="W71" s="2" t="str">
        <f t="shared" si="7"/>
        <v/>
      </c>
      <c r="X71" s="2" t="str">
        <f t="shared" si="8"/>
        <v/>
      </c>
      <c r="Y71" s="2" t="str">
        <f t="shared" si="9"/>
        <v/>
      </c>
      <c r="Z71" s="2" t="str">
        <f t="shared" si="10"/>
        <v/>
      </c>
      <c r="AA71" s="2" t="str">
        <f t="shared" si="11"/>
        <v/>
      </c>
      <c r="AB71" s="2" t="str">
        <f t="shared" si="12"/>
        <v/>
      </c>
      <c r="AC71" s="2" t="str">
        <f t="shared" si="13"/>
        <v/>
      </c>
      <c r="AD71" s="2" t="str">
        <f t="shared" si="14"/>
        <v/>
      </c>
      <c r="AE71" s="2" t="str">
        <f t="shared" si="15"/>
        <v/>
      </c>
      <c r="AF71" s="2" t="str">
        <f t="shared" si="16"/>
        <v/>
      </c>
      <c r="AG71" s="2" t="str">
        <f t="shared" si="17"/>
        <v/>
      </c>
      <c r="AH71" s="2" t="str">
        <f t="shared" si="18"/>
        <v/>
      </c>
      <c r="AI71" s="2" t="str">
        <f t="shared" si="19"/>
        <v/>
      </c>
      <c r="AJ71" s="2" t="str">
        <f t="shared" si="20"/>
        <v/>
      </c>
      <c r="AK71" s="2" t="str">
        <f t="shared" si="21"/>
        <v/>
      </c>
      <c r="AL71" s="2" t="str">
        <f t="shared" si="22"/>
        <v/>
      </c>
      <c r="AM71" s="2" t="str">
        <f t="shared" si="23"/>
        <v/>
      </c>
      <c r="AN71" s="2" t="str">
        <f t="shared" si="24"/>
        <v/>
      </c>
      <c r="AP71" s="2" t="str" cm="1">
        <f t="array" ref="AP71">IF('NILAI CPL'!$B71&lt;&gt;"",IFERROR(_xlfn.IFS(S71&gt;='NILAI CPL'!$B$3,4,S71&gt;='NILAI CPL'!$B$4,3,S71&gt;='NILAI CPL'!$B$5,2,S71&gt;'NILAI CPL'!$B$6,1),0),"")</f>
        <v/>
      </c>
      <c r="AQ71" s="2" t="str" cm="1">
        <f t="array" ref="AQ71">IF('NILAI CPL'!$B71&lt;&gt;"",IFERROR(_xlfn.IFS(T71&gt;='NILAI CPL'!$B$3,4,T71&gt;='NILAI CPL'!$B$4,3,T71&gt;='NILAI CPL'!$B$5,2,T71&gt;'NILAI CPL'!$B$6,1),0),"")</f>
        <v/>
      </c>
      <c r="AR71" s="2" t="str" cm="1">
        <f t="array" ref="AR71">IF('NILAI CPL'!$B71&lt;&gt;"",IFERROR(_xlfn.IFS(U71&gt;='NILAI CPL'!$B$3,4,U71&gt;='NILAI CPL'!$B$4,3,U71&gt;='NILAI CPL'!$B$5,2,U71&gt;'NILAI CPL'!$B$6,1),0),"")</f>
        <v/>
      </c>
      <c r="AS71" s="2" t="str" cm="1">
        <f t="array" ref="AS71">IF('NILAI CPL'!$B71&lt;&gt;"",IFERROR(_xlfn.IFS(V71&gt;='NILAI CPL'!$B$3,4,V71&gt;='NILAI CPL'!$B$4,3,V71&gt;='NILAI CPL'!$B$5,2,V71&gt;'NILAI CPL'!$B$6,1),0),"")</f>
        <v/>
      </c>
      <c r="AT71" s="2" t="str" cm="1">
        <f t="array" ref="AT71">IF('NILAI CPL'!$B71&lt;&gt;"",IFERROR(_xlfn.IFS(W71&gt;='NILAI CPL'!$B$3,4,W71&gt;='NILAI CPL'!$B$4,3,W71&gt;='NILAI CPL'!$B$5,2,W71&gt;'NILAI CPL'!$B$6,1),0),"")</f>
        <v/>
      </c>
      <c r="AU71" s="2" t="str" cm="1">
        <f t="array" ref="AU71">IF('NILAI CPL'!$B71&lt;&gt;"",IFERROR(_xlfn.IFS(X71&gt;='NILAI CPL'!$B$3,4,X71&gt;='NILAI CPL'!$B$4,3,X71&gt;='NILAI CPL'!$B$5,2,X71&gt;'NILAI CPL'!$B$6,1),0),"")</f>
        <v/>
      </c>
      <c r="AV71" s="2" t="str" cm="1">
        <f t="array" ref="AV71">IF('NILAI CPL'!$B71&lt;&gt;"",IFERROR(_xlfn.IFS(Y71&gt;='NILAI CPL'!$B$3,4,Y71&gt;='NILAI CPL'!$B$4,3,Y71&gt;='NILAI CPL'!$B$5,2,Y71&gt;'NILAI CPL'!$B$6,1),0),"")</f>
        <v/>
      </c>
      <c r="AW71" s="2" t="str" cm="1">
        <f t="array" ref="AW71">IF('NILAI CPL'!$B71&lt;&gt;"",IFERROR(_xlfn.IFS(Z71&gt;='NILAI CPL'!$B$3,4,Z71&gt;='NILAI CPL'!$B$4,3,Z71&gt;='NILAI CPL'!$B$5,2,Z71&gt;'NILAI CPL'!$B$6,1),0),"")</f>
        <v/>
      </c>
      <c r="AX71" s="2" t="str" cm="1">
        <f t="array" ref="AX71">IF('NILAI CPL'!$B71&lt;&gt;"",IFERROR(_xlfn.IFS(AA71&gt;='NILAI CPL'!$B$3,4,AA71&gt;='NILAI CPL'!$B$4,3,AA71&gt;='NILAI CPL'!$B$5,2,AA71&gt;'NILAI CPL'!$B$6,1),0),"")</f>
        <v/>
      </c>
      <c r="AY71" s="2" t="str" cm="1">
        <f t="array" ref="AY71">IF('NILAI CPL'!$B71&lt;&gt;"",IFERROR(_xlfn.IFS(AB71&gt;='NILAI CPL'!$B$3,4,AB71&gt;='NILAI CPL'!$B$4,3,AB71&gt;='NILAI CPL'!$B$5,2,AB71&gt;'NILAI CPL'!$B$6,1),0),"")</f>
        <v/>
      </c>
      <c r="AZ71" s="2" t="str" cm="1">
        <f t="array" ref="AZ71">IF('NILAI CPL'!$B71&lt;&gt;"",IFERROR(_xlfn.IFS(AC71&gt;='NILAI CPL'!$B$3,4,AC71&gt;='NILAI CPL'!$B$4,3,AC71&gt;='NILAI CPL'!$B$5,2,AC71&gt;'NILAI CPL'!$B$6,1),0),"")</f>
        <v/>
      </c>
      <c r="BA71" s="2" t="str" cm="1">
        <f t="array" ref="BA71">IF('NILAI CPL'!$B71&lt;&gt;"",IFERROR(_xlfn.IFS(AD71&gt;='NILAI CPL'!$B$3,4,AD71&gt;='NILAI CPL'!$B$4,3,AD71&gt;='NILAI CPL'!$B$5,2,AD71&gt;'NILAI CPL'!$B$6,1),0),"")</f>
        <v/>
      </c>
      <c r="BB71" s="2" t="str" cm="1">
        <f t="array" ref="BB71">IF('NILAI CPL'!$B71&lt;&gt;"",IFERROR(_xlfn.IFS(AE71&gt;='NILAI CPL'!$B$3,4,AE71&gt;='NILAI CPL'!$B$4,3,AE71&gt;='NILAI CPL'!$B$5,2,AE71&gt;'NILAI CPL'!$B$6,1),0),"")</f>
        <v/>
      </c>
      <c r="BC71" s="2" t="str" cm="1">
        <f t="array" ref="BC71">IF('NILAI CPL'!$B71&lt;&gt;"",IFERROR(_xlfn.IFS(AF71&gt;='NILAI CPL'!$B$3,4,AF71&gt;='NILAI CPL'!$B$4,3,AF71&gt;='NILAI CPL'!$B$5,2,AF71&gt;'NILAI CPL'!$B$6,1),0),"")</f>
        <v/>
      </c>
      <c r="BD71" s="2" t="str" cm="1">
        <f t="array" ref="BD71">IF('NILAI CPL'!$B71&lt;&gt;"",IFERROR(_xlfn.IFS(AG71&gt;='NILAI CPL'!$B$3,4,AG71&gt;='NILAI CPL'!$B$4,3,AG71&gt;='NILAI CPL'!$B$5,2,AG71&gt;'NILAI CPL'!$B$6,1),0),"")</f>
        <v/>
      </c>
      <c r="BE71" s="2" t="str" cm="1">
        <f t="array" ref="BE71">IF('NILAI CPL'!$B71&lt;&gt;"",IFERROR(_xlfn.IFS(AH71&gt;='NILAI CPL'!$B$3,4,AH71&gt;='NILAI CPL'!$B$4,3,AH71&gt;='NILAI CPL'!$B$5,2,AH71&gt;'NILAI CPL'!$B$6,1),0),"")</f>
        <v/>
      </c>
      <c r="BF71" s="2" t="str" cm="1">
        <f t="array" ref="BF71">IF('NILAI CPL'!$B71&lt;&gt;"",IFERROR(_xlfn.IFS(AI71&gt;='NILAI CPL'!$B$3,4,AI71&gt;='NILAI CPL'!$B$4,3,AI71&gt;='NILAI CPL'!$B$5,2,AI71&gt;'NILAI CPL'!$B$6,1),0),"")</f>
        <v/>
      </c>
      <c r="BG71" s="2" t="str" cm="1">
        <f t="array" ref="BG71">IF('NILAI CPL'!$B71&lt;&gt;"",IFERROR(_xlfn.IFS(AJ71&gt;='NILAI CPL'!$B$3,4,AJ71&gt;='NILAI CPL'!$B$4,3,AJ71&gt;='NILAI CPL'!$B$5,2,AJ71&gt;'NILAI CPL'!$B$6,1),0),"")</f>
        <v/>
      </c>
      <c r="BH71" s="2" t="str" cm="1">
        <f t="array" ref="BH71">IF('NILAI CPL'!$B71&lt;&gt;"",IFERROR(_xlfn.IFS(AK71&gt;='NILAI CPL'!$B$3,4,AK71&gt;='NILAI CPL'!$B$4,3,AK71&gt;='NILAI CPL'!$B$5,2,AK71&gt;'NILAI CPL'!$B$6,1),0),"")</f>
        <v/>
      </c>
      <c r="BI71" s="2" t="str" cm="1">
        <f t="array" ref="BI71">IF('NILAI CPL'!$B71&lt;&gt;"",IFERROR(_xlfn.IFS(AL71&gt;='NILAI CPL'!$B$3,4,AL71&gt;='NILAI CPL'!$B$4,3,AL71&gt;='NILAI CPL'!$B$5,2,AL71&gt;'NILAI CPL'!$B$6,1),0),"")</f>
        <v/>
      </c>
      <c r="BJ71" s="2" t="str" cm="1">
        <f t="array" ref="BJ71">IF('NILAI CPL'!$B71&lt;&gt;"",IFERROR(_xlfn.IFS(AM71&gt;='NILAI CPL'!$B$3,4,AM71&gt;='NILAI CPL'!$B$4,3,AM71&gt;='NILAI CPL'!$B$5,2,AM71&gt;'NILAI CPL'!$B$6,1),0),"")</f>
        <v/>
      </c>
      <c r="BK71" s="2" t="str" cm="1">
        <f t="array" ref="BK71">IF('NILAI CPL'!$B71&lt;&gt;"",IFERROR(_xlfn.IFS(AN71&gt;='NILAI CPL'!$B$3,4,AN71&gt;='NILAI CPL'!$B$4,3,AN71&gt;='NILAI CPL'!$B$5,2,AN71&gt;'NILAI CPL'!$B$6,1),0),"")</f>
        <v/>
      </c>
    </row>
    <row r="72" spans="1:63" x14ac:dyDescent="0.2">
      <c r="A72" s="2">
        <v>62</v>
      </c>
      <c r="B72" s="2" t="str">
        <f>IF(LEN(SUMMARY!B72)&gt;0, SUMMARY!B72, "")</f>
        <v/>
      </c>
      <c r="C72" s="2" t="str">
        <f>IF(LEN(SUMMARY!C72)&gt;0, SUMMARY!C72, "")</f>
        <v/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" t="str">
        <f t="shared" si="2"/>
        <v/>
      </c>
      <c r="S72" s="2" t="str">
        <f t="shared" si="3"/>
        <v/>
      </c>
      <c r="T72" s="2" t="str">
        <f t="shared" si="4"/>
        <v/>
      </c>
      <c r="U72" s="2" t="str">
        <f t="shared" si="5"/>
        <v/>
      </c>
      <c r="V72" s="2" t="str">
        <f t="shared" si="6"/>
        <v/>
      </c>
      <c r="W72" s="2" t="str">
        <f t="shared" si="7"/>
        <v/>
      </c>
      <c r="X72" s="2" t="str">
        <f t="shared" si="8"/>
        <v/>
      </c>
      <c r="Y72" s="2" t="str">
        <f t="shared" si="9"/>
        <v/>
      </c>
      <c r="Z72" s="2" t="str">
        <f t="shared" si="10"/>
        <v/>
      </c>
      <c r="AA72" s="2" t="str">
        <f t="shared" si="11"/>
        <v/>
      </c>
      <c r="AB72" s="2" t="str">
        <f t="shared" si="12"/>
        <v/>
      </c>
      <c r="AC72" s="2" t="str">
        <f t="shared" si="13"/>
        <v/>
      </c>
      <c r="AD72" s="2" t="str">
        <f t="shared" si="14"/>
        <v/>
      </c>
      <c r="AE72" s="2" t="str">
        <f t="shared" si="15"/>
        <v/>
      </c>
      <c r="AF72" s="2" t="str">
        <f t="shared" si="16"/>
        <v/>
      </c>
      <c r="AG72" s="2" t="str">
        <f t="shared" si="17"/>
        <v/>
      </c>
      <c r="AH72" s="2" t="str">
        <f t="shared" si="18"/>
        <v/>
      </c>
      <c r="AI72" s="2" t="str">
        <f t="shared" si="19"/>
        <v/>
      </c>
      <c r="AJ72" s="2" t="str">
        <f t="shared" si="20"/>
        <v/>
      </c>
      <c r="AK72" s="2" t="str">
        <f t="shared" si="21"/>
        <v/>
      </c>
      <c r="AL72" s="2" t="str">
        <f t="shared" si="22"/>
        <v/>
      </c>
      <c r="AM72" s="2" t="str">
        <f t="shared" si="23"/>
        <v/>
      </c>
      <c r="AN72" s="2" t="str">
        <f t="shared" si="24"/>
        <v/>
      </c>
      <c r="AP72" s="2" t="str" cm="1">
        <f t="array" ref="AP72">IF('NILAI CPL'!$B72&lt;&gt;"",IFERROR(_xlfn.IFS(S72&gt;='NILAI CPL'!$B$3,4,S72&gt;='NILAI CPL'!$B$4,3,S72&gt;='NILAI CPL'!$B$5,2,S72&gt;'NILAI CPL'!$B$6,1),0),"")</f>
        <v/>
      </c>
      <c r="AQ72" s="2" t="str" cm="1">
        <f t="array" ref="AQ72">IF('NILAI CPL'!$B72&lt;&gt;"",IFERROR(_xlfn.IFS(T72&gt;='NILAI CPL'!$B$3,4,T72&gt;='NILAI CPL'!$B$4,3,T72&gt;='NILAI CPL'!$B$5,2,T72&gt;'NILAI CPL'!$B$6,1),0),"")</f>
        <v/>
      </c>
      <c r="AR72" s="2" t="str" cm="1">
        <f t="array" ref="AR72">IF('NILAI CPL'!$B72&lt;&gt;"",IFERROR(_xlfn.IFS(U72&gt;='NILAI CPL'!$B$3,4,U72&gt;='NILAI CPL'!$B$4,3,U72&gt;='NILAI CPL'!$B$5,2,U72&gt;'NILAI CPL'!$B$6,1),0),"")</f>
        <v/>
      </c>
      <c r="AS72" s="2" t="str" cm="1">
        <f t="array" ref="AS72">IF('NILAI CPL'!$B72&lt;&gt;"",IFERROR(_xlfn.IFS(V72&gt;='NILAI CPL'!$B$3,4,V72&gt;='NILAI CPL'!$B$4,3,V72&gt;='NILAI CPL'!$B$5,2,V72&gt;'NILAI CPL'!$B$6,1),0),"")</f>
        <v/>
      </c>
      <c r="AT72" s="2" t="str" cm="1">
        <f t="array" ref="AT72">IF('NILAI CPL'!$B72&lt;&gt;"",IFERROR(_xlfn.IFS(W72&gt;='NILAI CPL'!$B$3,4,W72&gt;='NILAI CPL'!$B$4,3,W72&gt;='NILAI CPL'!$B$5,2,W72&gt;'NILAI CPL'!$B$6,1),0),"")</f>
        <v/>
      </c>
      <c r="AU72" s="2" t="str" cm="1">
        <f t="array" ref="AU72">IF('NILAI CPL'!$B72&lt;&gt;"",IFERROR(_xlfn.IFS(X72&gt;='NILAI CPL'!$B$3,4,X72&gt;='NILAI CPL'!$B$4,3,X72&gt;='NILAI CPL'!$B$5,2,X72&gt;'NILAI CPL'!$B$6,1),0),"")</f>
        <v/>
      </c>
      <c r="AV72" s="2" t="str" cm="1">
        <f t="array" ref="AV72">IF('NILAI CPL'!$B72&lt;&gt;"",IFERROR(_xlfn.IFS(Y72&gt;='NILAI CPL'!$B$3,4,Y72&gt;='NILAI CPL'!$B$4,3,Y72&gt;='NILAI CPL'!$B$5,2,Y72&gt;'NILAI CPL'!$B$6,1),0),"")</f>
        <v/>
      </c>
      <c r="AW72" s="2" t="str" cm="1">
        <f t="array" ref="AW72">IF('NILAI CPL'!$B72&lt;&gt;"",IFERROR(_xlfn.IFS(Z72&gt;='NILAI CPL'!$B$3,4,Z72&gt;='NILAI CPL'!$B$4,3,Z72&gt;='NILAI CPL'!$B$5,2,Z72&gt;'NILAI CPL'!$B$6,1),0),"")</f>
        <v/>
      </c>
      <c r="AX72" s="2" t="str" cm="1">
        <f t="array" ref="AX72">IF('NILAI CPL'!$B72&lt;&gt;"",IFERROR(_xlfn.IFS(AA72&gt;='NILAI CPL'!$B$3,4,AA72&gt;='NILAI CPL'!$B$4,3,AA72&gt;='NILAI CPL'!$B$5,2,AA72&gt;'NILAI CPL'!$B$6,1),0),"")</f>
        <v/>
      </c>
      <c r="AY72" s="2" t="str" cm="1">
        <f t="array" ref="AY72">IF('NILAI CPL'!$B72&lt;&gt;"",IFERROR(_xlfn.IFS(AB72&gt;='NILAI CPL'!$B$3,4,AB72&gt;='NILAI CPL'!$B$4,3,AB72&gt;='NILAI CPL'!$B$5,2,AB72&gt;'NILAI CPL'!$B$6,1),0),"")</f>
        <v/>
      </c>
      <c r="AZ72" s="2" t="str" cm="1">
        <f t="array" ref="AZ72">IF('NILAI CPL'!$B72&lt;&gt;"",IFERROR(_xlfn.IFS(AC72&gt;='NILAI CPL'!$B$3,4,AC72&gt;='NILAI CPL'!$B$4,3,AC72&gt;='NILAI CPL'!$B$5,2,AC72&gt;'NILAI CPL'!$B$6,1),0),"")</f>
        <v/>
      </c>
      <c r="BA72" s="2" t="str" cm="1">
        <f t="array" ref="BA72">IF('NILAI CPL'!$B72&lt;&gt;"",IFERROR(_xlfn.IFS(AD72&gt;='NILAI CPL'!$B$3,4,AD72&gt;='NILAI CPL'!$B$4,3,AD72&gt;='NILAI CPL'!$B$5,2,AD72&gt;'NILAI CPL'!$B$6,1),0),"")</f>
        <v/>
      </c>
      <c r="BB72" s="2" t="str" cm="1">
        <f t="array" ref="BB72">IF('NILAI CPL'!$B72&lt;&gt;"",IFERROR(_xlfn.IFS(AE72&gt;='NILAI CPL'!$B$3,4,AE72&gt;='NILAI CPL'!$B$4,3,AE72&gt;='NILAI CPL'!$B$5,2,AE72&gt;'NILAI CPL'!$B$6,1),0),"")</f>
        <v/>
      </c>
      <c r="BC72" s="2" t="str" cm="1">
        <f t="array" ref="BC72">IF('NILAI CPL'!$B72&lt;&gt;"",IFERROR(_xlfn.IFS(AF72&gt;='NILAI CPL'!$B$3,4,AF72&gt;='NILAI CPL'!$B$4,3,AF72&gt;='NILAI CPL'!$B$5,2,AF72&gt;'NILAI CPL'!$B$6,1),0),"")</f>
        <v/>
      </c>
      <c r="BD72" s="2" t="str" cm="1">
        <f t="array" ref="BD72">IF('NILAI CPL'!$B72&lt;&gt;"",IFERROR(_xlfn.IFS(AG72&gt;='NILAI CPL'!$B$3,4,AG72&gt;='NILAI CPL'!$B$4,3,AG72&gt;='NILAI CPL'!$B$5,2,AG72&gt;'NILAI CPL'!$B$6,1),0),"")</f>
        <v/>
      </c>
      <c r="BE72" s="2" t="str" cm="1">
        <f t="array" ref="BE72">IF('NILAI CPL'!$B72&lt;&gt;"",IFERROR(_xlfn.IFS(AH72&gt;='NILAI CPL'!$B$3,4,AH72&gt;='NILAI CPL'!$B$4,3,AH72&gt;='NILAI CPL'!$B$5,2,AH72&gt;'NILAI CPL'!$B$6,1),0),"")</f>
        <v/>
      </c>
      <c r="BF72" s="2" t="str" cm="1">
        <f t="array" ref="BF72">IF('NILAI CPL'!$B72&lt;&gt;"",IFERROR(_xlfn.IFS(AI72&gt;='NILAI CPL'!$B$3,4,AI72&gt;='NILAI CPL'!$B$4,3,AI72&gt;='NILAI CPL'!$B$5,2,AI72&gt;'NILAI CPL'!$B$6,1),0),"")</f>
        <v/>
      </c>
      <c r="BG72" s="2" t="str" cm="1">
        <f t="array" ref="BG72">IF('NILAI CPL'!$B72&lt;&gt;"",IFERROR(_xlfn.IFS(AJ72&gt;='NILAI CPL'!$B$3,4,AJ72&gt;='NILAI CPL'!$B$4,3,AJ72&gt;='NILAI CPL'!$B$5,2,AJ72&gt;'NILAI CPL'!$B$6,1),0),"")</f>
        <v/>
      </c>
      <c r="BH72" s="2" t="str" cm="1">
        <f t="array" ref="BH72">IF('NILAI CPL'!$B72&lt;&gt;"",IFERROR(_xlfn.IFS(AK72&gt;='NILAI CPL'!$B$3,4,AK72&gt;='NILAI CPL'!$B$4,3,AK72&gt;='NILAI CPL'!$B$5,2,AK72&gt;'NILAI CPL'!$B$6,1),0),"")</f>
        <v/>
      </c>
      <c r="BI72" s="2" t="str" cm="1">
        <f t="array" ref="BI72">IF('NILAI CPL'!$B72&lt;&gt;"",IFERROR(_xlfn.IFS(AL72&gt;='NILAI CPL'!$B$3,4,AL72&gt;='NILAI CPL'!$B$4,3,AL72&gt;='NILAI CPL'!$B$5,2,AL72&gt;'NILAI CPL'!$B$6,1),0),"")</f>
        <v/>
      </c>
      <c r="BJ72" s="2" t="str" cm="1">
        <f t="array" ref="BJ72">IF('NILAI CPL'!$B72&lt;&gt;"",IFERROR(_xlfn.IFS(AM72&gt;='NILAI CPL'!$B$3,4,AM72&gt;='NILAI CPL'!$B$4,3,AM72&gt;='NILAI CPL'!$B$5,2,AM72&gt;'NILAI CPL'!$B$6,1),0),"")</f>
        <v/>
      </c>
      <c r="BK72" s="2" t="str" cm="1">
        <f t="array" ref="BK72">IF('NILAI CPL'!$B72&lt;&gt;"",IFERROR(_xlfn.IFS(AN72&gt;='NILAI CPL'!$B$3,4,AN72&gt;='NILAI CPL'!$B$4,3,AN72&gt;='NILAI CPL'!$B$5,2,AN72&gt;'NILAI CPL'!$B$6,1),0),"")</f>
        <v/>
      </c>
    </row>
    <row r="73" spans="1:63" x14ac:dyDescent="0.2">
      <c r="A73" s="2">
        <v>63</v>
      </c>
      <c r="B73" s="2" t="str">
        <f>IF(LEN(SUMMARY!B73)&gt;0, SUMMARY!B73, "")</f>
        <v/>
      </c>
      <c r="C73" s="2" t="str">
        <f>IF(LEN(SUMMARY!C73)&gt;0, SUMMARY!C73, "")</f>
        <v/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" t="str">
        <f t="shared" si="2"/>
        <v/>
      </c>
      <c r="S73" s="2" t="str">
        <f t="shared" si="3"/>
        <v/>
      </c>
      <c r="T73" s="2" t="str">
        <f t="shared" si="4"/>
        <v/>
      </c>
      <c r="U73" s="2" t="str">
        <f t="shared" si="5"/>
        <v/>
      </c>
      <c r="V73" s="2" t="str">
        <f t="shared" si="6"/>
        <v/>
      </c>
      <c r="W73" s="2" t="str">
        <f t="shared" si="7"/>
        <v/>
      </c>
      <c r="X73" s="2" t="str">
        <f t="shared" si="8"/>
        <v/>
      </c>
      <c r="Y73" s="2" t="str">
        <f t="shared" si="9"/>
        <v/>
      </c>
      <c r="Z73" s="2" t="str">
        <f t="shared" si="10"/>
        <v/>
      </c>
      <c r="AA73" s="2" t="str">
        <f t="shared" si="11"/>
        <v/>
      </c>
      <c r="AB73" s="2" t="str">
        <f t="shared" si="12"/>
        <v/>
      </c>
      <c r="AC73" s="2" t="str">
        <f t="shared" si="13"/>
        <v/>
      </c>
      <c r="AD73" s="2" t="str">
        <f t="shared" si="14"/>
        <v/>
      </c>
      <c r="AE73" s="2" t="str">
        <f t="shared" si="15"/>
        <v/>
      </c>
      <c r="AF73" s="2" t="str">
        <f t="shared" si="16"/>
        <v/>
      </c>
      <c r="AG73" s="2" t="str">
        <f t="shared" si="17"/>
        <v/>
      </c>
      <c r="AH73" s="2" t="str">
        <f t="shared" si="18"/>
        <v/>
      </c>
      <c r="AI73" s="2" t="str">
        <f t="shared" si="19"/>
        <v/>
      </c>
      <c r="AJ73" s="2" t="str">
        <f t="shared" si="20"/>
        <v/>
      </c>
      <c r="AK73" s="2" t="str">
        <f t="shared" si="21"/>
        <v/>
      </c>
      <c r="AL73" s="2" t="str">
        <f t="shared" si="22"/>
        <v/>
      </c>
      <c r="AM73" s="2" t="str">
        <f t="shared" si="23"/>
        <v/>
      </c>
      <c r="AN73" s="2" t="str">
        <f t="shared" si="24"/>
        <v/>
      </c>
      <c r="AP73" s="2" t="str" cm="1">
        <f t="array" ref="AP73">IF('NILAI CPL'!$B73&lt;&gt;"",IFERROR(_xlfn.IFS(S73&gt;='NILAI CPL'!$B$3,4,S73&gt;='NILAI CPL'!$B$4,3,S73&gt;='NILAI CPL'!$B$5,2,S73&gt;'NILAI CPL'!$B$6,1),0),"")</f>
        <v/>
      </c>
      <c r="AQ73" s="2" t="str" cm="1">
        <f t="array" ref="AQ73">IF('NILAI CPL'!$B73&lt;&gt;"",IFERROR(_xlfn.IFS(T73&gt;='NILAI CPL'!$B$3,4,T73&gt;='NILAI CPL'!$B$4,3,T73&gt;='NILAI CPL'!$B$5,2,T73&gt;'NILAI CPL'!$B$6,1),0),"")</f>
        <v/>
      </c>
      <c r="AR73" s="2" t="str" cm="1">
        <f t="array" ref="AR73">IF('NILAI CPL'!$B73&lt;&gt;"",IFERROR(_xlfn.IFS(U73&gt;='NILAI CPL'!$B$3,4,U73&gt;='NILAI CPL'!$B$4,3,U73&gt;='NILAI CPL'!$B$5,2,U73&gt;'NILAI CPL'!$B$6,1),0),"")</f>
        <v/>
      </c>
      <c r="AS73" s="2" t="str" cm="1">
        <f t="array" ref="AS73">IF('NILAI CPL'!$B73&lt;&gt;"",IFERROR(_xlfn.IFS(V73&gt;='NILAI CPL'!$B$3,4,V73&gt;='NILAI CPL'!$B$4,3,V73&gt;='NILAI CPL'!$B$5,2,V73&gt;'NILAI CPL'!$B$6,1),0),"")</f>
        <v/>
      </c>
      <c r="AT73" s="2" t="str" cm="1">
        <f t="array" ref="AT73">IF('NILAI CPL'!$B73&lt;&gt;"",IFERROR(_xlfn.IFS(W73&gt;='NILAI CPL'!$B$3,4,W73&gt;='NILAI CPL'!$B$4,3,W73&gt;='NILAI CPL'!$B$5,2,W73&gt;'NILAI CPL'!$B$6,1),0),"")</f>
        <v/>
      </c>
      <c r="AU73" s="2" t="str" cm="1">
        <f t="array" ref="AU73">IF('NILAI CPL'!$B73&lt;&gt;"",IFERROR(_xlfn.IFS(X73&gt;='NILAI CPL'!$B$3,4,X73&gt;='NILAI CPL'!$B$4,3,X73&gt;='NILAI CPL'!$B$5,2,X73&gt;'NILAI CPL'!$B$6,1),0),"")</f>
        <v/>
      </c>
      <c r="AV73" s="2" t="str" cm="1">
        <f t="array" ref="AV73">IF('NILAI CPL'!$B73&lt;&gt;"",IFERROR(_xlfn.IFS(Y73&gt;='NILAI CPL'!$B$3,4,Y73&gt;='NILAI CPL'!$B$4,3,Y73&gt;='NILAI CPL'!$B$5,2,Y73&gt;'NILAI CPL'!$B$6,1),0),"")</f>
        <v/>
      </c>
      <c r="AW73" s="2" t="str" cm="1">
        <f t="array" ref="AW73">IF('NILAI CPL'!$B73&lt;&gt;"",IFERROR(_xlfn.IFS(Z73&gt;='NILAI CPL'!$B$3,4,Z73&gt;='NILAI CPL'!$B$4,3,Z73&gt;='NILAI CPL'!$B$5,2,Z73&gt;'NILAI CPL'!$B$6,1),0),"")</f>
        <v/>
      </c>
      <c r="AX73" s="2" t="str" cm="1">
        <f t="array" ref="AX73">IF('NILAI CPL'!$B73&lt;&gt;"",IFERROR(_xlfn.IFS(AA73&gt;='NILAI CPL'!$B$3,4,AA73&gt;='NILAI CPL'!$B$4,3,AA73&gt;='NILAI CPL'!$B$5,2,AA73&gt;'NILAI CPL'!$B$6,1),0),"")</f>
        <v/>
      </c>
      <c r="AY73" s="2" t="str" cm="1">
        <f t="array" ref="AY73">IF('NILAI CPL'!$B73&lt;&gt;"",IFERROR(_xlfn.IFS(AB73&gt;='NILAI CPL'!$B$3,4,AB73&gt;='NILAI CPL'!$B$4,3,AB73&gt;='NILAI CPL'!$B$5,2,AB73&gt;'NILAI CPL'!$B$6,1),0),"")</f>
        <v/>
      </c>
      <c r="AZ73" s="2" t="str" cm="1">
        <f t="array" ref="AZ73">IF('NILAI CPL'!$B73&lt;&gt;"",IFERROR(_xlfn.IFS(AC73&gt;='NILAI CPL'!$B$3,4,AC73&gt;='NILAI CPL'!$B$4,3,AC73&gt;='NILAI CPL'!$B$5,2,AC73&gt;'NILAI CPL'!$B$6,1),0),"")</f>
        <v/>
      </c>
      <c r="BA73" s="2" t="str" cm="1">
        <f t="array" ref="BA73">IF('NILAI CPL'!$B73&lt;&gt;"",IFERROR(_xlfn.IFS(AD73&gt;='NILAI CPL'!$B$3,4,AD73&gt;='NILAI CPL'!$B$4,3,AD73&gt;='NILAI CPL'!$B$5,2,AD73&gt;'NILAI CPL'!$B$6,1),0),"")</f>
        <v/>
      </c>
      <c r="BB73" s="2" t="str" cm="1">
        <f t="array" ref="BB73">IF('NILAI CPL'!$B73&lt;&gt;"",IFERROR(_xlfn.IFS(AE73&gt;='NILAI CPL'!$B$3,4,AE73&gt;='NILAI CPL'!$B$4,3,AE73&gt;='NILAI CPL'!$B$5,2,AE73&gt;'NILAI CPL'!$B$6,1),0),"")</f>
        <v/>
      </c>
      <c r="BC73" s="2" t="str" cm="1">
        <f t="array" ref="BC73">IF('NILAI CPL'!$B73&lt;&gt;"",IFERROR(_xlfn.IFS(AF73&gt;='NILAI CPL'!$B$3,4,AF73&gt;='NILAI CPL'!$B$4,3,AF73&gt;='NILAI CPL'!$B$5,2,AF73&gt;'NILAI CPL'!$B$6,1),0),"")</f>
        <v/>
      </c>
      <c r="BD73" s="2" t="str" cm="1">
        <f t="array" ref="BD73">IF('NILAI CPL'!$B73&lt;&gt;"",IFERROR(_xlfn.IFS(AG73&gt;='NILAI CPL'!$B$3,4,AG73&gt;='NILAI CPL'!$B$4,3,AG73&gt;='NILAI CPL'!$B$5,2,AG73&gt;'NILAI CPL'!$B$6,1),0),"")</f>
        <v/>
      </c>
      <c r="BE73" s="2" t="str" cm="1">
        <f t="array" ref="BE73">IF('NILAI CPL'!$B73&lt;&gt;"",IFERROR(_xlfn.IFS(AH73&gt;='NILAI CPL'!$B$3,4,AH73&gt;='NILAI CPL'!$B$4,3,AH73&gt;='NILAI CPL'!$B$5,2,AH73&gt;'NILAI CPL'!$B$6,1),0),"")</f>
        <v/>
      </c>
      <c r="BF73" s="2" t="str" cm="1">
        <f t="array" ref="BF73">IF('NILAI CPL'!$B73&lt;&gt;"",IFERROR(_xlfn.IFS(AI73&gt;='NILAI CPL'!$B$3,4,AI73&gt;='NILAI CPL'!$B$4,3,AI73&gt;='NILAI CPL'!$B$5,2,AI73&gt;'NILAI CPL'!$B$6,1),0),"")</f>
        <v/>
      </c>
      <c r="BG73" s="2" t="str" cm="1">
        <f t="array" ref="BG73">IF('NILAI CPL'!$B73&lt;&gt;"",IFERROR(_xlfn.IFS(AJ73&gt;='NILAI CPL'!$B$3,4,AJ73&gt;='NILAI CPL'!$B$4,3,AJ73&gt;='NILAI CPL'!$B$5,2,AJ73&gt;'NILAI CPL'!$B$6,1),0),"")</f>
        <v/>
      </c>
      <c r="BH73" s="2" t="str" cm="1">
        <f t="array" ref="BH73">IF('NILAI CPL'!$B73&lt;&gt;"",IFERROR(_xlfn.IFS(AK73&gt;='NILAI CPL'!$B$3,4,AK73&gt;='NILAI CPL'!$B$4,3,AK73&gt;='NILAI CPL'!$B$5,2,AK73&gt;'NILAI CPL'!$B$6,1),0),"")</f>
        <v/>
      </c>
      <c r="BI73" s="2" t="str" cm="1">
        <f t="array" ref="BI73">IF('NILAI CPL'!$B73&lt;&gt;"",IFERROR(_xlfn.IFS(AL73&gt;='NILAI CPL'!$B$3,4,AL73&gt;='NILAI CPL'!$B$4,3,AL73&gt;='NILAI CPL'!$B$5,2,AL73&gt;'NILAI CPL'!$B$6,1),0),"")</f>
        <v/>
      </c>
      <c r="BJ73" s="2" t="str" cm="1">
        <f t="array" ref="BJ73">IF('NILAI CPL'!$B73&lt;&gt;"",IFERROR(_xlfn.IFS(AM73&gt;='NILAI CPL'!$B$3,4,AM73&gt;='NILAI CPL'!$B$4,3,AM73&gt;='NILAI CPL'!$B$5,2,AM73&gt;'NILAI CPL'!$B$6,1),0),"")</f>
        <v/>
      </c>
      <c r="BK73" s="2" t="str" cm="1">
        <f t="array" ref="BK73">IF('NILAI CPL'!$B73&lt;&gt;"",IFERROR(_xlfn.IFS(AN73&gt;='NILAI CPL'!$B$3,4,AN73&gt;='NILAI CPL'!$B$4,3,AN73&gt;='NILAI CPL'!$B$5,2,AN73&gt;'NILAI CPL'!$B$6,1),0),"")</f>
        <v/>
      </c>
    </row>
    <row r="74" spans="1:63" x14ac:dyDescent="0.2">
      <c r="A74" s="2">
        <v>64</v>
      </c>
      <c r="B74" s="2" t="str">
        <f>IF(LEN(SUMMARY!B74)&gt;0, SUMMARY!B74, "")</f>
        <v/>
      </c>
      <c r="C74" s="2" t="str">
        <f>IF(LEN(SUMMARY!C74)&gt;0, SUMMARY!C74, "")</f>
        <v/>
      </c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" t="str">
        <f t="shared" si="2"/>
        <v/>
      </c>
      <c r="S74" s="2" t="str">
        <f t="shared" si="3"/>
        <v/>
      </c>
      <c r="T74" s="2" t="str">
        <f t="shared" si="4"/>
        <v/>
      </c>
      <c r="U74" s="2" t="str">
        <f t="shared" si="5"/>
        <v/>
      </c>
      <c r="V74" s="2" t="str">
        <f t="shared" si="6"/>
        <v/>
      </c>
      <c r="W74" s="2" t="str">
        <f t="shared" si="7"/>
        <v/>
      </c>
      <c r="X74" s="2" t="str">
        <f t="shared" si="8"/>
        <v/>
      </c>
      <c r="Y74" s="2" t="str">
        <f t="shared" si="9"/>
        <v/>
      </c>
      <c r="Z74" s="2" t="str">
        <f t="shared" si="10"/>
        <v/>
      </c>
      <c r="AA74" s="2" t="str">
        <f t="shared" si="11"/>
        <v/>
      </c>
      <c r="AB74" s="2" t="str">
        <f t="shared" si="12"/>
        <v/>
      </c>
      <c r="AC74" s="2" t="str">
        <f t="shared" si="13"/>
        <v/>
      </c>
      <c r="AD74" s="2" t="str">
        <f t="shared" si="14"/>
        <v/>
      </c>
      <c r="AE74" s="2" t="str">
        <f t="shared" si="15"/>
        <v/>
      </c>
      <c r="AF74" s="2" t="str">
        <f t="shared" si="16"/>
        <v/>
      </c>
      <c r="AG74" s="2" t="str">
        <f t="shared" si="17"/>
        <v/>
      </c>
      <c r="AH74" s="2" t="str">
        <f t="shared" si="18"/>
        <v/>
      </c>
      <c r="AI74" s="2" t="str">
        <f t="shared" si="19"/>
        <v/>
      </c>
      <c r="AJ74" s="2" t="str">
        <f t="shared" si="20"/>
        <v/>
      </c>
      <c r="AK74" s="2" t="str">
        <f t="shared" si="21"/>
        <v/>
      </c>
      <c r="AL74" s="2" t="str">
        <f t="shared" si="22"/>
        <v/>
      </c>
      <c r="AM74" s="2" t="str">
        <f t="shared" si="23"/>
        <v/>
      </c>
      <c r="AN74" s="2" t="str">
        <f t="shared" si="24"/>
        <v/>
      </c>
      <c r="AP74" s="2" t="str" cm="1">
        <f t="array" ref="AP74">IF('NILAI CPL'!$B74&lt;&gt;"",IFERROR(_xlfn.IFS(S74&gt;='NILAI CPL'!$B$3,4,S74&gt;='NILAI CPL'!$B$4,3,S74&gt;='NILAI CPL'!$B$5,2,S74&gt;'NILAI CPL'!$B$6,1),0),"")</f>
        <v/>
      </c>
      <c r="AQ74" s="2" t="str" cm="1">
        <f t="array" ref="AQ74">IF('NILAI CPL'!$B74&lt;&gt;"",IFERROR(_xlfn.IFS(T74&gt;='NILAI CPL'!$B$3,4,T74&gt;='NILAI CPL'!$B$4,3,T74&gt;='NILAI CPL'!$B$5,2,T74&gt;'NILAI CPL'!$B$6,1),0),"")</f>
        <v/>
      </c>
      <c r="AR74" s="2" t="str" cm="1">
        <f t="array" ref="AR74">IF('NILAI CPL'!$B74&lt;&gt;"",IFERROR(_xlfn.IFS(U74&gt;='NILAI CPL'!$B$3,4,U74&gt;='NILAI CPL'!$B$4,3,U74&gt;='NILAI CPL'!$B$5,2,U74&gt;'NILAI CPL'!$B$6,1),0),"")</f>
        <v/>
      </c>
      <c r="AS74" s="2" t="str" cm="1">
        <f t="array" ref="AS74">IF('NILAI CPL'!$B74&lt;&gt;"",IFERROR(_xlfn.IFS(V74&gt;='NILAI CPL'!$B$3,4,V74&gt;='NILAI CPL'!$B$4,3,V74&gt;='NILAI CPL'!$B$5,2,V74&gt;'NILAI CPL'!$B$6,1),0),"")</f>
        <v/>
      </c>
      <c r="AT74" s="2" t="str" cm="1">
        <f t="array" ref="AT74">IF('NILAI CPL'!$B74&lt;&gt;"",IFERROR(_xlfn.IFS(W74&gt;='NILAI CPL'!$B$3,4,W74&gt;='NILAI CPL'!$B$4,3,W74&gt;='NILAI CPL'!$B$5,2,W74&gt;'NILAI CPL'!$B$6,1),0),"")</f>
        <v/>
      </c>
      <c r="AU74" s="2" t="str" cm="1">
        <f t="array" ref="AU74">IF('NILAI CPL'!$B74&lt;&gt;"",IFERROR(_xlfn.IFS(X74&gt;='NILAI CPL'!$B$3,4,X74&gt;='NILAI CPL'!$B$4,3,X74&gt;='NILAI CPL'!$B$5,2,X74&gt;'NILAI CPL'!$B$6,1),0),"")</f>
        <v/>
      </c>
      <c r="AV74" s="2" t="str" cm="1">
        <f t="array" ref="AV74">IF('NILAI CPL'!$B74&lt;&gt;"",IFERROR(_xlfn.IFS(Y74&gt;='NILAI CPL'!$B$3,4,Y74&gt;='NILAI CPL'!$B$4,3,Y74&gt;='NILAI CPL'!$B$5,2,Y74&gt;'NILAI CPL'!$B$6,1),0),"")</f>
        <v/>
      </c>
      <c r="AW74" s="2" t="str" cm="1">
        <f t="array" ref="AW74">IF('NILAI CPL'!$B74&lt;&gt;"",IFERROR(_xlfn.IFS(Z74&gt;='NILAI CPL'!$B$3,4,Z74&gt;='NILAI CPL'!$B$4,3,Z74&gt;='NILAI CPL'!$B$5,2,Z74&gt;'NILAI CPL'!$B$6,1),0),"")</f>
        <v/>
      </c>
      <c r="AX74" s="2" t="str" cm="1">
        <f t="array" ref="AX74">IF('NILAI CPL'!$B74&lt;&gt;"",IFERROR(_xlfn.IFS(AA74&gt;='NILAI CPL'!$B$3,4,AA74&gt;='NILAI CPL'!$B$4,3,AA74&gt;='NILAI CPL'!$B$5,2,AA74&gt;'NILAI CPL'!$B$6,1),0),"")</f>
        <v/>
      </c>
      <c r="AY74" s="2" t="str" cm="1">
        <f t="array" ref="AY74">IF('NILAI CPL'!$B74&lt;&gt;"",IFERROR(_xlfn.IFS(AB74&gt;='NILAI CPL'!$B$3,4,AB74&gt;='NILAI CPL'!$B$4,3,AB74&gt;='NILAI CPL'!$B$5,2,AB74&gt;'NILAI CPL'!$B$6,1),0),"")</f>
        <v/>
      </c>
      <c r="AZ74" s="2" t="str" cm="1">
        <f t="array" ref="AZ74">IF('NILAI CPL'!$B74&lt;&gt;"",IFERROR(_xlfn.IFS(AC74&gt;='NILAI CPL'!$B$3,4,AC74&gt;='NILAI CPL'!$B$4,3,AC74&gt;='NILAI CPL'!$B$5,2,AC74&gt;'NILAI CPL'!$B$6,1),0),"")</f>
        <v/>
      </c>
      <c r="BA74" s="2" t="str" cm="1">
        <f t="array" ref="BA74">IF('NILAI CPL'!$B74&lt;&gt;"",IFERROR(_xlfn.IFS(AD74&gt;='NILAI CPL'!$B$3,4,AD74&gt;='NILAI CPL'!$B$4,3,AD74&gt;='NILAI CPL'!$B$5,2,AD74&gt;'NILAI CPL'!$B$6,1),0),"")</f>
        <v/>
      </c>
      <c r="BB74" s="2" t="str" cm="1">
        <f t="array" ref="BB74">IF('NILAI CPL'!$B74&lt;&gt;"",IFERROR(_xlfn.IFS(AE74&gt;='NILAI CPL'!$B$3,4,AE74&gt;='NILAI CPL'!$B$4,3,AE74&gt;='NILAI CPL'!$B$5,2,AE74&gt;'NILAI CPL'!$B$6,1),0),"")</f>
        <v/>
      </c>
      <c r="BC74" s="2" t="str" cm="1">
        <f t="array" ref="BC74">IF('NILAI CPL'!$B74&lt;&gt;"",IFERROR(_xlfn.IFS(AF74&gt;='NILAI CPL'!$B$3,4,AF74&gt;='NILAI CPL'!$B$4,3,AF74&gt;='NILAI CPL'!$B$5,2,AF74&gt;'NILAI CPL'!$B$6,1),0),"")</f>
        <v/>
      </c>
      <c r="BD74" s="2" t="str" cm="1">
        <f t="array" ref="BD74">IF('NILAI CPL'!$B74&lt;&gt;"",IFERROR(_xlfn.IFS(AG74&gt;='NILAI CPL'!$B$3,4,AG74&gt;='NILAI CPL'!$B$4,3,AG74&gt;='NILAI CPL'!$B$5,2,AG74&gt;'NILAI CPL'!$B$6,1),0),"")</f>
        <v/>
      </c>
      <c r="BE74" s="2" t="str" cm="1">
        <f t="array" ref="BE74">IF('NILAI CPL'!$B74&lt;&gt;"",IFERROR(_xlfn.IFS(AH74&gt;='NILAI CPL'!$B$3,4,AH74&gt;='NILAI CPL'!$B$4,3,AH74&gt;='NILAI CPL'!$B$5,2,AH74&gt;'NILAI CPL'!$B$6,1),0),"")</f>
        <v/>
      </c>
      <c r="BF74" s="2" t="str" cm="1">
        <f t="array" ref="BF74">IF('NILAI CPL'!$B74&lt;&gt;"",IFERROR(_xlfn.IFS(AI74&gt;='NILAI CPL'!$B$3,4,AI74&gt;='NILAI CPL'!$B$4,3,AI74&gt;='NILAI CPL'!$B$5,2,AI74&gt;'NILAI CPL'!$B$6,1),0),"")</f>
        <v/>
      </c>
      <c r="BG74" s="2" t="str" cm="1">
        <f t="array" ref="BG74">IF('NILAI CPL'!$B74&lt;&gt;"",IFERROR(_xlfn.IFS(AJ74&gt;='NILAI CPL'!$B$3,4,AJ74&gt;='NILAI CPL'!$B$4,3,AJ74&gt;='NILAI CPL'!$B$5,2,AJ74&gt;'NILAI CPL'!$B$6,1),0),"")</f>
        <v/>
      </c>
      <c r="BH74" s="2" t="str" cm="1">
        <f t="array" ref="BH74">IF('NILAI CPL'!$B74&lt;&gt;"",IFERROR(_xlfn.IFS(AK74&gt;='NILAI CPL'!$B$3,4,AK74&gt;='NILAI CPL'!$B$4,3,AK74&gt;='NILAI CPL'!$B$5,2,AK74&gt;'NILAI CPL'!$B$6,1),0),"")</f>
        <v/>
      </c>
      <c r="BI74" s="2" t="str" cm="1">
        <f t="array" ref="BI74">IF('NILAI CPL'!$B74&lt;&gt;"",IFERROR(_xlfn.IFS(AL74&gt;='NILAI CPL'!$B$3,4,AL74&gt;='NILAI CPL'!$B$4,3,AL74&gt;='NILAI CPL'!$B$5,2,AL74&gt;'NILAI CPL'!$B$6,1),0),"")</f>
        <v/>
      </c>
      <c r="BJ74" s="2" t="str" cm="1">
        <f t="array" ref="BJ74">IF('NILAI CPL'!$B74&lt;&gt;"",IFERROR(_xlfn.IFS(AM74&gt;='NILAI CPL'!$B$3,4,AM74&gt;='NILAI CPL'!$B$4,3,AM74&gt;='NILAI CPL'!$B$5,2,AM74&gt;'NILAI CPL'!$B$6,1),0),"")</f>
        <v/>
      </c>
      <c r="BK74" s="2" t="str" cm="1">
        <f t="array" ref="BK74">IF('NILAI CPL'!$B74&lt;&gt;"",IFERROR(_xlfn.IFS(AN74&gt;='NILAI CPL'!$B$3,4,AN74&gt;='NILAI CPL'!$B$4,3,AN74&gt;='NILAI CPL'!$B$5,2,AN74&gt;'NILAI CPL'!$B$6,1),0),"")</f>
        <v/>
      </c>
    </row>
    <row r="75" spans="1:63" x14ac:dyDescent="0.2">
      <c r="A75" s="2">
        <v>65</v>
      </c>
      <c r="B75" s="2" t="str">
        <f>IF(LEN(SUMMARY!B75)&gt;0, SUMMARY!B75, "")</f>
        <v/>
      </c>
      <c r="C75" s="2" t="str">
        <f>IF(LEN(SUMMARY!C75)&gt;0, SUMMARY!C75, "")</f>
        <v/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" t="str">
        <f t="shared" si="2"/>
        <v/>
      </c>
      <c r="S75" s="2" t="str">
        <f t="shared" si="3"/>
        <v/>
      </c>
      <c r="T75" s="2" t="str">
        <f t="shared" si="4"/>
        <v/>
      </c>
      <c r="U75" s="2" t="str">
        <f t="shared" si="5"/>
        <v/>
      </c>
      <c r="V75" s="2" t="str">
        <f t="shared" si="6"/>
        <v/>
      </c>
      <c r="W75" s="2" t="str">
        <f t="shared" si="7"/>
        <v/>
      </c>
      <c r="X75" s="2" t="str">
        <f t="shared" si="8"/>
        <v/>
      </c>
      <c r="Y75" s="2" t="str">
        <f t="shared" si="9"/>
        <v/>
      </c>
      <c r="Z75" s="2" t="str">
        <f t="shared" si="10"/>
        <v/>
      </c>
      <c r="AA75" s="2" t="str">
        <f t="shared" si="11"/>
        <v/>
      </c>
      <c r="AB75" s="2" t="str">
        <f t="shared" si="12"/>
        <v/>
      </c>
      <c r="AC75" s="2" t="str">
        <f t="shared" si="13"/>
        <v/>
      </c>
      <c r="AD75" s="2" t="str">
        <f t="shared" si="14"/>
        <v/>
      </c>
      <c r="AE75" s="2" t="str">
        <f t="shared" si="15"/>
        <v/>
      </c>
      <c r="AF75" s="2" t="str">
        <f t="shared" si="16"/>
        <v/>
      </c>
      <c r="AG75" s="2" t="str">
        <f t="shared" si="17"/>
        <v/>
      </c>
      <c r="AH75" s="2" t="str">
        <f t="shared" si="18"/>
        <v/>
      </c>
      <c r="AI75" s="2" t="str">
        <f t="shared" si="19"/>
        <v/>
      </c>
      <c r="AJ75" s="2" t="str">
        <f t="shared" si="20"/>
        <v/>
      </c>
      <c r="AK75" s="2" t="str">
        <f t="shared" si="21"/>
        <v/>
      </c>
      <c r="AL75" s="2" t="str">
        <f t="shared" si="22"/>
        <v/>
      </c>
      <c r="AM75" s="2" t="str">
        <f t="shared" si="23"/>
        <v/>
      </c>
      <c r="AN75" s="2" t="str">
        <f t="shared" si="24"/>
        <v/>
      </c>
      <c r="AP75" s="2" t="str" cm="1">
        <f t="array" ref="AP75">IF('NILAI CPL'!$B75&lt;&gt;"",IFERROR(_xlfn.IFS(S75&gt;='NILAI CPL'!$B$3,4,S75&gt;='NILAI CPL'!$B$4,3,S75&gt;='NILAI CPL'!$B$5,2,S75&gt;'NILAI CPL'!$B$6,1),0),"")</f>
        <v/>
      </c>
      <c r="AQ75" s="2" t="str" cm="1">
        <f t="array" ref="AQ75">IF('NILAI CPL'!$B75&lt;&gt;"",IFERROR(_xlfn.IFS(T75&gt;='NILAI CPL'!$B$3,4,T75&gt;='NILAI CPL'!$B$4,3,T75&gt;='NILAI CPL'!$B$5,2,T75&gt;'NILAI CPL'!$B$6,1),0),"")</f>
        <v/>
      </c>
      <c r="AR75" s="2" t="str" cm="1">
        <f t="array" ref="AR75">IF('NILAI CPL'!$B75&lt;&gt;"",IFERROR(_xlfn.IFS(U75&gt;='NILAI CPL'!$B$3,4,U75&gt;='NILAI CPL'!$B$4,3,U75&gt;='NILAI CPL'!$B$5,2,U75&gt;'NILAI CPL'!$B$6,1),0),"")</f>
        <v/>
      </c>
      <c r="AS75" s="2" t="str" cm="1">
        <f t="array" ref="AS75">IF('NILAI CPL'!$B75&lt;&gt;"",IFERROR(_xlfn.IFS(V75&gt;='NILAI CPL'!$B$3,4,V75&gt;='NILAI CPL'!$B$4,3,V75&gt;='NILAI CPL'!$B$5,2,V75&gt;'NILAI CPL'!$B$6,1),0),"")</f>
        <v/>
      </c>
      <c r="AT75" s="2" t="str" cm="1">
        <f t="array" ref="AT75">IF('NILAI CPL'!$B75&lt;&gt;"",IFERROR(_xlfn.IFS(W75&gt;='NILAI CPL'!$B$3,4,W75&gt;='NILAI CPL'!$B$4,3,W75&gt;='NILAI CPL'!$B$5,2,W75&gt;'NILAI CPL'!$B$6,1),0),"")</f>
        <v/>
      </c>
      <c r="AU75" s="2" t="str" cm="1">
        <f t="array" ref="AU75">IF('NILAI CPL'!$B75&lt;&gt;"",IFERROR(_xlfn.IFS(X75&gt;='NILAI CPL'!$B$3,4,X75&gt;='NILAI CPL'!$B$4,3,X75&gt;='NILAI CPL'!$B$5,2,X75&gt;'NILAI CPL'!$B$6,1),0),"")</f>
        <v/>
      </c>
      <c r="AV75" s="2" t="str" cm="1">
        <f t="array" ref="AV75">IF('NILAI CPL'!$B75&lt;&gt;"",IFERROR(_xlfn.IFS(Y75&gt;='NILAI CPL'!$B$3,4,Y75&gt;='NILAI CPL'!$B$4,3,Y75&gt;='NILAI CPL'!$B$5,2,Y75&gt;'NILAI CPL'!$B$6,1),0),"")</f>
        <v/>
      </c>
      <c r="AW75" s="2" t="str" cm="1">
        <f t="array" ref="AW75">IF('NILAI CPL'!$B75&lt;&gt;"",IFERROR(_xlfn.IFS(Z75&gt;='NILAI CPL'!$B$3,4,Z75&gt;='NILAI CPL'!$B$4,3,Z75&gt;='NILAI CPL'!$B$5,2,Z75&gt;'NILAI CPL'!$B$6,1),0),"")</f>
        <v/>
      </c>
      <c r="AX75" s="2" t="str" cm="1">
        <f t="array" ref="AX75">IF('NILAI CPL'!$B75&lt;&gt;"",IFERROR(_xlfn.IFS(AA75&gt;='NILAI CPL'!$B$3,4,AA75&gt;='NILAI CPL'!$B$4,3,AA75&gt;='NILAI CPL'!$B$5,2,AA75&gt;'NILAI CPL'!$B$6,1),0),"")</f>
        <v/>
      </c>
      <c r="AY75" s="2" t="str" cm="1">
        <f t="array" ref="AY75">IF('NILAI CPL'!$B75&lt;&gt;"",IFERROR(_xlfn.IFS(AB75&gt;='NILAI CPL'!$B$3,4,AB75&gt;='NILAI CPL'!$B$4,3,AB75&gt;='NILAI CPL'!$B$5,2,AB75&gt;'NILAI CPL'!$B$6,1),0),"")</f>
        <v/>
      </c>
      <c r="AZ75" s="2" t="str" cm="1">
        <f t="array" ref="AZ75">IF('NILAI CPL'!$B75&lt;&gt;"",IFERROR(_xlfn.IFS(AC75&gt;='NILAI CPL'!$B$3,4,AC75&gt;='NILAI CPL'!$B$4,3,AC75&gt;='NILAI CPL'!$B$5,2,AC75&gt;'NILAI CPL'!$B$6,1),0),"")</f>
        <v/>
      </c>
      <c r="BA75" s="2" t="str" cm="1">
        <f t="array" ref="BA75">IF('NILAI CPL'!$B75&lt;&gt;"",IFERROR(_xlfn.IFS(AD75&gt;='NILAI CPL'!$B$3,4,AD75&gt;='NILAI CPL'!$B$4,3,AD75&gt;='NILAI CPL'!$B$5,2,AD75&gt;'NILAI CPL'!$B$6,1),0),"")</f>
        <v/>
      </c>
      <c r="BB75" s="2" t="str" cm="1">
        <f t="array" ref="BB75">IF('NILAI CPL'!$B75&lt;&gt;"",IFERROR(_xlfn.IFS(AE75&gt;='NILAI CPL'!$B$3,4,AE75&gt;='NILAI CPL'!$B$4,3,AE75&gt;='NILAI CPL'!$B$5,2,AE75&gt;'NILAI CPL'!$B$6,1),0),"")</f>
        <v/>
      </c>
      <c r="BC75" s="2" t="str" cm="1">
        <f t="array" ref="BC75">IF('NILAI CPL'!$B75&lt;&gt;"",IFERROR(_xlfn.IFS(AF75&gt;='NILAI CPL'!$B$3,4,AF75&gt;='NILAI CPL'!$B$4,3,AF75&gt;='NILAI CPL'!$B$5,2,AF75&gt;'NILAI CPL'!$B$6,1),0),"")</f>
        <v/>
      </c>
      <c r="BD75" s="2" t="str" cm="1">
        <f t="array" ref="BD75">IF('NILAI CPL'!$B75&lt;&gt;"",IFERROR(_xlfn.IFS(AG75&gt;='NILAI CPL'!$B$3,4,AG75&gt;='NILAI CPL'!$B$4,3,AG75&gt;='NILAI CPL'!$B$5,2,AG75&gt;'NILAI CPL'!$B$6,1),0),"")</f>
        <v/>
      </c>
      <c r="BE75" s="2" t="str" cm="1">
        <f t="array" ref="BE75">IF('NILAI CPL'!$B75&lt;&gt;"",IFERROR(_xlfn.IFS(AH75&gt;='NILAI CPL'!$B$3,4,AH75&gt;='NILAI CPL'!$B$4,3,AH75&gt;='NILAI CPL'!$B$5,2,AH75&gt;'NILAI CPL'!$B$6,1),0),"")</f>
        <v/>
      </c>
      <c r="BF75" s="2" t="str" cm="1">
        <f t="array" ref="BF75">IF('NILAI CPL'!$B75&lt;&gt;"",IFERROR(_xlfn.IFS(AI75&gt;='NILAI CPL'!$B$3,4,AI75&gt;='NILAI CPL'!$B$4,3,AI75&gt;='NILAI CPL'!$B$5,2,AI75&gt;'NILAI CPL'!$B$6,1),0),"")</f>
        <v/>
      </c>
      <c r="BG75" s="2" t="str" cm="1">
        <f t="array" ref="BG75">IF('NILAI CPL'!$B75&lt;&gt;"",IFERROR(_xlfn.IFS(AJ75&gt;='NILAI CPL'!$B$3,4,AJ75&gt;='NILAI CPL'!$B$4,3,AJ75&gt;='NILAI CPL'!$B$5,2,AJ75&gt;'NILAI CPL'!$B$6,1),0),"")</f>
        <v/>
      </c>
      <c r="BH75" s="2" t="str" cm="1">
        <f t="array" ref="BH75">IF('NILAI CPL'!$B75&lt;&gt;"",IFERROR(_xlfn.IFS(AK75&gt;='NILAI CPL'!$B$3,4,AK75&gt;='NILAI CPL'!$B$4,3,AK75&gt;='NILAI CPL'!$B$5,2,AK75&gt;'NILAI CPL'!$B$6,1),0),"")</f>
        <v/>
      </c>
      <c r="BI75" s="2" t="str" cm="1">
        <f t="array" ref="BI75">IF('NILAI CPL'!$B75&lt;&gt;"",IFERROR(_xlfn.IFS(AL75&gt;='NILAI CPL'!$B$3,4,AL75&gt;='NILAI CPL'!$B$4,3,AL75&gt;='NILAI CPL'!$B$5,2,AL75&gt;'NILAI CPL'!$B$6,1),0),"")</f>
        <v/>
      </c>
      <c r="BJ75" s="2" t="str" cm="1">
        <f t="array" ref="BJ75">IF('NILAI CPL'!$B75&lt;&gt;"",IFERROR(_xlfn.IFS(AM75&gt;='NILAI CPL'!$B$3,4,AM75&gt;='NILAI CPL'!$B$4,3,AM75&gt;='NILAI CPL'!$B$5,2,AM75&gt;'NILAI CPL'!$B$6,1),0),"")</f>
        <v/>
      </c>
      <c r="BK75" s="2" t="str" cm="1">
        <f t="array" ref="BK75">IF('NILAI CPL'!$B75&lt;&gt;"",IFERROR(_xlfn.IFS(AN75&gt;='NILAI CPL'!$B$3,4,AN75&gt;='NILAI CPL'!$B$4,3,AN75&gt;='NILAI CPL'!$B$5,2,AN75&gt;'NILAI CPL'!$B$6,1),0),"")</f>
        <v/>
      </c>
    </row>
    <row r="76" spans="1:63" x14ac:dyDescent="0.2">
      <c r="A76" s="2">
        <v>66</v>
      </c>
      <c r="B76" s="2" t="str">
        <f>IF(LEN(SUMMARY!B76)&gt;0, SUMMARY!B76, "")</f>
        <v/>
      </c>
      <c r="C76" s="2" t="str">
        <f>IF(LEN(SUMMARY!C76)&gt;0, SUMMARY!C76, "")</f>
        <v/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" t="str">
        <f t="shared" ref="Q76:Q90" si="25">IF(B76&lt;&gt;"",IFERROR(ROUNDUP(SUMPRODUCT($E$10:$P$10,E76:P76)/SUM($E$10:$P$10),2),0),"")</f>
        <v/>
      </c>
      <c r="S76" s="2" t="str">
        <f t="shared" ref="S76:S90" si="26">IF(B76&lt;&gt;"",IFERROR(ROUNDUP(SUMPRODUCT(E76:P76,$E$95:$P$95)/SUM($E$95:$P$95),2),0),"")</f>
        <v/>
      </c>
      <c r="T76" s="2" t="str">
        <f t="shared" ref="T76:T90" si="27">IF(B76&lt;&gt;"",IFERROR(ROUNDUP(SUMPRODUCT(E76:P76,$E$96:$P$96)/SUM($E$96:$P$96),2),0),"")</f>
        <v/>
      </c>
      <c r="U76" s="2" t="str">
        <f t="shared" ref="U76:U90" si="28">IF(B76&lt;&gt;"",IFERROR(ROUNDUP(SUMPRODUCT(E76:P76,$E$97:$P$97)/SUM($E$97:$P$97),2),0),"")</f>
        <v/>
      </c>
      <c r="V76" s="2" t="str">
        <f t="shared" ref="V76:V90" si="29">IF(B76&lt;&gt;"",IFERROR(ROUNDUP(SUMPRODUCT(E76:P76,$E$98:$P$98)/SUM($E$98:$P$98),2),0),"")</f>
        <v/>
      </c>
      <c r="W76" s="2" t="str">
        <f t="shared" ref="W76:W90" si="30">IF(B76&lt;&gt;"",IFERROR(ROUNDUP(SUMPRODUCT(E76:P76,$E$99:$P$99)/SUM($E$99:$P$99),2),0),"")</f>
        <v/>
      </c>
      <c r="X76" s="2" t="str">
        <f t="shared" ref="X76:X90" si="31">IF(B76&lt;&gt;"",IFERROR(ROUNDUP(SUMPRODUCT(E76:P76,$E$100:$P$100)/SUM($E$100:$P$100),2),0),"")</f>
        <v/>
      </c>
      <c r="Y76" s="2" t="str">
        <f t="shared" ref="Y76:Y90" si="32">IF(B76&lt;&gt;"",IFERROR(ROUNDUP(SUMPRODUCT(E76:P76,$E$101:$P$101)/SUM($E$101:$P$101),2),0),"")</f>
        <v/>
      </c>
      <c r="Z76" s="2" t="str">
        <f t="shared" ref="Z76:Z90" si="33">IF(B76&lt;&gt;"",IFERROR(ROUNDUP(SUMPRODUCT(E76:P76,$E$102:$P$102)/SUM($E$102:$P$102),2),0),"")</f>
        <v/>
      </c>
      <c r="AA76" s="2" t="str">
        <f t="shared" ref="AA76:AA90" si="34">IF(B76&lt;&gt;"",IFERROR(ROUNDUP(SUMPRODUCT(E76:P76,$E$103:$P$103)/SUM($E$103:$P$103),2),0),"")</f>
        <v/>
      </c>
      <c r="AB76" s="2" t="str">
        <f t="shared" ref="AB76:AB90" si="35">IF(B76&lt;&gt;"",IFERROR(ROUNDUP(SUMPRODUCT(E76:P76,$E$104:$P$104)/SUM($E$104:$P$104),2),0),"")</f>
        <v/>
      </c>
      <c r="AC76" s="2" t="str">
        <f t="shared" ref="AC76:AC90" si="36">IF(B76&lt;&gt;"",IFERROR(ROUNDUP(SUMPRODUCT(E76:P76,$E$105:$P$105)/SUM($E$105:$P$105),2),0),"")</f>
        <v/>
      </c>
      <c r="AD76" s="2" t="str">
        <f t="shared" ref="AD76:AD90" si="37">IF(B76&lt;&gt;"",IFERROR(ROUNDUP(SUMPRODUCT(E76:P76,$E$106:$P$106)/SUM($E$106:$P$106),2),0),"")</f>
        <v/>
      </c>
      <c r="AE76" s="2" t="str">
        <f t="shared" ref="AE76:AE90" si="38">IF(B76&lt;&gt;"",IFERROR(ROUNDUP(SUMPRODUCT(E76:P76,$E$107:$P$107)/SUM($E$107:$P$107),2),0),"")</f>
        <v/>
      </c>
      <c r="AF76" s="2" t="str">
        <f t="shared" ref="AF76:AF90" si="39">IF(B76&lt;&gt;"",IFERROR(ROUNDUP(SUMPRODUCT(E76:P76,$E$108:$P$108)/SUM($E$108:$P$108),2),0),"")</f>
        <v/>
      </c>
      <c r="AG76" s="2" t="str">
        <f t="shared" ref="AG76:AG90" si="40">IF(B76&lt;&gt;"",IFERROR(ROUNDUP(SUMPRODUCT(E76:P76,$E$109:$P$109)/SUM($E$109:$P$109),2),0),"")</f>
        <v/>
      </c>
      <c r="AH76" s="2" t="str">
        <f t="shared" ref="AH76:AH90" si="41">IF(B76&lt;&gt;"",IFERROR(ROUNDUP(SUMPRODUCT(E76:P76,$E$110:$P$110)/SUM($E$110:$P$110),2),0),"")</f>
        <v/>
      </c>
      <c r="AI76" s="2" t="str">
        <f t="shared" ref="AI76:AI90" si="42">IF(B76&lt;&gt;"",IFERROR(ROUNDUP(SUMPRODUCT(E76:P76,$E$111:$P$111)/SUM($E$111:$P$111),2),0),"")</f>
        <v/>
      </c>
      <c r="AJ76" s="2" t="str">
        <f t="shared" ref="AJ76:AJ90" si="43">IF(B76&lt;&gt;"",IFERROR(ROUNDUP(SUMPRODUCT(E76:P76,$E$112:$P$112)/SUM($E$112:$P$112),2),0),"")</f>
        <v/>
      </c>
      <c r="AK76" s="2" t="str">
        <f t="shared" ref="AK76:AK90" si="44">IF(B76&lt;&gt;"",IFERROR(ROUNDUP(SUMPRODUCT(E76:P76,$E$113:$P$113)/SUM($E$113:$P$113),2),0),"")</f>
        <v/>
      </c>
      <c r="AL76" s="2" t="str">
        <f t="shared" ref="AL76:AL90" si="45">IF(B76&lt;&gt;"",IFERROR(ROUNDUP(SUMPRODUCT(E76:P76,$E$114:$P$114)/SUM($E$114:$P$114),2),0),"")</f>
        <v/>
      </c>
      <c r="AM76" s="2" t="str">
        <f t="shared" ref="AM76:AM90" si="46">IF(B76&lt;&gt;"",IFERROR(ROUNDUP(SUMPRODUCT(E76:P76,$E$115:$P$115)/SUM($E$115:$P$115),2),0),"")</f>
        <v/>
      </c>
      <c r="AN76" s="2" t="str">
        <f t="shared" ref="AN76:AN90" si="47">IF(B76&lt;&gt;"",IFERROR(ROUNDUP(SUMPRODUCT(E76:P76,$E$116:$P$116)/SUM($E$116:$P$116),2),0),"")</f>
        <v/>
      </c>
      <c r="AP76" s="2" t="str" cm="1">
        <f t="array" ref="AP76">IF('NILAI CPL'!$B76&lt;&gt;"",IFERROR(_xlfn.IFS(S76&gt;='NILAI CPL'!$B$3,4,S76&gt;='NILAI CPL'!$B$4,3,S76&gt;='NILAI CPL'!$B$5,2,S76&gt;'NILAI CPL'!$B$6,1),0),"")</f>
        <v/>
      </c>
      <c r="AQ76" s="2" t="str" cm="1">
        <f t="array" ref="AQ76">IF('NILAI CPL'!$B76&lt;&gt;"",IFERROR(_xlfn.IFS(T76&gt;='NILAI CPL'!$B$3,4,T76&gt;='NILAI CPL'!$B$4,3,T76&gt;='NILAI CPL'!$B$5,2,T76&gt;'NILAI CPL'!$B$6,1),0),"")</f>
        <v/>
      </c>
      <c r="AR76" s="2" t="str" cm="1">
        <f t="array" ref="AR76">IF('NILAI CPL'!$B76&lt;&gt;"",IFERROR(_xlfn.IFS(U76&gt;='NILAI CPL'!$B$3,4,U76&gt;='NILAI CPL'!$B$4,3,U76&gt;='NILAI CPL'!$B$5,2,U76&gt;'NILAI CPL'!$B$6,1),0),"")</f>
        <v/>
      </c>
      <c r="AS76" s="2" t="str" cm="1">
        <f t="array" ref="AS76">IF('NILAI CPL'!$B76&lt;&gt;"",IFERROR(_xlfn.IFS(V76&gt;='NILAI CPL'!$B$3,4,V76&gt;='NILAI CPL'!$B$4,3,V76&gt;='NILAI CPL'!$B$5,2,V76&gt;'NILAI CPL'!$B$6,1),0),"")</f>
        <v/>
      </c>
      <c r="AT76" s="2" t="str" cm="1">
        <f t="array" ref="AT76">IF('NILAI CPL'!$B76&lt;&gt;"",IFERROR(_xlfn.IFS(W76&gt;='NILAI CPL'!$B$3,4,W76&gt;='NILAI CPL'!$B$4,3,W76&gt;='NILAI CPL'!$B$5,2,W76&gt;'NILAI CPL'!$B$6,1),0),"")</f>
        <v/>
      </c>
      <c r="AU76" s="2" t="str" cm="1">
        <f t="array" ref="AU76">IF('NILAI CPL'!$B76&lt;&gt;"",IFERROR(_xlfn.IFS(X76&gt;='NILAI CPL'!$B$3,4,X76&gt;='NILAI CPL'!$B$4,3,X76&gt;='NILAI CPL'!$B$5,2,X76&gt;'NILAI CPL'!$B$6,1),0),"")</f>
        <v/>
      </c>
      <c r="AV76" s="2" t="str" cm="1">
        <f t="array" ref="AV76">IF('NILAI CPL'!$B76&lt;&gt;"",IFERROR(_xlfn.IFS(Y76&gt;='NILAI CPL'!$B$3,4,Y76&gt;='NILAI CPL'!$B$4,3,Y76&gt;='NILAI CPL'!$B$5,2,Y76&gt;'NILAI CPL'!$B$6,1),0),"")</f>
        <v/>
      </c>
      <c r="AW76" s="2" t="str" cm="1">
        <f t="array" ref="AW76">IF('NILAI CPL'!$B76&lt;&gt;"",IFERROR(_xlfn.IFS(Z76&gt;='NILAI CPL'!$B$3,4,Z76&gt;='NILAI CPL'!$B$4,3,Z76&gt;='NILAI CPL'!$B$5,2,Z76&gt;'NILAI CPL'!$B$6,1),0),"")</f>
        <v/>
      </c>
      <c r="AX76" s="2" t="str" cm="1">
        <f t="array" ref="AX76">IF('NILAI CPL'!$B76&lt;&gt;"",IFERROR(_xlfn.IFS(AA76&gt;='NILAI CPL'!$B$3,4,AA76&gt;='NILAI CPL'!$B$4,3,AA76&gt;='NILAI CPL'!$B$5,2,AA76&gt;'NILAI CPL'!$B$6,1),0),"")</f>
        <v/>
      </c>
      <c r="AY76" s="2" t="str" cm="1">
        <f t="array" ref="AY76">IF('NILAI CPL'!$B76&lt;&gt;"",IFERROR(_xlfn.IFS(AB76&gt;='NILAI CPL'!$B$3,4,AB76&gt;='NILAI CPL'!$B$4,3,AB76&gt;='NILAI CPL'!$B$5,2,AB76&gt;'NILAI CPL'!$B$6,1),0),"")</f>
        <v/>
      </c>
      <c r="AZ76" s="2" t="str" cm="1">
        <f t="array" ref="AZ76">IF('NILAI CPL'!$B76&lt;&gt;"",IFERROR(_xlfn.IFS(AC76&gt;='NILAI CPL'!$B$3,4,AC76&gt;='NILAI CPL'!$B$4,3,AC76&gt;='NILAI CPL'!$B$5,2,AC76&gt;'NILAI CPL'!$B$6,1),0),"")</f>
        <v/>
      </c>
      <c r="BA76" s="2" t="str" cm="1">
        <f t="array" ref="BA76">IF('NILAI CPL'!$B76&lt;&gt;"",IFERROR(_xlfn.IFS(AD76&gt;='NILAI CPL'!$B$3,4,AD76&gt;='NILAI CPL'!$B$4,3,AD76&gt;='NILAI CPL'!$B$5,2,AD76&gt;'NILAI CPL'!$B$6,1),0),"")</f>
        <v/>
      </c>
      <c r="BB76" s="2" t="str" cm="1">
        <f t="array" ref="BB76">IF('NILAI CPL'!$B76&lt;&gt;"",IFERROR(_xlfn.IFS(AE76&gt;='NILAI CPL'!$B$3,4,AE76&gt;='NILAI CPL'!$B$4,3,AE76&gt;='NILAI CPL'!$B$5,2,AE76&gt;'NILAI CPL'!$B$6,1),0),"")</f>
        <v/>
      </c>
      <c r="BC76" s="2" t="str" cm="1">
        <f t="array" ref="BC76">IF('NILAI CPL'!$B76&lt;&gt;"",IFERROR(_xlfn.IFS(AF76&gt;='NILAI CPL'!$B$3,4,AF76&gt;='NILAI CPL'!$B$4,3,AF76&gt;='NILAI CPL'!$B$5,2,AF76&gt;'NILAI CPL'!$B$6,1),0),"")</f>
        <v/>
      </c>
      <c r="BD76" s="2" t="str" cm="1">
        <f t="array" ref="BD76">IF('NILAI CPL'!$B76&lt;&gt;"",IFERROR(_xlfn.IFS(AG76&gt;='NILAI CPL'!$B$3,4,AG76&gt;='NILAI CPL'!$B$4,3,AG76&gt;='NILAI CPL'!$B$5,2,AG76&gt;'NILAI CPL'!$B$6,1),0),"")</f>
        <v/>
      </c>
      <c r="BE76" s="2" t="str" cm="1">
        <f t="array" ref="BE76">IF('NILAI CPL'!$B76&lt;&gt;"",IFERROR(_xlfn.IFS(AH76&gt;='NILAI CPL'!$B$3,4,AH76&gt;='NILAI CPL'!$B$4,3,AH76&gt;='NILAI CPL'!$B$5,2,AH76&gt;'NILAI CPL'!$B$6,1),0),"")</f>
        <v/>
      </c>
      <c r="BF76" s="2" t="str" cm="1">
        <f t="array" ref="BF76">IF('NILAI CPL'!$B76&lt;&gt;"",IFERROR(_xlfn.IFS(AI76&gt;='NILAI CPL'!$B$3,4,AI76&gt;='NILAI CPL'!$B$4,3,AI76&gt;='NILAI CPL'!$B$5,2,AI76&gt;'NILAI CPL'!$B$6,1),0),"")</f>
        <v/>
      </c>
      <c r="BG76" s="2" t="str" cm="1">
        <f t="array" ref="BG76">IF('NILAI CPL'!$B76&lt;&gt;"",IFERROR(_xlfn.IFS(AJ76&gt;='NILAI CPL'!$B$3,4,AJ76&gt;='NILAI CPL'!$B$4,3,AJ76&gt;='NILAI CPL'!$B$5,2,AJ76&gt;'NILAI CPL'!$B$6,1),0),"")</f>
        <v/>
      </c>
      <c r="BH76" s="2" t="str" cm="1">
        <f t="array" ref="BH76">IF('NILAI CPL'!$B76&lt;&gt;"",IFERROR(_xlfn.IFS(AK76&gt;='NILAI CPL'!$B$3,4,AK76&gt;='NILAI CPL'!$B$4,3,AK76&gt;='NILAI CPL'!$B$5,2,AK76&gt;'NILAI CPL'!$B$6,1),0),"")</f>
        <v/>
      </c>
      <c r="BI76" s="2" t="str" cm="1">
        <f t="array" ref="BI76">IF('NILAI CPL'!$B76&lt;&gt;"",IFERROR(_xlfn.IFS(AL76&gt;='NILAI CPL'!$B$3,4,AL76&gt;='NILAI CPL'!$B$4,3,AL76&gt;='NILAI CPL'!$B$5,2,AL76&gt;'NILAI CPL'!$B$6,1),0),"")</f>
        <v/>
      </c>
      <c r="BJ76" s="2" t="str" cm="1">
        <f t="array" ref="BJ76">IF('NILAI CPL'!$B76&lt;&gt;"",IFERROR(_xlfn.IFS(AM76&gt;='NILAI CPL'!$B$3,4,AM76&gt;='NILAI CPL'!$B$4,3,AM76&gt;='NILAI CPL'!$B$5,2,AM76&gt;'NILAI CPL'!$B$6,1),0),"")</f>
        <v/>
      </c>
      <c r="BK76" s="2" t="str" cm="1">
        <f t="array" ref="BK76">IF('NILAI CPL'!$B76&lt;&gt;"",IFERROR(_xlfn.IFS(AN76&gt;='NILAI CPL'!$B$3,4,AN76&gt;='NILAI CPL'!$B$4,3,AN76&gt;='NILAI CPL'!$B$5,2,AN76&gt;'NILAI CPL'!$B$6,1),0),"")</f>
        <v/>
      </c>
    </row>
    <row r="77" spans="1:63" x14ac:dyDescent="0.2">
      <c r="A77" s="2">
        <v>67</v>
      </c>
      <c r="B77" s="2" t="str">
        <f>IF(LEN(SUMMARY!B77)&gt;0, SUMMARY!B77, "")</f>
        <v/>
      </c>
      <c r="C77" s="2" t="str">
        <f>IF(LEN(SUMMARY!C77)&gt;0, SUMMARY!C77, "")</f>
        <v/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" t="str">
        <f t="shared" si="25"/>
        <v/>
      </c>
      <c r="S77" s="2" t="str">
        <f t="shared" si="26"/>
        <v/>
      </c>
      <c r="T77" s="2" t="str">
        <f t="shared" si="27"/>
        <v/>
      </c>
      <c r="U77" s="2" t="str">
        <f t="shared" si="28"/>
        <v/>
      </c>
      <c r="V77" s="2" t="str">
        <f t="shared" si="29"/>
        <v/>
      </c>
      <c r="W77" s="2" t="str">
        <f t="shared" si="30"/>
        <v/>
      </c>
      <c r="X77" s="2" t="str">
        <f t="shared" si="31"/>
        <v/>
      </c>
      <c r="Y77" s="2" t="str">
        <f t="shared" si="32"/>
        <v/>
      </c>
      <c r="Z77" s="2" t="str">
        <f t="shared" si="33"/>
        <v/>
      </c>
      <c r="AA77" s="2" t="str">
        <f t="shared" si="34"/>
        <v/>
      </c>
      <c r="AB77" s="2" t="str">
        <f t="shared" si="35"/>
        <v/>
      </c>
      <c r="AC77" s="2" t="str">
        <f t="shared" si="36"/>
        <v/>
      </c>
      <c r="AD77" s="2" t="str">
        <f t="shared" si="37"/>
        <v/>
      </c>
      <c r="AE77" s="2" t="str">
        <f t="shared" si="38"/>
        <v/>
      </c>
      <c r="AF77" s="2" t="str">
        <f t="shared" si="39"/>
        <v/>
      </c>
      <c r="AG77" s="2" t="str">
        <f t="shared" si="40"/>
        <v/>
      </c>
      <c r="AH77" s="2" t="str">
        <f t="shared" si="41"/>
        <v/>
      </c>
      <c r="AI77" s="2" t="str">
        <f t="shared" si="42"/>
        <v/>
      </c>
      <c r="AJ77" s="2" t="str">
        <f t="shared" si="43"/>
        <v/>
      </c>
      <c r="AK77" s="2" t="str">
        <f t="shared" si="44"/>
        <v/>
      </c>
      <c r="AL77" s="2" t="str">
        <f t="shared" si="45"/>
        <v/>
      </c>
      <c r="AM77" s="2" t="str">
        <f t="shared" si="46"/>
        <v/>
      </c>
      <c r="AN77" s="2" t="str">
        <f t="shared" si="47"/>
        <v/>
      </c>
      <c r="AP77" s="2" t="str" cm="1">
        <f t="array" ref="AP77">IF('NILAI CPL'!$B77&lt;&gt;"",IFERROR(_xlfn.IFS(S77&gt;='NILAI CPL'!$B$3,4,S77&gt;='NILAI CPL'!$B$4,3,S77&gt;='NILAI CPL'!$B$5,2,S77&gt;'NILAI CPL'!$B$6,1),0),"")</f>
        <v/>
      </c>
      <c r="AQ77" s="2" t="str" cm="1">
        <f t="array" ref="AQ77">IF('NILAI CPL'!$B77&lt;&gt;"",IFERROR(_xlfn.IFS(T77&gt;='NILAI CPL'!$B$3,4,T77&gt;='NILAI CPL'!$B$4,3,T77&gt;='NILAI CPL'!$B$5,2,T77&gt;'NILAI CPL'!$B$6,1),0),"")</f>
        <v/>
      </c>
      <c r="AR77" s="2" t="str" cm="1">
        <f t="array" ref="AR77">IF('NILAI CPL'!$B77&lt;&gt;"",IFERROR(_xlfn.IFS(U77&gt;='NILAI CPL'!$B$3,4,U77&gt;='NILAI CPL'!$B$4,3,U77&gt;='NILAI CPL'!$B$5,2,U77&gt;'NILAI CPL'!$B$6,1),0),"")</f>
        <v/>
      </c>
      <c r="AS77" s="2" t="str" cm="1">
        <f t="array" ref="AS77">IF('NILAI CPL'!$B77&lt;&gt;"",IFERROR(_xlfn.IFS(V77&gt;='NILAI CPL'!$B$3,4,V77&gt;='NILAI CPL'!$B$4,3,V77&gt;='NILAI CPL'!$B$5,2,V77&gt;'NILAI CPL'!$B$6,1),0),"")</f>
        <v/>
      </c>
      <c r="AT77" s="2" t="str" cm="1">
        <f t="array" ref="AT77">IF('NILAI CPL'!$B77&lt;&gt;"",IFERROR(_xlfn.IFS(W77&gt;='NILAI CPL'!$B$3,4,W77&gt;='NILAI CPL'!$B$4,3,W77&gt;='NILAI CPL'!$B$5,2,W77&gt;'NILAI CPL'!$B$6,1),0),"")</f>
        <v/>
      </c>
      <c r="AU77" s="2" t="str" cm="1">
        <f t="array" ref="AU77">IF('NILAI CPL'!$B77&lt;&gt;"",IFERROR(_xlfn.IFS(X77&gt;='NILAI CPL'!$B$3,4,X77&gt;='NILAI CPL'!$B$4,3,X77&gt;='NILAI CPL'!$B$5,2,X77&gt;'NILAI CPL'!$B$6,1),0),"")</f>
        <v/>
      </c>
      <c r="AV77" s="2" t="str" cm="1">
        <f t="array" ref="AV77">IF('NILAI CPL'!$B77&lt;&gt;"",IFERROR(_xlfn.IFS(Y77&gt;='NILAI CPL'!$B$3,4,Y77&gt;='NILAI CPL'!$B$4,3,Y77&gt;='NILAI CPL'!$B$5,2,Y77&gt;'NILAI CPL'!$B$6,1),0),"")</f>
        <v/>
      </c>
      <c r="AW77" s="2" t="str" cm="1">
        <f t="array" ref="AW77">IF('NILAI CPL'!$B77&lt;&gt;"",IFERROR(_xlfn.IFS(Z77&gt;='NILAI CPL'!$B$3,4,Z77&gt;='NILAI CPL'!$B$4,3,Z77&gt;='NILAI CPL'!$B$5,2,Z77&gt;'NILAI CPL'!$B$6,1),0),"")</f>
        <v/>
      </c>
      <c r="AX77" s="2" t="str" cm="1">
        <f t="array" ref="AX77">IF('NILAI CPL'!$B77&lt;&gt;"",IFERROR(_xlfn.IFS(AA77&gt;='NILAI CPL'!$B$3,4,AA77&gt;='NILAI CPL'!$B$4,3,AA77&gt;='NILAI CPL'!$B$5,2,AA77&gt;'NILAI CPL'!$B$6,1),0),"")</f>
        <v/>
      </c>
      <c r="AY77" s="2" t="str" cm="1">
        <f t="array" ref="AY77">IF('NILAI CPL'!$B77&lt;&gt;"",IFERROR(_xlfn.IFS(AB77&gt;='NILAI CPL'!$B$3,4,AB77&gt;='NILAI CPL'!$B$4,3,AB77&gt;='NILAI CPL'!$B$5,2,AB77&gt;'NILAI CPL'!$B$6,1),0),"")</f>
        <v/>
      </c>
      <c r="AZ77" s="2" t="str" cm="1">
        <f t="array" ref="AZ77">IF('NILAI CPL'!$B77&lt;&gt;"",IFERROR(_xlfn.IFS(AC77&gt;='NILAI CPL'!$B$3,4,AC77&gt;='NILAI CPL'!$B$4,3,AC77&gt;='NILAI CPL'!$B$5,2,AC77&gt;'NILAI CPL'!$B$6,1),0),"")</f>
        <v/>
      </c>
      <c r="BA77" s="2" t="str" cm="1">
        <f t="array" ref="BA77">IF('NILAI CPL'!$B77&lt;&gt;"",IFERROR(_xlfn.IFS(AD77&gt;='NILAI CPL'!$B$3,4,AD77&gt;='NILAI CPL'!$B$4,3,AD77&gt;='NILAI CPL'!$B$5,2,AD77&gt;'NILAI CPL'!$B$6,1),0),"")</f>
        <v/>
      </c>
      <c r="BB77" s="2" t="str" cm="1">
        <f t="array" ref="BB77">IF('NILAI CPL'!$B77&lt;&gt;"",IFERROR(_xlfn.IFS(AE77&gt;='NILAI CPL'!$B$3,4,AE77&gt;='NILAI CPL'!$B$4,3,AE77&gt;='NILAI CPL'!$B$5,2,AE77&gt;'NILAI CPL'!$B$6,1),0),"")</f>
        <v/>
      </c>
      <c r="BC77" s="2" t="str" cm="1">
        <f t="array" ref="BC77">IF('NILAI CPL'!$B77&lt;&gt;"",IFERROR(_xlfn.IFS(AF77&gt;='NILAI CPL'!$B$3,4,AF77&gt;='NILAI CPL'!$B$4,3,AF77&gt;='NILAI CPL'!$B$5,2,AF77&gt;'NILAI CPL'!$B$6,1),0),"")</f>
        <v/>
      </c>
      <c r="BD77" s="2" t="str" cm="1">
        <f t="array" ref="BD77">IF('NILAI CPL'!$B77&lt;&gt;"",IFERROR(_xlfn.IFS(AG77&gt;='NILAI CPL'!$B$3,4,AG77&gt;='NILAI CPL'!$B$4,3,AG77&gt;='NILAI CPL'!$B$5,2,AG77&gt;'NILAI CPL'!$B$6,1),0),"")</f>
        <v/>
      </c>
      <c r="BE77" s="2" t="str" cm="1">
        <f t="array" ref="BE77">IF('NILAI CPL'!$B77&lt;&gt;"",IFERROR(_xlfn.IFS(AH77&gt;='NILAI CPL'!$B$3,4,AH77&gt;='NILAI CPL'!$B$4,3,AH77&gt;='NILAI CPL'!$B$5,2,AH77&gt;'NILAI CPL'!$B$6,1),0),"")</f>
        <v/>
      </c>
      <c r="BF77" s="2" t="str" cm="1">
        <f t="array" ref="BF77">IF('NILAI CPL'!$B77&lt;&gt;"",IFERROR(_xlfn.IFS(AI77&gt;='NILAI CPL'!$B$3,4,AI77&gt;='NILAI CPL'!$B$4,3,AI77&gt;='NILAI CPL'!$B$5,2,AI77&gt;'NILAI CPL'!$B$6,1),0),"")</f>
        <v/>
      </c>
      <c r="BG77" s="2" t="str" cm="1">
        <f t="array" ref="BG77">IF('NILAI CPL'!$B77&lt;&gt;"",IFERROR(_xlfn.IFS(AJ77&gt;='NILAI CPL'!$B$3,4,AJ77&gt;='NILAI CPL'!$B$4,3,AJ77&gt;='NILAI CPL'!$B$5,2,AJ77&gt;'NILAI CPL'!$B$6,1),0),"")</f>
        <v/>
      </c>
      <c r="BH77" s="2" t="str" cm="1">
        <f t="array" ref="BH77">IF('NILAI CPL'!$B77&lt;&gt;"",IFERROR(_xlfn.IFS(AK77&gt;='NILAI CPL'!$B$3,4,AK77&gt;='NILAI CPL'!$B$4,3,AK77&gt;='NILAI CPL'!$B$5,2,AK77&gt;'NILAI CPL'!$B$6,1),0),"")</f>
        <v/>
      </c>
      <c r="BI77" s="2" t="str" cm="1">
        <f t="array" ref="BI77">IF('NILAI CPL'!$B77&lt;&gt;"",IFERROR(_xlfn.IFS(AL77&gt;='NILAI CPL'!$B$3,4,AL77&gt;='NILAI CPL'!$B$4,3,AL77&gt;='NILAI CPL'!$B$5,2,AL77&gt;'NILAI CPL'!$B$6,1),0),"")</f>
        <v/>
      </c>
      <c r="BJ77" s="2" t="str" cm="1">
        <f t="array" ref="BJ77">IF('NILAI CPL'!$B77&lt;&gt;"",IFERROR(_xlfn.IFS(AM77&gt;='NILAI CPL'!$B$3,4,AM77&gt;='NILAI CPL'!$B$4,3,AM77&gt;='NILAI CPL'!$B$5,2,AM77&gt;'NILAI CPL'!$B$6,1),0),"")</f>
        <v/>
      </c>
      <c r="BK77" s="2" t="str" cm="1">
        <f t="array" ref="BK77">IF('NILAI CPL'!$B77&lt;&gt;"",IFERROR(_xlfn.IFS(AN77&gt;='NILAI CPL'!$B$3,4,AN77&gt;='NILAI CPL'!$B$4,3,AN77&gt;='NILAI CPL'!$B$5,2,AN77&gt;'NILAI CPL'!$B$6,1),0),"")</f>
        <v/>
      </c>
    </row>
    <row r="78" spans="1:63" x14ac:dyDescent="0.2">
      <c r="A78" s="2">
        <v>68</v>
      </c>
      <c r="B78" s="2" t="str">
        <f>IF(LEN(SUMMARY!B78)&gt;0, SUMMARY!B78, "")</f>
        <v/>
      </c>
      <c r="C78" s="2" t="str">
        <f>IF(LEN(SUMMARY!C78)&gt;0, SUMMARY!C78, "")</f>
        <v/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" t="str">
        <f t="shared" si="25"/>
        <v/>
      </c>
      <c r="S78" s="2" t="str">
        <f t="shared" si="26"/>
        <v/>
      </c>
      <c r="T78" s="2" t="str">
        <f t="shared" si="27"/>
        <v/>
      </c>
      <c r="U78" s="2" t="str">
        <f t="shared" si="28"/>
        <v/>
      </c>
      <c r="V78" s="2" t="str">
        <f t="shared" si="29"/>
        <v/>
      </c>
      <c r="W78" s="2" t="str">
        <f t="shared" si="30"/>
        <v/>
      </c>
      <c r="X78" s="2" t="str">
        <f t="shared" si="31"/>
        <v/>
      </c>
      <c r="Y78" s="2" t="str">
        <f t="shared" si="32"/>
        <v/>
      </c>
      <c r="Z78" s="2" t="str">
        <f t="shared" si="33"/>
        <v/>
      </c>
      <c r="AA78" s="2" t="str">
        <f t="shared" si="34"/>
        <v/>
      </c>
      <c r="AB78" s="2" t="str">
        <f t="shared" si="35"/>
        <v/>
      </c>
      <c r="AC78" s="2" t="str">
        <f t="shared" si="36"/>
        <v/>
      </c>
      <c r="AD78" s="2" t="str">
        <f t="shared" si="37"/>
        <v/>
      </c>
      <c r="AE78" s="2" t="str">
        <f t="shared" si="38"/>
        <v/>
      </c>
      <c r="AF78" s="2" t="str">
        <f t="shared" si="39"/>
        <v/>
      </c>
      <c r="AG78" s="2" t="str">
        <f t="shared" si="40"/>
        <v/>
      </c>
      <c r="AH78" s="2" t="str">
        <f t="shared" si="41"/>
        <v/>
      </c>
      <c r="AI78" s="2" t="str">
        <f t="shared" si="42"/>
        <v/>
      </c>
      <c r="AJ78" s="2" t="str">
        <f t="shared" si="43"/>
        <v/>
      </c>
      <c r="AK78" s="2" t="str">
        <f t="shared" si="44"/>
        <v/>
      </c>
      <c r="AL78" s="2" t="str">
        <f t="shared" si="45"/>
        <v/>
      </c>
      <c r="AM78" s="2" t="str">
        <f t="shared" si="46"/>
        <v/>
      </c>
      <c r="AN78" s="2" t="str">
        <f t="shared" si="47"/>
        <v/>
      </c>
      <c r="AP78" s="2" t="str" cm="1">
        <f t="array" ref="AP78">IF('NILAI CPL'!$B78&lt;&gt;"",IFERROR(_xlfn.IFS(S78&gt;='NILAI CPL'!$B$3,4,S78&gt;='NILAI CPL'!$B$4,3,S78&gt;='NILAI CPL'!$B$5,2,S78&gt;'NILAI CPL'!$B$6,1),0),"")</f>
        <v/>
      </c>
      <c r="AQ78" s="2" t="str" cm="1">
        <f t="array" ref="AQ78">IF('NILAI CPL'!$B78&lt;&gt;"",IFERROR(_xlfn.IFS(T78&gt;='NILAI CPL'!$B$3,4,T78&gt;='NILAI CPL'!$B$4,3,T78&gt;='NILAI CPL'!$B$5,2,T78&gt;'NILAI CPL'!$B$6,1),0),"")</f>
        <v/>
      </c>
      <c r="AR78" s="2" t="str" cm="1">
        <f t="array" ref="AR78">IF('NILAI CPL'!$B78&lt;&gt;"",IFERROR(_xlfn.IFS(U78&gt;='NILAI CPL'!$B$3,4,U78&gt;='NILAI CPL'!$B$4,3,U78&gt;='NILAI CPL'!$B$5,2,U78&gt;'NILAI CPL'!$B$6,1),0),"")</f>
        <v/>
      </c>
      <c r="AS78" s="2" t="str" cm="1">
        <f t="array" ref="AS78">IF('NILAI CPL'!$B78&lt;&gt;"",IFERROR(_xlfn.IFS(V78&gt;='NILAI CPL'!$B$3,4,V78&gt;='NILAI CPL'!$B$4,3,V78&gt;='NILAI CPL'!$B$5,2,V78&gt;'NILAI CPL'!$B$6,1),0),"")</f>
        <v/>
      </c>
      <c r="AT78" s="2" t="str" cm="1">
        <f t="array" ref="AT78">IF('NILAI CPL'!$B78&lt;&gt;"",IFERROR(_xlfn.IFS(W78&gt;='NILAI CPL'!$B$3,4,W78&gt;='NILAI CPL'!$B$4,3,W78&gt;='NILAI CPL'!$B$5,2,W78&gt;'NILAI CPL'!$B$6,1),0),"")</f>
        <v/>
      </c>
      <c r="AU78" s="2" t="str" cm="1">
        <f t="array" ref="AU78">IF('NILAI CPL'!$B78&lt;&gt;"",IFERROR(_xlfn.IFS(X78&gt;='NILAI CPL'!$B$3,4,X78&gt;='NILAI CPL'!$B$4,3,X78&gt;='NILAI CPL'!$B$5,2,X78&gt;'NILAI CPL'!$B$6,1),0),"")</f>
        <v/>
      </c>
      <c r="AV78" s="2" t="str" cm="1">
        <f t="array" ref="AV78">IF('NILAI CPL'!$B78&lt;&gt;"",IFERROR(_xlfn.IFS(Y78&gt;='NILAI CPL'!$B$3,4,Y78&gt;='NILAI CPL'!$B$4,3,Y78&gt;='NILAI CPL'!$B$5,2,Y78&gt;'NILAI CPL'!$B$6,1),0),"")</f>
        <v/>
      </c>
      <c r="AW78" s="2" t="str" cm="1">
        <f t="array" ref="AW78">IF('NILAI CPL'!$B78&lt;&gt;"",IFERROR(_xlfn.IFS(Z78&gt;='NILAI CPL'!$B$3,4,Z78&gt;='NILAI CPL'!$B$4,3,Z78&gt;='NILAI CPL'!$B$5,2,Z78&gt;'NILAI CPL'!$B$6,1),0),"")</f>
        <v/>
      </c>
      <c r="AX78" s="2" t="str" cm="1">
        <f t="array" ref="AX78">IF('NILAI CPL'!$B78&lt;&gt;"",IFERROR(_xlfn.IFS(AA78&gt;='NILAI CPL'!$B$3,4,AA78&gt;='NILAI CPL'!$B$4,3,AA78&gt;='NILAI CPL'!$B$5,2,AA78&gt;'NILAI CPL'!$B$6,1),0),"")</f>
        <v/>
      </c>
      <c r="AY78" s="2" t="str" cm="1">
        <f t="array" ref="AY78">IF('NILAI CPL'!$B78&lt;&gt;"",IFERROR(_xlfn.IFS(AB78&gt;='NILAI CPL'!$B$3,4,AB78&gt;='NILAI CPL'!$B$4,3,AB78&gt;='NILAI CPL'!$B$5,2,AB78&gt;'NILAI CPL'!$B$6,1),0),"")</f>
        <v/>
      </c>
      <c r="AZ78" s="2" t="str" cm="1">
        <f t="array" ref="AZ78">IF('NILAI CPL'!$B78&lt;&gt;"",IFERROR(_xlfn.IFS(AC78&gt;='NILAI CPL'!$B$3,4,AC78&gt;='NILAI CPL'!$B$4,3,AC78&gt;='NILAI CPL'!$B$5,2,AC78&gt;'NILAI CPL'!$B$6,1),0),"")</f>
        <v/>
      </c>
      <c r="BA78" s="2" t="str" cm="1">
        <f t="array" ref="BA78">IF('NILAI CPL'!$B78&lt;&gt;"",IFERROR(_xlfn.IFS(AD78&gt;='NILAI CPL'!$B$3,4,AD78&gt;='NILAI CPL'!$B$4,3,AD78&gt;='NILAI CPL'!$B$5,2,AD78&gt;'NILAI CPL'!$B$6,1),0),"")</f>
        <v/>
      </c>
      <c r="BB78" s="2" t="str" cm="1">
        <f t="array" ref="BB78">IF('NILAI CPL'!$B78&lt;&gt;"",IFERROR(_xlfn.IFS(AE78&gt;='NILAI CPL'!$B$3,4,AE78&gt;='NILAI CPL'!$B$4,3,AE78&gt;='NILAI CPL'!$B$5,2,AE78&gt;'NILAI CPL'!$B$6,1),0),"")</f>
        <v/>
      </c>
      <c r="BC78" s="2" t="str" cm="1">
        <f t="array" ref="BC78">IF('NILAI CPL'!$B78&lt;&gt;"",IFERROR(_xlfn.IFS(AF78&gt;='NILAI CPL'!$B$3,4,AF78&gt;='NILAI CPL'!$B$4,3,AF78&gt;='NILAI CPL'!$B$5,2,AF78&gt;'NILAI CPL'!$B$6,1),0),"")</f>
        <v/>
      </c>
      <c r="BD78" s="2" t="str" cm="1">
        <f t="array" ref="BD78">IF('NILAI CPL'!$B78&lt;&gt;"",IFERROR(_xlfn.IFS(AG78&gt;='NILAI CPL'!$B$3,4,AG78&gt;='NILAI CPL'!$B$4,3,AG78&gt;='NILAI CPL'!$B$5,2,AG78&gt;'NILAI CPL'!$B$6,1),0),"")</f>
        <v/>
      </c>
      <c r="BE78" s="2" t="str" cm="1">
        <f t="array" ref="BE78">IF('NILAI CPL'!$B78&lt;&gt;"",IFERROR(_xlfn.IFS(AH78&gt;='NILAI CPL'!$B$3,4,AH78&gt;='NILAI CPL'!$B$4,3,AH78&gt;='NILAI CPL'!$B$5,2,AH78&gt;'NILAI CPL'!$B$6,1),0),"")</f>
        <v/>
      </c>
      <c r="BF78" s="2" t="str" cm="1">
        <f t="array" ref="BF78">IF('NILAI CPL'!$B78&lt;&gt;"",IFERROR(_xlfn.IFS(AI78&gt;='NILAI CPL'!$B$3,4,AI78&gt;='NILAI CPL'!$B$4,3,AI78&gt;='NILAI CPL'!$B$5,2,AI78&gt;'NILAI CPL'!$B$6,1),0),"")</f>
        <v/>
      </c>
      <c r="BG78" s="2" t="str" cm="1">
        <f t="array" ref="BG78">IF('NILAI CPL'!$B78&lt;&gt;"",IFERROR(_xlfn.IFS(AJ78&gt;='NILAI CPL'!$B$3,4,AJ78&gt;='NILAI CPL'!$B$4,3,AJ78&gt;='NILAI CPL'!$B$5,2,AJ78&gt;'NILAI CPL'!$B$6,1),0),"")</f>
        <v/>
      </c>
      <c r="BH78" s="2" t="str" cm="1">
        <f t="array" ref="BH78">IF('NILAI CPL'!$B78&lt;&gt;"",IFERROR(_xlfn.IFS(AK78&gt;='NILAI CPL'!$B$3,4,AK78&gt;='NILAI CPL'!$B$4,3,AK78&gt;='NILAI CPL'!$B$5,2,AK78&gt;'NILAI CPL'!$B$6,1),0),"")</f>
        <v/>
      </c>
      <c r="BI78" s="2" t="str" cm="1">
        <f t="array" ref="BI78">IF('NILAI CPL'!$B78&lt;&gt;"",IFERROR(_xlfn.IFS(AL78&gt;='NILAI CPL'!$B$3,4,AL78&gt;='NILAI CPL'!$B$4,3,AL78&gt;='NILAI CPL'!$B$5,2,AL78&gt;'NILAI CPL'!$B$6,1),0),"")</f>
        <v/>
      </c>
      <c r="BJ78" s="2" t="str" cm="1">
        <f t="array" ref="BJ78">IF('NILAI CPL'!$B78&lt;&gt;"",IFERROR(_xlfn.IFS(AM78&gt;='NILAI CPL'!$B$3,4,AM78&gt;='NILAI CPL'!$B$4,3,AM78&gt;='NILAI CPL'!$B$5,2,AM78&gt;'NILAI CPL'!$B$6,1),0),"")</f>
        <v/>
      </c>
      <c r="BK78" s="2" t="str" cm="1">
        <f t="array" ref="BK78">IF('NILAI CPL'!$B78&lt;&gt;"",IFERROR(_xlfn.IFS(AN78&gt;='NILAI CPL'!$B$3,4,AN78&gt;='NILAI CPL'!$B$4,3,AN78&gt;='NILAI CPL'!$B$5,2,AN78&gt;'NILAI CPL'!$B$6,1),0),"")</f>
        <v/>
      </c>
    </row>
    <row r="79" spans="1:63" x14ac:dyDescent="0.2">
      <c r="A79" s="2">
        <v>69</v>
      </c>
      <c r="B79" s="2" t="str">
        <f>IF(LEN(SUMMARY!B79)&gt;0, SUMMARY!B79, "")</f>
        <v/>
      </c>
      <c r="C79" s="2" t="str">
        <f>IF(LEN(SUMMARY!C79)&gt;0, SUMMARY!C79, "")</f>
        <v/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" t="str">
        <f t="shared" si="25"/>
        <v/>
      </c>
      <c r="S79" s="2" t="str">
        <f t="shared" si="26"/>
        <v/>
      </c>
      <c r="T79" s="2" t="str">
        <f t="shared" si="27"/>
        <v/>
      </c>
      <c r="U79" s="2" t="str">
        <f t="shared" si="28"/>
        <v/>
      </c>
      <c r="V79" s="2" t="str">
        <f t="shared" si="29"/>
        <v/>
      </c>
      <c r="W79" s="2" t="str">
        <f t="shared" si="30"/>
        <v/>
      </c>
      <c r="X79" s="2" t="str">
        <f t="shared" si="31"/>
        <v/>
      </c>
      <c r="Y79" s="2" t="str">
        <f t="shared" si="32"/>
        <v/>
      </c>
      <c r="Z79" s="2" t="str">
        <f t="shared" si="33"/>
        <v/>
      </c>
      <c r="AA79" s="2" t="str">
        <f t="shared" si="34"/>
        <v/>
      </c>
      <c r="AB79" s="2" t="str">
        <f t="shared" si="35"/>
        <v/>
      </c>
      <c r="AC79" s="2" t="str">
        <f t="shared" si="36"/>
        <v/>
      </c>
      <c r="AD79" s="2" t="str">
        <f t="shared" si="37"/>
        <v/>
      </c>
      <c r="AE79" s="2" t="str">
        <f t="shared" si="38"/>
        <v/>
      </c>
      <c r="AF79" s="2" t="str">
        <f t="shared" si="39"/>
        <v/>
      </c>
      <c r="AG79" s="2" t="str">
        <f t="shared" si="40"/>
        <v/>
      </c>
      <c r="AH79" s="2" t="str">
        <f t="shared" si="41"/>
        <v/>
      </c>
      <c r="AI79" s="2" t="str">
        <f t="shared" si="42"/>
        <v/>
      </c>
      <c r="AJ79" s="2" t="str">
        <f t="shared" si="43"/>
        <v/>
      </c>
      <c r="AK79" s="2" t="str">
        <f t="shared" si="44"/>
        <v/>
      </c>
      <c r="AL79" s="2" t="str">
        <f t="shared" si="45"/>
        <v/>
      </c>
      <c r="AM79" s="2" t="str">
        <f t="shared" si="46"/>
        <v/>
      </c>
      <c r="AN79" s="2" t="str">
        <f t="shared" si="47"/>
        <v/>
      </c>
      <c r="AP79" s="2" t="str" cm="1">
        <f t="array" ref="AP79">IF('NILAI CPL'!$B79&lt;&gt;"",IFERROR(_xlfn.IFS(S79&gt;='NILAI CPL'!$B$3,4,S79&gt;='NILAI CPL'!$B$4,3,S79&gt;='NILAI CPL'!$B$5,2,S79&gt;'NILAI CPL'!$B$6,1),0),"")</f>
        <v/>
      </c>
      <c r="AQ79" s="2" t="str" cm="1">
        <f t="array" ref="AQ79">IF('NILAI CPL'!$B79&lt;&gt;"",IFERROR(_xlfn.IFS(T79&gt;='NILAI CPL'!$B$3,4,T79&gt;='NILAI CPL'!$B$4,3,T79&gt;='NILAI CPL'!$B$5,2,T79&gt;'NILAI CPL'!$B$6,1),0),"")</f>
        <v/>
      </c>
      <c r="AR79" s="2" t="str" cm="1">
        <f t="array" ref="AR79">IF('NILAI CPL'!$B79&lt;&gt;"",IFERROR(_xlfn.IFS(U79&gt;='NILAI CPL'!$B$3,4,U79&gt;='NILAI CPL'!$B$4,3,U79&gt;='NILAI CPL'!$B$5,2,U79&gt;'NILAI CPL'!$B$6,1),0),"")</f>
        <v/>
      </c>
      <c r="AS79" s="2" t="str" cm="1">
        <f t="array" ref="AS79">IF('NILAI CPL'!$B79&lt;&gt;"",IFERROR(_xlfn.IFS(V79&gt;='NILAI CPL'!$B$3,4,V79&gt;='NILAI CPL'!$B$4,3,V79&gt;='NILAI CPL'!$B$5,2,V79&gt;'NILAI CPL'!$B$6,1),0),"")</f>
        <v/>
      </c>
      <c r="AT79" s="2" t="str" cm="1">
        <f t="array" ref="AT79">IF('NILAI CPL'!$B79&lt;&gt;"",IFERROR(_xlfn.IFS(W79&gt;='NILAI CPL'!$B$3,4,W79&gt;='NILAI CPL'!$B$4,3,W79&gt;='NILAI CPL'!$B$5,2,W79&gt;'NILAI CPL'!$B$6,1),0),"")</f>
        <v/>
      </c>
      <c r="AU79" s="2" t="str" cm="1">
        <f t="array" ref="AU79">IF('NILAI CPL'!$B79&lt;&gt;"",IFERROR(_xlfn.IFS(X79&gt;='NILAI CPL'!$B$3,4,X79&gt;='NILAI CPL'!$B$4,3,X79&gt;='NILAI CPL'!$B$5,2,X79&gt;'NILAI CPL'!$B$6,1),0),"")</f>
        <v/>
      </c>
      <c r="AV79" s="2" t="str" cm="1">
        <f t="array" ref="AV79">IF('NILAI CPL'!$B79&lt;&gt;"",IFERROR(_xlfn.IFS(Y79&gt;='NILAI CPL'!$B$3,4,Y79&gt;='NILAI CPL'!$B$4,3,Y79&gt;='NILAI CPL'!$B$5,2,Y79&gt;'NILAI CPL'!$B$6,1),0),"")</f>
        <v/>
      </c>
      <c r="AW79" s="2" t="str" cm="1">
        <f t="array" ref="AW79">IF('NILAI CPL'!$B79&lt;&gt;"",IFERROR(_xlfn.IFS(Z79&gt;='NILAI CPL'!$B$3,4,Z79&gt;='NILAI CPL'!$B$4,3,Z79&gt;='NILAI CPL'!$B$5,2,Z79&gt;'NILAI CPL'!$B$6,1),0),"")</f>
        <v/>
      </c>
      <c r="AX79" s="2" t="str" cm="1">
        <f t="array" ref="AX79">IF('NILAI CPL'!$B79&lt;&gt;"",IFERROR(_xlfn.IFS(AA79&gt;='NILAI CPL'!$B$3,4,AA79&gt;='NILAI CPL'!$B$4,3,AA79&gt;='NILAI CPL'!$B$5,2,AA79&gt;'NILAI CPL'!$B$6,1),0),"")</f>
        <v/>
      </c>
      <c r="AY79" s="2" t="str" cm="1">
        <f t="array" ref="AY79">IF('NILAI CPL'!$B79&lt;&gt;"",IFERROR(_xlfn.IFS(AB79&gt;='NILAI CPL'!$B$3,4,AB79&gt;='NILAI CPL'!$B$4,3,AB79&gt;='NILAI CPL'!$B$5,2,AB79&gt;'NILAI CPL'!$B$6,1),0),"")</f>
        <v/>
      </c>
      <c r="AZ79" s="2" t="str" cm="1">
        <f t="array" ref="AZ79">IF('NILAI CPL'!$B79&lt;&gt;"",IFERROR(_xlfn.IFS(AC79&gt;='NILAI CPL'!$B$3,4,AC79&gt;='NILAI CPL'!$B$4,3,AC79&gt;='NILAI CPL'!$B$5,2,AC79&gt;'NILAI CPL'!$B$6,1),0),"")</f>
        <v/>
      </c>
      <c r="BA79" s="2" t="str" cm="1">
        <f t="array" ref="BA79">IF('NILAI CPL'!$B79&lt;&gt;"",IFERROR(_xlfn.IFS(AD79&gt;='NILAI CPL'!$B$3,4,AD79&gt;='NILAI CPL'!$B$4,3,AD79&gt;='NILAI CPL'!$B$5,2,AD79&gt;'NILAI CPL'!$B$6,1),0),"")</f>
        <v/>
      </c>
      <c r="BB79" s="2" t="str" cm="1">
        <f t="array" ref="BB79">IF('NILAI CPL'!$B79&lt;&gt;"",IFERROR(_xlfn.IFS(AE79&gt;='NILAI CPL'!$B$3,4,AE79&gt;='NILAI CPL'!$B$4,3,AE79&gt;='NILAI CPL'!$B$5,2,AE79&gt;'NILAI CPL'!$B$6,1),0),"")</f>
        <v/>
      </c>
      <c r="BC79" s="2" t="str" cm="1">
        <f t="array" ref="BC79">IF('NILAI CPL'!$B79&lt;&gt;"",IFERROR(_xlfn.IFS(AF79&gt;='NILAI CPL'!$B$3,4,AF79&gt;='NILAI CPL'!$B$4,3,AF79&gt;='NILAI CPL'!$B$5,2,AF79&gt;'NILAI CPL'!$B$6,1),0),"")</f>
        <v/>
      </c>
      <c r="BD79" s="2" t="str" cm="1">
        <f t="array" ref="BD79">IF('NILAI CPL'!$B79&lt;&gt;"",IFERROR(_xlfn.IFS(AG79&gt;='NILAI CPL'!$B$3,4,AG79&gt;='NILAI CPL'!$B$4,3,AG79&gt;='NILAI CPL'!$B$5,2,AG79&gt;'NILAI CPL'!$B$6,1),0),"")</f>
        <v/>
      </c>
      <c r="BE79" s="2" t="str" cm="1">
        <f t="array" ref="BE79">IF('NILAI CPL'!$B79&lt;&gt;"",IFERROR(_xlfn.IFS(AH79&gt;='NILAI CPL'!$B$3,4,AH79&gt;='NILAI CPL'!$B$4,3,AH79&gt;='NILAI CPL'!$B$5,2,AH79&gt;'NILAI CPL'!$B$6,1),0),"")</f>
        <v/>
      </c>
      <c r="BF79" s="2" t="str" cm="1">
        <f t="array" ref="BF79">IF('NILAI CPL'!$B79&lt;&gt;"",IFERROR(_xlfn.IFS(AI79&gt;='NILAI CPL'!$B$3,4,AI79&gt;='NILAI CPL'!$B$4,3,AI79&gt;='NILAI CPL'!$B$5,2,AI79&gt;'NILAI CPL'!$B$6,1),0),"")</f>
        <v/>
      </c>
      <c r="BG79" s="2" t="str" cm="1">
        <f t="array" ref="BG79">IF('NILAI CPL'!$B79&lt;&gt;"",IFERROR(_xlfn.IFS(AJ79&gt;='NILAI CPL'!$B$3,4,AJ79&gt;='NILAI CPL'!$B$4,3,AJ79&gt;='NILAI CPL'!$B$5,2,AJ79&gt;'NILAI CPL'!$B$6,1),0),"")</f>
        <v/>
      </c>
      <c r="BH79" s="2" t="str" cm="1">
        <f t="array" ref="BH79">IF('NILAI CPL'!$B79&lt;&gt;"",IFERROR(_xlfn.IFS(AK79&gt;='NILAI CPL'!$B$3,4,AK79&gt;='NILAI CPL'!$B$4,3,AK79&gt;='NILAI CPL'!$B$5,2,AK79&gt;'NILAI CPL'!$B$6,1),0),"")</f>
        <v/>
      </c>
      <c r="BI79" s="2" t="str" cm="1">
        <f t="array" ref="BI79">IF('NILAI CPL'!$B79&lt;&gt;"",IFERROR(_xlfn.IFS(AL79&gt;='NILAI CPL'!$B$3,4,AL79&gt;='NILAI CPL'!$B$4,3,AL79&gt;='NILAI CPL'!$B$5,2,AL79&gt;'NILAI CPL'!$B$6,1),0),"")</f>
        <v/>
      </c>
      <c r="BJ79" s="2" t="str" cm="1">
        <f t="array" ref="BJ79">IF('NILAI CPL'!$B79&lt;&gt;"",IFERROR(_xlfn.IFS(AM79&gt;='NILAI CPL'!$B$3,4,AM79&gt;='NILAI CPL'!$B$4,3,AM79&gt;='NILAI CPL'!$B$5,2,AM79&gt;'NILAI CPL'!$B$6,1),0),"")</f>
        <v/>
      </c>
      <c r="BK79" s="2" t="str" cm="1">
        <f t="array" ref="BK79">IF('NILAI CPL'!$B79&lt;&gt;"",IFERROR(_xlfn.IFS(AN79&gt;='NILAI CPL'!$B$3,4,AN79&gt;='NILAI CPL'!$B$4,3,AN79&gt;='NILAI CPL'!$B$5,2,AN79&gt;'NILAI CPL'!$B$6,1),0),"")</f>
        <v/>
      </c>
    </row>
    <row r="80" spans="1:63" x14ac:dyDescent="0.2">
      <c r="A80" s="2">
        <v>70</v>
      </c>
      <c r="B80" s="2" t="str">
        <f>IF(LEN(SUMMARY!B80)&gt;0, SUMMARY!B80, "")</f>
        <v/>
      </c>
      <c r="C80" s="2" t="str">
        <f>IF(LEN(SUMMARY!C80)&gt;0, SUMMARY!C80, "")</f>
        <v/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" t="str">
        <f t="shared" si="25"/>
        <v/>
      </c>
      <c r="S80" s="2" t="str">
        <f t="shared" si="26"/>
        <v/>
      </c>
      <c r="T80" s="2" t="str">
        <f t="shared" si="27"/>
        <v/>
      </c>
      <c r="U80" s="2" t="str">
        <f t="shared" si="28"/>
        <v/>
      </c>
      <c r="V80" s="2" t="str">
        <f t="shared" si="29"/>
        <v/>
      </c>
      <c r="W80" s="2" t="str">
        <f t="shared" si="30"/>
        <v/>
      </c>
      <c r="X80" s="2" t="str">
        <f t="shared" si="31"/>
        <v/>
      </c>
      <c r="Y80" s="2" t="str">
        <f t="shared" si="32"/>
        <v/>
      </c>
      <c r="Z80" s="2" t="str">
        <f t="shared" si="33"/>
        <v/>
      </c>
      <c r="AA80" s="2" t="str">
        <f t="shared" si="34"/>
        <v/>
      </c>
      <c r="AB80" s="2" t="str">
        <f t="shared" si="35"/>
        <v/>
      </c>
      <c r="AC80" s="2" t="str">
        <f t="shared" si="36"/>
        <v/>
      </c>
      <c r="AD80" s="2" t="str">
        <f t="shared" si="37"/>
        <v/>
      </c>
      <c r="AE80" s="2" t="str">
        <f t="shared" si="38"/>
        <v/>
      </c>
      <c r="AF80" s="2" t="str">
        <f t="shared" si="39"/>
        <v/>
      </c>
      <c r="AG80" s="2" t="str">
        <f t="shared" si="40"/>
        <v/>
      </c>
      <c r="AH80" s="2" t="str">
        <f t="shared" si="41"/>
        <v/>
      </c>
      <c r="AI80" s="2" t="str">
        <f t="shared" si="42"/>
        <v/>
      </c>
      <c r="AJ80" s="2" t="str">
        <f t="shared" si="43"/>
        <v/>
      </c>
      <c r="AK80" s="2" t="str">
        <f t="shared" si="44"/>
        <v/>
      </c>
      <c r="AL80" s="2" t="str">
        <f t="shared" si="45"/>
        <v/>
      </c>
      <c r="AM80" s="2" t="str">
        <f t="shared" si="46"/>
        <v/>
      </c>
      <c r="AN80" s="2" t="str">
        <f t="shared" si="47"/>
        <v/>
      </c>
      <c r="AP80" s="2" t="str" cm="1">
        <f t="array" ref="AP80">IF('NILAI CPL'!$B80&lt;&gt;"",IFERROR(_xlfn.IFS(S80&gt;='NILAI CPL'!$B$3,4,S80&gt;='NILAI CPL'!$B$4,3,S80&gt;='NILAI CPL'!$B$5,2,S80&gt;'NILAI CPL'!$B$6,1),0),"")</f>
        <v/>
      </c>
      <c r="AQ80" s="2" t="str" cm="1">
        <f t="array" ref="AQ80">IF('NILAI CPL'!$B80&lt;&gt;"",IFERROR(_xlfn.IFS(T80&gt;='NILAI CPL'!$B$3,4,T80&gt;='NILAI CPL'!$B$4,3,T80&gt;='NILAI CPL'!$B$5,2,T80&gt;'NILAI CPL'!$B$6,1),0),"")</f>
        <v/>
      </c>
      <c r="AR80" s="2" t="str" cm="1">
        <f t="array" ref="AR80">IF('NILAI CPL'!$B80&lt;&gt;"",IFERROR(_xlfn.IFS(U80&gt;='NILAI CPL'!$B$3,4,U80&gt;='NILAI CPL'!$B$4,3,U80&gt;='NILAI CPL'!$B$5,2,U80&gt;'NILAI CPL'!$B$6,1),0),"")</f>
        <v/>
      </c>
      <c r="AS80" s="2" t="str" cm="1">
        <f t="array" ref="AS80">IF('NILAI CPL'!$B80&lt;&gt;"",IFERROR(_xlfn.IFS(V80&gt;='NILAI CPL'!$B$3,4,V80&gt;='NILAI CPL'!$B$4,3,V80&gt;='NILAI CPL'!$B$5,2,V80&gt;'NILAI CPL'!$B$6,1),0),"")</f>
        <v/>
      </c>
      <c r="AT80" s="2" t="str" cm="1">
        <f t="array" ref="AT80">IF('NILAI CPL'!$B80&lt;&gt;"",IFERROR(_xlfn.IFS(W80&gt;='NILAI CPL'!$B$3,4,W80&gt;='NILAI CPL'!$B$4,3,W80&gt;='NILAI CPL'!$B$5,2,W80&gt;'NILAI CPL'!$B$6,1),0),"")</f>
        <v/>
      </c>
      <c r="AU80" s="2" t="str" cm="1">
        <f t="array" ref="AU80">IF('NILAI CPL'!$B80&lt;&gt;"",IFERROR(_xlfn.IFS(X80&gt;='NILAI CPL'!$B$3,4,X80&gt;='NILAI CPL'!$B$4,3,X80&gt;='NILAI CPL'!$B$5,2,X80&gt;'NILAI CPL'!$B$6,1),0),"")</f>
        <v/>
      </c>
      <c r="AV80" s="2" t="str" cm="1">
        <f t="array" ref="AV80">IF('NILAI CPL'!$B80&lt;&gt;"",IFERROR(_xlfn.IFS(Y80&gt;='NILAI CPL'!$B$3,4,Y80&gt;='NILAI CPL'!$B$4,3,Y80&gt;='NILAI CPL'!$B$5,2,Y80&gt;'NILAI CPL'!$B$6,1),0),"")</f>
        <v/>
      </c>
      <c r="AW80" s="2" t="str" cm="1">
        <f t="array" ref="AW80">IF('NILAI CPL'!$B80&lt;&gt;"",IFERROR(_xlfn.IFS(Z80&gt;='NILAI CPL'!$B$3,4,Z80&gt;='NILAI CPL'!$B$4,3,Z80&gt;='NILAI CPL'!$B$5,2,Z80&gt;'NILAI CPL'!$B$6,1),0),"")</f>
        <v/>
      </c>
      <c r="AX80" s="2" t="str" cm="1">
        <f t="array" ref="AX80">IF('NILAI CPL'!$B80&lt;&gt;"",IFERROR(_xlfn.IFS(AA80&gt;='NILAI CPL'!$B$3,4,AA80&gt;='NILAI CPL'!$B$4,3,AA80&gt;='NILAI CPL'!$B$5,2,AA80&gt;'NILAI CPL'!$B$6,1),0),"")</f>
        <v/>
      </c>
      <c r="AY80" s="2" t="str" cm="1">
        <f t="array" ref="AY80">IF('NILAI CPL'!$B80&lt;&gt;"",IFERROR(_xlfn.IFS(AB80&gt;='NILAI CPL'!$B$3,4,AB80&gt;='NILAI CPL'!$B$4,3,AB80&gt;='NILAI CPL'!$B$5,2,AB80&gt;'NILAI CPL'!$B$6,1),0),"")</f>
        <v/>
      </c>
      <c r="AZ80" s="2" t="str" cm="1">
        <f t="array" ref="AZ80">IF('NILAI CPL'!$B80&lt;&gt;"",IFERROR(_xlfn.IFS(AC80&gt;='NILAI CPL'!$B$3,4,AC80&gt;='NILAI CPL'!$B$4,3,AC80&gt;='NILAI CPL'!$B$5,2,AC80&gt;'NILAI CPL'!$B$6,1),0),"")</f>
        <v/>
      </c>
      <c r="BA80" s="2" t="str" cm="1">
        <f t="array" ref="BA80">IF('NILAI CPL'!$B80&lt;&gt;"",IFERROR(_xlfn.IFS(AD80&gt;='NILAI CPL'!$B$3,4,AD80&gt;='NILAI CPL'!$B$4,3,AD80&gt;='NILAI CPL'!$B$5,2,AD80&gt;'NILAI CPL'!$B$6,1),0),"")</f>
        <v/>
      </c>
      <c r="BB80" s="2" t="str" cm="1">
        <f t="array" ref="BB80">IF('NILAI CPL'!$B80&lt;&gt;"",IFERROR(_xlfn.IFS(AE80&gt;='NILAI CPL'!$B$3,4,AE80&gt;='NILAI CPL'!$B$4,3,AE80&gt;='NILAI CPL'!$B$5,2,AE80&gt;'NILAI CPL'!$B$6,1),0),"")</f>
        <v/>
      </c>
      <c r="BC80" s="2" t="str" cm="1">
        <f t="array" ref="BC80">IF('NILAI CPL'!$B80&lt;&gt;"",IFERROR(_xlfn.IFS(AF80&gt;='NILAI CPL'!$B$3,4,AF80&gt;='NILAI CPL'!$B$4,3,AF80&gt;='NILAI CPL'!$B$5,2,AF80&gt;'NILAI CPL'!$B$6,1),0),"")</f>
        <v/>
      </c>
      <c r="BD80" s="2" t="str" cm="1">
        <f t="array" ref="BD80">IF('NILAI CPL'!$B80&lt;&gt;"",IFERROR(_xlfn.IFS(AG80&gt;='NILAI CPL'!$B$3,4,AG80&gt;='NILAI CPL'!$B$4,3,AG80&gt;='NILAI CPL'!$B$5,2,AG80&gt;'NILAI CPL'!$B$6,1),0),"")</f>
        <v/>
      </c>
      <c r="BE80" s="2" t="str" cm="1">
        <f t="array" ref="BE80">IF('NILAI CPL'!$B80&lt;&gt;"",IFERROR(_xlfn.IFS(AH80&gt;='NILAI CPL'!$B$3,4,AH80&gt;='NILAI CPL'!$B$4,3,AH80&gt;='NILAI CPL'!$B$5,2,AH80&gt;'NILAI CPL'!$B$6,1),0),"")</f>
        <v/>
      </c>
      <c r="BF80" s="2" t="str" cm="1">
        <f t="array" ref="BF80">IF('NILAI CPL'!$B80&lt;&gt;"",IFERROR(_xlfn.IFS(AI80&gt;='NILAI CPL'!$B$3,4,AI80&gt;='NILAI CPL'!$B$4,3,AI80&gt;='NILAI CPL'!$B$5,2,AI80&gt;'NILAI CPL'!$B$6,1),0),"")</f>
        <v/>
      </c>
      <c r="BG80" s="2" t="str" cm="1">
        <f t="array" ref="BG80">IF('NILAI CPL'!$B80&lt;&gt;"",IFERROR(_xlfn.IFS(AJ80&gt;='NILAI CPL'!$B$3,4,AJ80&gt;='NILAI CPL'!$B$4,3,AJ80&gt;='NILAI CPL'!$B$5,2,AJ80&gt;'NILAI CPL'!$B$6,1),0),"")</f>
        <v/>
      </c>
      <c r="BH80" s="2" t="str" cm="1">
        <f t="array" ref="BH80">IF('NILAI CPL'!$B80&lt;&gt;"",IFERROR(_xlfn.IFS(AK80&gt;='NILAI CPL'!$B$3,4,AK80&gt;='NILAI CPL'!$B$4,3,AK80&gt;='NILAI CPL'!$B$5,2,AK80&gt;'NILAI CPL'!$B$6,1),0),"")</f>
        <v/>
      </c>
      <c r="BI80" s="2" t="str" cm="1">
        <f t="array" ref="BI80">IF('NILAI CPL'!$B80&lt;&gt;"",IFERROR(_xlfn.IFS(AL80&gt;='NILAI CPL'!$B$3,4,AL80&gt;='NILAI CPL'!$B$4,3,AL80&gt;='NILAI CPL'!$B$5,2,AL80&gt;'NILAI CPL'!$B$6,1),0),"")</f>
        <v/>
      </c>
      <c r="BJ80" s="2" t="str" cm="1">
        <f t="array" ref="BJ80">IF('NILAI CPL'!$B80&lt;&gt;"",IFERROR(_xlfn.IFS(AM80&gt;='NILAI CPL'!$B$3,4,AM80&gt;='NILAI CPL'!$B$4,3,AM80&gt;='NILAI CPL'!$B$5,2,AM80&gt;'NILAI CPL'!$B$6,1),0),"")</f>
        <v/>
      </c>
      <c r="BK80" s="2" t="str" cm="1">
        <f t="array" ref="BK80">IF('NILAI CPL'!$B80&lt;&gt;"",IFERROR(_xlfn.IFS(AN80&gt;='NILAI CPL'!$B$3,4,AN80&gt;='NILAI CPL'!$B$4,3,AN80&gt;='NILAI CPL'!$B$5,2,AN80&gt;'NILAI CPL'!$B$6,1),0),"")</f>
        <v/>
      </c>
    </row>
    <row r="81" spans="1:63" x14ac:dyDescent="0.2">
      <c r="A81" s="2">
        <v>71</v>
      </c>
      <c r="B81" s="2" t="str">
        <f>IF(LEN(SUMMARY!B81)&gt;0, SUMMARY!B81, "")</f>
        <v/>
      </c>
      <c r="C81" s="2" t="str">
        <f>IF(LEN(SUMMARY!C81)&gt;0, SUMMARY!C81, "")</f>
        <v/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" t="str">
        <f t="shared" si="25"/>
        <v/>
      </c>
      <c r="S81" s="2" t="str">
        <f t="shared" si="26"/>
        <v/>
      </c>
      <c r="T81" s="2" t="str">
        <f t="shared" si="27"/>
        <v/>
      </c>
      <c r="U81" s="2" t="str">
        <f t="shared" si="28"/>
        <v/>
      </c>
      <c r="V81" s="2" t="str">
        <f t="shared" si="29"/>
        <v/>
      </c>
      <c r="W81" s="2" t="str">
        <f t="shared" si="30"/>
        <v/>
      </c>
      <c r="X81" s="2" t="str">
        <f t="shared" si="31"/>
        <v/>
      </c>
      <c r="Y81" s="2" t="str">
        <f t="shared" si="32"/>
        <v/>
      </c>
      <c r="Z81" s="2" t="str">
        <f t="shared" si="33"/>
        <v/>
      </c>
      <c r="AA81" s="2" t="str">
        <f t="shared" si="34"/>
        <v/>
      </c>
      <c r="AB81" s="2" t="str">
        <f t="shared" si="35"/>
        <v/>
      </c>
      <c r="AC81" s="2" t="str">
        <f t="shared" si="36"/>
        <v/>
      </c>
      <c r="AD81" s="2" t="str">
        <f t="shared" si="37"/>
        <v/>
      </c>
      <c r="AE81" s="2" t="str">
        <f t="shared" si="38"/>
        <v/>
      </c>
      <c r="AF81" s="2" t="str">
        <f t="shared" si="39"/>
        <v/>
      </c>
      <c r="AG81" s="2" t="str">
        <f t="shared" si="40"/>
        <v/>
      </c>
      <c r="AH81" s="2" t="str">
        <f t="shared" si="41"/>
        <v/>
      </c>
      <c r="AI81" s="2" t="str">
        <f t="shared" si="42"/>
        <v/>
      </c>
      <c r="AJ81" s="2" t="str">
        <f t="shared" si="43"/>
        <v/>
      </c>
      <c r="AK81" s="2" t="str">
        <f t="shared" si="44"/>
        <v/>
      </c>
      <c r="AL81" s="2" t="str">
        <f t="shared" si="45"/>
        <v/>
      </c>
      <c r="AM81" s="2" t="str">
        <f t="shared" si="46"/>
        <v/>
      </c>
      <c r="AN81" s="2" t="str">
        <f t="shared" si="47"/>
        <v/>
      </c>
      <c r="AP81" s="2" t="str" cm="1">
        <f t="array" ref="AP81">IF('NILAI CPL'!$B81&lt;&gt;"",IFERROR(_xlfn.IFS(S81&gt;='NILAI CPL'!$B$3,4,S81&gt;='NILAI CPL'!$B$4,3,S81&gt;='NILAI CPL'!$B$5,2,S81&gt;'NILAI CPL'!$B$6,1),0),"")</f>
        <v/>
      </c>
      <c r="AQ81" s="2" t="str" cm="1">
        <f t="array" ref="AQ81">IF('NILAI CPL'!$B81&lt;&gt;"",IFERROR(_xlfn.IFS(T81&gt;='NILAI CPL'!$B$3,4,T81&gt;='NILAI CPL'!$B$4,3,T81&gt;='NILAI CPL'!$B$5,2,T81&gt;'NILAI CPL'!$B$6,1),0),"")</f>
        <v/>
      </c>
      <c r="AR81" s="2" t="str" cm="1">
        <f t="array" ref="AR81">IF('NILAI CPL'!$B81&lt;&gt;"",IFERROR(_xlfn.IFS(U81&gt;='NILAI CPL'!$B$3,4,U81&gt;='NILAI CPL'!$B$4,3,U81&gt;='NILAI CPL'!$B$5,2,U81&gt;'NILAI CPL'!$B$6,1),0),"")</f>
        <v/>
      </c>
      <c r="AS81" s="2" t="str" cm="1">
        <f t="array" ref="AS81">IF('NILAI CPL'!$B81&lt;&gt;"",IFERROR(_xlfn.IFS(V81&gt;='NILAI CPL'!$B$3,4,V81&gt;='NILAI CPL'!$B$4,3,V81&gt;='NILAI CPL'!$B$5,2,V81&gt;'NILAI CPL'!$B$6,1),0),"")</f>
        <v/>
      </c>
      <c r="AT81" s="2" t="str" cm="1">
        <f t="array" ref="AT81">IF('NILAI CPL'!$B81&lt;&gt;"",IFERROR(_xlfn.IFS(W81&gt;='NILAI CPL'!$B$3,4,W81&gt;='NILAI CPL'!$B$4,3,W81&gt;='NILAI CPL'!$B$5,2,W81&gt;'NILAI CPL'!$B$6,1),0),"")</f>
        <v/>
      </c>
      <c r="AU81" s="2" t="str" cm="1">
        <f t="array" ref="AU81">IF('NILAI CPL'!$B81&lt;&gt;"",IFERROR(_xlfn.IFS(X81&gt;='NILAI CPL'!$B$3,4,X81&gt;='NILAI CPL'!$B$4,3,X81&gt;='NILAI CPL'!$B$5,2,X81&gt;'NILAI CPL'!$B$6,1),0),"")</f>
        <v/>
      </c>
      <c r="AV81" s="2" t="str" cm="1">
        <f t="array" ref="AV81">IF('NILAI CPL'!$B81&lt;&gt;"",IFERROR(_xlfn.IFS(Y81&gt;='NILAI CPL'!$B$3,4,Y81&gt;='NILAI CPL'!$B$4,3,Y81&gt;='NILAI CPL'!$B$5,2,Y81&gt;'NILAI CPL'!$B$6,1),0),"")</f>
        <v/>
      </c>
      <c r="AW81" s="2" t="str" cm="1">
        <f t="array" ref="AW81">IF('NILAI CPL'!$B81&lt;&gt;"",IFERROR(_xlfn.IFS(Z81&gt;='NILAI CPL'!$B$3,4,Z81&gt;='NILAI CPL'!$B$4,3,Z81&gt;='NILAI CPL'!$B$5,2,Z81&gt;'NILAI CPL'!$B$6,1),0),"")</f>
        <v/>
      </c>
      <c r="AX81" s="2" t="str" cm="1">
        <f t="array" ref="AX81">IF('NILAI CPL'!$B81&lt;&gt;"",IFERROR(_xlfn.IFS(AA81&gt;='NILAI CPL'!$B$3,4,AA81&gt;='NILAI CPL'!$B$4,3,AA81&gt;='NILAI CPL'!$B$5,2,AA81&gt;'NILAI CPL'!$B$6,1),0),"")</f>
        <v/>
      </c>
      <c r="AY81" s="2" t="str" cm="1">
        <f t="array" ref="AY81">IF('NILAI CPL'!$B81&lt;&gt;"",IFERROR(_xlfn.IFS(AB81&gt;='NILAI CPL'!$B$3,4,AB81&gt;='NILAI CPL'!$B$4,3,AB81&gt;='NILAI CPL'!$B$5,2,AB81&gt;'NILAI CPL'!$B$6,1),0),"")</f>
        <v/>
      </c>
      <c r="AZ81" s="2" t="str" cm="1">
        <f t="array" ref="AZ81">IF('NILAI CPL'!$B81&lt;&gt;"",IFERROR(_xlfn.IFS(AC81&gt;='NILAI CPL'!$B$3,4,AC81&gt;='NILAI CPL'!$B$4,3,AC81&gt;='NILAI CPL'!$B$5,2,AC81&gt;'NILAI CPL'!$B$6,1),0),"")</f>
        <v/>
      </c>
      <c r="BA81" s="2" t="str" cm="1">
        <f t="array" ref="BA81">IF('NILAI CPL'!$B81&lt;&gt;"",IFERROR(_xlfn.IFS(AD81&gt;='NILAI CPL'!$B$3,4,AD81&gt;='NILAI CPL'!$B$4,3,AD81&gt;='NILAI CPL'!$B$5,2,AD81&gt;'NILAI CPL'!$B$6,1),0),"")</f>
        <v/>
      </c>
      <c r="BB81" s="2" t="str" cm="1">
        <f t="array" ref="BB81">IF('NILAI CPL'!$B81&lt;&gt;"",IFERROR(_xlfn.IFS(AE81&gt;='NILAI CPL'!$B$3,4,AE81&gt;='NILAI CPL'!$B$4,3,AE81&gt;='NILAI CPL'!$B$5,2,AE81&gt;'NILAI CPL'!$B$6,1),0),"")</f>
        <v/>
      </c>
      <c r="BC81" s="2" t="str" cm="1">
        <f t="array" ref="BC81">IF('NILAI CPL'!$B81&lt;&gt;"",IFERROR(_xlfn.IFS(AF81&gt;='NILAI CPL'!$B$3,4,AF81&gt;='NILAI CPL'!$B$4,3,AF81&gt;='NILAI CPL'!$B$5,2,AF81&gt;'NILAI CPL'!$B$6,1),0),"")</f>
        <v/>
      </c>
      <c r="BD81" s="2" t="str" cm="1">
        <f t="array" ref="BD81">IF('NILAI CPL'!$B81&lt;&gt;"",IFERROR(_xlfn.IFS(AG81&gt;='NILAI CPL'!$B$3,4,AG81&gt;='NILAI CPL'!$B$4,3,AG81&gt;='NILAI CPL'!$B$5,2,AG81&gt;'NILAI CPL'!$B$6,1),0),"")</f>
        <v/>
      </c>
      <c r="BE81" s="2" t="str" cm="1">
        <f t="array" ref="BE81">IF('NILAI CPL'!$B81&lt;&gt;"",IFERROR(_xlfn.IFS(AH81&gt;='NILAI CPL'!$B$3,4,AH81&gt;='NILAI CPL'!$B$4,3,AH81&gt;='NILAI CPL'!$B$5,2,AH81&gt;'NILAI CPL'!$B$6,1),0),"")</f>
        <v/>
      </c>
      <c r="BF81" s="2" t="str" cm="1">
        <f t="array" ref="BF81">IF('NILAI CPL'!$B81&lt;&gt;"",IFERROR(_xlfn.IFS(AI81&gt;='NILAI CPL'!$B$3,4,AI81&gt;='NILAI CPL'!$B$4,3,AI81&gt;='NILAI CPL'!$B$5,2,AI81&gt;'NILAI CPL'!$B$6,1),0),"")</f>
        <v/>
      </c>
      <c r="BG81" s="2" t="str" cm="1">
        <f t="array" ref="BG81">IF('NILAI CPL'!$B81&lt;&gt;"",IFERROR(_xlfn.IFS(AJ81&gt;='NILAI CPL'!$B$3,4,AJ81&gt;='NILAI CPL'!$B$4,3,AJ81&gt;='NILAI CPL'!$B$5,2,AJ81&gt;'NILAI CPL'!$B$6,1),0),"")</f>
        <v/>
      </c>
      <c r="BH81" s="2" t="str" cm="1">
        <f t="array" ref="BH81">IF('NILAI CPL'!$B81&lt;&gt;"",IFERROR(_xlfn.IFS(AK81&gt;='NILAI CPL'!$B$3,4,AK81&gt;='NILAI CPL'!$B$4,3,AK81&gt;='NILAI CPL'!$B$5,2,AK81&gt;'NILAI CPL'!$B$6,1),0),"")</f>
        <v/>
      </c>
      <c r="BI81" s="2" t="str" cm="1">
        <f t="array" ref="BI81">IF('NILAI CPL'!$B81&lt;&gt;"",IFERROR(_xlfn.IFS(AL81&gt;='NILAI CPL'!$B$3,4,AL81&gt;='NILAI CPL'!$B$4,3,AL81&gt;='NILAI CPL'!$B$5,2,AL81&gt;'NILAI CPL'!$B$6,1),0),"")</f>
        <v/>
      </c>
      <c r="BJ81" s="2" t="str" cm="1">
        <f t="array" ref="BJ81">IF('NILAI CPL'!$B81&lt;&gt;"",IFERROR(_xlfn.IFS(AM81&gt;='NILAI CPL'!$B$3,4,AM81&gt;='NILAI CPL'!$B$4,3,AM81&gt;='NILAI CPL'!$B$5,2,AM81&gt;'NILAI CPL'!$B$6,1),0),"")</f>
        <v/>
      </c>
      <c r="BK81" s="2" t="str" cm="1">
        <f t="array" ref="BK81">IF('NILAI CPL'!$B81&lt;&gt;"",IFERROR(_xlfn.IFS(AN81&gt;='NILAI CPL'!$B$3,4,AN81&gt;='NILAI CPL'!$B$4,3,AN81&gt;='NILAI CPL'!$B$5,2,AN81&gt;'NILAI CPL'!$B$6,1),0),"")</f>
        <v/>
      </c>
    </row>
    <row r="82" spans="1:63" x14ac:dyDescent="0.2">
      <c r="A82" s="2">
        <v>72</v>
      </c>
      <c r="B82" s="2" t="str">
        <f>IF(LEN(SUMMARY!B82)&gt;0, SUMMARY!B82, "")</f>
        <v/>
      </c>
      <c r="C82" s="2" t="str">
        <f>IF(LEN(SUMMARY!C82)&gt;0, SUMMARY!C82, "")</f>
        <v/>
      </c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" t="str">
        <f t="shared" si="25"/>
        <v/>
      </c>
      <c r="S82" s="2" t="str">
        <f t="shared" si="26"/>
        <v/>
      </c>
      <c r="T82" s="2" t="str">
        <f t="shared" si="27"/>
        <v/>
      </c>
      <c r="U82" s="2" t="str">
        <f t="shared" si="28"/>
        <v/>
      </c>
      <c r="V82" s="2" t="str">
        <f t="shared" si="29"/>
        <v/>
      </c>
      <c r="W82" s="2" t="str">
        <f t="shared" si="30"/>
        <v/>
      </c>
      <c r="X82" s="2" t="str">
        <f t="shared" si="31"/>
        <v/>
      </c>
      <c r="Y82" s="2" t="str">
        <f t="shared" si="32"/>
        <v/>
      </c>
      <c r="Z82" s="2" t="str">
        <f t="shared" si="33"/>
        <v/>
      </c>
      <c r="AA82" s="2" t="str">
        <f t="shared" si="34"/>
        <v/>
      </c>
      <c r="AB82" s="2" t="str">
        <f t="shared" si="35"/>
        <v/>
      </c>
      <c r="AC82" s="2" t="str">
        <f t="shared" si="36"/>
        <v/>
      </c>
      <c r="AD82" s="2" t="str">
        <f t="shared" si="37"/>
        <v/>
      </c>
      <c r="AE82" s="2" t="str">
        <f t="shared" si="38"/>
        <v/>
      </c>
      <c r="AF82" s="2" t="str">
        <f t="shared" si="39"/>
        <v/>
      </c>
      <c r="AG82" s="2" t="str">
        <f t="shared" si="40"/>
        <v/>
      </c>
      <c r="AH82" s="2" t="str">
        <f t="shared" si="41"/>
        <v/>
      </c>
      <c r="AI82" s="2" t="str">
        <f t="shared" si="42"/>
        <v/>
      </c>
      <c r="AJ82" s="2" t="str">
        <f t="shared" si="43"/>
        <v/>
      </c>
      <c r="AK82" s="2" t="str">
        <f t="shared" si="44"/>
        <v/>
      </c>
      <c r="AL82" s="2" t="str">
        <f t="shared" si="45"/>
        <v/>
      </c>
      <c r="AM82" s="2" t="str">
        <f t="shared" si="46"/>
        <v/>
      </c>
      <c r="AN82" s="2" t="str">
        <f t="shared" si="47"/>
        <v/>
      </c>
      <c r="AP82" s="2" t="str" cm="1">
        <f t="array" ref="AP82">IF('NILAI CPL'!$B82&lt;&gt;"",IFERROR(_xlfn.IFS(S82&gt;='NILAI CPL'!$B$3,4,S82&gt;='NILAI CPL'!$B$4,3,S82&gt;='NILAI CPL'!$B$5,2,S82&gt;'NILAI CPL'!$B$6,1),0),"")</f>
        <v/>
      </c>
      <c r="AQ82" s="2" t="str" cm="1">
        <f t="array" ref="AQ82">IF('NILAI CPL'!$B82&lt;&gt;"",IFERROR(_xlfn.IFS(T82&gt;='NILAI CPL'!$B$3,4,T82&gt;='NILAI CPL'!$B$4,3,T82&gt;='NILAI CPL'!$B$5,2,T82&gt;'NILAI CPL'!$B$6,1),0),"")</f>
        <v/>
      </c>
      <c r="AR82" s="2" t="str" cm="1">
        <f t="array" ref="AR82">IF('NILAI CPL'!$B82&lt;&gt;"",IFERROR(_xlfn.IFS(U82&gt;='NILAI CPL'!$B$3,4,U82&gt;='NILAI CPL'!$B$4,3,U82&gt;='NILAI CPL'!$B$5,2,U82&gt;'NILAI CPL'!$B$6,1),0),"")</f>
        <v/>
      </c>
      <c r="AS82" s="2" t="str" cm="1">
        <f t="array" ref="AS82">IF('NILAI CPL'!$B82&lt;&gt;"",IFERROR(_xlfn.IFS(V82&gt;='NILAI CPL'!$B$3,4,V82&gt;='NILAI CPL'!$B$4,3,V82&gt;='NILAI CPL'!$B$5,2,V82&gt;'NILAI CPL'!$B$6,1),0),"")</f>
        <v/>
      </c>
      <c r="AT82" s="2" t="str" cm="1">
        <f t="array" ref="AT82">IF('NILAI CPL'!$B82&lt;&gt;"",IFERROR(_xlfn.IFS(W82&gt;='NILAI CPL'!$B$3,4,W82&gt;='NILAI CPL'!$B$4,3,W82&gt;='NILAI CPL'!$B$5,2,W82&gt;'NILAI CPL'!$B$6,1),0),"")</f>
        <v/>
      </c>
      <c r="AU82" s="2" t="str" cm="1">
        <f t="array" ref="AU82">IF('NILAI CPL'!$B82&lt;&gt;"",IFERROR(_xlfn.IFS(X82&gt;='NILAI CPL'!$B$3,4,X82&gt;='NILAI CPL'!$B$4,3,X82&gt;='NILAI CPL'!$B$5,2,X82&gt;'NILAI CPL'!$B$6,1),0),"")</f>
        <v/>
      </c>
      <c r="AV82" s="2" t="str" cm="1">
        <f t="array" ref="AV82">IF('NILAI CPL'!$B82&lt;&gt;"",IFERROR(_xlfn.IFS(Y82&gt;='NILAI CPL'!$B$3,4,Y82&gt;='NILAI CPL'!$B$4,3,Y82&gt;='NILAI CPL'!$B$5,2,Y82&gt;'NILAI CPL'!$B$6,1),0),"")</f>
        <v/>
      </c>
      <c r="AW82" s="2" t="str" cm="1">
        <f t="array" ref="AW82">IF('NILAI CPL'!$B82&lt;&gt;"",IFERROR(_xlfn.IFS(Z82&gt;='NILAI CPL'!$B$3,4,Z82&gt;='NILAI CPL'!$B$4,3,Z82&gt;='NILAI CPL'!$B$5,2,Z82&gt;'NILAI CPL'!$B$6,1),0),"")</f>
        <v/>
      </c>
      <c r="AX82" s="2" t="str" cm="1">
        <f t="array" ref="AX82">IF('NILAI CPL'!$B82&lt;&gt;"",IFERROR(_xlfn.IFS(AA82&gt;='NILAI CPL'!$B$3,4,AA82&gt;='NILAI CPL'!$B$4,3,AA82&gt;='NILAI CPL'!$B$5,2,AA82&gt;'NILAI CPL'!$B$6,1),0),"")</f>
        <v/>
      </c>
      <c r="AY82" s="2" t="str" cm="1">
        <f t="array" ref="AY82">IF('NILAI CPL'!$B82&lt;&gt;"",IFERROR(_xlfn.IFS(AB82&gt;='NILAI CPL'!$B$3,4,AB82&gt;='NILAI CPL'!$B$4,3,AB82&gt;='NILAI CPL'!$B$5,2,AB82&gt;'NILAI CPL'!$B$6,1),0),"")</f>
        <v/>
      </c>
      <c r="AZ82" s="2" t="str" cm="1">
        <f t="array" ref="AZ82">IF('NILAI CPL'!$B82&lt;&gt;"",IFERROR(_xlfn.IFS(AC82&gt;='NILAI CPL'!$B$3,4,AC82&gt;='NILAI CPL'!$B$4,3,AC82&gt;='NILAI CPL'!$B$5,2,AC82&gt;'NILAI CPL'!$B$6,1),0),"")</f>
        <v/>
      </c>
      <c r="BA82" s="2" t="str" cm="1">
        <f t="array" ref="BA82">IF('NILAI CPL'!$B82&lt;&gt;"",IFERROR(_xlfn.IFS(AD82&gt;='NILAI CPL'!$B$3,4,AD82&gt;='NILAI CPL'!$B$4,3,AD82&gt;='NILAI CPL'!$B$5,2,AD82&gt;'NILAI CPL'!$B$6,1),0),"")</f>
        <v/>
      </c>
      <c r="BB82" s="2" t="str" cm="1">
        <f t="array" ref="BB82">IF('NILAI CPL'!$B82&lt;&gt;"",IFERROR(_xlfn.IFS(AE82&gt;='NILAI CPL'!$B$3,4,AE82&gt;='NILAI CPL'!$B$4,3,AE82&gt;='NILAI CPL'!$B$5,2,AE82&gt;'NILAI CPL'!$B$6,1),0),"")</f>
        <v/>
      </c>
      <c r="BC82" s="2" t="str" cm="1">
        <f t="array" ref="BC82">IF('NILAI CPL'!$B82&lt;&gt;"",IFERROR(_xlfn.IFS(AF82&gt;='NILAI CPL'!$B$3,4,AF82&gt;='NILAI CPL'!$B$4,3,AF82&gt;='NILAI CPL'!$B$5,2,AF82&gt;'NILAI CPL'!$B$6,1),0),"")</f>
        <v/>
      </c>
      <c r="BD82" s="2" t="str" cm="1">
        <f t="array" ref="BD82">IF('NILAI CPL'!$B82&lt;&gt;"",IFERROR(_xlfn.IFS(AG82&gt;='NILAI CPL'!$B$3,4,AG82&gt;='NILAI CPL'!$B$4,3,AG82&gt;='NILAI CPL'!$B$5,2,AG82&gt;'NILAI CPL'!$B$6,1),0),"")</f>
        <v/>
      </c>
      <c r="BE82" s="2" t="str" cm="1">
        <f t="array" ref="BE82">IF('NILAI CPL'!$B82&lt;&gt;"",IFERROR(_xlfn.IFS(AH82&gt;='NILAI CPL'!$B$3,4,AH82&gt;='NILAI CPL'!$B$4,3,AH82&gt;='NILAI CPL'!$B$5,2,AH82&gt;'NILAI CPL'!$B$6,1),0),"")</f>
        <v/>
      </c>
      <c r="BF82" s="2" t="str" cm="1">
        <f t="array" ref="BF82">IF('NILAI CPL'!$B82&lt;&gt;"",IFERROR(_xlfn.IFS(AI82&gt;='NILAI CPL'!$B$3,4,AI82&gt;='NILAI CPL'!$B$4,3,AI82&gt;='NILAI CPL'!$B$5,2,AI82&gt;'NILAI CPL'!$B$6,1),0),"")</f>
        <v/>
      </c>
      <c r="BG82" s="2" t="str" cm="1">
        <f t="array" ref="BG82">IF('NILAI CPL'!$B82&lt;&gt;"",IFERROR(_xlfn.IFS(AJ82&gt;='NILAI CPL'!$B$3,4,AJ82&gt;='NILAI CPL'!$B$4,3,AJ82&gt;='NILAI CPL'!$B$5,2,AJ82&gt;'NILAI CPL'!$B$6,1),0),"")</f>
        <v/>
      </c>
      <c r="BH82" s="2" t="str" cm="1">
        <f t="array" ref="BH82">IF('NILAI CPL'!$B82&lt;&gt;"",IFERROR(_xlfn.IFS(AK82&gt;='NILAI CPL'!$B$3,4,AK82&gt;='NILAI CPL'!$B$4,3,AK82&gt;='NILAI CPL'!$B$5,2,AK82&gt;'NILAI CPL'!$B$6,1),0),"")</f>
        <v/>
      </c>
      <c r="BI82" s="2" t="str" cm="1">
        <f t="array" ref="BI82">IF('NILAI CPL'!$B82&lt;&gt;"",IFERROR(_xlfn.IFS(AL82&gt;='NILAI CPL'!$B$3,4,AL82&gt;='NILAI CPL'!$B$4,3,AL82&gt;='NILAI CPL'!$B$5,2,AL82&gt;'NILAI CPL'!$B$6,1),0),"")</f>
        <v/>
      </c>
      <c r="BJ82" s="2" t="str" cm="1">
        <f t="array" ref="BJ82">IF('NILAI CPL'!$B82&lt;&gt;"",IFERROR(_xlfn.IFS(AM82&gt;='NILAI CPL'!$B$3,4,AM82&gt;='NILAI CPL'!$B$4,3,AM82&gt;='NILAI CPL'!$B$5,2,AM82&gt;'NILAI CPL'!$B$6,1),0),"")</f>
        <v/>
      </c>
      <c r="BK82" s="2" t="str" cm="1">
        <f t="array" ref="BK82">IF('NILAI CPL'!$B82&lt;&gt;"",IFERROR(_xlfn.IFS(AN82&gt;='NILAI CPL'!$B$3,4,AN82&gt;='NILAI CPL'!$B$4,3,AN82&gt;='NILAI CPL'!$B$5,2,AN82&gt;'NILAI CPL'!$B$6,1),0),"")</f>
        <v/>
      </c>
    </row>
    <row r="83" spans="1:63" x14ac:dyDescent="0.2">
      <c r="A83" s="2">
        <v>73</v>
      </c>
      <c r="B83" s="2" t="str">
        <f>IF(LEN(SUMMARY!B83)&gt;0, SUMMARY!B83, "")</f>
        <v/>
      </c>
      <c r="C83" s="2" t="str">
        <f>IF(LEN(SUMMARY!C83)&gt;0, SUMMARY!C83, "")</f>
        <v/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" t="str">
        <f t="shared" si="25"/>
        <v/>
      </c>
      <c r="S83" s="2" t="str">
        <f t="shared" si="26"/>
        <v/>
      </c>
      <c r="T83" s="2" t="str">
        <f t="shared" si="27"/>
        <v/>
      </c>
      <c r="U83" s="2" t="str">
        <f t="shared" si="28"/>
        <v/>
      </c>
      <c r="V83" s="2" t="str">
        <f t="shared" si="29"/>
        <v/>
      </c>
      <c r="W83" s="2" t="str">
        <f t="shared" si="30"/>
        <v/>
      </c>
      <c r="X83" s="2" t="str">
        <f t="shared" si="31"/>
        <v/>
      </c>
      <c r="Y83" s="2" t="str">
        <f t="shared" si="32"/>
        <v/>
      </c>
      <c r="Z83" s="2" t="str">
        <f t="shared" si="33"/>
        <v/>
      </c>
      <c r="AA83" s="2" t="str">
        <f t="shared" si="34"/>
        <v/>
      </c>
      <c r="AB83" s="2" t="str">
        <f t="shared" si="35"/>
        <v/>
      </c>
      <c r="AC83" s="2" t="str">
        <f t="shared" si="36"/>
        <v/>
      </c>
      <c r="AD83" s="2" t="str">
        <f t="shared" si="37"/>
        <v/>
      </c>
      <c r="AE83" s="2" t="str">
        <f t="shared" si="38"/>
        <v/>
      </c>
      <c r="AF83" s="2" t="str">
        <f t="shared" si="39"/>
        <v/>
      </c>
      <c r="AG83" s="2" t="str">
        <f t="shared" si="40"/>
        <v/>
      </c>
      <c r="AH83" s="2" t="str">
        <f t="shared" si="41"/>
        <v/>
      </c>
      <c r="AI83" s="2" t="str">
        <f t="shared" si="42"/>
        <v/>
      </c>
      <c r="AJ83" s="2" t="str">
        <f t="shared" si="43"/>
        <v/>
      </c>
      <c r="AK83" s="2" t="str">
        <f t="shared" si="44"/>
        <v/>
      </c>
      <c r="AL83" s="2" t="str">
        <f t="shared" si="45"/>
        <v/>
      </c>
      <c r="AM83" s="2" t="str">
        <f t="shared" si="46"/>
        <v/>
      </c>
      <c r="AN83" s="2" t="str">
        <f t="shared" si="47"/>
        <v/>
      </c>
      <c r="AP83" s="2" t="str" cm="1">
        <f t="array" ref="AP83">IF('NILAI CPL'!$B83&lt;&gt;"",IFERROR(_xlfn.IFS(S83&gt;='NILAI CPL'!$B$3,4,S83&gt;='NILAI CPL'!$B$4,3,S83&gt;='NILAI CPL'!$B$5,2,S83&gt;'NILAI CPL'!$B$6,1),0),"")</f>
        <v/>
      </c>
      <c r="AQ83" s="2" t="str" cm="1">
        <f t="array" ref="AQ83">IF('NILAI CPL'!$B83&lt;&gt;"",IFERROR(_xlfn.IFS(T83&gt;='NILAI CPL'!$B$3,4,T83&gt;='NILAI CPL'!$B$4,3,T83&gt;='NILAI CPL'!$B$5,2,T83&gt;'NILAI CPL'!$B$6,1),0),"")</f>
        <v/>
      </c>
      <c r="AR83" s="2" t="str" cm="1">
        <f t="array" ref="AR83">IF('NILAI CPL'!$B83&lt;&gt;"",IFERROR(_xlfn.IFS(U83&gt;='NILAI CPL'!$B$3,4,U83&gt;='NILAI CPL'!$B$4,3,U83&gt;='NILAI CPL'!$B$5,2,U83&gt;'NILAI CPL'!$B$6,1),0),"")</f>
        <v/>
      </c>
      <c r="AS83" s="2" t="str" cm="1">
        <f t="array" ref="AS83">IF('NILAI CPL'!$B83&lt;&gt;"",IFERROR(_xlfn.IFS(V83&gt;='NILAI CPL'!$B$3,4,V83&gt;='NILAI CPL'!$B$4,3,V83&gt;='NILAI CPL'!$B$5,2,V83&gt;'NILAI CPL'!$B$6,1),0),"")</f>
        <v/>
      </c>
      <c r="AT83" s="2" t="str" cm="1">
        <f t="array" ref="AT83">IF('NILAI CPL'!$B83&lt;&gt;"",IFERROR(_xlfn.IFS(W83&gt;='NILAI CPL'!$B$3,4,W83&gt;='NILAI CPL'!$B$4,3,W83&gt;='NILAI CPL'!$B$5,2,W83&gt;'NILAI CPL'!$B$6,1),0),"")</f>
        <v/>
      </c>
      <c r="AU83" s="2" t="str" cm="1">
        <f t="array" ref="AU83">IF('NILAI CPL'!$B83&lt;&gt;"",IFERROR(_xlfn.IFS(X83&gt;='NILAI CPL'!$B$3,4,X83&gt;='NILAI CPL'!$B$4,3,X83&gt;='NILAI CPL'!$B$5,2,X83&gt;'NILAI CPL'!$B$6,1),0),"")</f>
        <v/>
      </c>
      <c r="AV83" s="2" t="str" cm="1">
        <f t="array" ref="AV83">IF('NILAI CPL'!$B83&lt;&gt;"",IFERROR(_xlfn.IFS(Y83&gt;='NILAI CPL'!$B$3,4,Y83&gt;='NILAI CPL'!$B$4,3,Y83&gt;='NILAI CPL'!$B$5,2,Y83&gt;'NILAI CPL'!$B$6,1),0),"")</f>
        <v/>
      </c>
      <c r="AW83" s="2" t="str" cm="1">
        <f t="array" ref="AW83">IF('NILAI CPL'!$B83&lt;&gt;"",IFERROR(_xlfn.IFS(Z83&gt;='NILAI CPL'!$B$3,4,Z83&gt;='NILAI CPL'!$B$4,3,Z83&gt;='NILAI CPL'!$B$5,2,Z83&gt;'NILAI CPL'!$B$6,1),0),"")</f>
        <v/>
      </c>
      <c r="AX83" s="2" t="str" cm="1">
        <f t="array" ref="AX83">IF('NILAI CPL'!$B83&lt;&gt;"",IFERROR(_xlfn.IFS(AA83&gt;='NILAI CPL'!$B$3,4,AA83&gt;='NILAI CPL'!$B$4,3,AA83&gt;='NILAI CPL'!$B$5,2,AA83&gt;'NILAI CPL'!$B$6,1),0),"")</f>
        <v/>
      </c>
      <c r="AY83" s="2" t="str" cm="1">
        <f t="array" ref="AY83">IF('NILAI CPL'!$B83&lt;&gt;"",IFERROR(_xlfn.IFS(AB83&gt;='NILAI CPL'!$B$3,4,AB83&gt;='NILAI CPL'!$B$4,3,AB83&gt;='NILAI CPL'!$B$5,2,AB83&gt;'NILAI CPL'!$B$6,1),0),"")</f>
        <v/>
      </c>
      <c r="AZ83" s="2" t="str" cm="1">
        <f t="array" ref="AZ83">IF('NILAI CPL'!$B83&lt;&gt;"",IFERROR(_xlfn.IFS(AC83&gt;='NILAI CPL'!$B$3,4,AC83&gt;='NILAI CPL'!$B$4,3,AC83&gt;='NILAI CPL'!$B$5,2,AC83&gt;'NILAI CPL'!$B$6,1),0),"")</f>
        <v/>
      </c>
      <c r="BA83" s="2" t="str" cm="1">
        <f t="array" ref="BA83">IF('NILAI CPL'!$B83&lt;&gt;"",IFERROR(_xlfn.IFS(AD83&gt;='NILAI CPL'!$B$3,4,AD83&gt;='NILAI CPL'!$B$4,3,AD83&gt;='NILAI CPL'!$B$5,2,AD83&gt;'NILAI CPL'!$B$6,1),0),"")</f>
        <v/>
      </c>
      <c r="BB83" s="2" t="str" cm="1">
        <f t="array" ref="BB83">IF('NILAI CPL'!$B83&lt;&gt;"",IFERROR(_xlfn.IFS(AE83&gt;='NILAI CPL'!$B$3,4,AE83&gt;='NILAI CPL'!$B$4,3,AE83&gt;='NILAI CPL'!$B$5,2,AE83&gt;'NILAI CPL'!$B$6,1),0),"")</f>
        <v/>
      </c>
      <c r="BC83" s="2" t="str" cm="1">
        <f t="array" ref="BC83">IF('NILAI CPL'!$B83&lt;&gt;"",IFERROR(_xlfn.IFS(AF83&gt;='NILAI CPL'!$B$3,4,AF83&gt;='NILAI CPL'!$B$4,3,AF83&gt;='NILAI CPL'!$B$5,2,AF83&gt;'NILAI CPL'!$B$6,1),0),"")</f>
        <v/>
      </c>
      <c r="BD83" s="2" t="str" cm="1">
        <f t="array" ref="BD83">IF('NILAI CPL'!$B83&lt;&gt;"",IFERROR(_xlfn.IFS(AG83&gt;='NILAI CPL'!$B$3,4,AG83&gt;='NILAI CPL'!$B$4,3,AG83&gt;='NILAI CPL'!$B$5,2,AG83&gt;'NILAI CPL'!$B$6,1),0),"")</f>
        <v/>
      </c>
      <c r="BE83" s="2" t="str" cm="1">
        <f t="array" ref="BE83">IF('NILAI CPL'!$B83&lt;&gt;"",IFERROR(_xlfn.IFS(AH83&gt;='NILAI CPL'!$B$3,4,AH83&gt;='NILAI CPL'!$B$4,3,AH83&gt;='NILAI CPL'!$B$5,2,AH83&gt;'NILAI CPL'!$B$6,1),0),"")</f>
        <v/>
      </c>
      <c r="BF83" s="2" t="str" cm="1">
        <f t="array" ref="BF83">IF('NILAI CPL'!$B83&lt;&gt;"",IFERROR(_xlfn.IFS(AI83&gt;='NILAI CPL'!$B$3,4,AI83&gt;='NILAI CPL'!$B$4,3,AI83&gt;='NILAI CPL'!$B$5,2,AI83&gt;'NILAI CPL'!$B$6,1),0),"")</f>
        <v/>
      </c>
      <c r="BG83" s="2" t="str" cm="1">
        <f t="array" ref="BG83">IF('NILAI CPL'!$B83&lt;&gt;"",IFERROR(_xlfn.IFS(AJ83&gt;='NILAI CPL'!$B$3,4,AJ83&gt;='NILAI CPL'!$B$4,3,AJ83&gt;='NILAI CPL'!$B$5,2,AJ83&gt;'NILAI CPL'!$B$6,1),0),"")</f>
        <v/>
      </c>
      <c r="BH83" s="2" t="str" cm="1">
        <f t="array" ref="BH83">IF('NILAI CPL'!$B83&lt;&gt;"",IFERROR(_xlfn.IFS(AK83&gt;='NILAI CPL'!$B$3,4,AK83&gt;='NILAI CPL'!$B$4,3,AK83&gt;='NILAI CPL'!$B$5,2,AK83&gt;'NILAI CPL'!$B$6,1),0),"")</f>
        <v/>
      </c>
      <c r="BI83" s="2" t="str" cm="1">
        <f t="array" ref="BI83">IF('NILAI CPL'!$B83&lt;&gt;"",IFERROR(_xlfn.IFS(AL83&gt;='NILAI CPL'!$B$3,4,AL83&gt;='NILAI CPL'!$B$4,3,AL83&gt;='NILAI CPL'!$B$5,2,AL83&gt;'NILAI CPL'!$B$6,1),0),"")</f>
        <v/>
      </c>
      <c r="BJ83" s="2" t="str" cm="1">
        <f t="array" ref="BJ83">IF('NILAI CPL'!$B83&lt;&gt;"",IFERROR(_xlfn.IFS(AM83&gt;='NILAI CPL'!$B$3,4,AM83&gt;='NILAI CPL'!$B$4,3,AM83&gt;='NILAI CPL'!$B$5,2,AM83&gt;'NILAI CPL'!$B$6,1),0),"")</f>
        <v/>
      </c>
      <c r="BK83" s="2" t="str" cm="1">
        <f t="array" ref="BK83">IF('NILAI CPL'!$B83&lt;&gt;"",IFERROR(_xlfn.IFS(AN83&gt;='NILAI CPL'!$B$3,4,AN83&gt;='NILAI CPL'!$B$4,3,AN83&gt;='NILAI CPL'!$B$5,2,AN83&gt;'NILAI CPL'!$B$6,1),0),"")</f>
        <v/>
      </c>
    </row>
    <row r="84" spans="1:63" x14ac:dyDescent="0.2">
      <c r="A84" s="2">
        <v>74</v>
      </c>
      <c r="B84" s="2" t="str">
        <f>IF(LEN(SUMMARY!B84)&gt;0, SUMMARY!B84, "")</f>
        <v/>
      </c>
      <c r="C84" s="2" t="str">
        <f>IF(LEN(SUMMARY!C84)&gt;0, SUMMARY!C84, "")</f>
        <v/>
      </c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" t="str">
        <f t="shared" si="25"/>
        <v/>
      </c>
      <c r="S84" s="2" t="str">
        <f t="shared" si="26"/>
        <v/>
      </c>
      <c r="T84" s="2" t="str">
        <f t="shared" si="27"/>
        <v/>
      </c>
      <c r="U84" s="2" t="str">
        <f t="shared" si="28"/>
        <v/>
      </c>
      <c r="V84" s="2" t="str">
        <f t="shared" si="29"/>
        <v/>
      </c>
      <c r="W84" s="2" t="str">
        <f t="shared" si="30"/>
        <v/>
      </c>
      <c r="X84" s="2" t="str">
        <f t="shared" si="31"/>
        <v/>
      </c>
      <c r="Y84" s="2" t="str">
        <f t="shared" si="32"/>
        <v/>
      </c>
      <c r="Z84" s="2" t="str">
        <f t="shared" si="33"/>
        <v/>
      </c>
      <c r="AA84" s="2" t="str">
        <f t="shared" si="34"/>
        <v/>
      </c>
      <c r="AB84" s="2" t="str">
        <f t="shared" si="35"/>
        <v/>
      </c>
      <c r="AC84" s="2" t="str">
        <f t="shared" si="36"/>
        <v/>
      </c>
      <c r="AD84" s="2" t="str">
        <f t="shared" si="37"/>
        <v/>
      </c>
      <c r="AE84" s="2" t="str">
        <f t="shared" si="38"/>
        <v/>
      </c>
      <c r="AF84" s="2" t="str">
        <f t="shared" si="39"/>
        <v/>
      </c>
      <c r="AG84" s="2" t="str">
        <f t="shared" si="40"/>
        <v/>
      </c>
      <c r="AH84" s="2" t="str">
        <f t="shared" si="41"/>
        <v/>
      </c>
      <c r="AI84" s="2" t="str">
        <f t="shared" si="42"/>
        <v/>
      </c>
      <c r="AJ84" s="2" t="str">
        <f t="shared" si="43"/>
        <v/>
      </c>
      <c r="AK84" s="2" t="str">
        <f t="shared" si="44"/>
        <v/>
      </c>
      <c r="AL84" s="2" t="str">
        <f t="shared" si="45"/>
        <v/>
      </c>
      <c r="AM84" s="2" t="str">
        <f t="shared" si="46"/>
        <v/>
      </c>
      <c r="AN84" s="2" t="str">
        <f t="shared" si="47"/>
        <v/>
      </c>
      <c r="AP84" s="2" t="str" cm="1">
        <f t="array" ref="AP84">IF('NILAI CPL'!$B84&lt;&gt;"",IFERROR(_xlfn.IFS(S84&gt;='NILAI CPL'!$B$3,4,S84&gt;='NILAI CPL'!$B$4,3,S84&gt;='NILAI CPL'!$B$5,2,S84&gt;'NILAI CPL'!$B$6,1),0),"")</f>
        <v/>
      </c>
      <c r="AQ84" s="2" t="str" cm="1">
        <f t="array" ref="AQ84">IF('NILAI CPL'!$B84&lt;&gt;"",IFERROR(_xlfn.IFS(T84&gt;='NILAI CPL'!$B$3,4,T84&gt;='NILAI CPL'!$B$4,3,T84&gt;='NILAI CPL'!$B$5,2,T84&gt;'NILAI CPL'!$B$6,1),0),"")</f>
        <v/>
      </c>
      <c r="AR84" s="2" t="str" cm="1">
        <f t="array" ref="AR84">IF('NILAI CPL'!$B84&lt;&gt;"",IFERROR(_xlfn.IFS(U84&gt;='NILAI CPL'!$B$3,4,U84&gt;='NILAI CPL'!$B$4,3,U84&gt;='NILAI CPL'!$B$5,2,U84&gt;'NILAI CPL'!$B$6,1),0),"")</f>
        <v/>
      </c>
      <c r="AS84" s="2" t="str" cm="1">
        <f t="array" ref="AS84">IF('NILAI CPL'!$B84&lt;&gt;"",IFERROR(_xlfn.IFS(V84&gt;='NILAI CPL'!$B$3,4,V84&gt;='NILAI CPL'!$B$4,3,V84&gt;='NILAI CPL'!$B$5,2,V84&gt;'NILAI CPL'!$B$6,1),0),"")</f>
        <v/>
      </c>
      <c r="AT84" s="2" t="str" cm="1">
        <f t="array" ref="AT84">IF('NILAI CPL'!$B84&lt;&gt;"",IFERROR(_xlfn.IFS(W84&gt;='NILAI CPL'!$B$3,4,W84&gt;='NILAI CPL'!$B$4,3,W84&gt;='NILAI CPL'!$B$5,2,W84&gt;'NILAI CPL'!$B$6,1),0),"")</f>
        <v/>
      </c>
      <c r="AU84" s="2" t="str" cm="1">
        <f t="array" ref="AU84">IF('NILAI CPL'!$B84&lt;&gt;"",IFERROR(_xlfn.IFS(X84&gt;='NILAI CPL'!$B$3,4,X84&gt;='NILAI CPL'!$B$4,3,X84&gt;='NILAI CPL'!$B$5,2,X84&gt;'NILAI CPL'!$B$6,1),0),"")</f>
        <v/>
      </c>
      <c r="AV84" s="2" t="str" cm="1">
        <f t="array" ref="AV84">IF('NILAI CPL'!$B84&lt;&gt;"",IFERROR(_xlfn.IFS(Y84&gt;='NILAI CPL'!$B$3,4,Y84&gt;='NILAI CPL'!$B$4,3,Y84&gt;='NILAI CPL'!$B$5,2,Y84&gt;'NILAI CPL'!$B$6,1),0),"")</f>
        <v/>
      </c>
      <c r="AW84" s="2" t="str" cm="1">
        <f t="array" ref="AW84">IF('NILAI CPL'!$B84&lt;&gt;"",IFERROR(_xlfn.IFS(Z84&gt;='NILAI CPL'!$B$3,4,Z84&gt;='NILAI CPL'!$B$4,3,Z84&gt;='NILAI CPL'!$B$5,2,Z84&gt;'NILAI CPL'!$B$6,1),0),"")</f>
        <v/>
      </c>
      <c r="AX84" s="2" t="str" cm="1">
        <f t="array" ref="AX84">IF('NILAI CPL'!$B84&lt;&gt;"",IFERROR(_xlfn.IFS(AA84&gt;='NILAI CPL'!$B$3,4,AA84&gt;='NILAI CPL'!$B$4,3,AA84&gt;='NILAI CPL'!$B$5,2,AA84&gt;'NILAI CPL'!$B$6,1),0),"")</f>
        <v/>
      </c>
      <c r="AY84" s="2" t="str" cm="1">
        <f t="array" ref="AY84">IF('NILAI CPL'!$B84&lt;&gt;"",IFERROR(_xlfn.IFS(AB84&gt;='NILAI CPL'!$B$3,4,AB84&gt;='NILAI CPL'!$B$4,3,AB84&gt;='NILAI CPL'!$B$5,2,AB84&gt;'NILAI CPL'!$B$6,1),0),"")</f>
        <v/>
      </c>
      <c r="AZ84" s="2" t="str" cm="1">
        <f t="array" ref="AZ84">IF('NILAI CPL'!$B84&lt;&gt;"",IFERROR(_xlfn.IFS(AC84&gt;='NILAI CPL'!$B$3,4,AC84&gt;='NILAI CPL'!$B$4,3,AC84&gt;='NILAI CPL'!$B$5,2,AC84&gt;'NILAI CPL'!$B$6,1),0),"")</f>
        <v/>
      </c>
      <c r="BA84" s="2" t="str" cm="1">
        <f t="array" ref="BA84">IF('NILAI CPL'!$B84&lt;&gt;"",IFERROR(_xlfn.IFS(AD84&gt;='NILAI CPL'!$B$3,4,AD84&gt;='NILAI CPL'!$B$4,3,AD84&gt;='NILAI CPL'!$B$5,2,AD84&gt;'NILAI CPL'!$B$6,1),0),"")</f>
        <v/>
      </c>
      <c r="BB84" s="2" t="str" cm="1">
        <f t="array" ref="BB84">IF('NILAI CPL'!$B84&lt;&gt;"",IFERROR(_xlfn.IFS(AE84&gt;='NILAI CPL'!$B$3,4,AE84&gt;='NILAI CPL'!$B$4,3,AE84&gt;='NILAI CPL'!$B$5,2,AE84&gt;'NILAI CPL'!$B$6,1),0),"")</f>
        <v/>
      </c>
      <c r="BC84" s="2" t="str" cm="1">
        <f t="array" ref="BC84">IF('NILAI CPL'!$B84&lt;&gt;"",IFERROR(_xlfn.IFS(AF84&gt;='NILAI CPL'!$B$3,4,AF84&gt;='NILAI CPL'!$B$4,3,AF84&gt;='NILAI CPL'!$B$5,2,AF84&gt;'NILAI CPL'!$B$6,1),0),"")</f>
        <v/>
      </c>
      <c r="BD84" s="2" t="str" cm="1">
        <f t="array" ref="BD84">IF('NILAI CPL'!$B84&lt;&gt;"",IFERROR(_xlfn.IFS(AG84&gt;='NILAI CPL'!$B$3,4,AG84&gt;='NILAI CPL'!$B$4,3,AG84&gt;='NILAI CPL'!$B$5,2,AG84&gt;'NILAI CPL'!$B$6,1),0),"")</f>
        <v/>
      </c>
      <c r="BE84" s="2" t="str" cm="1">
        <f t="array" ref="BE84">IF('NILAI CPL'!$B84&lt;&gt;"",IFERROR(_xlfn.IFS(AH84&gt;='NILAI CPL'!$B$3,4,AH84&gt;='NILAI CPL'!$B$4,3,AH84&gt;='NILAI CPL'!$B$5,2,AH84&gt;'NILAI CPL'!$B$6,1),0),"")</f>
        <v/>
      </c>
      <c r="BF84" s="2" t="str" cm="1">
        <f t="array" ref="BF84">IF('NILAI CPL'!$B84&lt;&gt;"",IFERROR(_xlfn.IFS(AI84&gt;='NILAI CPL'!$B$3,4,AI84&gt;='NILAI CPL'!$B$4,3,AI84&gt;='NILAI CPL'!$B$5,2,AI84&gt;'NILAI CPL'!$B$6,1),0),"")</f>
        <v/>
      </c>
      <c r="BG84" s="2" t="str" cm="1">
        <f t="array" ref="BG84">IF('NILAI CPL'!$B84&lt;&gt;"",IFERROR(_xlfn.IFS(AJ84&gt;='NILAI CPL'!$B$3,4,AJ84&gt;='NILAI CPL'!$B$4,3,AJ84&gt;='NILAI CPL'!$B$5,2,AJ84&gt;'NILAI CPL'!$B$6,1),0),"")</f>
        <v/>
      </c>
      <c r="BH84" s="2" t="str" cm="1">
        <f t="array" ref="BH84">IF('NILAI CPL'!$B84&lt;&gt;"",IFERROR(_xlfn.IFS(AK84&gt;='NILAI CPL'!$B$3,4,AK84&gt;='NILAI CPL'!$B$4,3,AK84&gt;='NILAI CPL'!$B$5,2,AK84&gt;'NILAI CPL'!$B$6,1),0),"")</f>
        <v/>
      </c>
      <c r="BI84" s="2" t="str" cm="1">
        <f t="array" ref="BI84">IF('NILAI CPL'!$B84&lt;&gt;"",IFERROR(_xlfn.IFS(AL84&gt;='NILAI CPL'!$B$3,4,AL84&gt;='NILAI CPL'!$B$4,3,AL84&gt;='NILAI CPL'!$B$5,2,AL84&gt;'NILAI CPL'!$B$6,1),0),"")</f>
        <v/>
      </c>
      <c r="BJ84" s="2" t="str" cm="1">
        <f t="array" ref="BJ84">IF('NILAI CPL'!$B84&lt;&gt;"",IFERROR(_xlfn.IFS(AM84&gt;='NILAI CPL'!$B$3,4,AM84&gt;='NILAI CPL'!$B$4,3,AM84&gt;='NILAI CPL'!$B$5,2,AM84&gt;'NILAI CPL'!$B$6,1),0),"")</f>
        <v/>
      </c>
      <c r="BK84" s="2" t="str" cm="1">
        <f t="array" ref="BK84">IF('NILAI CPL'!$B84&lt;&gt;"",IFERROR(_xlfn.IFS(AN84&gt;='NILAI CPL'!$B$3,4,AN84&gt;='NILAI CPL'!$B$4,3,AN84&gt;='NILAI CPL'!$B$5,2,AN84&gt;'NILAI CPL'!$B$6,1),0),"")</f>
        <v/>
      </c>
    </row>
    <row r="85" spans="1:63" x14ac:dyDescent="0.2">
      <c r="A85" s="2">
        <v>75</v>
      </c>
      <c r="B85" s="2" t="str">
        <f>IF(LEN(SUMMARY!B85)&gt;0, SUMMARY!B85, "")</f>
        <v/>
      </c>
      <c r="C85" s="2" t="str">
        <f>IF(LEN(SUMMARY!C85)&gt;0, SUMMARY!C85, "")</f>
        <v/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" t="str">
        <f t="shared" si="25"/>
        <v/>
      </c>
      <c r="S85" s="2" t="str">
        <f t="shared" si="26"/>
        <v/>
      </c>
      <c r="T85" s="2" t="str">
        <f t="shared" si="27"/>
        <v/>
      </c>
      <c r="U85" s="2" t="str">
        <f t="shared" si="28"/>
        <v/>
      </c>
      <c r="V85" s="2" t="str">
        <f t="shared" si="29"/>
        <v/>
      </c>
      <c r="W85" s="2" t="str">
        <f t="shared" si="30"/>
        <v/>
      </c>
      <c r="X85" s="2" t="str">
        <f t="shared" si="31"/>
        <v/>
      </c>
      <c r="Y85" s="2" t="str">
        <f t="shared" si="32"/>
        <v/>
      </c>
      <c r="Z85" s="2" t="str">
        <f t="shared" si="33"/>
        <v/>
      </c>
      <c r="AA85" s="2" t="str">
        <f t="shared" si="34"/>
        <v/>
      </c>
      <c r="AB85" s="2" t="str">
        <f t="shared" si="35"/>
        <v/>
      </c>
      <c r="AC85" s="2" t="str">
        <f t="shared" si="36"/>
        <v/>
      </c>
      <c r="AD85" s="2" t="str">
        <f t="shared" si="37"/>
        <v/>
      </c>
      <c r="AE85" s="2" t="str">
        <f t="shared" si="38"/>
        <v/>
      </c>
      <c r="AF85" s="2" t="str">
        <f t="shared" si="39"/>
        <v/>
      </c>
      <c r="AG85" s="2" t="str">
        <f t="shared" si="40"/>
        <v/>
      </c>
      <c r="AH85" s="2" t="str">
        <f t="shared" si="41"/>
        <v/>
      </c>
      <c r="AI85" s="2" t="str">
        <f t="shared" si="42"/>
        <v/>
      </c>
      <c r="AJ85" s="2" t="str">
        <f t="shared" si="43"/>
        <v/>
      </c>
      <c r="AK85" s="2" t="str">
        <f t="shared" si="44"/>
        <v/>
      </c>
      <c r="AL85" s="2" t="str">
        <f t="shared" si="45"/>
        <v/>
      </c>
      <c r="AM85" s="2" t="str">
        <f t="shared" si="46"/>
        <v/>
      </c>
      <c r="AN85" s="2" t="str">
        <f t="shared" si="47"/>
        <v/>
      </c>
      <c r="AP85" s="2" t="str" cm="1">
        <f t="array" ref="AP85">IF('NILAI CPL'!$B85&lt;&gt;"",IFERROR(_xlfn.IFS(S85&gt;='NILAI CPL'!$B$3,4,S85&gt;='NILAI CPL'!$B$4,3,S85&gt;='NILAI CPL'!$B$5,2,S85&gt;'NILAI CPL'!$B$6,1),0),"")</f>
        <v/>
      </c>
      <c r="AQ85" s="2" t="str" cm="1">
        <f t="array" ref="AQ85">IF('NILAI CPL'!$B85&lt;&gt;"",IFERROR(_xlfn.IFS(T85&gt;='NILAI CPL'!$B$3,4,T85&gt;='NILAI CPL'!$B$4,3,T85&gt;='NILAI CPL'!$B$5,2,T85&gt;'NILAI CPL'!$B$6,1),0),"")</f>
        <v/>
      </c>
      <c r="AR85" s="2" t="str" cm="1">
        <f t="array" ref="AR85">IF('NILAI CPL'!$B85&lt;&gt;"",IFERROR(_xlfn.IFS(U85&gt;='NILAI CPL'!$B$3,4,U85&gt;='NILAI CPL'!$B$4,3,U85&gt;='NILAI CPL'!$B$5,2,U85&gt;'NILAI CPL'!$B$6,1),0),"")</f>
        <v/>
      </c>
      <c r="AS85" s="2" t="str" cm="1">
        <f t="array" ref="AS85">IF('NILAI CPL'!$B85&lt;&gt;"",IFERROR(_xlfn.IFS(V85&gt;='NILAI CPL'!$B$3,4,V85&gt;='NILAI CPL'!$B$4,3,V85&gt;='NILAI CPL'!$B$5,2,V85&gt;'NILAI CPL'!$B$6,1),0),"")</f>
        <v/>
      </c>
      <c r="AT85" s="2" t="str" cm="1">
        <f t="array" ref="AT85">IF('NILAI CPL'!$B85&lt;&gt;"",IFERROR(_xlfn.IFS(W85&gt;='NILAI CPL'!$B$3,4,W85&gt;='NILAI CPL'!$B$4,3,W85&gt;='NILAI CPL'!$B$5,2,W85&gt;'NILAI CPL'!$B$6,1),0),"")</f>
        <v/>
      </c>
      <c r="AU85" s="2" t="str" cm="1">
        <f t="array" ref="AU85">IF('NILAI CPL'!$B85&lt;&gt;"",IFERROR(_xlfn.IFS(X85&gt;='NILAI CPL'!$B$3,4,X85&gt;='NILAI CPL'!$B$4,3,X85&gt;='NILAI CPL'!$B$5,2,X85&gt;'NILAI CPL'!$B$6,1),0),"")</f>
        <v/>
      </c>
      <c r="AV85" s="2" t="str" cm="1">
        <f t="array" ref="AV85">IF('NILAI CPL'!$B85&lt;&gt;"",IFERROR(_xlfn.IFS(Y85&gt;='NILAI CPL'!$B$3,4,Y85&gt;='NILAI CPL'!$B$4,3,Y85&gt;='NILAI CPL'!$B$5,2,Y85&gt;'NILAI CPL'!$B$6,1),0),"")</f>
        <v/>
      </c>
      <c r="AW85" s="2" t="str" cm="1">
        <f t="array" ref="AW85">IF('NILAI CPL'!$B85&lt;&gt;"",IFERROR(_xlfn.IFS(Z85&gt;='NILAI CPL'!$B$3,4,Z85&gt;='NILAI CPL'!$B$4,3,Z85&gt;='NILAI CPL'!$B$5,2,Z85&gt;'NILAI CPL'!$B$6,1),0),"")</f>
        <v/>
      </c>
      <c r="AX85" s="2" t="str" cm="1">
        <f t="array" ref="AX85">IF('NILAI CPL'!$B85&lt;&gt;"",IFERROR(_xlfn.IFS(AA85&gt;='NILAI CPL'!$B$3,4,AA85&gt;='NILAI CPL'!$B$4,3,AA85&gt;='NILAI CPL'!$B$5,2,AA85&gt;'NILAI CPL'!$B$6,1),0),"")</f>
        <v/>
      </c>
      <c r="AY85" s="2" t="str" cm="1">
        <f t="array" ref="AY85">IF('NILAI CPL'!$B85&lt;&gt;"",IFERROR(_xlfn.IFS(AB85&gt;='NILAI CPL'!$B$3,4,AB85&gt;='NILAI CPL'!$B$4,3,AB85&gt;='NILAI CPL'!$B$5,2,AB85&gt;'NILAI CPL'!$B$6,1),0),"")</f>
        <v/>
      </c>
      <c r="AZ85" s="2" t="str" cm="1">
        <f t="array" ref="AZ85">IF('NILAI CPL'!$B85&lt;&gt;"",IFERROR(_xlfn.IFS(AC85&gt;='NILAI CPL'!$B$3,4,AC85&gt;='NILAI CPL'!$B$4,3,AC85&gt;='NILAI CPL'!$B$5,2,AC85&gt;'NILAI CPL'!$B$6,1),0),"")</f>
        <v/>
      </c>
      <c r="BA85" s="2" t="str" cm="1">
        <f t="array" ref="BA85">IF('NILAI CPL'!$B85&lt;&gt;"",IFERROR(_xlfn.IFS(AD85&gt;='NILAI CPL'!$B$3,4,AD85&gt;='NILAI CPL'!$B$4,3,AD85&gt;='NILAI CPL'!$B$5,2,AD85&gt;'NILAI CPL'!$B$6,1),0),"")</f>
        <v/>
      </c>
      <c r="BB85" s="2" t="str" cm="1">
        <f t="array" ref="BB85">IF('NILAI CPL'!$B85&lt;&gt;"",IFERROR(_xlfn.IFS(AE85&gt;='NILAI CPL'!$B$3,4,AE85&gt;='NILAI CPL'!$B$4,3,AE85&gt;='NILAI CPL'!$B$5,2,AE85&gt;'NILAI CPL'!$B$6,1),0),"")</f>
        <v/>
      </c>
      <c r="BC85" s="2" t="str" cm="1">
        <f t="array" ref="BC85">IF('NILAI CPL'!$B85&lt;&gt;"",IFERROR(_xlfn.IFS(AF85&gt;='NILAI CPL'!$B$3,4,AF85&gt;='NILAI CPL'!$B$4,3,AF85&gt;='NILAI CPL'!$B$5,2,AF85&gt;'NILAI CPL'!$B$6,1),0),"")</f>
        <v/>
      </c>
      <c r="BD85" s="2" t="str" cm="1">
        <f t="array" ref="BD85">IF('NILAI CPL'!$B85&lt;&gt;"",IFERROR(_xlfn.IFS(AG85&gt;='NILAI CPL'!$B$3,4,AG85&gt;='NILAI CPL'!$B$4,3,AG85&gt;='NILAI CPL'!$B$5,2,AG85&gt;'NILAI CPL'!$B$6,1),0),"")</f>
        <v/>
      </c>
      <c r="BE85" s="2" t="str" cm="1">
        <f t="array" ref="BE85">IF('NILAI CPL'!$B85&lt;&gt;"",IFERROR(_xlfn.IFS(AH85&gt;='NILAI CPL'!$B$3,4,AH85&gt;='NILAI CPL'!$B$4,3,AH85&gt;='NILAI CPL'!$B$5,2,AH85&gt;'NILAI CPL'!$B$6,1),0),"")</f>
        <v/>
      </c>
      <c r="BF85" s="2" t="str" cm="1">
        <f t="array" ref="BF85">IF('NILAI CPL'!$B85&lt;&gt;"",IFERROR(_xlfn.IFS(AI85&gt;='NILAI CPL'!$B$3,4,AI85&gt;='NILAI CPL'!$B$4,3,AI85&gt;='NILAI CPL'!$B$5,2,AI85&gt;'NILAI CPL'!$B$6,1),0),"")</f>
        <v/>
      </c>
      <c r="BG85" s="2" t="str" cm="1">
        <f t="array" ref="BG85">IF('NILAI CPL'!$B85&lt;&gt;"",IFERROR(_xlfn.IFS(AJ85&gt;='NILAI CPL'!$B$3,4,AJ85&gt;='NILAI CPL'!$B$4,3,AJ85&gt;='NILAI CPL'!$B$5,2,AJ85&gt;'NILAI CPL'!$B$6,1),0),"")</f>
        <v/>
      </c>
      <c r="BH85" s="2" t="str" cm="1">
        <f t="array" ref="BH85">IF('NILAI CPL'!$B85&lt;&gt;"",IFERROR(_xlfn.IFS(AK85&gt;='NILAI CPL'!$B$3,4,AK85&gt;='NILAI CPL'!$B$4,3,AK85&gt;='NILAI CPL'!$B$5,2,AK85&gt;'NILAI CPL'!$B$6,1),0),"")</f>
        <v/>
      </c>
      <c r="BI85" s="2" t="str" cm="1">
        <f t="array" ref="BI85">IF('NILAI CPL'!$B85&lt;&gt;"",IFERROR(_xlfn.IFS(AL85&gt;='NILAI CPL'!$B$3,4,AL85&gt;='NILAI CPL'!$B$4,3,AL85&gt;='NILAI CPL'!$B$5,2,AL85&gt;'NILAI CPL'!$B$6,1),0),"")</f>
        <v/>
      </c>
      <c r="BJ85" s="2" t="str" cm="1">
        <f t="array" ref="BJ85">IF('NILAI CPL'!$B85&lt;&gt;"",IFERROR(_xlfn.IFS(AM85&gt;='NILAI CPL'!$B$3,4,AM85&gt;='NILAI CPL'!$B$4,3,AM85&gt;='NILAI CPL'!$B$5,2,AM85&gt;'NILAI CPL'!$B$6,1),0),"")</f>
        <v/>
      </c>
      <c r="BK85" s="2" t="str" cm="1">
        <f t="array" ref="BK85">IF('NILAI CPL'!$B85&lt;&gt;"",IFERROR(_xlfn.IFS(AN85&gt;='NILAI CPL'!$B$3,4,AN85&gt;='NILAI CPL'!$B$4,3,AN85&gt;='NILAI CPL'!$B$5,2,AN85&gt;'NILAI CPL'!$B$6,1),0),"")</f>
        <v/>
      </c>
    </row>
    <row r="86" spans="1:63" x14ac:dyDescent="0.2">
      <c r="A86" s="2">
        <v>76</v>
      </c>
      <c r="B86" s="2" t="str">
        <f>IF(LEN(SUMMARY!B86)&gt;0, SUMMARY!B86, "")</f>
        <v/>
      </c>
      <c r="C86" s="2" t="str">
        <f>IF(LEN(SUMMARY!C86)&gt;0, SUMMARY!C86, "")</f>
        <v/>
      </c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" t="str">
        <f t="shared" si="25"/>
        <v/>
      </c>
      <c r="S86" s="2" t="str">
        <f t="shared" si="26"/>
        <v/>
      </c>
      <c r="T86" s="2" t="str">
        <f t="shared" si="27"/>
        <v/>
      </c>
      <c r="U86" s="2" t="str">
        <f t="shared" si="28"/>
        <v/>
      </c>
      <c r="V86" s="2" t="str">
        <f t="shared" si="29"/>
        <v/>
      </c>
      <c r="W86" s="2" t="str">
        <f t="shared" si="30"/>
        <v/>
      </c>
      <c r="X86" s="2" t="str">
        <f t="shared" si="31"/>
        <v/>
      </c>
      <c r="Y86" s="2" t="str">
        <f t="shared" si="32"/>
        <v/>
      </c>
      <c r="Z86" s="2" t="str">
        <f t="shared" si="33"/>
        <v/>
      </c>
      <c r="AA86" s="2" t="str">
        <f t="shared" si="34"/>
        <v/>
      </c>
      <c r="AB86" s="2" t="str">
        <f t="shared" si="35"/>
        <v/>
      </c>
      <c r="AC86" s="2" t="str">
        <f t="shared" si="36"/>
        <v/>
      </c>
      <c r="AD86" s="2" t="str">
        <f t="shared" si="37"/>
        <v/>
      </c>
      <c r="AE86" s="2" t="str">
        <f t="shared" si="38"/>
        <v/>
      </c>
      <c r="AF86" s="2" t="str">
        <f t="shared" si="39"/>
        <v/>
      </c>
      <c r="AG86" s="2" t="str">
        <f t="shared" si="40"/>
        <v/>
      </c>
      <c r="AH86" s="2" t="str">
        <f t="shared" si="41"/>
        <v/>
      </c>
      <c r="AI86" s="2" t="str">
        <f t="shared" si="42"/>
        <v/>
      </c>
      <c r="AJ86" s="2" t="str">
        <f t="shared" si="43"/>
        <v/>
      </c>
      <c r="AK86" s="2" t="str">
        <f t="shared" si="44"/>
        <v/>
      </c>
      <c r="AL86" s="2" t="str">
        <f t="shared" si="45"/>
        <v/>
      </c>
      <c r="AM86" s="2" t="str">
        <f t="shared" si="46"/>
        <v/>
      </c>
      <c r="AN86" s="2" t="str">
        <f t="shared" si="47"/>
        <v/>
      </c>
      <c r="AP86" s="2" t="str" cm="1">
        <f t="array" ref="AP86">IF('NILAI CPL'!$B86&lt;&gt;"",IFERROR(_xlfn.IFS(S86&gt;='NILAI CPL'!$B$3,4,S86&gt;='NILAI CPL'!$B$4,3,S86&gt;='NILAI CPL'!$B$5,2,S86&gt;'NILAI CPL'!$B$6,1),0),"")</f>
        <v/>
      </c>
      <c r="AQ86" s="2" t="str" cm="1">
        <f t="array" ref="AQ86">IF('NILAI CPL'!$B86&lt;&gt;"",IFERROR(_xlfn.IFS(T86&gt;='NILAI CPL'!$B$3,4,T86&gt;='NILAI CPL'!$B$4,3,T86&gt;='NILAI CPL'!$B$5,2,T86&gt;'NILAI CPL'!$B$6,1),0),"")</f>
        <v/>
      </c>
      <c r="AR86" s="2" t="str" cm="1">
        <f t="array" ref="AR86">IF('NILAI CPL'!$B86&lt;&gt;"",IFERROR(_xlfn.IFS(U86&gt;='NILAI CPL'!$B$3,4,U86&gt;='NILAI CPL'!$B$4,3,U86&gt;='NILAI CPL'!$B$5,2,U86&gt;'NILAI CPL'!$B$6,1),0),"")</f>
        <v/>
      </c>
      <c r="AS86" s="2" t="str" cm="1">
        <f t="array" ref="AS86">IF('NILAI CPL'!$B86&lt;&gt;"",IFERROR(_xlfn.IFS(V86&gt;='NILAI CPL'!$B$3,4,V86&gt;='NILAI CPL'!$B$4,3,V86&gt;='NILAI CPL'!$B$5,2,V86&gt;'NILAI CPL'!$B$6,1),0),"")</f>
        <v/>
      </c>
      <c r="AT86" s="2" t="str" cm="1">
        <f t="array" ref="AT86">IF('NILAI CPL'!$B86&lt;&gt;"",IFERROR(_xlfn.IFS(W86&gt;='NILAI CPL'!$B$3,4,W86&gt;='NILAI CPL'!$B$4,3,W86&gt;='NILAI CPL'!$B$5,2,W86&gt;'NILAI CPL'!$B$6,1),0),"")</f>
        <v/>
      </c>
      <c r="AU86" s="2" t="str" cm="1">
        <f t="array" ref="AU86">IF('NILAI CPL'!$B86&lt;&gt;"",IFERROR(_xlfn.IFS(X86&gt;='NILAI CPL'!$B$3,4,X86&gt;='NILAI CPL'!$B$4,3,X86&gt;='NILAI CPL'!$B$5,2,X86&gt;'NILAI CPL'!$B$6,1),0),"")</f>
        <v/>
      </c>
      <c r="AV86" s="2" t="str" cm="1">
        <f t="array" ref="AV86">IF('NILAI CPL'!$B86&lt;&gt;"",IFERROR(_xlfn.IFS(Y86&gt;='NILAI CPL'!$B$3,4,Y86&gt;='NILAI CPL'!$B$4,3,Y86&gt;='NILAI CPL'!$B$5,2,Y86&gt;'NILAI CPL'!$B$6,1),0),"")</f>
        <v/>
      </c>
      <c r="AW86" s="2" t="str" cm="1">
        <f t="array" ref="AW86">IF('NILAI CPL'!$B86&lt;&gt;"",IFERROR(_xlfn.IFS(Z86&gt;='NILAI CPL'!$B$3,4,Z86&gt;='NILAI CPL'!$B$4,3,Z86&gt;='NILAI CPL'!$B$5,2,Z86&gt;'NILAI CPL'!$B$6,1),0),"")</f>
        <v/>
      </c>
      <c r="AX86" s="2" t="str" cm="1">
        <f t="array" ref="AX86">IF('NILAI CPL'!$B86&lt;&gt;"",IFERROR(_xlfn.IFS(AA86&gt;='NILAI CPL'!$B$3,4,AA86&gt;='NILAI CPL'!$B$4,3,AA86&gt;='NILAI CPL'!$B$5,2,AA86&gt;'NILAI CPL'!$B$6,1),0),"")</f>
        <v/>
      </c>
      <c r="AY86" s="2" t="str" cm="1">
        <f t="array" ref="AY86">IF('NILAI CPL'!$B86&lt;&gt;"",IFERROR(_xlfn.IFS(AB86&gt;='NILAI CPL'!$B$3,4,AB86&gt;='NILAI CPL'!$B$4,3,AB86&gt;='NILAI CPL'!$B$5,2,AB86&gt;'NILAI CPL'!$B$6,1),0),"")</f>
        <v/>
      </c>
      <c r="AZ86" s="2" t="str" cm="1">
        <f t="array" ref="AZ86">IF('NILAI CPL'!$B86&lt;&gt;"",IFERROR(_xlfn.IFS(AC86&gt;='NILAI CPL'!$B$3,4,AC86&gt;='NILAI CPL'!$B$4,3,AC86&gt;='NILAI CPL'!$B$5,2,AC86&gt;'NILAI CPL'!$B$6,1),0),"")</f>
        <v/>
      </c>
      <c r="BA86" s="2" t="str" cm="1">
        <f t="array" ref="BA86">IF('NILAI CPL'!$B86&lt;&gt;"",IFERROR(_xlfn.IFS(AD86&gt;='NILAI CPL'!$B$3,4,AD86&gt;='NILAI CPL'!$B$4,3,AD86&gt;='NILAI CPL'!$B$5,2,AD86&gt;'NILAI CPL'!$B$6,1),0),"")</f>
        <v/>
      </c>
      <c r="BB86" s="2" t="str" cm="1">
        <f t="array" ref="BB86">IF('NILAI CPL'!$B86&lt;&gt;"",IFERROR(_xlfn.IFS(AE86&gt;='NILAI CPL'!$B$3,4,AE86&gt;='NILAI CPL'!$B$4,3,AE86&gt;='NILAI CPL'!$B$5,2,AE86&gt;'NILAI CPL'!$B$6,1),0),"")</f>
        <v/>
      </c>
      <c r="BC86" s="2" t="str" cm="1">
        <f t="array" ref="BC86">IF('NILAI CPL'!$B86&lt;&gt;"",IFERROR(_xlfn.IFS(AF86&gt;='NILAI CPL'!$B$3,4,AF86&gt;='NILAI CPL'!$B$4,3,AF86&gt;='NILAI CPL'!$B$5,2,AF86&gt;'NILAI CPL'!$B$6,1),0),"")</f>
        <v/>
      </c>
      <c r="BD86" s="2" t="str" cm="1">
        <f t="array" ref="BD86">IF('NILAI CPL'!$B86&lt;&gt;"",IFERROR(_xlfn.IFS(AG86&gt;='NILAI CPL'!$B$3,4,AG86&gt;='NILAI CPL'!$B$4,3,AG86&gt;='NILAI CPL'!$B$5,2,AG86&gt;'NILAI CPL'!$B$6,1),0),"")</f>
        <v/>
      </c>
      <c r="BE86" s="2" t="str" cm="1">
        <f t="array" ref="BE86">IF('NILAI CPL'!$B86&lt;&gt;"",IFERROR(_xlfn.IFS(AH86&gt;='NILAI CPL'!$B$3,4,AH86&gt;='NILAI CPL'!$B$4,3,AH86&gt;='NILAI CPL'!$B$5,2,AH86&gt;'NILAI CPL'!$B$6,1),0),"")</f>
        <v/>
      </c>
      <c r="BF86" s="2" t="str" cm="1">
        <f t="array" ref="BF86">IF('NILAI CPL'!$B86&lt;&gt;"",IFERROR(_xlfn.IFS(AI86&gt;='NILAI CPL'!$B$3,4,AI86&gt;='NILAI CPL'!$B$4,3,AI86&gt;='NILAI CPL'!$B$5,2,AI86&gt;'NILAI CPL'!$B$6,1),0),"")</f>
        <v/>
      </c>
      <c r="BG86" s="2" t="str" cm="1">
        <f t="array" ref="BG86">IF('NILAI CPL'!$B86&lt;&gt;"",IFERROR(_xlfn.IFS(AJ86&gt;='NILAI CPL'!$B$3,4,AJ86&gt;='NILAI CPL'!$B$4,3,AJ86&gt;='NILAI CPL'!$B$5,2,AJ86&gt;'NILAI CPL'!$B$6,1),0),"")</f>
        <v/>
      </c>
      <c r="BH86" s="2" t="str" cm="1">
        <f t="array" ref="BH86">IF('NILAI CPL'!$B86&lt;&gt;"",IFERROR(_xlfn.IFS(AK86&gt;='NILAI CPL'!$B$3,4,AK86&gt;='NILAI CPL'!$B$4,3,AK86&gt;='NILAI CPL'!$B$5,2,AK86&gt;'NILAI CPL'!$B$6,1),0),"")</f>
        <v/>
      </c>
      <c r="BI86" s="2" t="str" cm="1">
        <f t="array" ref="BI86">IF('NILAI CPL'!$B86&lt;&gt;"",IFERROR(_xlfn.IFS(AL86&gt;='NILAI CPL'!$B$3,4,AL86&gt;='NILAI CPL'!$B$4,3,AL86&gt;='NILAI CPL'!$B$5,2,AL86&gt;'NILAI CPL'!$B$6,1),0),"")</f>
        <v/>
      </c>
      <c r="BJ86" s="2" t="str" cm="1">
        <f t="array" ref="BJ86">IF('NILAI CPL'!$B86&lt;&gt;"",IFERROR(_xlfn.IFS(AM86&gt;='NILAI CPL'!$B$3,4,AM86&gt;='NILAI CPL'!$B$4,3,AM86&gt;='NILAI CPL'!$B$5,2,AM86&gt;'NILAI CPL'!$B$6,1),0),"")</f>
        <v/>
      </c>
      <c r="BK86" s="2" t="str" cm="1">
        <f t="array" ref="BK86">IF('NILAI CPL'!$B86&lt;&gt;"",IFERROR(_xlfn.IFS(AN86&gt;='NILAI CPL'!$B$3,4,AN86&gt;='NILAI CPL'!$B$4,3,AN86&gt;='NILAI CPL'!$B$5,2,AN86&gt;'NILAI CPL'!$B$6,1),0),"")</f>
        <v/>
      </c>
    </row>
    <row r="87" spans="1:63" x14ac:dyDescent="0.2">
      <c r="A87" s="2">
        <v>77</v>
      </c>
      <c r="B87" s="2" t="str">
        <f>IF(LEN(SUMMARY!B87)&gt;0, SUMMARY!B87, "")</f>
        <v/>
      </c>
      <c r="C87" s="2" t="str">
        <f>IF(LEN(SUMMARY!C87)&gt;0, SUMMARY!C87, "")</f>
        <v/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" t="str">
        <f t="shared" si="25"/>
        <v/>
      </c>
      <c r="S87" s="2" t="str">
        <f t="shared" si="26"/>
        <v/>
      </c>
      <c r="T87" s="2" t="str">
        <f t="shared" si="27"/>
        <v/>
      </c>
      <c r="U87" s="2" t="str">
        <f t="shared" si="28"/>
        <v/>
      </c>
      <c r="V87" s="2" t="str">
        <f t="shared" si="29"/>
        <v/>
      </c>
      <c r="W87" s="2" t="str">
        <f t="shared" si="30"/>
        <v/>
      </c>
      <c r="X87" s="2" t="str">
        <f t="shared" si="31"/>
        <v/>
      </c>
      <c r="Y87" s="2" t="str">
        <f t="shared" si="32"/>
        <v/>
      </c>
      <c r="Z87" s="2" t="str">
        <f t="shared" si="33"/>
        <v/>
      </c>
      <c r="AA87" s="2" t="str">
        <f t="shared" si="34"/>
        <v/>
      </c>
      <c r="AB87" s="2" t="str">
        <f t="shared" si="35"/>
        <v/>
      </c>
      <c r="AC87" s="2" t="str">
        <f t="shared" si="36"/>
        <v/>
      </c>
      <c r="AD87" s="2" t="str">
        <f t="shared" si="37"/>
        <v/>
      </c>
      <c r="AE87" s="2" t="str">
        <f t="shared" si="38"/>
        <v/>
      </c>
      <c r="AF87" s="2" t="str">
        <f t="shared" si="39"/>
        <v/>
      </c>
      <c r="AG87" s="2" t="str">
        <f t="shared" si="40"/>
        <v/>
      </c>
      <c r="AH87" s="2" t="str">
        <f t="shared" si="41"/>
        <v/>
      </c>
      <c r="AI87" s="2" t="str">
        <f t="shared" si="42"/>
        <v/>
      </c>
      <c r="AJ87" s="2" t="str">
        <f t="shared" si="43"/>
        <v/>
      </c>
      <c r="AK87" s="2" t="str">
        <f t="shared" si="44"/>
        <v/>
      </c>
      <c r="AL87" s="2" t="str">
        <f t="shared" si="45"/>
        <v/>
      </c>
      <c r="AM87" s="2" t="str">
        <f t="shared" si="46"/>
        <v/>
      </c>
      <c r="AN87" s="2" t="str">
        <f t="shared" si="47"/>
        <v/>
      </c>
      <c r="AP87" s="2" t="str" cm="1">
        <f t="array" ref="AP87">IF('NILAI CPL'!$B87&lt;&gt;"",IFERROR(_xlfn.IFS(S87&gt;='NILAI CPL'!$B$3,4,S87&gt;='NILAI CPL'!$B$4,3,S87&gt;='NILAI CPL'!$B$5,2,S87&gt;'NILAI CPL'!$B$6,1),0),"")</f>
        <v/>
      </c>
      <c r="AQ87" s="2" t="str" cm="1">
        <f t="array" ref="AQ87">IF('NILAI CPL'!$B87&lt;&gt;"",IFERROR(_xlfn.IFS(T87&gt;='NILAI CPL'!$B$3,4,T87&gt;='NILAI CPL'!$B$4,3,T87&gt;='NILAI CPL'!$B$5,2,T87&gt;'NILAI CPL'!$B$6,1),0),"")</f>
        <v/>
      </c>
      <c r="AR87" s="2" t="str" cm="1">
        <f t="array" ref="AR87">IF('NILAI CPL'!$B87&lt;&gt;"",IFERROR(_xlfn.IFS(U87&gt;='NILAI CPL'!$B$3,4,U87&gt;='NILAI CPL'!$B$4,3,U87&gt;='NILAI CPL'!$B$5,2,U87&gt;'NILAI CPL'!$B$6,1),0),"")</f>
        <v/>
      </c>
      <c r="AS87" s="2" t="str" cm="1">
        <f t="array" ref="AS87">IF('NILAI CPL'!$B87&lt;&gt;"",IFERROR(_xlfn.IFS(V87&gt;='NILAI CPL'!$B$3,4,V87&gt;='NILAI CPL'!$B$4,3,V87&gt;='NILAI CPL'!$B$5,2,V87&gt;'NILAI CPL'!$B$6,1),0),"")</f>
        <v/>
      </c>
      <c r="AT87" s="2" t="str" cm="1">
        <f t="array" ref="AT87">IF('NILAI CPL'!$B87&lt;&gt;"",IFERROR(_xlfn.IFS(W87&gt;='NILAI CPL'!$B$3,4,W87&gt;='NILAI CPL'!$B$4,3,W87&gt;='NILAI CPL'!$B$5,2,W87&gt;'NILAI CPL'!$B$6,1),0),"")</f>
        <v/>
      </c>
      <c r="AU87" s="2" t="str" cm="1">
        <f t="array" ref="AU87">IF('NILAI CPL'!$B87&lt;&gt;"",IFERROR(_xlfn.IFS(X87&gt;='NILAI CPL'!$B$3,4,X87&gt;='NILAI CPL'!$B$4,3,X87&gt;='NILAI CPL'!$B$5,2,X87&gt;'NILAI CPL'!$B$6,1),0),"")</f>
        <v/>
      </c>
      <c r="AV87" s="2" t="str" cm="1">
        <f t="array" ref="AV87">IF('NILAI CPL'!$B87&lt;&gt;"",IFERROR(_xlfn.IFS(Y87&gt;='NILAI CPL'!$B$3,4,Y87&gt;='NILAI CPL'!$B$4,3,Y87&gt;='NILAI CPL'!$B$5,2,Y87&gt;'NILAI CPL'!$B$6,1),0),"")</f>
        <v/>
      </c>
      <c r="AW87" s="2" t="str" cm="1">
        <f t="array" ref="AW87">IF('NILAI CPL'!$B87&lt;&gt;"",IFERROR(_xlfn.IFS(Z87&gt;='NILAI CPL'!$B$3,4,Z87&gt;='NILAI CPL'!$B$4,3,Z87&gt;='NILAI CPL'!$B$5,2,Z87&gt;'NILAI CPL'!$B$6,1),0),"")</f>
        <v/>
      </c>
      <c r="AX87" s="2" t="str" cm="1">
        <f t="array" ref="AX87">IF('NILAI CPL'!$B87&lt;&gt;"",IFERROR(_xlfn.IFS(AA87&gt;='NILAI CPL'!$B$3,4,AA87&gt;='NILAI CPL'!$B$4,3,AA87&gt;='NILAI CPL'!$B$5,2,AA87&gt;'NILAI CPL'!$B$6,1),0),"")</f>
        <v/>
      </c>
      <c r="AY87" s="2" t="str" cm="1">
        <f t="array" ref="AY87">IF('NILAI CPL'!$B87&lt;&gt;"",IFERROR(_xlfn.IFS(AB87&gt;='NILAI CPL'!$B$3,4,AB87&gt;='NILAI CPL'!$B$4,3,AB87&gt;='NILAI CPL'!$B$5,2,AB87&gt;'NILAI CPL'!$B$6,1),0),"")</f>
        <v/>
      </c>
      <c r="AZ87" s="2" t="str" cm="1">
        <f t="array" ref="AZ87">IF('NILAI CPL'!$B87&lt;&gt;"",IFERROR(_xlfn.IFS(AC87&gt;='NILAI CPL'!$B$3,4,AC87&gt;='NILAI CPL'!$B$4,3,AC87&gt;='NILAI CPL'!$B$5,2,AC87&gt;'NILAI CPL'!$B$6,1),0),"")</f>
        <v/>
      </c>
      <c r="BA87" s="2" t="str" cm="1">
        <f t="array" ref="BA87">IF('NILAI CPL'!$B87&lt;&gt;"",IFERROR(_xlfn.IFS(AD87&gt;='NILAI CPL'!$B$3,4,AD87&gt;='NILAI CPL'!$B$4,3,AD87&gt;='NILAI CPL'!$B$5,2,AD87&gt;'NILAI CPL'!$B$6,1),0),"")</f>
        <v/>
      </c>
      <c r="BB87" s="2" t="str" cm="1">
        <f t="array" ref="BB87">IF('NILAI CPL'!$B87&lt;&gt;"",IFERROR(_xlfn.IFS(AE87&gt;='NILAI CPL'!$B$3,4,AE87&gt;='NILAI CPL'!$B$4,3,AE87&gt;='NILAI CPL'!$B$5,2,AE87&gt;'NILAI CPL'!$B$6,1),0),"")</f>
        <v/>
      </c>
      <c r="BC87" s="2" t="str" cm="1">
        <f t="array" ref="BC87">IF('NILAI CPL'!$B87&lt;&gt;"",IFERROR(_xlfn.IFS(AF87&gt;='NILAI CPL'!$B$3,4,AF87&gt;='NILAI CPL'!$B$4,3,AF87&gt;='NILAI CPL'!$B$5,2,AF87&gt;'NILAI CPL'!$B$6,1),0),"")</f>
        <v/>
      </c>
      <c r="BD87" s="2" t="str" cm="1">
        <f t="array" ref="BD87">IF('NILAI CPL'!$B87&lt;&gt;"",IFERROR(_xlfn.IFS(AG87&gt;='NILAI CPL'!$B$3,4,AG87&gt;='NILAI CPL'!$B$4,3,AG87&gt;='NILAI CPL'!$B$5,2,AG87&gt;'NILAI CPL'!$B$6,1),0),"")</f>
        <v/>
      </c>
      <c r="BE87" s="2" t="str" cm="1">
        <f t="array" ref="BE87">IF('NILAI CPL'!$B87&lt;&gt;"",IFERROR(_xlfn.IFS(AH87&gt;='NILAI CPL'!$B$3,4,AH87&gt;='NILAI CPL'!$B$4,3,AH87&gt;='NILAI CPL'!$B$5,2,AH87&gt;'NILAI CPL'!$B$6,1),0),"")</f>
        <v/>
      </c>
      <c r="BF87" s="2" t="str" cm="1">
        <f t="array" ref="BF87">IF('NILAI CPL'!$B87&lt;&gt;"",IFERROR(_xlfn.IFS(AI87&gt;='NILAI CPL'!$B$3,4,AI87&gt;='NILAI CPL'!$B$4,3,AI87&gt;='NILAI CPL'!$B$5,2,AI87&gt;'NILAI CPL'!$B$6,1),0),"")</f>
        <v/>
      </c>
      <c r="BG87" s="2" t="str" cm="1">
        <f t="array" ref="BG87">IF('NILAI CPL'!$B87&lt;&gt;"",IFERROR(_xlfn.IFS(AJ87&gt;='NILAI CPL'!$B$3,4,AJ87&gt;='NILAI CPL'!$B$4,3,AJ87&gt;='NILAI CPL'!$B$5,2,AJ87&gt;'NILAI CPL'!$B$6,1),0),"")</f>
        <v/>
      </c>
      <c r="BH87" s="2" t="str" cm="1">
        <f t="array" ref="BH87">IF('NILAI CPL'!$B87&lt;&gt;"",IFERROR(_xlfn.IFS(AK87&gt;='NILAI CPL'!$B$3,4,AK87&gt;='NILAI CPL'!$B$4,3,AK87&gt;='NILAI CPL'!$B$5,2,AK87&gt;'NILAI CPL'!$B$6,1),0),"")</f>
        <v/>
      </c>
      <c r="BI87" s="2" t="str" cm="1">
        <f t="array" ref="BI87">IF('NILAI CPL'!$B87&lt;&gt;"",IFERROR(_xlfn.IFS(AL87&gt;='NILAI CPL'!$B$3,4,AL87&gt;='NILAI CPL'!$B$4,3,AL87&gt;='NILAI CPL'!$B$5,2,AL87&gt;'NILAI CPL'!$B$6,1),0),"")</f>
        <v/>
      </c>
      <c r="BJ87" s="2" t="str" cm="1">
        <f t="array" ref="BJ87">IF('NILAI CPL'!$B87&lt;&gt;"",IFERROR(_xlfn.IFS(AM87&gt;='NILAI CPL'!$B$3,4,AM87&gt;='NILAI CPL'!$B$4,3,AM87&gt;='NILAI CPL'!$B$5,2,AM87&gt;'NILAI CPL'!$B$6,1),0),"")</f>
        <v/>
      </c>
      <c r="BK87" s="2" t="str" cm="1">
        <f t="array" ref="BK87">IF('NILAI CPL'!$B87&lt;&gt;"",IFERROR(_xlfn.IFS(AN87&gt;='NILAI CPL'!$B$3,4,AN87&gt;='NILAI CPL'!$B$4,3,AN87&gt;='NILAI CPL'!$B$5,2,AN87&gt;'NILAI CPL'!$B$6,1),0),"")</f>
        <v/>
      </c>
    </row>
    <row r="88" spans="1:63" x14ac:dyDescent="0.2">
      <c r="A88" s="2">
        <v>78</v>
      </c>
      <c r="B88" s="2" t="str">
        <f>IF(LEN(SUMMARY!B88)&gt;0, SUMMARY!B88, "")</f>
        <v/>
      </c>
      <c r="C88" s="2" t="str">
        <f>IF(LEN(SUMMARY!C88)&gt;0, SUMMARY!C88, "")</f>
        <v/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" t="str">
        <f t="shared" si="25"/>
        <v/>
      </c>
      <c r="S88" s="2" t="str">
        <f t="shared" si="26"/>
        <v/>
      </c>
      <c r="T88" s="2" t="str">
        <f t="shared" si="27"/>
        <v/>
      </c>
      <c r="U88" s="2" t="str">
        <f t="shared" si="28"/>
        <v/>
      </c>
      <c r="V88" s="2" t="str">
        <f t="shared" si="29"/>
        <v/>
      </c>
      <c r="W88" s="2" t="str">
        <f t="shared" si="30"/>
        <v/>
      </c>
      <c r="X88" s="2" t="str">
        <f t="shared" si="31"/>
        <v/>
      </c>
      <c r="Y88" s="2" t="str">
        <f t="shared" si="32"/>
        <v/>
      </c>
      <c r="Z88" s="2" t="str">
        <f t="shared" si="33"/>
        <v/>
      </c>
      <c r="AA88" s="2" t="str">
        <f t="shared" si="34"/>
        <v/>
      </c>
      <c r="AB88" s="2" t="str">
        <f t="shared" si="35"/>
        <v/>
      </c>
      <c r="AC88" s="2" t="str">
        <f t="shared" si="36"/>
        <v/>
      </c>
      <c r="AD88" s="2" t="str">
        <f t="shared" si="37"/>
        <v/>
      </c>
      <c r="AE88" s="2" t="str">
        <f t="shared" si="38"/>
        <v/>
      </c>
      <c r="AF88" s="2" t="str">
        <f t="shared" si="39"/>
        <v/>
      </c>
      <c r="AG88" s="2" t="str">
        <f t="shared" si="40"/>
        <v/>
      </c>
      <c r="AH88" s="2" t="str">
        <f t="shared" si="41"/>
        <v/>
      </c>
      <c r="AI88" s="2" t="str">
        <f t="shared" si="42"/>
        <v/>
      </c>
      <c r="AJ88" s="2" t="str">
        <f t="shared" si="43"/>
        <v/>
      </c>
      <c r="AK88" s="2" t="str">
        <f t="shared" si="44"/>
        <v/>
      </c>
      <c r="AL88" s="2" t="str">
        <f t="shared" si="45"/>
        <v/>
      </c>
      <c r="AM88" s="2" t="str">
        <f t="shared" si="46"/>
        <v/>
      </c>
      <c r="AN88" s="2" t="str">
        <f t="shared" si="47"/>
        <v/>
      </c>
      <c r="AP88" s="2" t="str" cm="1">
        <f t="array" ref="AP88">IF('NILAI CPL'!$B88&lt;&gt;"",IFERROR(_xlfn.IFS(S88&gt;='NILAI CPL'!$B$3,4,S88&gt;='NILAI CPL'!$B$4,3,S88&gt;='NILAI CPL'!$B$5,2,S88&gt;'NILAI CPL'!$B$6,1),0),"")</f>
        <v/>
      </c>
      <c r="AQ88" s="2" t="str" cm="1">
        <f t="array" ref="AQ88">IF('NILAI CPL'!$B88&lt;&gt;"",IFERROR(_xlfn.IFS(T88&gt;='NILAI CPL'!$B$3,4,T88&gt;='NILAI CPL'!$B$4,3,T88&gt;='NILAI CPL'!$B$5,2,T88&gt;'NILAI CPL'!$B$6,1),0),"")</f>
        <v/>
      </c>
      <c r="AR88" s="2" t="str" cm="1">
        <f t="array" ref="AR88">IF('NILAI CPL'!$B88&lt;&gt;"",IFERROR(_xlfn.IFS(U88&gt;='NILAI CPL'!$B$3,4,U88&gt;='NILAI CPL'!$B$4,3,U88&gt;='NILAI CPL'!$B$5,2,U88&gt;'NILAI CPL'!$B$6,1),0),"")</f>
        <v/>
      </c>
      <c r="AS88" s="2" t="str" cm="1">
        <f t="array" ref="AS88">IF('NILAI CPL'!$B88&lt;&gt;"",IFERROR(_xlfn.IFS(V88&gt;='NILAI CPL'!$B$3,4,V88&gt;='NILAI CPL'!$B$4,3,V88&gt;='NILAI CPL'!$B$5,2,V88&gt;'NILAI CPL'!$B$6,1),0),"")</f>
        <v/>
      </c>
      <c r="AT88" s="2" t="str" cm="1">
        <f t="array" ref="AT88">IF('NILAI CPL'!$B88&lt;&gt;"",IFERROR(_xlfn.IFS(W88&gt;='NILAI CPL'!$B$3,4,W88&gt;='NILAI CPL'!$B$4,3,W88&gt;='NILAI CPL'!$B$5,2,W88&gt;'NILAI CPL'!$B$6,1),0),"")</f>
        <v/>
      </c>
      <c r="AU88" s="2" t="str" cm="1">
        <f t="array" ref="AU88">IF('NILAI CPL'!$B88&lt;&gt;"",IFERROR(_xlfn.IFS(X88&gt;='NILAI CPL'!$B$3,4,X88&gt;='NILAI CPL'!$B$4,3,X88&gt;='NILAI CPL'!$B$5,2,X88&gt;'NILAI CPL'!$B$6,1),0),"")</f>
        <v/>
      </c>
      <c r="AV88" s="2" t="str" cm="1">
        <f t="array" ref="AV88">IF('NILAI CPL'!$B88&lt;&gt;"",IFERROR(_xlfn.IFS(Y88&gt;='NILAI CPL'!$B$3,4,Y88&gt;='NILAI CPL'!$B$4,3,Y88&gt;='NILAI CPL'!$B$5,2,Y88&gt;'NILAI CPL'!$B$6,1),0),"")</f>
        <v/>
      </c>
      <c r="AW88" s="2" t="str" cm="1">
        <f t="array" ref="AW88">IF('NILAI CPL'!$B88&lt;&gt;"",IFERROR(_xlfn.IFS(Z88&gt;='NILAI CPL'!$B$3,4,Z88&gt;='NILAI CPL'!$B$4,3,Z88&gt;='NILAI CPL'!$B$5,2,Z88&gt;'NILAI CPL'!$B$6,1),0),"")</f>
        <v/>
      </c>
      <c r="AX88" s="2" t="str" cm="1">
        <f t="array" ref="AX88">IF('NILAI CPL'!$B88&lt;&gt;"",IFERROR(_xlfn.IFS(AA88&gt;='NILAI CPL'!$B$3,4,AA88&gt;='NILAI CPL'!$B$4,3,AA88&gt;='NILAI CPL'!$B$5,2,AA88&gt;'NILAI CPL'!$B$6,1),0),"")</f>
        <v/>
      </c>
      <c r="AY88" s="2" t="str" cm="1">
        <f t="array" ref="AY88">IF('NILAI CPL'!$B88&lt;&gt;"",IFERROR(_xlfn.IFS(AB88&gt;='NILAI CPL'!$B$3,4,AB88&gt;='NILAI CPL'!$B$4,3,AB88&gt;='NILAI CPL'!$B$5,2,AB88&gt;'NILAI CPL'!$B$6,1),0),"")</f>
        <v/>
      </c>
      <c r="AZ88" s="2" t="str" cm="1">
        <f t="array" ref="AZ88">IF('NILAI CPL'!$B88&lt;&gt;"",IFERROR(_xlfn.IFS(AC88&gt;='NILAI CPL'!$B$3,4,AC88&gt;='NILAI CPL'!$B$4,3,AC88&gt;='NILAI CPL'!$B$5,2,AC88&gt;'NILAI CPL'!$B$6,1),0),"")</f>
        <v/>
      </c>
      <c r="BA88" s="2" t="str" cm="1">
        <f t="array" ref="BA88">IF('NILAI CPL'!$B88&lt;&gt;"",IFERROR(_xlfn.IFS(AD88&gt;='NILAI CPL'!$B$3,4,AD88&gt;='NILAI CPL'!$B$4,3,AD88&gt;='NILAI CPL'!$B$5,2,AD88&gt;'NILAI CPL'!$B$6,1),0),"")</f>
        <v/>
      </c>
      <c r="BB88" s="2" t="str" cm="1">
        <f t="array" ref="BB88">IF('NILAI CPL'!$B88&lt;&gt;"",IFERROR(_xlfn.IFS(AE88&gt;='NILAI CPL'!$B$3,4,AE88&gt;='NILAI CPL'!$B$4,3,AE88&gt;='NILAI CPL'!$B$5,2,AE88&gt;'NILAI CPL'!$B$6,1),0),"")</f>
        <v/>
      </c>
      <c r="BC88" s="2" t="str" cm="1">
        <f t="array" ref="BC88">IF('NILAI CPL'!$B88&lt;&gt;"",IFERROR(_xlfn.IFS(AF88&gt;='NILAI CPL'!$B$3,4,AF88&gt;='NILAI CPL'!$B$4,3,AF88&gt;='NILAI CPL'!$B$5,2,AF88&gt;'NILAI CPL'!$B$6,1),0),"")</f>
        <v/>
      </c>
      <c r="BD88" s="2" t="str" cm="1">
        <f t="array" ref="BD88">IF('NILAI CPL'!$B88&lt;&gt;"",IFERROR(_xlfn.IFS(AG88&gt;='NILAI CPL'!$B$3,4,AG88&gt;='NILAI CPL'!$B$4,3,AG88&gt;='NILAI CPL'!$B$5,2,AG88&gt;'NILAI CPL'!$B$6,1),0),"")</f>
        <v/>
      </c>
      <c r="BE88" s="2" t="str" cm="1">
        <f t="array" ref="BE88">IF('NILAI CPL'!$B88&lt;&gt;"",IFERROR(_xlfn.IFS(AH88&gt;='NILAI CPL'!$B$3,4,AH88&gt;='NILAI CPL'!$B$4,3,AH88&gt;='NILAI CPL'!$B$5,2,AH88&gt;'NILAI CPL'!$B$6,1),0),"")</f>
        <v/>
      </c>
      <c r="BF88" s="2" t="str" cm="1">
        <f t="array" ref="BF88">IF('NILAI CPL'!$B88&lt;&gt;"",IFERROR(_xlfn.IFS(AI88&gt;='NILAI CPL'!$B$3,4,AI88&gt;='NILAI CPL'!$B$4,3,AI88&gt;='NILAI CPL'!$B$5,2,AI88&gt;'NILAI CPL'!$B$6,1),0),"")</f>
        <v/>
      </c>
      <c r="BG88" s="2" t="str" cm="1">
        <f t="array" ref="BG88">IF('NILAI CPL'!$B88&lt;&gt;"",IFERROR(_xlfn.IFS(AJ88&gt;='NILAI CPL'!$B$3,4,AJ88&gt;='NILAI CPL'!$B$4,3,AJ88&gt;='NILAI CPL'!$B$5,2,AJ88&gt;'NILAI CPL'!$B$6,1),0),"")</f>
        <v/>
      </c>
      <c r="BH88" s="2" t="str" cm="1">
        <f t="array" ref="BH88">IF('NILAI CPL'!$B88&lt;&gt;"",IFERROR(_xlfn.IFS(AK88&gt;='NILAI CPL'!$B$3,4,AK88&gt;='NILAI CPL'!$B$4,3,AK88&gt;='NILAI CPL'!$B$5,2,AK88&gt;'NILAI CPL'!$B$6,1),0),"")</f>
        <v/>
      </c>
      <c r="BI88" s="2" t="str" cm="1">
        <f t="array" ref="BI88">IF('NILAI CPL'!$B88&lt;&gt;"",IFERROR(_xlfn.IFS(AL88&gt;='NILAI CPL'!$B$3,4,AL88&gt;='NILAI CPL'!$B$4,3,AL88&gt;='NILAI CPL'!$B$5,2,AL88&gt;'NILAI CPL'!$B$6,1),0),"")</f>
        <v/>
      </c>
      <c r="BJ88" s="2" t="str" cm="1">
        <f t="array" ref="BJ88">IF('NILAI CPL'!$B88&lt;&gt;"",IFERROR(_xlfn.IFS(AM88&gt;='NILAI CPL'!$B$3,4,AM88&gt;='NILAI CPL'!$B$4,3,AM88&gt;='NILAI CPL'!$B$5,2,AM88&gt;'NILAI CPL'!$B$6,1),0),"")</f>
        <v/>
      </c>
      <c r="BK88" s="2" t="str" cm="1">
        <f t="array" ref="BK88">IF('NILAI CPL'!$B88&lt;&gt;"",IFERROR(_xlfn.IFS(AN88&gt;='NILAI CPL'!$B$3,4,AN88&gt;='NILAI CPL'!$B$4,3,AN88&gt;='NILAI CPL'!$B$5,2,AN88&gt;'NILAI CPL'!$B$6,1),0),"")</f>
        <v/>
      </c>
    </row>
    <row r="89" spans="1:63" x14ac:dyDescent="0.2">
      <c r="A89" s="2">
        <v>79</v>
      </c>
      <c r="B89" s="2" t="str">
        <f>IF(LEN(SUMMARY!B89)&gt;0, SUMMARY!B89, "")</f>
        <v/>
      </c>
      <c r="C89" s="2" t="str">
        <f>IF(LEN(SUMMARY!C89)&gt;0, SUMMARY!C89, "")</f>
        <v/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" t="str">
        <f t="shared" si="25"/>
        <v/>
      </c>
      <c r="S89" s="2" t="str">
        <f t="shared" si="26"/>
        <v/>
      </c>
      <c r="T89" s="2" t="str">
        <f t="shared" si="27"/>
        <v/>
      </c>
      <c r="U89" s="2" t="str">
        <f t="shared" si="28"/>
        <v/>
      </c>
      <c r="V89" s="2" t="str">
        <f t="shared" si="29"/>
        <v/>
      </c>
      <c r="W89" s="2" t="str">
        <f t="shared" si="30"/>
        <v/>
      </c>
      <c r="X89" s="2" t="str">
        <f t="shared" si="31"/>
        <v/>
      </c>
      <c r="Y89" s="2" t="str">
        <f t="shared" si="32"/>
        <v/>
      </c>
      <c r="Z89" s="2" t="str">
        <f t="shared" si="33"/>
        <v/>
      </c>
      <c r="AA89" s="2" t="str">
        <f t="shared" si="34"/>
        <v/>
      </c>
      <c r="AB89" s="2" t="str">
        <f t="shared" si="35"/>
        <v/>
      </c>
      <c r="AC89" s="2" t="str">
        <f t="shared" si="36"/>
        <v/>
      </c>
      <c r="AD89" s="2" t="str">
        <f t="shared" si="37"/>
        <v/>
      </c>
      <c r="AE89" s="2" t="str">
        <f t="shared" si="38"/>
        <v/>
      </c>
      <c r="AF89" s="2" t="str">
        <f t="shared" si="39"/>
        <v/>
      </c>
      <c r="AG89" s="2" t="str">
        <f t="shared" si="40"/>
        <v/>
      </c>
      <c r="AH89" s="2" t="str">
        <f t="shared" si="41"/>
        <v/>
      </c>
      <c r="AI89" s="2" t="str">
        <f t="shared" si="42"/>
        <v/>
      </c>
      <c r="AJ89" s="2" t="str">
        <f t="shared" si="43"/>
        <v/>
      </c>
      <c r="AK89" s="2" t="str">
        <f t="shared" si="44"/>
        <v/>
      </c>
      <c r="AL89" s="2" t="str">
        <f t="shared" si="45"/>
        <v/>
      </c>
      <c r="AM89" s="2" t="str">
        <f t="shared" si="46"/>
        <v/>
      </c>
      <c r="AN89" s="2" t="str">
        <f t="shared" si="47"/>
        <v/>
      </c>
      <c r="AP89" s="2" t="str" cm="1">
        <f t="array" ref="AP89">IF('NILAI CPL'!$B89&lt;&gt;"",IFERROR(_xlfn.IFS(S89&gt;='NILAI CPL'!$B$3,4,S89&gt;='NILAI CPL'!$B$4,3,S89&gt;='NILAI CPL'!$B$5,2,S89&gt;'NILAI CPL'!$B$6,1),0),"")</f>
        <v/>
      </c>
      <c r="AQ89" s="2" t="str" cm="1">
        <f t="array" ref="AQ89">IF('NILAI CPL'!$B89&lt;&gt;"",IFERROR(_xlfn.IFS(T89&gt;='NILAI CPL'!$B$3,4,T89&gt;='NILAI CPL'!$B$4,3,T89&gt;='NILAI CPL'!$B$5,2,T89&gt;'NILAI CPL'!$B$6,1),0),"")</f>
        <v/>
      </c>
      <c r="AR89" s="2" t="str" cm="1">
        <f t="array" ref="AR89">IF('NILAI CPL'!$B89&lt;&gt;"",IFERROR(_xlfn.IFS(U89&gt;='NILAI CPL'!$B$3,4,U89&gt;='NILAI CPL'!$B$4,3,U89&gt;='NILAI CPL'!$B$5,2,U89&gt;'NILAI CPL'!$B$6,1),0),"")</f>
        <v/>
      </c>
      <c r="AS89" s="2" t="str" cm="1">
        <f t="array" ref="AS89">IF('NILAI CPL'!$B89&lt;&gt;"",IFERROR(_xlfn.IFS(V89&gt;='NILAI CPL'!$B$3,4,V89&gt;='NILAI CPL'!$B$4,3,V89&gt;='NILAI CPL'!$B$5,2,V89&gt;'NILAI CPL'!$B$6,1),0),"")</f>
        <v/>
      </c>
      <c r="AT89" s="2" t="str" cm="1">
        <f t="array" ref="AT89">IF('NILAI CPL'!$B89&lt;&gt;"",IFERROR(_xlfn.IFS(W89&gt;='NILAI CPL'!$B$3,4,W89&gt;='NILAI CPL'!$B$4,3,W89&gt;='NILAI CPL'!$B$5,2,W89&gt;'NILAI CPL'!$B$6,1),0),"")</f>
        <v/>
      </c>
      <c r="AU89" s="2" t="str" cm="1">
        <f t="array" ref="AU89">IF('NILAI CPL'!$B89&lt;&gt;"",IFERROR(_xlfn.IFS(X89&gt;='NILAI CPL'!$B$3,4,X89&gt;='NILAI CPL'!$B$4,3,X89&gt;='NILAI CPL'!$B$5,2,X89&gt;'NILAI CPL'!$B$6,1),0),"")</f>
        <v/>
      </c>
      <c r="AV89" s="2" t="str" cm="1">
        <f t="array" ref="AV89">IF('NILAI CPL'!$B89&lt;&gt;"",IFERROR(_xlfn.IFS(Y89&gt;='NILAI CPL'!$B$3,4,Y89&gt;='NILAI CPL'!$B$4,3,Y89&gt;='NILAI CPL'!$B$5,2,Y89&gt;'NILAI CPL'!$B$6,1),0),"")</f>
        <v/>
      </c>
      <c r="AW89" s="2" t="str" cm="1">
        <f t="array" ref="AW89">IF('NILAI CPL'!$B89&lt;&gt;"",IFERROR(_xlfn.IFS(Z89&gt;='NILAI CPL'!$B$3,4,Z89&gt;='NILAI CPL'!$B$4,3,Z89&gt;='NILAI CPL'!$B$5,2,Z89&gt;'NILAI CPL'!$B$6,1),0),"")</f>
        <v/>
      </c>
      <c r="AX89" s="2" t="str" cm="1">
        <f t="array" ref="AX89">IF('NILAI CPL'!$B89&lt;&gt;"",IFERROR(_xlfn.IFS(AA89&gt;='NILAI CPL'!$B$3,4,AA89&gt;='NILAI CPL'!$B$4,3,AA89&gt;='NILAI CPL'!$B$5,2,AA89&gt;'NILAI CPL'!$B$6,1),0),"")</f>
        <v/>
      </c>
      <c r="AY89" s="2" t="str" cm="1">
        <f t="array" ref="AY89">IF('NILAI CPL'!$B89&lt;&gt;"",IFERROR(_xlfn.IFS(AB89&gt;='NILAI CPL'!$B$3,4,AB89&gt;='NILAI CPL'!$B$4,3,AB89&gt;='NILAI CPL'!$B$5,2,AB89&gt;'NILAI CPL'!$B$6,1),0),"")</f>
        <v/>
      </c>
      <c r="AZ89" s="2" t="str" cm="1">
        <f t="array" ref="AZ89">IF('NILAI CPL'!$B89&lt;&gt;"",IFERROR(_xlfn.IFS(AC89&gt;='NILAI CPL'!$B$3,4,AC89&gt;='NILAI CPL'!$B$4,3,AC89&gt;='NILAI CPL'!$B$5,2,AC89&gt;'NILAI CPL'!$B$6,1),0),"")</f>
        <v/>
      </c>
      <c r="BA89" s="2" t="str" cm="1">
        <f t="array" ref="BA89">IF('NILAI CPL'!$B89&lt;&gt;"",IFERROR(_xlfn.IFS(AD89&gt;='NILAI CPL'!$B$3,4,AD89&gt;='NILAI CPL'!$B$4,3,AD89&gt;='NILAI CPL'!$B$5,2,AD89&gt;'NILAI CPL'!$B$6,1),0),"")</f>
        <v/>
      </c>
      <c r="BB89" s="2" t="str" cm="1">
        <f t="array" ref="BB89">IF('NILAI CPL'!$B89&lt;&gt;"",IFERROR(_xlfn.IFS(AE89&gt;='NILAI CPL'!$B$3,4,AE89&gt;='NILAI CPL'!$B$4,3,AE89&gt;='NILAI CPL'!$B$5,2,AE89&gt;'NILAI CPL'!$B$6,1),0),"")</f>
        <v/>
      </c>
      <c r="BC89" s="2" t="str" cm="1">
        <f t="array" ref="BC89">IF('NILAI CPL'!$B89&lt;&gt;"",IFERROR(_xlfn.IFS(AF89&gt;='NILAI CPL'!$B$3,4,AF89&gt;='NILAI CPL'!$B$4,3,AF89&gt;='NILAI CPL'!$B$5,2,AF89&gt;'NILAI CPL'!$B$6,1),0),"")</f>
        <v/>
      </c>
      <c r="BD89" s="2" t="str" cm="1">
        <f t="array" ref="BD89">IF('NILAI CPL'!$B89&lt;&gt;"",IFERROR(_xlfn.IFS(AG89&gt;='NILAI CPL'!$B$3,4,AG89&gt;='NILAI CPL'!$B$4,3,AG89&gt;='NILAI CPL'!$B$5,2,AG89&gt;'NILAI CPL'!$B$6,1),0),"")</f>
        <v/>
      </c>
      <c r="BE89" s="2" t="str" cm="1">
        <f t="array" ref="BE89">IF('NILAI CPL'!$B89&lt;&gt;"",IFERROR(_xlfn.IFS(AH89&gt;='NILAI CPL'!$B$3,4,AH89&gt;='NILAI CPL'!$B$4,3,AH89&gt;='NILAI CPL'!$B$5,2,AH89&gt;'NILAI CPL'!$B$6,1),0),"")</f>
        <v/>
      </c>
      <c r="BF89" s="2" t="str" cm="1">
        <f t="array" ref="BF89">IF('NILAI CPL'!$B89&lt;&gt;"",IFERROR(_xlfn.IFS(AI89&gt;='NILAI CPL'!$B$3,4,AI89&gt;='NILAI CPL'!$B$4,3,AI89&gt;='NILAI CPL'!$B$5,2,AI89&gt;'NILAI CPL'!$B$6,1),0),"")</f>
        <v/>
      </c>
      <c r="BG89" s="2" t="str" cm="1">
        <f t="array" ref="BG89">IF('NILAI CPL'!$B89&lt;&gt;"",IFERROR(_xlfn.IFS(AJ89&gt;='NILAI CPL'!$B$3,4,AJ89&gt;='NILAI CPL'!$B$4,3,AJ89&gt;='NILAI CPL'!$B$5,2,AJ89&gt;'NILAI CPL'!$B$6,1),0),"")</f>
        <v/>
      </c>
      <c r="BH89" s="2" t="str" cm="1">
        <f t="array" ref="BH89">IF('NILAI CPL'!$B89&lt;&gt;"",IFERROR(_xlfn.IFS(AK89&gt;='NILAI CPL'!$B$3,4,AK89&gt;='NILAI CPL'!$B$4,3,AK89&gt;='NILAI CPL'!$B$5,2,AK89&gt;'NILAI CPL'!$B$6,1),0),"")</f>
        <v/>
      </c>
      <c r="BI89" s="2" t="str" cm="1">
        <f t="array" ref="BI89">IF('NILAI CPL'!$B89&lt;&gt;"",IFERROR(_xlfn.IFS(AL89&gt;='NILAI CPL'!$B$3,4,AL89&gt;='NILAI CPL'!$B$4,3,AL89&gt;='NILAI CPL'!$B$5,2,AL89&gt;'NILAI CPL'!$B$6,1),0),"")</f>
        <v/>
      </c>
      <c r="BJ89" s="2" t="str" cm="1">
        <f t="array" ref="BJ89">IF('NILAI CPL'!$B89&lt;&gt;"",IFERROR(_xlfn.IFS(AM89&gt;='NILAI CPL'!$B$3,4,AM89&gt;='NILAI CPL'!$B$4,3,AM89&gt;='NILAI CPL'!$B$5,2,AM89&gt;'NILAI CPL'!$B$6,1),0),"")</f>
        <v/>
      </c>
      <c r="BK89" s="2" t="str" cm="1">
        <f t="array" ref="BK89">IF('NILAI CPL'!$B89&lt;&gt;"",IFERROR(_xlfn.IFS(AN89&gt;='NILAI CPL'!$B$3,4,AN89&gt;='NILAI CPL'!$B$4,3,AN89&gt;='NILAI CPL'!$B$5,2,AN89&gt;'NILAI CPL'!$B$6,1),0),"")</f>
        <v/>
      </c>
    </row>
    <row r="90" spans="1:63" x14ac:dyDescent="0.2">
      <c r="A90" s="2">
        <v>80</v>
      </c>
      <c r="B90" s="2" t="str">
        <f>IF(LEN(SUMMARY!B90)&gt;0, SUMMARY!B90, "")</f>
        <v/>
      </c>
      <c r="C90" s="2" t="str">
        <f>IF(LEN(SUMMARY!C90)&gt;0, SUMMARY!C90, "")</f>
        <v/>
      </c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" t="str">
        <f t="shared" si="25"/>
        <v/>
      </c>
      <c r="S90" s="2" t="str">
        <f t="shared" si="26"/>
        <v/>
      </c>
      <c r="T90" s="2" t="str">
        <f t="shared" si="27"/>
        <v/>
      </c>
      <c r="U90" s="2" t="str">
        <f t="shared" si="28"/>
        <v/>
      </c>
      <c r="V90" s="2" t="str">
        <f t="shared" si="29"/>
        <v/>
      </c>
      <c r="W90" s="2" t="str">
        <f t="shared" si="30"/>
        <v/>
      </c>
      <c r="X90" s="2" t="str">
        <f t="shared" si="31"/>
        <v/>
      </c>
      <c r="Y90" s="2" t="str">
        <f t="shared" si="32"/>
        <v/>
      </c>
      <c r="Z90" s="2" t="str">
        <f t="shared" si="33"/>
        <v/>
      </c>
      <c r="AA90" s="2" t="str">
        <f t="shared" si="34"/>
        <v/>
      </c>
      <c r="AB90" s="2" t="str">
        <f t="shared" si="35"/>
        <v/>
      </c>
      <c r="AC90" s="2" t="str">
        <f t="shared" si="36"/>
        <v/>
      </c>
      <c r="AD90" s="2" t="str">
        <f t="shared" si="37"/>
        <v/>
      </c>
      <c r="AE90" s="2" t="str">
        <f t="shared" si="38"/>
        <v/>
      </c>
      <c r="AF90" s="2" t="str">
        <f t="shared" si="39"/>
        <v/>
      </c>
      <c r="AG90" s="2" t="str">
        <f t="shared" si="40"/>
        <v/>
      </c>
      <c r="AH90" s="2" t="str">
        <f t="shared" si="41"/>
        <v/>
      </c>
      <c r="AI90" s="2" t="str">
        <f t="shared" si="42"/>
        <v/>
      </c>
      <c r="AJ90" s="2" t="str">
        <f t="shared" si="43"/>
        <v/>
      </c>
      <c r="AK90" s="2" t="str">
        <f t="shared" si="44"/>
        <v/>
      </c>
      <c r="AL90" s="2" t="str">
        <f t="shared" si="45"/>
        <v/>
      </c>
      <c r="AM90" s="2" t="str">
        <f t="shared" si="46"/>
        <v/>
      </c>
      <c r="AN90" s="2" t="str">
        <f t="shared" si="47"/>
        <v/>
      </c>
      <c r="AP90" s="2" t="str" cm="1">
        <f t="array" ref="AP90">IF('NILAI CPL'!$B90&lt;&gt;"",IFERROR(_xlfn.IFS(S90&gt;='NILAI CPL'!$B$3,4,S90&gt;='NILAI CPL'!$B$4,3,S90&gt;='NILAI CPL'!$B$5,2,S90&gt;'NILAI CPL'!$B$6,1),0),"")</f>
        <v/>
      </c>
      <c r="AQ90" s="2" t="str" cm="1">
        <f t="array" ref="AQ90">IF('NILAI CPL'!$B90&lt;&gt;"",IFERROR(_xlfn.IFS(T90&gt;='NILAI CPL'!$B$3,4,T90&gt;='NILAI CPL'!$B$4,3,T90&gt;='NILAI CPL'!$B$5,2,T90&gt;'NILAI CPL'!$B$6,1),0),"")</f>
        <v/>
      </c>
      <c r="AR90" s="2" t="str" cm="1">
        <f t="array" ref="AR90">IF('NILAI CPL'!$B90&lt;&gt;"",IFERROR(_xlfn.IFS(U90&gt;='NILAI CPL'!$B$3,4,U90&gt;='NILAI CPL'!$B$4,3,U90&gt;='NILAI CPL'!$B$5,2,U90&gt;'NILAI CPL'!$B$6,1),0),"")</f>
        <v/>
      </c>
      <c r="AS90" s="2" t="str" cm="1">
        <f t="array" ref="AS90">IF('NILAI CPL'!$B90&lt;&gt;"",IFERROR(_xlfn.IFS(V90&gt;='NILAI CPL'!$B$3,4,V90&gt;='NILAI CPL'!$B$4,3,V90&gt;='NILAI CPL'!$B$5,2,V90&gt;'NILAI CPL'!$B$6,1),0),"")</f>
        <v/>
      </c>
      <c r="AT90" s="2" t="str" cm="1">
        <f t="array" ref="AT90">IF('NILAI CPL'!$B90&lt;&gt;"",IFERROR(_xlfn.IFS(W90&gt;='NILAI CPL'!$B$3,4,W90&gt;='NILAI CPL'!$B$4,3,W90&gt;='NILAI CPL'!$B$5,2,W90&gt;'NILAI CPL'!$B$6,1),0),"")</f>
        <v/>
      </c>
      <c r="AU90" s="2" t="str" cm="1">
        <f t="array" ref="AU90">IF('NILAI CPL'!$B90&lt;&gt;"",IFERROR(_xlfn.IFS(X90&gt;='NILAI CPL'!$B$3,4,X90&gt;='NILAI CPL'!$B$4,3,X90&gt;='NILAI CPL'!$B$5,2,X90&gt;'NILAI CPL'!$B$6,1),0),"")</f>
        <v/>
      </c>
      <c r="AV90" s="2" t="str" cm="1">
        <f t="array" ref="AV90">IF('NILAI CPL'!$B90&lt;&gt;"",IFERROR(_xlfn.IFS(Y90&gt;='NILAI CPL'!$B$3,4,Y90&gt;='NILAI CPL'!$B$4,3,Y90&gt;='NILAI CPL'!$B$5,2,Y90&gt;'NILAI CPL'!$B$6,1),0),"")</f>
        <v/>
      </c>
      <c r="AW90" s="2" t="str" cm="1">
        <f t="array" ref="AW90">IF('NILAI CPL'!$B90&lt;&gt;"",IFERROR(_xlfn.IFS(Z90&gt;='NILAI CPL'!$B$3,4,Z90&gt;='NILAI CPL'!$B$4,3,Z90&gt;='NILAI CPL'!$B$5,2,Z90&gt;'NILAI CPL'!$B$6,1),0),"")</f>
        <v/>
      </c>
      <c r="AX90" s="2" t="str" cm="1">
        <f t="array" ref="AX90">IF('NILAI CPL'!$B90&lt;&gt;"",IFERROR(_xlfn.IFS(AA90&gt;='NILAI CPL'!$B$3,4,AA90&gt;='NILAI CPL'!$B$4,3,AA90&gt;='NILAI CPL'!$B$5,2,AA90&gt;'NILAI CPL'!$B$6,1),0),"")</f>
        <v/>
      </c>
      <c r="AY90" s="2" t="str" cm="1">
        <f t="array" ref="AY90">IF('NILAI CPL'!$B90&lt;&gt;"",IFERROR(_xlfn.IFS(AB90&gt;='NILAI CPL'!$B$3,4,AB90&gt;='NILAI CPL'!$B$4,3,AB90&gt;='NILAI CPL'!$B$5,2,AB90&gt;'NILAI CPL'!$B$6,1),0),"")</f>
        <v/>
      </c>
      <c r="AZ90" s="2" t="str" cm="1">
        <f t="array" ref="AZ90">IF('NILAI CPL'!$B90&lt;&gt;"",IFERROR(_xlfn.IFS(AC90&gt;='NILAI CPL'!$B$3,4,AC90&gt;='NILAI CPL'!$B$4,3,AC90&gt;='NILAI CPL'!$B$5,2,AC90&gt;'NILAI CPL'!$B$6,1),0),"")</f>
        <v/>
      </c>
      <c r="BA90" s="2" t="str" cm="1">
        <f t="array" ref="BA90">IF('NILAI CPL'!$B90&lt;&gt;"",IFERROR(_xlfn.IFS(AD90&gt;='NILAI CPL'!$B$3,4,AD90&gt;='NILAI CPL'!$B$4,3,AD90&gt;='NILAI CPL'!$B$5,2,AD90&gt;'NILAI CPL'!$B$6,1),0),"")</f>
        <v/>
      </c>
      <c r="BB90" s="2" t="str" cm="1">
        <f t="array" ref="BB90">IF('NILAI CPL'!$B90&lt;&gt;"",IFERROR(_xlfn.IFS(AE90&gt;='NILAI CPL'!$B$3,4,AE90&gt;='NILAI CPL'!$B$4,3,AE90&gt;='NILAI CPL'!$B$5,2,AE90&gt;'NILAI CPL'!$B$6,1),0),"")</f>
        <v/>
      </c>
      <c r="BC90" s="2" t="str" cm="1">
        <f t="array" ref="BC90">IF('NILAI CPL'!$B90&lt;&gt;"",IFERROR(_xlfn.IFS(AF90&gt;='NILAI CPL'!$B$3,4,AF90&gt;='NILAI CPL'!$B$4,3,AF90&gt;='NILAI CPL'!$B$5,2,AF90&gt;'NILAI CPL'!$B$6,1),0),"")</f>
        <v/>
      </c>
      <c r="BD90" s="2" t="str" cm="1">
        <f t="array" ref="BD90">IF('NILAI CPL'!$B90&lt;&gt;"",IFERROR(_xlfn.IFS(AG90&gt;='NILAI CPL'!$B$3,4,AG90&gt;='NILAI CPL'!$B$4,3,AG90&gt;='NILAI CPL'!$B$5,2,AG90&gt;'NILAI CPL'!$B$6,1),0),"")</f>
        <v/>
      </c>
      <c r="BE90" s="2" t="str" cm="1">
        <f t="array" ref="BE90">IF('NILAI CPL'!$B90&lt;&gt;"",IFERROR(_xlfn.IFS(AH90&gt;='NILAI CPL'!$B$3,4,AH90&gt;='NILAI CPL'!$B$4,3,AH90&gt;='NILAI CPL'!$B$5,2,AH90&gt;'NILAI CPL'!$B$6,1),0),"")</f>
        <v/>
      </c>
      <c r="BF90" s="2" t="str" cm="1">
        <f t="array" ref="BF90">IF('NILAI CPL'!$B90&lt;&gt;"",IFERROR(_xlfn.IFS(AI90&gt;='NILAI CPL'!$B$3,4,AI90&gt;='NILAI CPL'!$B$4,3,AI90&gt;='NILAI CPL'!$B$5,2,AI90&gt;'NILAI CPL'!$B$6,1),0),"")</f>
        <v/>
      </c>
      <c r="BG90" s="2" t="str" cm="1">
        <f t="array" ref="BG90">IF('NILAI CPL'!$B90&lt;&gt;"",IFERROR(_xlfn.IFS(AJ90&gt;='NILAI CPL'!$B$3,4,AJ90&gt;='NILAI CPL'!$B$4,3,AJ90&gt;='NILAI CPL'!$B$5,2,AJ90&gt;'NILAI CPL'!$B$6,1),0),"")</f>
        <v/>
      </c>
      <c r="BH90" s="2" t="str" cm="1">
        <f t="array" ref="BH90">IF('NILAI CPL'!$B90&lt;&gt;"",IFERROR(_xlfn.IFS(AK90&gt;='NILAI CPL'!$B$3,4,AK90&gt;='NILAI CPL'!$B$4,3,AK90&gt;='NILAI CPL'!$B$5,2,AK90&gt;'NILAI CPL'!$B$6,1),0),"")</f>
        <v/>
      </c>
      <c r="BI90" s="2" t="str" cm="1">
        <f t="array" ref="BI90">IF('NILAI CPL'!$B90&lt;&gt;"",IFERROR(_xlfn.IFS(AL90&gt;='NILAI CPL'!$B$3,4,AL90&gt;='NILAI CPL'!$B$4,3,AL90&gt;='NILAI CPL'!$B$5,2,AL90&gt;'NILAI CPL'!$B$6,1),0),"")</f>
        <v/>
      </c>
      <c r="BJ90" s="2" t="str" cm="1">
        <f t="array" ref="BJ90">IF('NILAI CPL'!$B90&lt;&gt;"",IFERROR(_xlfn.IFS(AM90&gt;='NILAI CPL'!$B$3,4,AM90&gt;='NILAI CPL'!$B$4,3,AM90&gt;='NILAI CPL'!$B$5,2,AM90&gt;'NILAI CPL'!$B$6,1),0),"")</f>
        <v/>
      </c>
      <c r="BK90" s="2" t="str" cm="1">
        <f t="array" ref="BK90">IF('NILAI CPL'!$B90&lt;&gt;"",IFERROR(_xlfn.IFS(AN90&gt;='NILAI CPL'!$B$3,4,AN90&gt;='NILAI CPL'!$B$4,3,AN90&gt;='NILAI CPL'!$B$5,2,AN90&gt;'NILAI CPL'!$B$6,1),0),"")</f>
        <v/>
      </c>
    </row>
    <row r="93" spans="1:63" x14ac:dyDescent="0.2"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</row>
    <row r="94" spans="1:63" x14ac:dyDescent="0.2">
      <c r="B94" s="11" t="s">
        <v>6</v>
      </c>
      <c r="C94" s="11" t="s">
        <v>16</v>
      </c>
      <c r="D94" s="3" t="s">
        <v>79</v>
      </c>
      <c r="E94" s="11" t="s">
        <v>93</v>
      </c>
      <c r="F94" s="11" t="s">
        <v>94</v>
      </c>
      <c r="G94" s="11" t="s">
        <v>95</v>
      </c>
      <c r="H94" s="11" t="s">
        <v>96</v>
      </c>
      <c r="I94" s="11" t="s">
        <v>71</v>
      </c>
      <c r="J94" s="11" t="s">
        <v>72</v>
      </c>
      <c r="K94" s="11" t="s">
        <v>73</v>
      </c>
      <c r="L94" s="11" t="s">
        <v>74</v>
      </c>
      <c r="M94" s="11" t="s">
        <v>75</v>
      </c>
      <c r="N94" s="11" t="s">
        <v>76</v>
      </c>
      <c r="O94" s="11" t="s">
        <v>77</v>
      </c>
      <c r="P94" s="11" t="s">
        <v>78</v>
      </c>
    </row>
    <row r="95" spans="1:63" ht="17" x14ac:dyDescent="0.2">
      <c r="B95" s="55">
        <v>1</v>
      </c>
      <c r="C95" s="5" t="s">
        <v>39</v>
      </c>
      <c r="D95" s="10"/>
      <c r="E95" s="25">
        <v>0</v>
      </c>
      <c r="F95" s="25">
        <v>0</v>
      </c>
      <c r="G95" s="25">
        <v>0</v>
      </c>
      <c r="H95" s="25">
        <v>0</v>
      </c>
      <c r="I95" s="25">
        <v>0</v>
      </c>
      <c r="J95" s="25">
        <v>0</v>
      </c>
      <c r="K95" s="25">
        <v>0</v>
      </c>
      <c r="L95" s="25">
        <v>0</v>
      </c>
      <c r="M95" s="25">
        <v>0</v>
      </c>
      <c r="N95" s="25">
        <v>0</v>
      </c>
      <c r="O95" s="25">
        <v>0</v>
      </c>
      <c r="P95" s="25">
        <v>0</v>
      </c>
    </row>
    <row r="96" spans="1:63" ht="17" x14ac:dyDescent="0.2">
      <c r="B96" s="56"/>
      <c r="C96" s="5" t="s">
        <v>40</v>
      </c>
      <c r="D96" s="10"/>
      <c r="E96" s="25">
        <v>0</v>
      </c>
      <c r="F96" s="25">
        <v>0</v>
      </c>
      <c r="G96" s="25">
        <v>0</v>
      </c>
      <c r="H96" s="25">
        <v>0</v>
      </c>
      <c r="I96" s="25">
        <v>0</v>
      </c>
      <c r="J96" s="25">
        <v>0</v>
      </c>
      <c r="K96" s="25">
        <v>0</v>
      </c>
      <c r="L96" s="25">
        <v>0</v>
      </c>
      <c r="M96" s="25">
        <v>0</v>
      </c>
      <c r="N96" s="25">
        <v>0</v>
      </c>
      <c r="O96" s="25">
        <v>0</v>
      </c>
      <c r="P96" s="25">
        <v>0</v>
      </c>
    </row>
    <row r="97" spans="2:16" ht="17" x14ac:dyDescent="0.2">
      <c r="B97" s="55">
        <v>2</v>
      </c>
      <c r="C97" s="5" t="s">
        <v>41</v>
      </c>
      <c r="D97" s="10"/>
      <c r="E97" s="25">
        <v>0</v>
      </c>
      <c r="F97" s="25">
        <v>0</v>
      </c>
      <c r="G97" s="25">
        <v>0</v>
      </c>
      <c r="H97" s="25">
        <v>0</v>
      </c>
      <c r="I97" s="25">
        <v>0</v>
      </c>
      <c r="J97" s="25">
        <v>0</v>
      </c>
      <c r="K97" s="25">
        <v>0</v>
      </c>
      <c r="L97" s="25">
        <v>0</v>
      </c>
      <c r="M97" s="25">
        <v>0</v>
      </c>
      <c r="N97" s="25">
        <v>0</v>
      </c>
      <c r="O97" s="25">
        <v>0</v>
      </c>
      <c r="P97" s="25">
        <v>0</v>
      </c>
    </row>
    <row r="98" spans="2:16" ht="17" x14ac:dyDescent="0.2">
      <c r="B98" s="57"/>
      <c r="C98" s="5" t="s">
        <v>42</v>
      </c>
      <c r="D98" s="10"/>
      <c r="E98" s="25">
        <v>0</v>
      </c>
      <c r="F98" s="25">
        <v>0</v>
      </c>
      <c r="G98" s="25">
        <v>0</v>
      </c>
      <c r="H98" s="25">
        <v>0</v>
      </c>
      <c r="I98" s="25">
        <v>0</v>
      </c>
      <c r="J98" s="25">
        <v>0</v>
      </c>
      <c r="K98" s="25">
        <v>0</v>
      </c>
      <c r="L98" s="25">
        <v>0</v>
      </c>
      <c r="M98" s="25">
        <v>0</v>
      </c>
      <c r="N98" s="25">
        <v>0</v>
      </c>
      <c r="O98" s="25">
        <v>0</v>
      </c>
      <c r="P98" s="25">
        <v>0</v>
      </c>
    </row>
    <row r="99" spans="2:16" ht="17" x14ac:dyDescent="0.2">
      <c r="B99" s="57"/>
      <c r="C99" s="5" t="s">
        <v>43</v>
      </c>
      <c r="D99" s="10"/>
      <c r="E99" s="25">
        <v>0</v>
      </c>
      <c r="F99" s="25">
        <v>0</v>
      </c>
      <c r="G99" s="25">
        <v>0</v>
      </c>
      <c r="H99" s="25">
        <v>0</v>
      </c>
      <c r="I99" s="25">
        <v>0</v>
      </c>
      <c r="J99" s="25">
        <v>0</v>
      </c>
      <c r="K99" s="25">
        <v>0</v>
      </c>
      <c r="L99" s="25">
        <v>0</v>
      </c>
      <c r="M99" s="25">
        <v>0</v>
      </c>
      <c r="N99" s="25">
        <v>0</v>
      </c>
      <c r="O99" s="25">
        <v>0</v>
      </c>
      <c r="P99" s="25">
        <v>0</v>
      </c>
    </row>
    <row r="100" spans="2:16" ht="17" x14ac:dyDescent="0.2">
      <c r="B100" s="56"/>
      <c r="C100" s="5" t="s">
        <v>44</v>
      </c>
      <c r="D100" s="10"/>
      <c r="E100" s="25">
        <v>0</v>
      </c>
      <c r="F100" s="25">
        <v>0</v>
      </c>
      <c r="G100" s="25">
        <v>0</v>
      </c>
      <c r="H100" s="25">
        <v>0</v>
      </c>
      <c r="I100" s="25">
        <v>0</v>
      </c>
      <c r="J100" s="25">
        <v>0</v>
      </c>
      <c r="K100" s="25">
        <v>0</v>
      </c>
      <c r="L100" s="25">
        <v>0</v>
      </c>
      <c r="M100" s="25">
        <v>0</v>
      </c>
      <c r="N100" s="25">
        <v>0</v>
      </c>
      <c r="O100" s="25">
        <v>0</v>
      </c>
      <c r="P100" s="25">
        <v>0</v>
      </c>
    </row>
    <row r="101" spans="2:16" ht="17" x14ac:dyDescent="0.2">
      <c r="B101" s="55">
        <v>3</v>
      </c>
      <c r="C101" s="5" t="s">
        <v>45</v>
      </c>
      <c r="D101" s="10"/>
      <c r="E101" s="25">
        <v>0</v>
      </c>
      <c r="F101" s="25">
        <v>0</v>
      </c>
      <c r="G101" s="25">
        <v>0</v>
      </c>
      <c r="H101" s="25">
        <v>0</v>
      </c>
      <c r="I101" s="25">
        <v>0</v>
      </c>
      <c r="J101" s="25">
        <v>0</v>
      </c>
      <c r="K101" s="25">
        <v>0</v>
      </c>
      <c r="L101" s="25">
        <v>0</v>
      </c>
      <c r="M101" s="25">
        <v>0</v>
      </c>
      <c r="N101" s="25">
        <v>0</v>
      </c>
      <c r="O101" s="25">
        <v>0</v>
      </c>
      <c r="P101" s="25">
        <v>0</v>
      </c>
    </row>
    <row r="102" spans="2:16" ht="17" x14ac:dyDescent="0.2">
      <c r="B102" s="56"/>
      <c r="C102" s="5" t="s">
        <v>46</v>
      </c>
      <c r="D102" s="10"/>
      <c r="E102" s="25">
        <v>0</v>
      </c>
      <c r="F102" s="25">
        <v>0</v>
      </c>
      <c r="G102" s="25">
        <v>0</v>
      </c>
      <c r="H102" s="25">
        <v>0</v>
      </c>
      <c r="I102" s="25">
        <v>0</v>
      </c>
      <c r="J102" s="25">
        <v>0</v>
      </c>
      <c r="K102" s="25">
        <v>0</v>
      </c>
      <c r="L102" s="25">
        <v>0</v>
      </c>
      <c r="M102" s="25">
        <v>0</v>
      </c>
      <c r="N102" s="25">
        <v>0</v>
      </c>
      <c r="O102" s="25">
        <v>0</v>
      </c>
      <c r="P102" s="25">
        <v>0</v>
      </c>
    </row>
    <row r="103" spans="2:16" ht="17" x14ac:dyDescent="0.2">
      <c r="B103" s="55">
        <v>4</v>
      </c>
      <c r="C103" s="5" t="s">
        <v>47</v>
      </c>
      <c r="D103" s="10"/>
      <c r="E103" s="25">
        <v>0</v>
      </c>
      <c r="F103" s="25">
        <v>0</v>
      </c>
      <c r="G103" s="25">
        <v>0</v>
      </c>
      <c r="H103" s="25">
        <v>0</v>
      </c>
      <c r="I103" s="25">
        <v>0</v>
      </c>
      <c r="J103" s="25">
        <v>0</v>
      </c>
      <c r="K103" s="25">
        <v>0</v>
      </c>
      <c r="L103" s="25">
        <v>0</v>
      </c>
      <c r="M103" s="25">
        <v>0</v>
      </c>
      <c r="N103" s="25">
        <v>0</v>
      </c>
      <c r="O103" s="25">
        <v>0</v>
      </c>
      <c r="P103" s="25">
        <v>0</v>
      </c>
    </row>
    <row r="104" spans="2:16" ht="17" x14ac:dyDescent="0.2">
      <c r="B104" s="56"/>
      <c r="C104" s="5" t="s">
        <v>48</v>
      </c>
      <c r="D104" s="10"/>
      <c r="E104" s="25">
        <v>0</v>
      </c>
      <c r="F104" s="25">
        <v>0</v>
      </c>
      <c r="G104" s="25">
        <v>0</v>
      </c>
      <c r="H104" s="25">
        <v>0</v>
      </c>
      <c r="I104" s="25">
        <v>0</v>
      </c>
      <c r="J104" s="25">
        <v>0</v>
      </c>
      <c r="K104" s="25">
        <v>0</v>
      </c>
      <c r="L104" s="25">
        <v>0</v>
      </c>
      <c r="M104" s="25">
        <v>0</v>
      </c>
      <c r="N104" s="25">
        <v>0</v>
      </c>
      <c r="O104" s="25">
        <v>0</v>
      </c>
      <c r="P104" s="25">
        <v>0</v>
      </c>
    </row>
    <row r="105" spans="2:16" ht="17" x14ac:dyDescent="0.2">
      <c r="B105" s="55">
        <v>5</v>
      </c>
      <c r="C105" s="5" t="s">
        <v>49</v>
      </c>
      <c r="D105" s="10"/>
      <c r="E105" s="25">
        <v>0</v>
      </c>
      <c r="F105" s="25">
        <v>0</v>
      </c>
      <c r="G105" s="25">
        <v>0</v>
      </c>
      <c r="H105" s="25">
        <v>0</v>
      </c>
      <c r="I105" s="25">
        <v>0</v>
      </c>
      <c r="J105" s="25">
        <v>0</v>
      </c>
      <c r="K105" s="25">
        <v>0</v>
      </c>
      <c r="L105" s="25">
        <v>0</v>
      </c>
      <c r="M105" s="25">
        <v>0</v>
      </c>
      <c r="N105" s="25">
        <v>0</v>
      </c>
      <c r="O105" s="25">
        <v>0</v>
      </c>
      <c r="P105" s="25">
        <v>0</v>
      </c>
    </row>
    <row r="106" spans="2:16" ht="17" x14ac:dyDescent="0.2">
      <c r="B106" s="56"/>
      <c r="C106" s="5" t="s">
        <v>50</v>
      </c>
      <c r="D106" s="10"/>
      <c r="E106" s="25">
        <v>0</v>
      </c>
      <c r="F106" s="25">
        <v>0</v>
      </c>
      <c r="G106" s="25">
        <v>0</v>
      </c>
      <c r="H106" s="25">
        <v>0</v>
      </c>
      <c r="I106" s="25">
        <v>0</v>
      </c>
      <c r="J106" s="25">
        <v>0</v>
      </c>
      <c r="K106" s="25">
        <v>0</v>
      </c>
      <c r="L106" s="25">
        <v>0</v>
      </c>
      <c r="M106" s="25">
        <v>0</v>
      </c>
      <c r="N106" s="25">
        <v>0</v>
      </c>
      <c r="O106" s="25">
        <v>0</v>
      </c>
      <c r="P106" s="25">
        <v>0</v>
      </c>
    </row>
    <row r="107" spans="2:16" ht="17" x14ac:dyDescent="0.2">
      <c r="B107" s="55">
        <v>6</v>
      </c>
      <c r="C107" s="5" t="s">
        <v>51</v>
      </c>
      <c r="D107" s="10"/>
      <c r="E107" s="25">
        <v>0</v>
      </c>
      <c r="F107" s="25">
        <v>0</v>
      </c>
      <c r="G107" s="25">
        <v>0</v>
      </c>
      <c r="H107" s="25">
        <v>0</v>
      </c>
      <c r="I107" s="25">
        <v>0</v>
      </c>
      <c r="J107" s="25">
        <v>0</v>
      </c>
      <c r="K107" s="25">
        <v>0</v>
      </c>
      <c r="L107" s="25">
        <v>0</v>
      </c>
      <c r="M107" s="25">
        <v>0</v>
      </c>
      <c r="N107" s="25">
        <v>0</v>
      </c>
      <c r="O107" s="25">
        <v>0</v>
      </c>
      <c r="P107" s="25">
        <v>0</v>
      </c>
    </row>
    <row r="108" spans="2:16" ht="17" x14ac:dyDescent="0.2">
      <c r="B108" s="56"/>
      <c r="C108" s="5" t="s">
        <v>52</v>
      </c>
      <c r="D108" s="10"/>
      <c r="E108" s="25">
        <v>0</v>
      </c>
      <c r="F108" s="25">
        <v>0</v>
      </c>
      <c r="G108" s="25">
        <v>0</v>
      </c>
      <c r="H108" s="25">
        <v>0</v>
      </c>
      <c r="I108" s="25">
        <v>0</v>
      </c>
      <c r="J108" s="25">
        <v>0</v>
      </c>
      <c r="K108" s="25">
        <v>0</v>
      </c>
      <c r="L108" s="25">
        <v>0</v>
      </c>
      <c r="M108" s="25">
        <v>0</v>
      </c>
      <c r="N108" s="25">
        <v>0</v>
      </c>
      <c r="O108" s="25">
        <v>0</v>
      </c>
      <c r="P108" s="25">
        <v>0</v>
      </c>
    </row>
    <row r="109" spans="2:16" ht="17" x14ac:dyDescent="0.2">
      <c r="B109" s="55">
        <v>7</v>
      </c>
      <c r="C109" s="5" t="s">
        <v>53</v>
      </c>
      <c r="D109" s="10"/>
      <c r="E109" s="25">
        <v>0</v>
      </c>
      <c r="F109" s="25">
        <v>0</v>
      </c>
      <c r="G109" s="25">
        <v>0</v>
      </c>
      <c r="H109" s="25">
        <v>0</v>
      </c>
      <c r="I109" s="25">
        <v>0</v>
      </c>
      <c r="J109" s="25">
        <v>0</v>
      </c>
      <c r="K109" s="25">
        <v>0</v>
      </c>
      <c r="L109" s="25">
        <v>0</v>
      </c>
      <c r="M109" s="25">
        <v>0</v>
      </c>
      <c r="N109" s="25">
        <v>0</v>
      </c>
      <c r="O109" s="25">
        <v>0</v>
      </c>
      <c r="P109" s="25">
        <v>0</v>
      </c>
    </row>
    <row r="110" spans="2:16" ht="17" x14ac:dyDescent="0.2">
      <c r="B110" s="56"/>
      <c r="C110" s="5" t="s">
        <v>54</v>
      </c>
      <c r="D110" s="10"/>
      <c r="E110" s="25">
        <v>0</v>
      </c>
      <c r="F110" s="25">
        <v>0</v>
      </c>
      <c r="G110" s="25">
        <v>0</v>
      </c>
      <c r="H110" s="25">
        <v>0</v>
      </c>
      <c r="I110" s="25">
        <v>0</v>
      </c>
      <c r="J110" s="25">
        <v>0</v>
      </c>
      <c r="K110" s="25">
        <v>0</v>
      </c>
      <c r="L110" s="25">
        <v>0</v>
      </c>
      <c r="M110" s="25">
        <v>0</v>
      </c>
      <c r="N110" s="25">
        <v>0</v>
      </c>
      <c r="O110" s="25">
        <v>0</v>
      </c>
      <c r="P110" s="25">
        <v>0</v>
      </c>
    </row>
    <row r="111" spans="2:16" ht="17" x14ac:dyDescent="0.2">
      <c r="B111" s="55">
        <v>8</v>
      </c>
      <c r="C111" s="5" t="s">
        <v>55</v>
      </c>
      <c r="D111" s="10"/>
      <c r="E111" s="25">
        <v>0</v>
      </c>
      <c r="F111" s="25">
        <v>0</v>
      </c>
      <c r="G111" s="25">
        <v>0</v>
      </c>
      <c r="H111" s="25">
        <v>0</v>
      </c>
      <c r="I111" s="25">
        <v>0</v>
      </c>
      <c r="J111" s="25">
        <v>0</v>
      </c>
      <c r="K111" s="25">
        <v>0</v>
      </c>
      <c r="L111" s="25">
        <v>0</v>
      </c>
      <c r="M111" s="25">
        <v>0</v>
      </c>
      <c r="N111" s="25">
        <v>0</v>
      </c>
      <c r="O111" s="25">
        <v>0</v>
      </c>
      <c r="P111" s="25">
        <v>0</v>
      </c>
    </row>
    <row r="112" spans="2:16" ht="17" x14ac:dyDescent="0.2">
      <c r="B112" s="56"/>
      <c r="C112" s="5" t="s">
        <v>56</v>
      </c>
      <c r="D112" s="10"/>
      <c r="E112" s="25">
        <v>0</v>
      </c>
      <c r="F112" s="25">
        <v>0</v>
      </c>
      <c r="G112" s="25">
        <v>0</v>
      </c>
      <c r="H112" s="25">
        <v>0</v>
      </c>
      <c r="I112" s="25">
        <v>0</v>
      </c>
      <c r="J112" s="25">
        <v>0</v>
      </c>
      <c r="K112" s="25">
        <v>0</v>
      </c>
      <c r="L112" s="25">
        <v>0</v>
      </c>
      <c r="M112" s="25">
        <v>0</v>
      </c>
      <c r="N112" s="25">
        <v>0</v>
      </c>
      <c r="O112" s="25">
        <v>0</v>
      </c>
      <c r="P112" s="25">
        <v>0</v>
      </c>
    </row>
    <row r="113" spans="2:16" ht="17" x14ac:dyDescent="0.2">
      <c r="B113" s="55">
        <v>9</v>
      </c>
      <c r="C113" s="5" t="s">
        <v>57</v>
      </c>
      <c r="D113" s="10"/>
      <c r="E113" s="25">
        <v>0</v>
      </c>
      <c r="F113" s="25">
        <v>0</v>
      </c>
      <c r="G113" s="25">
        <v>0</v>
      </c>
      <c r="H113" s="25">
        <v>0</v>
      </c>
      <c r="I113" s="25">
        <v>0</v>
      </c>
      <c r="J113" s="25">
        <v>0</v>
      </c>
      <c r="K113" s="25">
        <v>0</v>
      </c>
      <c r="L113" s="25">
        <v>0</v>
      </c>
      <c r="M113" s="25">
        <v>0</v>
      </c>
      <c r="N113" s="25">
        <v>0</v>
      </c>
      <c r="O113" s="25">
        <v>0</v>
      </c>
      <c r="P113" s="25">
        <v>0</v>
      </c>
    </row>
    <row r="114" spans="2:16" ht="17" x14ac:dyDescent="0.2">
      <c r="B114" s="56"/>
      <c r="C114" s="5" t="s">
        <v>58</v>
      </c>
      <c r="D114" s="10"/>
      <c r="E114" s="25">
        <v>0</v>
      </c>
      <c r="F114" s="25">
        <v>0</v>
      </c>
      <c r="G114" s="25">
        <v>0</v>
      </c>
      <c r="H114" s="25">
        <v>0</v>
      </c>
      <c r="I114" s="25">
        <v>0</v>
      </c>
      <c r="J114" s="25">
        <v>0</v>
      </c>
      <c r="K114" s="25">
        <v>0</v>
      </c>
      <c r="L114" s="25">
        <v>0</v>
      </c>
      <c r="M114" s="25">
        <v>0</v>
      </c>
      <c r="N114" s="25">
        <v>0</v>
      </c>
      <c r="O114" s="25">
        <v>0</v>
      </c>
      <c r="P114" s="25">
        <v>0</v>
      </c>
    </row>
    <row r="115" spans="2:16" ht="17" x14ac:dyDescent="0.2">
      <c r="B115" s="55">
        <v>10</v>
      </c>
      <c r="C115" s="5" t="s">
        <v>59</v>
      </c>
      <c r="D115" s="10"/>
      <c r="E115" s="25">
        <v>0</v>
      </c>
      <c r="F115" s="25">
        <v>0</v>
      </c>
      <c r="G115" s="25">
        <v>0</v>
      </c>
      <c r="H115" s="25">
        <v>0</v>
      </c>
      <c r="I115" s="25">
        <v>0</v>
      </c>
      <c r="J115" s="25">
        <v>0</v>
      </c>
      <c r="K115" s="25">
        <v>0</v>
      </c>
      <c r="L115" s="25">
        <v>0</v>
      </c>
      <c r="M115" s="25">
        <v>0</v>
      </c>
      <c r="N115" s="25">
        <v>0</v>
      </c>
      <c r="O115" s="25">
        <v>0</v>
      </c>
      <c r="P115" s="25">
        <v>0</v>
      </c>
    </row>
    <row r="116" spans="2:16" ht="17" x14ac:dyDescent="0.2">
      <c r="B116" s="56"/>
      <c r="C116" s="5" t="s">
        <v>60</v>
      </c>
      <c r="D116" s="10"/>
      <c r="E116" s="25">
        <v>0</v>
      </c>
      <c r="F116" s="25">
        <v>0</v>
      </c>
      <c r="G116" s="25">
        <v>0</v>
      </c>
      <c r="H116" s="25">
        <v>0</v>
      </c>
      <c r="I116" s="25">
        <v>0</v>
      </c>
      <c r="J116" s="25">
        <v>0</v>
      </c>
      <c r="K116" s="25">
        <v>0</v>
      </c>
      <c r="L116" s="25">
        <v>0</v>
      </c>
      <c r="M116" s="25">
        <v>0</v>
      </c>
      <c r="N116" s="25">
        <v>0</v>
      </c>
      <c r="O116" s="25">
        <v>0</v>
      </c>
      <c r="P116" s="25">
        <v>0</v>
      </c>
    </row>
  </sheetData>
  <mergeCells count="31">
    <mergeCell ref="B95:B96"/>
    <mergeCell ref="S9:T9"/>
    <mergeCell ref="U9:X9"/>
    <mergeCell ref="Y9:Z9"/>
    <mergeCell ref="AA9:AB9"/>
    <mergeCell ref="AG9:AH9"/>
    <mergeCell ref="AI9:AJ9"/>
    <mergeCell ref="AK9:AL9"/>
    <mergeCell ref="AM9:AN9"/>
    <mergeCell ref="E93:P93"/>
    <mergeCell ref="AC9:AD9"/>
    <mergeCell ref="AE9:AF9"/>
    <mergeCell ref="B111:B112"/>
    <mergeCell ref="B113:B114"/>
    <mergeCell ref="B115:B116"/>
    <mergeCell ref="B97:B100"/>
    <mergeCell ref="B101:B102"/>
    <mergeCell ref="B103:B104"/>
    <mergeCell ref="B105:B106"/>
    <mergeCell ref="B107:B108"/>
    <mergeCell ref="B109:B110"/>
    <mergeCell ref="AP9:AQ9"/>
    <mergeCell ref="AR9:AU9"/>
    <mergeCell ref="AV9:AW9"/>
    <mergeCell ref="AX9:AY9"/>
    <mergeCell ref="AZ9:BA9"/>
    <mergeCell ref="BB9:BC9"/>
    <mergeCell ref="BD9:BE9"/>
    <mergeCell ref="BF9:BG9"/>
    <mergeCell ref="BH9:BI9"/>
    <mergeCell ref="BJ9:BK9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CE5F9-7527-FE4C-ACF6-84AB727CA9A7}">
  <sheetPr codeName="Sheet8"/>
  <dimension ref="A1:BK116"/>
  <sheetViews>
    <sheetView showGridLines="0" zoomScale="116" zoomScaleNormal="75" workbookViewId="0"/>
  </sheetViews>
  <sheetFormatPr baseColWidth="10" defaultRowHeight="16" x14ac:dyDescent="0.2"/>
  <cols>
    <col min="1" max="2" width="10.83203125" style="6"/>
    <col min="3" max="3" width="23" style="6" bestFit="1" customWidth="1"/>
    <col min="4" max="16384" width="10.83203125" style="6"/>
  </cols>
  <sheetData>
    <row r="1" spans="1:63" x14ac:dyDescent="0.2">
      <c r="A1" s="3" t="s">
        <v>66</v>
      </c>
      <c r="B1" s="14" t="str" cm="1">
        <f t="array" aca="1" ref="B1" ca="1">GetCurrentSheetName()</f>
        <v>UJIAN 2</v>
      </c>
    </row>
    <row r="2" spans="1:63" x14ac:dyDescent="0.2">
      <c r="A2" s="3" t="s">
        <v>61</v>
      </c>
      <c r="B2" s="25">
        <v>1</v>
      </c>
    </row>
    <row r="3" spans="1:63" x14ac:dyDescent="0.2">
      <c r="A3" s="3" t="s">
        <v>80</v>
      </c>
      <c r="B3" s="25">
        <v>1</v>
      </c>
    </row>
    <row r="7" spans="1:63" x14ac:dyDescent="0.2">
      <c r="A7" s="3"/>
      <c r="B7" s="3"/>
      <c r="C7" s="3"/>
      <c r="D7" s="3" t="s">
        <v>79</v>
      </c>
      <c r="E7" s="11" t="s">
        <v>67</v>
      </c>
      <c r="F7" s="11" t="s">
        <v>68</v>
      </c>
      <c r="G7" s="11" t="s">
        <v>69</v>
      </c>
      <c r="H7" s="11" t="s">
        <v>70</v>
      </c>
      <c r="I7" s="11" t="s">
        <v>71</v>
      </c>
      <c r="J7" s="11" t="s">
        <v>72</v>
      </c>
      <c r="K7" s="11" t="s">
        <v>73</v>
      </c>
      <c r="L7" s="11" t="s">
        <v>74</v>
      </c>
      <c r="M7" s="11" t="s">
        <v>75</v>
      </c>
      <c r="N7" s="11" t="s">
        <v>76</v>
      </c>
      <c r="O7" s="11" t="s">
        <v>77</v>
      </c>
      <c r="P7" s="11" t="s">
        <v>78</v>
      </c>
      <c r="Q7" s="21" t="s">
        <v>65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63" x14ac:dyDescent="0.2">
      <c r="A8" s="3"/>
      <c r="B8" s="3"/>
      <c r="C8" s="3"/>
      <c r="D8" s="3" t="s">
        <v>63</v>
      </c>
      <c r="E8" s="19">
        <f>IFERROR(ROUNDUP(STDEV(E11:E90),2),0)</f>
        <v>0</v>
      </c>
      <c r="F8" s="19">
        <f t="shared" ref="F8:Q8" si="0">IFERROR(ROUNDUP(STDEV(F11:F90),2),0)</f>
        <v>0</v>
      </c>
      <c r="G8" s="19">
        <f t="shared" si="0"/>
        <v>0</v>
      </c>
      <c r="H8" s="19">
        <f t="shared" si="0"/>
        <v>0</v>
      </c>
      <c r="I8" s="19">
        <f t="shared" si="0"/>
        <v>0</v>
      </c>
      <c r="J8" s="19">
        <f t="shared" si="0"/>
        <v>0</v>
      </c>
      <c r="K8" s="19">
        <f t="shared" si="0"/>
        <v>0</v>
      </c>
      <c r="L8" s="19">
        <f t="shared" si="0"/>
        <v>0</v>
      </c>
      <c r="M8" s="19">
        <f t="shared" si="0"/>
        <v>0</v>
      </c>
      <c r="N8" s="19">
        <f t="shared" si="0"/>
        <v>0</v>
      </c>
      <c r="O8" s="19">
        <f t="shared" si="0"/>
        <v>0</v>
      </c>
      <c r="P8" s="19">
        <f t="shared" si="0"/>
        <v>0</v>
      </c>
      <c r="Q8" s="19">
        <f t="shared" si="0"/>
        <v>0</v>
      </c>
      <c r="R8" s="3"/>
      <c r="S8" s="3"/>
      <c r="T8" s="9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</row>
    <row r="9" spans="1:63" x14ac:dyDescent="0.2">
      <c r="A9" s="3"/>
      <c r="B9" s="3"/>
      <c r="C9" s="3"/>
      <c r="D9" s="3" t="s">
        <v>62</v>
      </c>
      <c r="E9" s="20">
        <f>IFERROR(ROUNDUP(AVERAGE(E11:E90),2),0)</f>
        <v>0</v>
      </c>
      <c r="F9" s="20">
        <f t="shared" ref="F9:Q9" si="1">IFERROR(ROUNDUP(AVERAGE(F11:F90),2),0)</f>
        <v>0</v>
      </c>
      <c r="G9" s="20">
        <f t="shared" si="1"/>
        <v>0</v>
      </c>
      <c r="H9" s="20">
        <f t="shared" si="1"/>
        <v>0</v>
      </c>
      <c r="I9" s="20">
        <f t="shared" si="1"/>
        <v>0</v>
      </c>
      <c r="J9" s="20">
        <f t="shared" si="1"/>
        <v>0</v>
      </c>
      <c r="K9" s="20">
        <f t="shared" si="1"/>
        <v>0</v>
      </c>
      <c r="L9" s="20">
        <f t="shared" si="1"/>
        <v>0</v>
      </c>
      <c r="M9" s="20">
        <f t="shared" si="1"/>
        <v>0</v>
      </c>
      <c r="N9" s="20">
        <f t="shared" si="1"/>
        <v>0</v>
      </c>
      <c r="O9" s="20">
        <f t="shared" si="1"/>
        <v>0</v>
      </c>
      <c r="P9" s="20">
        <f t="shared" si="1"/>
        <v>0</v>
      </c>
      <c r="Q9" s="20">
        <f t="shared" si="1"/>
        <v>0</v>
      </c>
      <c r="R9" s="8" t="s">
        <v>6</v>
      </c>
      <c r="S9" s="48">
        <v>1</v>
      </c>
      <c r="T9" s="49"/>
      <c r="U9" s="52">
        <v>2</v>
      </c>
      <c r="V9" s="53"/>
      <c r="W9" s="53"/>
      <c r="X9" s="54"/>
      <c r="Y9" s="52">
        <v>3</v>
      </c>
      <c r="Z9" s="54"/>
      <c r="AA9" s="52">
        <v>4</v>
      </c>
      <c r="AB9" s="54"/>
      <c r="AC9" s="52">
        <v>5</v>
      </c>
      <c r="AD9" s="54"/>
      <c r="AE9" s="52">
        <v>6</v>
      </c>
      <c r="AF9" s="54"/>
      <c r="AG9" s="48">
        <v>7</v>
      </c>
      <c r="AH9" s="49"/>
      <c r="AI9" s="48">
        <v>8</v>
      </c>
      <c r="AJ9" s="49"/>
      <c r="AK9" s="48">
        <v>9</v>
      </c>
      <c r="AL9" s="49"/>
      <c r="AM9" s="48">
        <v>10</v>
      </c>
      <c r="AN9" s="49"/>
      <c r="AO9" s="8" t="s">
        <v>6</v>
      </c>
      <c r="AP9" s="42">
        <v>1</v>
      </c>
      <c r="AQ9" s="42"/>
      <c r="AR9" s="41">
        <v>2</v>
      </c>
      <c r="AS9" s="41"/>
      <c r="AT9" s="41"/>
      <c r="AU9" s="41"/>
      <c r="AV9" s="41">
        <v>3</v>
      </c>
      <c r="AW9" s="41"/>
      <c r="AX9" s="41">
        <v>4</v>
      </c>
      <c r="AY9" s="41"/>
      <c r="AZ9" s="41">
        <v>5</v>
      </c>
      <c r="BA9" s="41"/>
      <c r="BB9" s="41">
        <v>6</v>
      </c>
      <c r="BC9" s="41"/>
      <c r="BD9" s="42">
        <v>7</v>
      </c>
      <c r="BE9" s="42"/>
      <c r="BF9" s="42">
        <v>8</v>
      </c>
      <c r="BG9" s="42"/>
      <c r="BH9" s="42">
        <v>9</v>
      </c>
      <c r="BI9" s="42"/>
      <c r="BJ9" s="42">
        <v>10</v>
      </c>
      <c r="BK9" s="42"/>
    </row>
    <row r="10" spans="1:63" x14ac:dyDescent="0.2">
      <c r="A10" s="11" t="s">
        <v>5</v>
      </c>
      <c r="B10" s="11" t="s">
        <v>0</v>
      </c>
      <c r="C10" s="11" t="s">
        <v>1</v>
      </c>
      <c r="D10" s="3" t="s">
        <v>61</v>
      </c>
      <c r="E10" s="26">
        <v>1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2"/>
      <c r="R10" s="8" t="s">
        <v>16</v>
      </c>
      <c r="S10" s="16" t="s">
        <v>39</v>
      </c>
      <c r="T10" s="16" t="s">
        <v>40</v>
      </c>
      <c r="U10" s="16" t="s">
        <v>41</v>
      </c>
      <c r="V10" s="16" t="s">
        <v>42</v>
      </c>
      <c r="W10" s="16" t="s">
        <v>43</v>
      </c>
      <c r="X10" s="16" t="s">
        <v>44</v>
      </c>
      <c r="Y10" s="16" t="s">
        <v>45</v>
      </c>
      <c r="Z10" s="16" t="s">
        <v>46</v>
      </c>
      <c r="AA10" s="16" t="s">
        <v>47</v>
      </c>
      <c r="AB10" s="16" t="s">
        <v>48</v>
      </c>
      <c r="AC10" s="16" t="s">
        <v>49</v>
      </c>
      <c r="AD10" s="16" t="s">
        <v>50</v>
      </c>
      <c r="AE10" s="16" t="s">
        <v>51</v>
      </c>
      <c r="AF10" s="16" t="s">
        <v>52</v>
      </c>
      <c r="AG10" s="16" t="s">
        <v>53</v>
      </c>
      <c r="AH10" s="16" t="s">
        <v>54</v>
      </c>
      <c r="AI10" s="16" t="s">
        <v>55</v>
      </c>
      <c r="AJ10" s="16" t="s">
        <v>56</v>
      </c>
      <c r="AK10" s="16" t="s">
        <v>57</v>
      </c>
      <c r="AL10" s="16" t="s">
        <v>58</v>
      </c>
      <c r="AM10" s="16" t="s">
        <v>59</v>
      </c>
      <c r="AN10" s="16" t="s">
        <v>60</v>
      </c>
      <c r="AO10" s="8" t="s">
        <v>16</v>
      </c>
      <c r="AP10" s="31" t="s">
        <v>39</v>
      </c>
      <c r="AQ10" s="31" t="s">
        <v>40</v>
      </c>
      <c r="AR10" s="31" t="s">
        <v>41</v>
      </c>
      <c r="AS10" s="31" t="s">
        <v>42</v>
      </c>
      <c r="AT10" s="31" t="s">
        <v>43</v>
      </c>
      <c r="AU10" s="31" t="s">
        <v>44</v>
      </c>
      <c r="AV10" s="31" t="s">
        <v>45</v>
      </c>
      <c r="AW10" s="31" t="s">
        <v>46</v>
      </c>
      <c r="AX10" s="31" t="s">
        <v>47</v>
      </c>
      <c r="AY10" s="31" t="s">
        <v>48</v>
      </c>
      <c r="AZ10" s="31" t="s">
        <v>49</v>
      </c>
      <c r="BA10" s="31" t="s">
        <v>50</v>
      </c>
      <c r="BB10" s="31" t="s">
        <v>51</v>
      </c>
      <c r="BC10" s="31" t="s">
        <v>52</v>
      </c>
      <c r="BD10" s="31" t="s">
        <v>53</v>
      </c>
      <c r="BE10" s="31" t="s">
        <v>54</v>
      </c>
      <c r="BF10" s="31" t="s">
        <v>55</v>
      </c>
      <c r="BG10" s="31" t="s">
        <v>56</v>
      </c>
      <c r="BH10" s="31" t="s">
        <v>57</v>
      </c>
      <c r="BI10" s="31" t="s">
        <v>58</v>
      </c>
      <c r="BJ10" s="31" t="s">
        <v>59</v>
      </c>
      <c r="BK10" s="31" t="s">
        <v>60</v>
      </c>
    </row>
    <row r="11" spans="1:63" x14ac:dyDescent="0.2">
      <c r="A11" s="2">
        <v>1</v>
      </c>
      <c r="B11" s="2" t="str">
        <f>IF(LEN(SUMMARY!B11)&gt;0, SUMMARY!B11, "")</f>
        <v/>
      </c>
      <c r="C11" s="2" t="str">
        <f>IF(LEN(SUMMARY!C11)&gt;0, SUMMARY!C11, "")</f>
        <v/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" t="str">
        <f>IF(B11&lt;&gt;"",IFERROR(ROUNDUP(SUMPRODUCT($E$10:$P$10,E11:P11)/SUM($E$10:$P$10),2),0),"")</f>
        <v/>
      </c>
      <c r="S11" s="2" t="str">
        <f>IF(B11&lt;&gt;"",IFERROR(ROUNDUP(SUMPRODUCT(E11:P11,$E$95:$P$95)/SUM($E$95:$P$95),2),0),"")</f>
        <v/>
      </c>
      <c r="T11" s="2" t="str">
        <f>IF(B11&lt;&gt;"",IFERROR(ROUNDUP(SUMPRODUCT(E11:P11,$E$96:$P$96)/SUM($E$96:$P$96),2),0),"")</f>
        <v/>
      </c>
      <c r="U11" s="2" t="str">
        <f>IF(B11&lt;&gt;"",IFERROR(ROUNDUP(SUMPRODUCT(E11:P11,$E$97:$P$97)/SUM($E$97:$P$97),2),0),"")</f>
        <v/>
      </c>
      <c r="V11" s="2" t="str">
        <f>IF(B11&lt;&gt;"",IFERROR(ROUNDUP(SUMPRODUCT(E11:P11,$E$98:$P$98)/SUM($E$98:$P$98),2),0),"")</f>
        <v/>
      </c>
      <c r="W11" s="2" t="str">
        <f>IF(B11&lt;&gt;"",IFERROR(ROUNDUP(SUMPRODUCT(E11:P11,$E$99:$P$99)/SUM($E$99:$P$99),2),0),"")</f>
        <v/>
      </c>
      <c r="X11" s="2" t="str">
        <f>IF(B11&lt;&gt;"",IFERROR(ROUNDUP(SUMPRODUCT(E11:P11,$E$100:$P$100)/SUM($E$100:$P$100),2),0),"")</f>
        <v/>
      </c>
      <c r="Y11" s="2" t="str">
        <f>IF(B11&lt;&gt;"",IFERROR(ROUNDUP(SUMPRODUCT(E11:P11,$E$101:$P$101)/SUM($E$101:$P$101),2),0),"")</f>
        <v/>
      </c>
      <c r="Z11" s="2" t="str">
        <f>IF(B11&lt;&gt;"",IFERROR(ROUNDUP(SUMPRODUCT(E11:P11,$E$102:$P$102)/SUM($E$102:$P$102),2),0),"")</f>
        <v/>
      </c>
      <c r="AA11" s="2" t="str">
        <f>IF(B11&lt;&gt;"",IFERROR(ROUNDUP(SUMPRODUCT(E11:P11,$E$103:$P$103)/SUM($E$103:$P$103),2),0),"")</f>
        <v/>
      </c>
      <c r="AB11" s="2" t="str">
        <f>IF(B11&lt;&gt;"",IFERROR(ROUNDUP(SUMPRODUCT(E11:P11,$E$104:$P$104)/SUM($E$104:$P$104),2),0),"")</f>
        <v/>
      </c>
      <c r="AC11" s="2" t="str">
        <f>IF(B11&lt;&gt;"",IFERROR(ROUNDUP(SUMPRODUCT(E11:P11,$E$105:$P$105)/SUM($E$105:$P$105),2),0),"")</f>
        <v/>
      </c>
      <c r="AD11" s="2" t="str">
        <f>IF(B11&lt;&gt;"",IFERROR(ROUNDUP(SUMPRODUCT(E11:P11,$E$106:$P$106)/SUM($E$106:$P$106),2),0),"")</f>
        <v/>
      </c>
      <c r="AE11" s="2" t="str">
        <f>IF(B11&lt;&gt;"",IFERROR(ROUNDUP(SUMPRODUCT(E11:P11,$E$107:$P$107)/SUM($E$107:$P$107),2),0),"")</f>
        <v/>
      </c>
      <c r="AF11" s="2" t="str">
        <f>IF(B11&lt;&gt;"",IFERROR(ROUNDUP(SUMPRODUCT(E11:P11,$E$108:$P$108)/SUM($E$108:$P$108),2),0),"")</f>
        <v/>
      </c>
      <c r="AG11" s="2" t="str">
        <f>IF(B11&lt;&gt;"",IFERROR(ROUNDUP(SUMPRODUCT(E11:P11,$E$109:$P$109)/SUM($E$109:$P$109),2),0),"")</f>
        <v/>
      </c>
      <c r="AH11" s="2" t="str">
        <f>IF(B11&lt;&gt;"",IFERROR(ROUNDUP(SUMPRODUCT(E11:P11,$E$110:$P$110)/SUM($E$110:$P$110),2),0),"")</f>
        <v/>
      </c>
      <c r="AI11" s="2" t="str">
        <f>IF(B11&lt;&gt;"",IFERROR(ROUNDUP(SUMPRODUCT(E11:P11,$E$111:$P$111)/SUM($E$111:$P$111),2),0),"")</f>
        <v/>
      </c>
      <c r="AJ11" s="2" t="str">
        <f>IF(B11&lt;&gt;"",IFERROR(ROUNDUP(SUMPRODUCT(E11:P11,$E$112:$P$112)/SUM($E$112:$P$112),2),0),"")</f>
        <v/>
      </c>
      <c r="AK11" s="2" t="str">
        <f>IF(B11&lt;&gt;"",IFERROR(ROUNDUP(SUMPRODUCT(E11:P11,$E$113:$P$113)/SUM($E$113:$P$113),2),0),"")</f>
        <v/>
      </c>
      <c r="AL11" s="2" t="str">
        <f>IF(B11&lt;&gt;"",IFERROR(ROUNDUP(SUMPRODUCT(E11:P11,$E$114:$P$114)/SUM($E$114:$P$114),2),0),"")</f>
        <v/>
      </c>
      <c r="AM11" s="2" t="str">
        <f>IF(B11&lt;&gt;"",IFERROR(ROUNDUP(SUMPRODUCT(E11:P11,$E$115:$P$115)/SUM($E$115:$P$115),2),0),"")</f>
        <v/>
      </c>
      <c r="AN11" s="2" t="str">
        <f>IF(B11&lt;&gt;"",IFERROR(ROUNDUP(SUMPRODUCT(E11:P11,$E$116:$P$116)/SUM($E$116:$P$116),2),0),"")</f>
        <v/>
      </c>
      <c r="AP11" s="2" t="str" cm="1">
        <f t="array" ref="AP11">IF('NILAI CPL'!$B11&lt;&gt;"",IFERROR(_xlfn.IFS(S11&gt;='NILAI CPL'!$B$3,4,S11&gt;='NILAI CPL'!$B$4,3,S11&gt;='NILAI CPL'!$B$5,2,S11&gt;'NILAI CPL'!$B$6,1),0),"")</f>
        <v/>
      </c>
      <c r="AQ11" s="2" t="str" cm="1">
        <f t="array" ref="AQ11">IF('NILAI CPL'!$B11&lt;&gt;"",IFERROR(_xlfn.IFS(T11&gt;='NILAI CPL'!$B$3,4,T11&gt;='NILAI CPL'!$B$4,3,T11&gt;='NILAI CPL'!$B$5,2,T11&gt;'NILAI CPL'!$B$6,1),0),"")</f>
        <v/>
      </c>
      <c r="AR11" s="2" t="str" cm="1">
        <f t="array" ref="AR11">IF('NILAI CPL'!$B11&lt;&gt;"",IFERROR(_xlfn.IFS(U11&gt;='NILAI CPL'!$B$3,4,U11&gt;='NILAI CPL'!$B$4,3,U11&gt;='NILAI CPL'!$B$5,2,U11&gt;'NILAI CPL'!$B$6,1),0),"")</f>
        <v/>
      </c>
      <c r="AS11" s="2" t="str" cm="1">
        <f t="array" ref="AS11">IF('NILAI CPL'!$B11&lt;&gt;"",IFERROR(_xlfn.IFS(V11&gt;='NILAI CPL'!$B$3,4,V11&gt;='NILAI CPL'!$B$4,3,V11&gt;='NILAI CPL'!$B$5,2,V11&gt;'NILAI CPL'!$B$6,1),0),"")</f>
        <v/>
      </c>
      <c r="AT11" s="2" t="str" cm="1">
        <f t="array" ref="AT11">IF('NILAI CPL'!$B11&lt;&gt;"",IFERROR(_xlfn.IFS(W11&gt;='NILAI CPL'!$B$3,4,W11&gt;='NILAI CPL'!$B$4,3,W11&gt;='NILAI CPL'!$B$5,2,W11&gt;'NILAI CPL'!$B$6,1),0),"")</f>
        <v/>
      </c>
      <c r="AU11" s="2" t="str" cm="1">
        <f t="array" ref="AU11">IF('NILAI CPL'!$B11&lt;&gt;"",IFERROR(_xlfn.IFS(X11&gt;='NILAI CPL'!$B$3,4,X11&gt;='NILAI CPL'!$B$4,3,X11&gt;='NILAI CPL'!$B$5,2,X11&gt;'NILAI CPL'!$B$6,1),0),"")</f>
        <v/>
      </c>
      <c r="AV11" s="2" t="str" cm="1">
        <f t="array" ref="AV11">IF('NILAI CPL'!$B11&lt;&gt;"",IFERROR(_xlfn.IFS(Y11&gt;='NILAI CPL'!$B$3,4,Y11&gt;='NILAI CPL'!$B$4,3,Y11&gt;='NILAI CPL'!$B$5,2,Y11&gt;'NILAI CPL'!$B$6,1),0),"")</f>
        <v/>
      </c>
      <c r="AW11" s="2" t="str" cm="1">
        <f t="array" ref="AW11">IF('NILAI CPL'!$B11&lt;&gt;"",IFERROR(_xlfn.IFS(Z11&gt;='NILAI CPL'!$B$3,4,Z11&gt;='NILAI CPL'!$B$4,3,Z11&gt;='NILAI CPL'!$B$5,2,Z11&gt;'NILAI CPL'!$B$6,1),0),"")</f>
        <v/>
      </c>
      <c r="AX11" s="2" t="str" cm="1">
        <f t="array" ref="AX11">IF('NILAI CPL'!$B11&lt;&gt;"",IFERROR(_xlfn.IFS(AA11&gt;='NILAI CPL'!$B$3,4,AA11&gt;='NILAI CPL'!$B$4,3,AA11&gt;='NILAI CPL'!$B$5,2,AA11&gt;'NILAI CPL'!$B$6,1),0),"")</f>
        <v/>
      </c>
      <c r="AY11" s="2" t="str" cm="1">
        <f t="array" ref="AY11">IF('NILAI CPL'!$B11&lt;&gt;"",IFERROR(_xlfn.IFS(AB11&gt;='NILAI CPL'!$B$3,4,AB11&gt;='NILAI CPL'!$B$4,3,AB11&gt;='NILAI CPL'!$B$5,2,AB11&gt;'NILAI CPL'!$B$6,1),0),"")</f>
        <v/>
      </c>
      <c r="AZ11" s="2" t="str" cm="1">
        <f t="array" ref="AZ11">IF('NILAI CPL'!$B11&lt;&gt;"",IFERROR(_xlfn.IFS(AC11&gt;='NILAI CPL'!$B$3,4,AC11&gt;='NILAI CPL'!$B$4,3,AC11&gt;='NILAI CPL'!$B$5,2,AC11&gt;'NILAI CPL'!$B$6,1),0),"")</f>
        <v/>
      </c>
      <c r="BA11" s="2" t="str" cm="1">
        <f t="array" ref="BA11">IF('NILAI CPL'!$B11&lt;&gt;"",IFERROR(_xlfn.IFS(AD11&gt;='NILAI CPL'!$B$3,4,AD11&gt;='NILAI CPL'!$B$4,3,AD11&gt;='NILAI CPL'!$B$5,2,AD11&gt;'NILAI CPL'!$B$6,1),0),"")</f>
        <v/>
      </c>
      <c r="BB11" s="2" t="str" cm="1">
        <f t="array" ref="BB11">IF('NILAI CPL'!$B11&lt;&gt;"",IFERROR(_xlfn.IFS(AE11&gt;='NILAI CPL'!$B$3,4,AE11&gt;='NILAI CPL'!$B$4,3,AE11&gt;='NILAI CPL'!$B$5,2,AE11&gt;'NILAI CPL'!$B$6,1),0),"")</f>
        <v/>
      </c>
      <c r="BC11" s="2" t="str" cm="1">
        <f t="array" ref="BC11">IF('NILAI CPL'!$B11&lt;&gt;"",IFERROR(_xlfn.IFS(AF11&gt;='NILAI CPL'!$B$3,4,AF11&gt;='NILAI CPL'!$B$4,3,AF11&gt;='NILAI CPL'!$B$5,2,AF11&gt;'NILAI CPL'!$B$6,1),0),"")</f>
        <v/>
      </c>
      <c r="BD11" s="2" t="str" cm="1">
        <f t="array" ref="BD11">IF('NILAI CPL'!$B11&lt;&gt;"",IFERROR(_xlfn.IFS(AG11&gt;='NILAI CPL'!$B$3,4,AG11&gt;='NILAI CPL'!$B$4,3,AG11&gt;='NILAI CPL'!$B$5,2,AG11&gt;'NILAI CPL'!$B$6,1),0),"")</f>
        <v/>
      </c>
      <c r="BE11" s="2" t="str" cm="1">
        <f t="array" ref="BE11">IF('NILAI CPL'!$B11&lt;&gt;"",IFERROR(_xlfn.IFS(AH11&gt;='NILAI CPL'!$B$3,4,AH11&gt;='NILAI CPL'!$B$4,3,AH11&gt;='NILAI CPL'!$B$5,2,AH11&gt;'NILAI CPL'!$B$6,1),0),"")</f>
        <v/>
      </c>
      <c r="BF11" s="2" t="str" cm="1">
        <f t="array" ref="BF11">IF('NILAI CPL'!$B11&lt;&gt;"",IFERROR(_xlfn.IFS(AI11&gt;='NILAI CPL'!$B$3,4,AI11&gt;='NILAI CPL'!$B$4,3,AI11&gt;='NILAI CPL'!$B$5,2,AI11&gt;'NILAI CPL'!$B$6,1),0),"")</f>
        <v/>
      </c>
      <c r="BG11" s="2" t="str" cm="1">
        <f t="array" ref="BG11">IF('NILAI CPL'!$B11&lt;&gt;"",IFERROR(_xlfn.IFS(AJ11&gt;='NILAI CPL'!$B$3,4,AJ11&gt;='NILAI CPL'!$B$4,3,AJ11&gt;='NILAI CPL'!$B$5,2,AJ11&gt;'NILAI CPL'!$B$6,1),0),"")</f>
        <v/>
      </c>
      <c r="BH11" s="2" t="str" cm="1">
        <f t="array" ref="BH11">IF('NILAI CPL'!$B11&lt;&gt;"",IFERROR(_xlfn.IFS(AK11&gt;='NILAI CPL'!$B$3,4,AK11&gt;='NILAI CPL'!$B$4,3,AK11&gt;='NILAI CPL'!$B$5,2,AK11&gt;'NILAI CPL'!$B$6,1),0),"")</f>
        <v/>
      </c>
      <c r="BI11" s="2" t="str" cm="1">
        <f t="array" ref="BI11">IF('NILAI CPL'!$B11&lt;&gt;"",IFERROR(_xlfn.IFS(AL11&gt;='NILAI CPL'!$B$3,4,AL11&gt;='NILAI CPL'!$B$4,3,AL11&gt;='NILAI CPL'!$B$5,2,AL11&gt;'NILAI CPL'!$B$6,1),0),"")</f>
        <v/>
      </c>
      <c r="BJ11" s="2" t="str" cm="1">
        <f t="array" ref="BJ11">IF('NILAI CPL'!$B11&lt;&gt;"",IFERROR(_xlfn.IFS(AM11&gt;='NILAI CPL'!$B$3,4,AM11&gt;='NILAI CPL'!$B$4,3,AM11&gt;='NILAI CPL'!$B$5,2,AM11&gt;'NILAI CPL'!$B$6,1),0),"")</f>
        <v/>
      </c>
      <c r="BK11" s="2" t="str" cm="1">
        <f t="array" ref="BK11">IF('NILAI CPL'!$B11&lt;&gt;"",IFERROR(_xlfn.IFS(AN11&gt;='NILAI CPL'!$B$3,4,AN11&gt;='NILAI CPL'!$B$4,3,AN11&gt;='NILAI CPL'!$B$5,2,AN11&gt;'NILAI CPL'!$B$6,1),0),"")</f>
        <v/>
      </c>
    </row>
    <row r="12" spans="1:63" x14ac:dyDescent="0.2">
      <c r="A12" s="2">
        <v>2</v>
      </c>
      <c r="B12" s="2" t="str">
        <f>IF(LEN(SUMMARY!B12)&gt;0, SUMMARY!B12, "")</f>
        <v/>
      </c>
      <c r="C12" s="2" t="str">
        <f>IF(LEN(SUMMARY!C12)&gt;0, SUMMARY!C12, "")</f>
        <v/>
      </c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" t="str">
        <f t="shared" ref="Q12:Q75" si="2">IF(B12&lt;&gt;"",IFERROR(ROUNDUP(SUMPRODUCT($E$10:$P$10,E12:P12)/SUM($E$10:$P$10),2),0),"")</f>
        <v/>
      </c>
      <c r="S12" s="2" t="str">
        <f t="shared" ref="S12:S75" si="3">IF(B12&lt;&gt;"",IFERROR(ROUNDUP(SUMPRODUCT(E12:P12,$E$95:$P$95)/SUM($E$95:$P$95),2),0),"")</f>
        <v/>
      </c>
      <c r="T12" s="2" t="str">
        <f t="shared" ref="T12:T75" si="4">IF(B12&lt;&gt;"",IFERROR(ROUNDUP(SUMPRODUCT(E12:P12,$E$96:$P$96)/SUM($E$96:$P$96),2),0),"")</f>
        <v/>
      </c>
      <c r="U12" s="2" t="str">
        <f t="shared" ref="U12:U75" si="5">IF(B12&lt;&gt;"",IFERROR(ROUNDUP(SUMPRODUCT(E12:P12,$E$97:$P$97)/SUM($E$97:$P$97),2),0),"")</f>
        <v/>
      </c>
      <c r="V12" s="2" t="str">
        <f t="shared" ref="V12:V75" si="6">IF(B12&lt;&gt;"",IFERROR(ROUNDUP(SUMPRODUCT(E12:P12,$E$98:$P$98)/SUM($E$98:$P$98),2),0),"")</f>
        <v/>
      </c>
      <c r="W12" s="2" t="str">
        <f t="shared" ref="W12:W75" si="7">IF(B12&lt;&gt;"",IFERROR(ROUNDUP(SUMPRODUCT(E12:P12,$E$99:$P$99)/SUM($E$99:$P$99),2),0),"")</f>
        <v/>
      </c>
      <c r="X12" s="2" t="str">
        <f t="shared" ref="X12:X75" si="8">IF(B12&lt;&gt;"",IFERROR(ROUNDUP(SUMPRODUCT(E12:P12,$E$100:$P$100)/SUM($E$100:$P$100),2),0),"")</f>
        <v/>
      </c>
      <c r="Y12" s="2" t="str">
        <f t="shared" ref="Y12:Y75" si="9">IF(B12&lt;&gt;"",IFERROR(ROUNDUP(SUMPRODUCT(E12:P12,$E$101:$P$101)/SUM($E$101:$P$101),2),0),"")</f>
        <v/>
      </c>
      <c r="Z12" s="2" t="str">
        <f t="shared" ref="Z12:Z75" si="10">IF(B12&lt;&gt;"",IFERROR(ROUNDUP(SUMPRODUCT(E12:P12,$E$102:$P$102)/SUM($E$102:$P$102),2),0),"")</f>
        <v/>
      </c>
      <c r="AA12" s="2" t="str">
        <f t="shared" ref="AA12:AA75" si="11">IF(B12&lt;&gt;"",IFERROR(ROUNDUP(SUMPRODUCT(E12:P12,$E$103:$P$103)/SUM($E$103:$P$103),2),0),"")</f>
        <v/>
      </c>
      <c r="AB12" s="2" t="str">
        <f t="shared" ref="AB12:AB75" si="12">IF(B12&lt;&gt;"",IFERROR(ROUNDUP(SUMPRODUCT(E12:P12,$E$104:$P$104)/SUM($E$104:$P$104),2),0),"")</f>
        <v/>
      </c>
      <c r="AC12" s="2" t="str">
        <f t="shared" ref="AC12:AC75" si="13">IF(B12&lt;&gt;"",IFERROR(ROUNDUP(SUMPRODUCT(E12:P12,$E$105:$P$105)/SUM($E$105:$P$105),2),0),"")</f>
        <v/>
      </c>
      <c r="AD12" s="2" t="str">
        <f t="shared" ref="AD12:AD75" si="14">IF(B12&lt;&gt;"",IFERROR(ROUNDUP(SUMPRODUCT(E12:P12,$E$106:$P$106)/SUM($E$106:$P$106),2),0),"")</f>
        <v/>
      </c>
      <c r="AE12" s="2" t="str">
        <f t="shared" ref="AE12:AE75" si="15">IF(B12&lt;&gt;"",IFERROR(ROUNDUP(SUMPRODUCT(E12:P12,$E$107:$P$107)/SUM($E$107:$P$107),2),0),"")</f>
        <v/>
      </c>
      <c r="AF12" s="2" t="str">
        <f t="shared" ref="AF12:AF75" si="16">IF(B12&lt;&gt;"",IFERROR(ROUNDUP(SUMPRODUCT(E12:P12,$E$108:$P$108)/SUM($E$108:$P$108),2),0),"")</f>
        <v/>
      </c>
      <c r="AG12" s="2" t="str">
        <f t="shared" ref="AG12:AG75" si="17">IF(B12&lt;&gt;"",IFERROR(ROUNDUP(SUMPRODUCT(E12:P12,$E$109:$P$109)/SUM($E$109:$P$109),2),0),"")</f>
        <v/>
      </c>
      <c r="AH12" s="2" t="str">
        <f t="shared" ref="AH12:AH75" si="18">IF(B12&lt;&gt;"",IFERROR(ROUNDUP(SUMPRODUCT(E12:P12,$E$110:$P$110)/SUM($E$110:$P$110),2),0),"")</f>
        <v/>
      </c>
      <c r="AI12" s="2" t="str">
        <f t="shared" ref="AI12:AI75" si="19">IF(B12&lt;&gt;"",IFERROR(ROUNDUP(SUMPRODUCT(E12:P12,$E$111:$P$111)/SUM($E$111:$P$111),2),0),"")</f>
        <v/>
      </c>
      <c r="AJ12" s="2" t="str">
        <f t="shared" ref="AJ12:AJ75" si="20">IF(B12&lt;&gt;"",IFERROR(ROUNDUP(SUMPRODUCT(E12:P12,$E$112:$P$112)/SUM($E$112:$P$112),2),0),"")</f>
        <v/>
      </c>
      <c r="AK12" s="2" t="str">
        <f t="shared" ref="AK12:AK75" si="21">IF(B12&lt;&gt;"",IFERROR(ROUNDUP(SUMPRODUCT(E12:P12,$E$113:$P$113)/SUM($E$113:$P$113),2),0),"")</f>
        <v/>
      </c>
      <c r="AL12" s="2" t="str">
        <f t="shared" ref="AL12:AL75" si="22">IF(B12&lt;&gt;"",IFERROR(ROUNDUP(SUMPRODUCT(E12:P12,$E$114:$P$114)/SUM($E$114:$P$114),2),0),"")</f>
        <v/>
      </c>
      <c r="AM12" s="2" t="str">
        <f t="shared" ref="AM12:AM75" si="23">IF(B12&lt;&gt;"",IFERROR(ROUNDUP(SUMPRODUCT(E12:P12,$E$115:$P$115)/SUM($E$115:$P$115),2),0),"")</f>
        <v/>
      </c>
      <c r="AN12" s="2" t="str">
        <f t="shared" ref="AN12:AN75" si="24">IF(B12&lt;&gt;"",IFERROR(ROUNDUP(SUMPRODUCT(E12:P12,$E$116:$P$116)/SUM($E$116:$P$116),2),0),"")</f>
        <v/>
      </c>
      <c r="AP12" s="2" t="str" cm="1">
        <f t="array" ref="AP12">IF('NILAI CPL'!$B12&lt;&gt;"",IFERROR(_xlfn.IFS(S12&gt;='NILAI CPL'!$B$3,4,S12&gt;='NILAI CPL'!$B$4,3,S12&gt;='NILAI CPL'!$B$5,2,S12&gt;'NILAI CPL'!$B$6,1),0),"")</f>
        <v/>
      </c>
      <c r="AQ12" s="2" t="str" cm="1">
        <f t="array" ref="AQ12">IF('NILAI CPL'!$B12&lt;&gt;"",IFERROR(_xlfn.IFS(T12&gt;='NILAI CPL'!$B$3,4,T12&gt;='NILAI CPL'!$B$4,3,T12&gt;='NILAI CPL'!$B$5,2,T12&gt;'NILAI CPL'!$B$6,1),0),"")</f>
        <v/>
      </c>
      <c r="AR12" s="2" t="str" cm="1">
        <f t="array" ref="AR12">IF('NILAI CPL'!$B12&lt;&gt;"",IFERROR(_xlfn.IFS(U12&gt;='NILAI CPL'!$B$3,4,U12&gt;='NILAI CPL'!$B$4,3,U12&gt;='NILAI CPL'!$B$5,2,U12&gt;'NILAI CPL'!$B$6,1),0),"")</f>
        <v/>
      </c>
      <c r="AS12" s="2" t="str" cm="1">
        <f t="array" ref="AS12">IF('NILAI CPL'!$B12&lt;&gt;"",IFERROR(_xlfn.IFS(V12&gt;='NILAI CPL'!$B$3,4,V12&gt;='NILAI CPL'!$B$4,3,V12&gt;='NILAI CPL'!$B$5,2,V12&gt;'NILAI CPL'!$B$6,1),0),"")</f>
        <v/>
      </c>
      <c r="AT12" s="2" t="str" cm="1">
        <f t="array" ref="AT12">IF('NILAI CPL'!$B12&lt;&gt;"",IFERROR(_xlfn.IFS(W12&gt;='NILAI CPL'!$B$3,4,W12&gt;='NILAI CPL'!$B$4,3,W12&gt;='NILAI CPL'!$B$5,2,W12&gt;'NILAI CPL'!$B$6,1),0),"")</f>
        <v/>
      </c>
      <c r="AU12" s="2" t="str" cm="1">
        <f t="array" ref="AU12">IF('NILAI CPL'!$B12&lt;&gt;"",IFERROR(_xlfn.IFS(X12&gt;='NILAI CPL'!$B$3,4,X12&gt;='NILAI CPL'!$B$4,3,X12&gt;='NILAI CPL'!$B$5,2,X12&gt;'NILAI CPL'!$B$6,1),0),"")</f>
        <v/>
      </c>
      <c r="AV12" s="2" t="str" cm="1">
        <f t="array" ref="AV12">IF('NILAI CPL'!$B12&lt;&gt;"",IFERROR(_xlfn.IFS(Y12&gt;='NILAI CPL'!$B$3,4,Y12&gt;='NILAI CPL'!$B$4,3,Y12&gt;='NILAI CPL'!$B$5,2,Y12&gt;'NILAI CPL'!$B$6,1),0),"")</f>
        <v/>
      </c>
      <c r="AW12" s="2" t="str" cm="1">
        <f t="array" ref="AW12">IF('NILAI CPL'!$B12&lt;&gt;"",IFERROR(_xlfn.IFS(Z12&gt;='NILAI CPL'!$B$3,4,Z12&gt;='NILAI CPL'!$B$4,3,Z12&gt;='NILAI CPL'!$B$5,2,Z12&gt;'NILAI CPL'!$B$6,1),0),"")</f>
        <v/>
      </c>
      <c r="AX12" s="2" t="str" cm="1">
        <f t="array" ref="AX12">IF('NILAI CPL'!$B12&lt;&gt;"",IFERROR(_xlfn.IFS(AA12&gt;='NILAI CPL'!$B$3,4,AA12&gt;='NILAI CPL'!$B$4,3,AA12&gt;='NILAI CPL'!$B$5,2,AA12&gt;'NILAI CPL'!$B$6,1),0),"")</f>
        <v/>
      </c>
      <c r="AY12" s="2" t="str" cm="1">
        <f t="array" ref="AY12">IF('NILAI CPL'!$B12&lt;&gt;"",IFERROR(_xlfn.IFS(AB12&gt;='NILAI CPL'!$B$3,4,AB12&gt;='NILAI CPL'!$B$4,3,AB12&gt;='NILAI CPL'!$B$5,2,AB12&gt;'NILAI CPL'!$B$6,1),0),"")</f>
        <v/>
      </c>
      <c r="AZ12" s="2" t="str" cm="1">
        <f t="array" ref="AZ12">IF('NILAI CPL'!$B12&lt;&gt;"",IFERROR(_xlfn.IFS(AC12&gt;='NILAI CPL'!$B$3,4,AC12&gt;='NILAI CPL'!$B$4,3,AC12&gt;='NILAI CPL'!$B$5,2,AC12&gt;'NILAI CPL'!$B$6,1),0),"")</f>
        <v/>
      </c>
      <c r="BA12" s="2" t="str" cm="1">
        <f t="array" ref="BA12">IF('NILAI CPL'!$B12&lt;&gt;"",IFERROR(_xlfn.IFS(AD12&gt;='NILAI CPL'!$B$3,4,AD12&gt;='NILAI CPL'!$B$4,3,AD12&gt;='NILAI CPL'!$B$5,2,AD12&gt;'NILAI CPL'!$B$6,1),0),"")</f>
        <v/>
      </c>
      <c r="BB12" s="2" t="str" cm="1">
        <f t="array" ref="BB12">IF('NILAI CPL'!$B12&lt;&gt;"",IFERROR(_xlfn.IFS(AE12&gt;='NILAI CPL'!$B$3,4,AE12&gt;='NILAI CPL'!$B$4,3,AE12&gt;='NILAI CPL'!$B$5,2,AE12&gt;'NILAI CPL'!$B$6,1),0),"")</f>
        <v/>
      </c>
      <c r="BC12" s="2" t="str" cm="1">
        <f t="array" ref="BC12">IF('NILAI CPL'!$B12&lt;&gt;"",IFERROR(_xlfn.IFS(AF12&gt;='NILAI CPL'!$B$3,4,AF12&gt;='NILAI CPL'!$B$4,3,AF12&gt;='NILAI CPL'!$B$5,2,AF12&gt;'NILAI CPL'!$B$6,1),0),"")</f>
        <v/>
      </c>
      <c r="BD12" s="2" t="str" cm="1">
        <f t="array" ref="BD12">IF('NILAI CPL'!$B12&lt;&gt;"",IFERROR(_xlfn.IFS(AG12&gt;='NILAI CPL'!$B$3,4,AG12&gt;='NILAI CPL'!$B$4,3,AG12&gt;='NILAI CPL'!$B$5,2,AG12&gt;'NILAI CPL'!$B$6,1),0),"")</f>
        <v/>
      </c>
      <c r="BE12" s="2" t="str" cm="1">
        <f t="array" ref="BE12">IF('NILAI CPL'!$B12&lt;&gt;"",IFERROR(_xlfn.IFS(AH12&gt;='NILAI CPL'!$B$3,4,AH12&gt;='NILAI CPL'!$B$4,3,AH12&gt;='NILAI CPL'!$B$5,2,AH12&gt;'NILAI CPL'!$B$6,1),0),"")</f>
        <v/>
      </c>
      <c r="BF12" s="2" t="str" cm="1">
        <f t="array" ref="BF12">IF('NILAI CPL'!$B12&lt;&gt;"",IFERROR(_xlfn.IFS(AI12&gt;='NILAI CPL'!$B$3,4,AI12&gt;='NILAI CPL'!$B$4,3,AI12&gt;='NILAI CPL'!$B$5,2,AI12&gt;'NILAI CPL'!$B$6,1),0),"")</f>
        <v/>
      </c>
      <c r="BG12" s="2" t="str" cm="1">
        <f t="array" ref="BG12">IF('NILAI CPL'!$B12&lt;&gt;"",IFERROR(_xlfn.IFS(AJ12&gt;='NILAI CPL'!$B$3,4,AJ12&gt;='NILAI CPL'!$B$4,3,AJ12&gt;='NILAI CPL'!$B$5,2,AJ12&gt;'NILAI CPL'!$B$6,1),0),"")</f>
        <v/>
      </c>
      <c r="BH12" s="2" t="str" cm="1">
        <f t="array" ref="BH12">IF('NILAI CPL'!$B12&lt;&gt;"",IFERROR(_xlfn.IFS(AK12&gt;='NILAI CPL'!$B$3,4,AK12&gt;='NILAI CPL'!$B$4,3,AK12&gt;='NILAI CPL'!$B$5,2,AK12&gt;'NILAI CPL'!$B$6,1),0),"")</f>
        <v/>
      </c>
      <c r="BI12" s="2" t="str" cm="1">
        <f t="array" ref="BI12">IF('NILAI CPL'!$B12&lt;&gt;"",IFERROR(_xlfn.IFS(AL12&gt;='NILAI CPL'!$B$3,4,AL12&gt;='NILAI CPL'!$B$4,3,AL12&gt;='NILAI CPL'!$B$5,2,AL12&gt;'NILAI CPL'!$B$6,1),0),"")</f>
        <v/>
      </c>
      <c r="BJ12" s="2" t="str" cm="1">
        <f t="array" ref="BJ12">IF('NILAI CPL'!$B12&lt;&gt;"",IFERROR(_xlfn.IFS(AM12&gt;='NILAI CPL'!$B$3,4,AM12&gt;='NILAI CPL'!$B$4,3,AM12&gt;='NILAI CPL'!$B$5,2,AM12&gt;'NILAI CPL'!$B$6,1),0),"")</f>
        <v/>
      </c>
      <c r="BK12" s="2" t="str" cm="1">
        <f t="array" ref="BK12">IF('NILAI CPL'!$B12&lt;&gt;"",IFERROR(_xlfn.IFS(AN12&gt;='NILAI CPL'!$B$3,4,AN12&gt;='NILAI CPL'!$B$4,3,AN12&gt;='NILAI CPL'!$B$5,2,AN12&gt;'NILAI CPL'!$B$6,1),0),"")</f>
        <v/>
      </c>
    </row>
    <row r="13" spans="1:63" x14ac:dyDescent="0.2">
      <c r="A13" s="2">
        <v>3</v>
      </c>
      <c r="B13" s="2" t="str">
        <f>IF(LEN(SUMMARY!B13)&gt;0, SUMMARY!B13, "")</f>
        <v/>
      </c>
      <c r="C13" s="2" t="str">
        <f>IF(LEN(SUMMARY!C13)&gt;0, SUMMARY!C13, "")</f>
        <v/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" t="str">
        <f t="shared" si="2"/>
        <v/>
      </c>
      <c r="S13" s="2" t="str">
        <f t="shared" si="3"/>
        <v/>
      </c>
      <c r="T13" s="2" t="str">
        <f t="shared" si="4"/>
        <v/>
      </c>
      <c r="U13" s="2" t="str">
        <f t="shared" si="5"/>
        <v/>
      </c>
      <c r="V13" s="2" t="str">
        <f t="shared" si="6"/>
        <v/>
      </c>
      <c r="W13" s="2" t="str">
        <f t="shared" si="7"/>
        <v/>
      </c>
      <c r="X13" s="2" t="str">
        <f t="shared" si="8"/>
        <v/>
      </c>
      <c r="Y13" s="2" t="str">
        <f t="shared" si="9"/>
        <v/>
      </c>
      <c r="Z13" s="2" t="str">
        <f t="shared" si="10"/>
        <v/>
      </c>
      <c r="AA13" s="2" t="str">
        <f t="shared" si="11"/>
        <v/>
      </c>
      <c r="AB13" s="2" t="str">
        <f t="shared" si="12"/>
        <v/>
      </c>
      <c r="AC13" s="2" t="str">
        <f t="shared" si="13"/>
        <v/>
      </c>
      <c r="AD13" s="2" t="str">
        <f t="shared" si="14"/>
        <v/>
      </c>
      <c r="AE13" s="2" t="str">
        <f t="shared" si="15"/>
        <v/>
      </c>
      <c r="AF13" s="2" t="str">
        <f t="shared" si="16"/>
        <v/>
      </c>
      <c r="AG13" s="2" t="str">
        <f t="shared" si="17"/>
        <v/>
      </c>
      <c r="AH13" s="2" t="str">
        <f t="shared" si="18"/>
        <v/>
      </c>
      <c r="AI13" s="2" t="str">
        <f t="shared" si="19"/>
        <v/>
      </c>
      <c r="AJ13" s="2" t="str">
        <f t="shared" si="20"/>
        <v/>
      </c>
      <c r="AK13" s="2" t="str">
        <f t="shared" si="21"/>
        <v/>
      </c>
      <c r="AL13" s="2" t="str">
        <f t="shared" si="22"/>
        <v/>
      </c>
      <c r="AM13" s="2" t="str">
        <f t="shared" si="23"/>
        <v/>
      </c>
      <c r="AN13" s="2" t="str">
        <f t="shared" si="24"/>
        <v/>
      </c>
      <c r="AP13" s="2" t="str" cm="1">
        <f t="array" ref="AP13">IF('NILAI CPL'!$B13&lt;&gt;"",IFERROR(_xlfn.IFS(S13&gt;='NILAI CPL'!$B$3,4,S13&gt;='NILAI CPL'!$B$4,3,S13&gt;='NILAI CPL'!$B$5,2,S13&gt;'NILAI CPL'!$B$6,1),0),"")</f>
        <v/>
      </c>
      <c r="AQ13" s="2" t="str" cm="1">
        <f t="array" ref="AQ13">IF('NILAI CPL'!$B13&lt;&gt;"",IFERROR(_xlfn.IFS(T13&gt;='NILAI CPL'!$B$3,4,T13&gt;='NILAI CPL'!$B$4,3,T13&gt;='NILAI CPL'!$B$5,2,T13&gt;'NILAI CPL'!$B$6,1),0),"")</f>
        <v/>
      </c>
      <c r="AR13" s="2" t="str" cm="1">
        <f t="array" ref="AR13">IF('NILAI CPL'!$B13&lt;&gt;"",IFERROR(_xlfn.IFS(U13&gt;='NILAI CPL'!$B$3,4,U13&gt;='NILAI CPL'!$B$4,3,U13&gt;='NILAI CPL'!$B$5,2,U13&gt;'NILAI CPL'!$B$6,1),0),"")</f>
        <v/>
      </c>
      <c r="AS13" s="2" t="str" cm="1">
        <f t="array" ref="AS13">IF('NILAI CPL'!$B13&lt;&gt;"",IFERROR(_xlfn.IFS(V13&gt;='NILAI CPL'!$B$3,4,V13&gt;='NILAI CPL'!$B$4,3,V13&gt;='NILAI CPL'!$B$5,2,V13&gt;'NILAI CPL'!$B$6,1),0),"")</f>
        <v/>
      </c>
      <c r="AT13" s="2" t="str" cm="1">
        <f t="array" ref="AT13">IF('NILAI CPL'!$B13&lt;&gt;"",IFERROR(_xlfn.IFS(W13&gt;='NILAI CPL'!$B$3,4,W13&gt;='NILAI CPL'!$B$4,3,W13&gt;='NILAI CPL'!$B$5,2,W13&gt;'NILAI CPL'!$B$6,1),0),"")</f>
        <v/>
      </c>
      <c r="AU13" s="2" t="str" cm="1">
        <f t="array" ref="AU13">IF('NILAI CPL'!$B13&lt;&gt;"",IFERROR(_xlfn.IFS(X13&gt;='NILAI CPL'!$B$3,4,X13&gt;='NILAI CPL'!$B$4,3,X13&gt;='NILAI CPL'!$B$5,2,X13&gt;'NILAI CPL'!$B$6,1),0),"")</f>
        <v/>
      </c>
      <c r="AV13" s="2" t="str" cm="1">
        <f t="array" ref="AV13">IF('NILAI CPL'!$B13&lt;&gt;"",IFERROR(_xlfn.IFS(Y13&gt;='NILAI CPL'!$B$3,4,Y13&gt;='NILAI CPL'!$B$4,3,Y13&gt;='NILAI CPL'!$B$5,2,Y13&gt;'NILAI CPL'!$B$6,1),0),"")</f>
        <v/>
      </c>
      <c r="AW13" s="2" t="str" cm="1">
        <f t="array" ref="AW13">IF('NILAI CPL'!$B13&lt;&gt;"",IFERROR(_xlfn.IFS(Z13&gt;='NILAI CPL'!$B$3,4,Z13&gt;='NILAI CPL'!$B$4,3,Z13&gt;='NILAI CPL'!$B$5,2,Z13&gt;'NILAI CPL'!$B$6,1),0),"")</f>
        <v/>
      </c>
      <c r="AX13" s="2" t="str" cm="1">
        <f t="array" ref="AX13">IF('NILAI CPL'!$B13&lt;&gt;"",IFERROR(_xlfn.IFS(AA13&gt;='NILAI CPL'!$B$3,4,AA13&gt;='NILAI CPL'!$B$4,3,AA13&gt;='NILAI CPL'!$B$5,2,AA13&gt;'NILAI CPL'!$B$6,1),0),"")</f>
        <v/>
      </c>
      <c r="AY13" s="2" t="str" cm="1">
        <f t="array" ref="AY13">IF('NILAI CPL'!$B13&lt;&gt;"",IFERROR(_xlfn.IFS(AB13&gt;='NILAI CPL'!$B$3,4,AB13&gt;='NILAI CPL'!$B$4,3,AB13&gt;='NILAI CPL'!$B$5,2,AB13&gt;'NILAI CPL'!$B$6,1),0),"")</f>
        <v/>
      </c>
      <c r="AZ13" s="2" t="str" cm="1">
        <f t="array" ref="AZ13">IF('NILAI CPL'!$B13&lt;&gt;"",IFERROR(_xlfn.IFS(AC13&gt;='NILAI CPL'!$B$3,4,AC13&gt;='NILAI CPL'!$B$4,3,AC13&gt;='NILAI CPL'!$B$5,2,AC13&gt;'NILAI CPL'!$B$6,1),0),"")</f>
        <v/>
      </c>
      <c r="BA13" s="2" t="str" cm="1">
        <f t="array" ref="BA13">IF('NILAI CPL'!$B13&lt;&gt;"",IFERROR(_xlfn.IFS(AD13&gt;='NILAI CPL'!$B$3,4,AD13&gt;='NILAI CPL'!$B$4,3,AD13&gt;='NILAI CPL'!$B$5,2,AD13&gt;'NILAI CPL'!$B$6,1),0),"")</f>
        <v/>
      </c>
      <c r="BB13" s="2" t="str" cm="1">
        <f t="array" ref="BB13">IF('NILAI CPL'!$B13&lt;&gt;"",IFERROR(_xlfn.IFS(AE13&gt;='NILAI CPL'!$B$3,4,AE13&gt;='NILAI CPL'!$B$4,3,AE13&gt;='NILAI CPL'!$B$5,2,AE13&gt;'NILAI CPL'!$B$6,1),0),"")</f>
        <v/>
      </c>
      <c r="BC13" s="2" t="str" cm="1">
        <f t="array" ref="BC13">IF('NILAI CPL'!$B13&lt;&gt;"",IFERROR(_xlfn.IFS(AF13&gt;='NILAI CPL'!$B$3,4,AF13&gt;='NILAI CPL'!$B$4,3,AF13&gt;='NILAI CPL'!$B$5,2,AF13&gt;'NILAI CPL'!$B$6,1),0),"")</f>
        <v/>
      </c>
      <c r="BD13" s="2" t="str" cm="1">
        <f t="array" ref="BD13">IF('NILAI CPL'!$B13&lt;&gt;"",IFERROR(_xlfn.IFS(AG13&gt;='NILAI CPL'!$B$3,4,AG13&gt;='NILAI CPL'!$B$4,3,AG13&gt;='NILAI CPL'!$B$5,2,AG13&gt;'NILAI CPL'!$B$6,1),0),"")</f>
        <v/>
      </c>
      <c r="BE13" s="2" t="str" cm="1">
        <f t="array" ref="BE13">IF('NILAI CPL'!$B13&lt;&gt;"",IFERROR(_xlfn.IFS(AH13&gt;='NILAI CPL'!$B$3,4,AH13&gt;='NILAI CPL'!$B$4,3,AH13&gt;='NILAI CPL'!$B$5,2,AH13&gt;'NILAI CPL'!$B$6,1),0),"")</f>
        <v/>
      </c>
      <c r="BF13" s="2" t="str" cm="1">
        <f t="array" ref="BF13">IF('NILAI CPL'!$B13&lt;&gt;"",IFERROR(_xlfn.IFS(AI13&gt;='NILAI CPL'!$B$3,4,AI13&gt;='NILAI CPL'!$B$4,3,AI13&gt;='NILAI CPL'!$B$5,2,AI13&gt;'NILAI CPL'!$B$6,1),0),"")</f>
        <v/>
      </c>
      <c r="BG13" s="2" t="str" cm="1">
        <f t="array" ref="BG13">IF('NILAI CPL'!$B13&lt;&gt;"",IFERROR(_xlfn.IFS(AJ13&gt;='NILAI CPL'!$B$3,4,AJ13&gt;='NILAI CPL'!$B$4,3,AJ13&gt;='NILAI CPL'!$B$5,2,AJ13&gt;'NILAI CPL'!$B$6,1),0),"")</f>
        <v/>
      </c>
      <c r="BH13" s="2" t="str" cm="1">
        <f t="array" ref="BH13">IF('NILAI CPL'!$B13&lt;&gt;"",IFERROR(_xlfn.IFS(AK13&gt;='NILAI CPL'!$B$3,4,AK13&gt;='NILAI CPL'!$B$4,3,AK13&gt;='NILAI CPL'!$B$5,2,AK13&gt;'NILAI CPL'!$B$6,1),0),"")</f>
        <v/>
      </c>
      <c r="BI13" s="2" t="str" cm="1">
        <f t="array" ref="BI13">IF('NILAI CPL'!$B13&lt;&gt;"",IFERROR(_xlfn.IFS(AL13&gt;='NILAI CPL'!$B$3,4,AL13&gt;='NILAI CPL'!$B$4,3,AL13&gt;='NILAI CPL'!$B$5,2,AL13&gt;'NILAI CPL'!$B$6,1),0),"")</f>
        <v/>
      </c>
      <c r="BJ13" s="2" t="str" cm="1">
        <f t="array" ref="BJ13">IF('NILAI CPL'!$B13&lt;&gt;"",IFERROR(_xlfn.IFS(AM13&gt;='NILAI CPL'!$B$3,4,AM13&gt;='NILAI CPL'!$B$4,3,AM13&gt;='NILAI CPL'!$B$5,2,AM13&gt;'NILAI CPL'!$B$6,1),0),"")</f>
        <v/>
      </c>
      <c r="BK13" s="2" t="str" cm="1">
        <f t="array" ref="BK13">IF('NILAI CPL'!$B13&lt;&gt;"",IFERROR(_xlfn.IFS(AN13&gt;='NILAI CPL'!$B$3,4,AN13&gt;='NILAI CPL'!$B$4,3,AN13&gt;='NILAI CPL'!$B$5,2,AN13&gt;'NILAI CPL'!$B$6,1),0),"")</f>
        <v/>
      </c>
    </row>
    <row r="14" spans="1:63" x14ac:dyDescent="0.2">
      <c r="A14" s="2">
        <v>4</v>
      </c>
      <c r="B14" s="2" t="str">
        <f>IF(LEN(SUMMARY!B14)&gt;0, SUMMARY!B14, "")</f>
        <v/>
      </c>
      <c r="C14" s="2" t="str">
        <f>IF(LEN(SUMMARY!C14)&gt;0, SUMMARY!C14, "")</f>
        <v/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" t="str">
        <f t="shared" si="2"/>
        <v/>
      </c>
      <c r="S14" s="2" t="str">
        <f t="shared" si="3"/>
        <v/>
      </c>
      <c r="T14" s="2" t="str">
        <f t="shared" si="4"/>
        <v/>
      </c>
      <c r="U14" s="2" t="str">
        <f t="shared" si="5"/>
        <v/>
      </c>
      <c r="V14" s="2" t="str">
        <f t="shared" si="6"/>
        <v/>
      </c>
      <c r="W14" s="2" t="str">
        <f t="shared" si="7"/>
        <v/>
      </c>
      <c r="X14" s="2" t="str">
        <f t="shared" si="8"/>
        <v/>
      </c>
      <c r="Y14" s="2" t="str">
        <f t="shared" si="9"/>
        <v/>
      </c>
      <c r="Z14" s="2" t="str">
        <f t="shared" si="10"/>
        <v/>
      </c>
      <c r="AA14" s="2" t="str">
        <f t="shared" si="11"/>
        <v/>
      </c>
      <c r="AB14" s="2" t="str">
        <f t="shared" si="12"/>
        <v/>
      </c>
      <c r="AC14" s="2" t="str">
        <f t="shared" si="13"/>
        <v/>
      </c>
      <c r="AD14" s="2" t="str">
        <f t="shared" si="14"/>
        <v/>
      </c>
      <c r="AE14" s="2" t="str">
        <f t="shared" si="15"/>
        <v/>
      </c>
      <c r="AF14" s="2" t="str">
        <f t="shared" si="16"/>
        <v/>
      </c>
      <c r="AG14" s="2" t="str">
        <f t="shared" si="17"/>
        <v/>
      </c>
      <c r="AH14" s="2" t="str">
        <f t="shared" si="18"/>
        <v/>
      </c>
      <c r="AI14" s="2" t="str">
        <f t="shared" si="19"/>
        <v/>
      </c>
      <c r="AJ14" s="2" t="str">
        <f t="shared" si="20"/>
        <v/>
      </c>
      <c r="AK14" s="2" t="str">
        <f t="shared" si="21"/>
        <v/>
      </c>
      <c r="AL14" s="2" t="str">
        <f t="shared" si="22"/>
        <v/>
      </c>
      <c r="AM14" s="2" t="str">
        <f t="shared" si="23"/>
        <v/>
      </c>
      <c r="AN14" s="2" t="str">
        <f t="shared" si="24"/>
        <v/>
      </c>
      <c r="AP14" s="2" t="str" cm="1">
        <f t="array" ref="AP14">IF('NILAI CPL'!$B14&lt;&gt;"",IFERROR(_xlfn.IFS(S14&gt;='NILAI CPL'!$B$3,4,S14&gt;='NILAI CPL'!$B$4,3,S14&gt;='NILAI CPL'!$B$5,2,S14&gt;'NILAI CPL'!$B$6,1),0),"")</f>
        <v/>
      </c>
      <c r="AQ14" s="2" t="str" cm="1">
        <f t="array" ref="AQ14">IF('NILAI CPL'!$B14&lt;&gt;"",IFERROR(_xlfn.IFS(T14&gt;='NILAI CPL'!$B$3,4,T14&gt;='NILAI CPL'!$B$4,3,T14&gt;='NILAI CPL'!$B$5,2,T14&gt;'NILAI CPL'!$B$6,1),0),"")</f>
        <v/>
      </c>
      <c r="AR14" s="2" t="str" cm="1">
        <f t="array" ref="AR14">IF('NILAI CPL'!$B14&lt;&gt;"",IFERROR(_xlfn.IFS(U14&gt;='NILAI CPL'!$B$3,4,U14&gt;='NILAI CPL'!$B$4,3,U14&gt;='NILAI CPL'!$B$5,2,U14&gt;'NILAI CPL'!$B$6,1),0),"")</f>
        <v/>
      </c>
      <c r="AS14" s="2" t="str" cm="1">
        <f t="array" ref="AS14">IF('NILAI CPL'!$B14&lt;&gt;"",IFERROR(_xlfn.IFS(V14&gt;='NILAI CPL'!$B$3,4,V14&gt;='NILAI CPL'!$B$4,3,V14&gt;='NILAI CPL'!$B$5,2,V14&gt;'NILAI CPL'!$B$6,1),0),"")</f>
        <v/>
      </c>
      <c r="AT14" s="2" t="str" cm="1">
        <f t="array" ref="AT14">IF('NILAI CPL'!$B14&lt;&gt;"",IFERROR(_xlfn.IFS(W14&gt;='NILAI CPL'!$B$3,4,W14&gt;='NILAI CPL'!$B$4,3,W14&gt;='NILAI CPL'!$B$5,2,W14&gt;'NILAI CPL'!$B$6,1),0),"")</f>
        <v/>
      </c>
      <c r="AU14" s="2" t="str" cm="1">
        <f t="array" ref="AU14">IF('NILAI CPL'!$B14&lt;&gt;"",IFERROR(_xlfn.IFS(X14&gt;='NILAI CPL'!$B$3,4,X14&gt;='NILAI CPL'!$B$4,3,X14&gt;='NILAI CPL'!$B$5,2,X14&gt;'NILAI CPL'!$B$6,1),0),"")</f>
        <v/>
      </c>
      <c r="AV14" s="2" t="str" cm="1">
        <f t="array" ref="AV14">IF('NILAI CPL'!$B14&lt;&gt;"",IFERROR(_xlfn.IFS(Y14&gt;='NILAI CPL'!$B$3,4,Y14&gt;='NILAI CPL'!$B$4,3,Y14&gt;='NILAI CPL'!$B$5,2,Y14&gt;'NILAI CPL'!$B$6,1),0),"")</f>
        <v/>
      </c>
      <c r="AW14" s="2" t="str" cm="1">
        <f t="array" ref="AW14">IF('NILAI CPL'!$B14&lt;&gt;"",IFERROR(_xlfn.IFS(Z14&gt;='NILAI CPL'!$B$3,4,Z14&gt;='NILAI CPL'!$B$4,3,Z14&gt;='NILAI CPL'!$B$5,2,Z14&gt;'NILAI CPL'!$B$6,1),0),"")</f>
        <v/>
      </c>
      <c r="AX14" s="2" t="str" cm="1">
        <f t="array" ref="AX14">IF('NILAI CPL'!$B14&lt;&gt;"",IFERROR(_xlfn.IFS(AA14&gt;='NILAI CPL'!$B$3,4,AA14&gt;='NILAI CPL'!$B$4,3,AA14&gt;='NILAI CPL'!$B$5,2,AA14&gt;'NILAI CPL'!$B$6,1),0),"")</f>
        <v/>
      </c>
      <c r="AY14" s="2" t="str" cm="1">
        <f t="array" ref="AY14">IF('NILAI CPL'!$B14&lt;&gt;"",IFERROR(_xlfn.IFS(AB14&gt;='NILAI CPL'!$B$3,4,AB14&gt;='NILAI CPL'!$B$4,3,AB14&gt;='NILAI CPL'!$B$5,2,AB14&gt;'NILAI CPL'!$B$6,1),0),"")</f>
        <v/>
      </c>
      <c r="AZ14" s="2" t="str" cm="1">
        <f t="array" ref="AZ14">IF('NILAI CPL'!$B14&lt;&gt;"",IFERROR(_xlfn.IFS(AC14&gt;='NILAI CPL'!$B$3,4,AC14&gt;='NILAI CPL'!$B$4,3,AC14&gt;='NILAI CPL'!$B$5,2,AC14&gt;'NILAI CPL'!$B$6,1),0),"")</f>
        <v/>
      </c>
      <c r="BA14" s="2" t="str" cm="1">
        <f t="array" ref="BA14">IF('NILAI CPL'!$B14&lt;&gt;"",IFERROR(_xlfn.IFS(AD14&gt;='NILAI CPL'!$B$3,4,AD14&gt;='NILAI CPL'!$B$4,3,AD14&gt;='NILAI CPL'!$B$5,2,AD14&gt;'NILAI CPL'!$B$6,1),0),"")</f>
        <v/>
      </c>
      <c r="BB14" s="2" t="str" cm="1">
        <f t="array" ref="BB14">IF('NILAI CPL'!$B14&lt;&gt;"",IFERROR(_xlfn.IFS(AE14&gt;='NILAI CPL'!$B$3,4,AE14&gt;='NILAI CPL'!$B$4,3,AE14&gt;='NILAI CPL'!$B$5,2,AE14&gt;'NILAI CPL'!$B$6,1),0),"")</f>
        <v/>
      </c>
      <c r="BC14" s="2" t="str" cm="1">
        <f t="array" ref="BC14">IF('NILAI CPL'!$B14&lt;&gt;"",IFERROR(_xlfn.IFS(AF14&gt;='NILAI CPL'!$B$3,4,AF14&gt;='NILAI CPL'!$B$4,3,AF14&gt;='NILAI CPL'!$B$5,2,AF14&gt;'NILAI CPL'!$B$6,1),0),"")</f>
        <v/>
      </c>
      <c r="BD14" s="2" t="str" cm="1">
        <f t="array" ref="BD14">IF('NILAI CPL'!$B14&lt;&gt;"",IFERROR(_xlfn.IFS(AG14&gt;='NILAI CPL'!$B$3,4,AG14&gt;='NILAI CPL'!$B$4,3,AG14&gt;='NILAI CPL'!$B$5,2,AG14&gt;'NILAI CPL'!$B$6,1),0),"")</f>
        <v/>
      </c>
      <c r="BE14" s="2" t="str" cm="1">
        <f t="array" ref="BE14">IF('NILAI CPL'!$B14&lt;&gt;"",IFERROR(_xlfn.IFS(AH14&gt;='NILAI CPL'!$B$3,4,AH14&gt;='NILAI CPL'!$B$4,3,AH14&gt;='NILAI CPL'!$B$5,2,AH14&gt;'NILAI CPL'!$B$6,1),0),"")</f>
        <v/>
      </c>
      <c r="BF14" s="2" t="str" cm="1">
        <f t="array" ref="BF14">IF('NILAI CPL'!$B14&lt;&gt;"",IFERROR(_xlfn.IFS(AI14&gt;='NILAI CPL'!$B$3,4,AI14&gt;='NILAI CPL'!$B$4,3,AI14&gt;='NILAI CPL'!$B$5,2,AI14&gt;'NILAI CPL'!$B$6,1),0),"")</f>
        <v/>
      </c>
      <c r="BG14" s="2" t="str" cm="1">
        <f t="array" ref="BG14">IF('NILAI CPL'!$B14&lt;&gt;"",IFERROR(_xlfn.IFS(AJ14&gt;='NILAI CPL'!$B$3,4,AJ14&gt;='NILAI CPL'!$B$4,3,AJ14&gt;='NILAI CPL'!$B$5,2,AJ14&gt;'NILAI CPL'!$B$6,1),0),"")</f>
        <v/>
      </c>
      <c r="BH14" s="2" t="str" cm="1">
        <f t="array" ref="BH14">IF('NILAI CPL'!$B14&lt;&gt;"",IFERROR(_xlfn.IFS(AK14&gt;='NILAI CPL'!$B$3,4,AK14&gt;='NILAI CPL'!$B$4,3,AK14&gt;='NILAI CPL'!$B$5,2,AK14&gt;'NILAI CPL'!$B$6,1),0),"")</f>
        <v/>
      </c>
      <c r="BI14" s="2" t="str" cm="1">
        <f t="array" ref="BI14">IF('NILAI CPL'!$B14&lt;&gt;"",IFERROR(_xlfn.IFS(AL14&gt;='NILAI CPL'!$B$3,4,AL14&gt;='NILAI CPL'!$B$4,3,AL14&gt;='NILAI CPL'!$B$5,2,AL14&gt;'NILAI CPL'!$B$6,1),0),"")</f>
        <v/>
      </c>
      <c r="BJ14" s="2" t="str" cm="1">
        <f t="array" ref="BJ14">IF('NILAI CPL'!$B14&lt;&gt;"",IFERROR(_xlfn.IFS(AM14&gt;='NILAI CPL'!$B$3,4,AM14&gt;='NILAI CPL'!$B$4,3,AM14&gt;='NILAI CPL'!$B$5,2,AM14&gt;'NILAI CPL'!$B$6,1),0),"")</f>
        <v/>
      </c>
      <c r="BK14" s="2" t="str" cm="1">
        <f t="array" ref="BK14">IF('NILAI CPL'!$B14&lt;&gt;"",IFERROR(_xlfn.IFS(AN14&gt;='NILAI CPL'!$B$3,4,AN14&gt;='NILAI CPL'!$B$4,3,AN14&gt;='NILAI CPL'!$B$5,2,AN14&gt;'NILAI CPL'!$B$6,1),0),"")</f>
        <v/>
      </c>
    </row>
    <row r="15" spans="1:63" x14ac:dyDescent="0.2">
      <c r="A15" s="2">
        <v>5</v>
      </c>
      <c r="B15" s="2" t="str">
        <f>IF(LEN(SUMMARY!B15)&gt;0, SUMMARY!B15, "")</f>
        <v/>
      </c>
      <c r="C15" s="2" t="str">
        <f>IF(LEN(SUMMARY!C15)&gt;0, SUMMARY!C15, "")</f>
        <v/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" t="str">
        <f t="shared" si="2"/>
        <v/>
      </c>
      <c r="S15" s="2" t="str">
        <f t="shared" si="3"/>
        <v/>
      </c>
      <c r="T15" s="2" t="str">
        <f t="shared" si="4"/>
        <v/>
      </c>
      <c r="U15" s="2" t="str">
        <f t="shared" si="5"/>
        <v/>
      </c>
      <c r="V15" s="2" t="str">
        <f t="shared" si="6"/>
        <v/>
      </c>
      <c r="W15" s="2" t="str">
        <f t="shared" si="7"/>
        <v/>
      </c>
      <c r="X15" s="2" t="str">
        <f t="shared" si="8"/>
        <v/>
      </c>
      <c r="Y15" s="2" t="str">
        <f t="shared" si="9"/>
        <v/>
      </c>
      <c r="Z15" s="2" t="str">
        <f t="shared" si="10"/>
        <v/>
      </c>
      <c r="AA15" s="2" t="str">
        <f t="shared" si="11"/>
        <v/>
      </c>
      <c r="AB15" s="2" t="str">
        <f t="shared" si="12"/>
        <v/>
      </c>
      <c r="AC15" s="2" t="str">
        <f t="shared" si="13"/>
        <v/>
      </c>
      <c r="AD15" s="2" t="str">
        <f t="shared" si="14"/>
        <v/>
      </c>
      <c r="AE15" s="2" t="str">
        <f t="shared" si="15"/>
        <v/>
      </c>
      <c r="AF15" s="2" t="str">
        <f t="shared" si="16"/>
        <v/>
      </c>
      <c r="AG15" s="2" t="str">
        <f t="shared" si="17"/>
        <v/>
      </c>
      <c r="AH15" s="2" t="str">
        <f t="shared" si="18"/>
        <v/>
      </c>
      <c r="AI15" s="2" t="str">
        <f t="shared" si="19"/>
        <v/>
      </c>
      <c r="AJ15" s="2" t="str">
        <f t="shared" si="20"/>
        <v/>
      </c>
      <c r="AK15" s="2" t="str">
        <f t="shared" si="21"/>
        <v/>
      </c>
      <c r="AL15" s="2" t="str">
        <f t="shared" si="22"/>
        <v/>
      </c>
      <c r="AM15" s="2" t="str">
        <f t="shared" si="23"/>
        <v/>
      </c>
      <c r="AN15" s="2" t="str">
        <f t="shared" si="24"/>
        <v/>
      </c>
      <c r="AP15" s="2" t="str" cm="1">
        <f t="array" ref="AP15">IF('NILAI CPL'!$B15&lt;&gt;"",IFERROR(_xlfn.IFS(S15&gt;='NILAI CPL'!$B$3,4,S15&gt;='NILAI CPL'!$B$4,3,S15&gt;='NILAI CPL'!$B$5,2,S15&gt;'NILAI CPL'!$B$6,1),0),"")</f>
        <v/>
      </c>
      <c r="AQ15" s="2" t="str" cm="1">
        <f t="array" ref="AQ15">IF('NILAI CPL'!$B15&lt;&gt;"",IFERROR(_xlfn.IFS(T15&gt;='NILAI CPL'!$B$3,4,T15&gt;='NILAI CPL'!$B$4,3,T15&gt;='NILAI CPL'!$B$5,2,T15&gt;'NILAI CPL'!$B$6,1),0),"")</f>
        <v/>
      </c>
      <c r="AR15" s="2" t="str" cm="1">
        <f t="array" ref="AR15">IF('NILAI CPL'!$B15&lt;&gt;"",IFERROR(_xlfn.IFS(U15&gt;='NILAI CPL'!$B$3,4,U15&gt;='NILAI CPL'!$B$4,3,U15&gt;='NILAI CPL'!$B$5,2,U15&gt;'NILAI CPL'!$B$6,1),0),"")</f>
        <v/>
      </c>
      <c r="AS15" s="2" t="str" cm="1">
        <f t="array" ref="AS15">IF('NILAI CPL'!$B15&lt;&gt;"",IFERROR(_xlfn.IFS(V15&gt;='NILAI CPL'!$B$3,4,V15&gt;='NILAI CPL'!$B$4,3,V15&gt;='NILAI CPL'!$B$5,2,V15&gt;'NILAI CPL'!$B$6,1),0),"")</f>
        <v/>
      </c>
      <c r="AT15" s="2" t="str" cm="1">
        <f t="array" ref="AT15">IF('NILAI CPL'!$B15&lt;&gt;"",IFERROR(_xlfn.IFS(W15&gt;='NILAI CPL'!$B$3,4,W15&gt;='NILAI CPL'!$B$4,3,W15&gt;='NILAI CPL'!$B$5,2,W15&gt;'NILAI CPL'!$B$6,1),0),"")</f>
        <v/>
      </c>
      <c r="AU15" s="2" t="str" cm="1">
        <f t="array" ref="AU15">IF('NILAI CPL'!$B15&lt;&gt;"",IFERROR(_xlfn.IFS(X15&gt;='NILAI CPL'!$B$3,4,X15&gt;='NILAI CPL'!$B$4,3,X15&gt;='NILAI CPL'!$B$5,2,X15&gt;'NILAI CPL'!$B$6,1),0),"")</f>
        <v/>
      </c>
      <c r="AV15" s="2" t="str" cm="1">
        <f t="array" ref="AV15">IF('NILAI CPL'!$B15&lt;&gt;"",IFERROR(_xlfn.IFS(Y15&gt;='NILAI CPL'!$B$3,4,Y15&gt;='NILAI CPL'!$B$4,3,Y15&gt;='NILAI CPL'!$B$5,2,Y15&gt;'NILAI CPL'!$B$6,1),0),"")</f>
        <v/>
      </c>
      <c r="AW15" s="2" t="str" cm="1">
        <f t="array" ref="AW15">IF('NILAI CPL'!$B15&lt;&gt;"",IFERROR(_xlfn.IFS(Z15&gt;='NILAI CPL'!$B$3,4,Z15&gt;='NILAI CPL'!$B$4,3,Z15&gt;='NILAI CPL'!$B$5,2,Z15&gt;'NILAI CPL'!$B$6,1),0),"")</f>
        <v/>
      </c>
      <c r="AX15" s="2" t="str" cm="1">
        <f t="array" ref="AX15">IF('NILAI CPL'!$B15&lt;&gt;"",IFERROR(_xlfn.IFS(AA15&gt;='NILAI CPL'!$B$3,4,AA15&gt;='NILAI CPL'!$B$4,3,AA15&gt;='NILAI CPL'!$B$5,2,AA15&gt;'NILAI CPL'!$B$6,1),0),"")</f>
        <v/>
      </c>
      <c r="AY15" s="2" t="str" cm="1">
        <f t="array" ref="AY15">IF('NILAI CPL'!$B15&lt;&gt;"",IFERROR(_xlfn.IFS(AB15&gt;='NILAI CPL'!$B$3,4,AB15&gt;='NILAI CPL'!$B$4,3,AB15&gt;='NILAI CPL'!$B$5,2,AB15&gt;'NILAI CPL'!$B$6,1),0),"")</f>
        <v/>
      </c>
      <c r="AZ15" s="2" t="str" cm="1">
        <f t="array" ref="AZ15">IF('NILAI CPL'!$B15&lt;&gt;"",IFERROR(_xlfn.IFS(AC15&gt;='NILAI CPL'!$B$3,4,AC15&gt;='NILAI CPL'!$B$4,3,AC15&gt;='NILAI CPL'!$B$5,2,AC15&gt;'NILAI CPL'!$B$6,1),0),"")</f>
        <v/>
      </c>
      <c r="BA15" s="2" t="str" cm="1">
        <f t="array" ref="BA15">IF('NILAI CPL'!$B15&lt;&gt;"",IFERROR(_xlfn.IFS(AD15&gt;='NILAI CPL'!$B$3,4,AD15&gt;='NILAI CPL'!$B$4,3,AD15&gt;='NILAI CPL'!$B$5,2,AD15&gt;'NILAI CPL'!$B$6,1),0),"")</f>
        <v/>
      </c>
      <c r="BB15" s="2" t="str" cm="1">
        <f t="array" ref="BB15">IF('NILAI CPL'!$B15&lt;&gt;"",IFERROR(_xlfn.IFS(AE15&gt;='NILAI CPL'!$B$3,4,AE15&gt;='NILAI CPL'!$B$4,3,AE15&gt;='NILAI CPL'!$B$5,2,AE15&gt;'NILAI CPL'!$B$6,1),0),"")</f>
        <v/>
      </c>
      <c r="BC15" s="2" t="str" cm="1">
        <f t="array" ref="BC15">IF('NILAI CPL'!$B15&lt;&gt;"",IFERROR(_xlfn.IFS(AF15&gt;='NILAI CPL'!$B$3,4,AF15&gt;='NILAI CPL'!$B$4,3,AF15&gt;='NILAI CPL'!$B$5,2,AF15&gt;'NILAI CPL'!$B$6,1),0),"")</f>
        <v/>
      </c>
      <c r="BD15" s="2" t="str" cm="1">
        <f t="array" ref="BD15">IF('NILAI CPL'!$B15&lt;&gt;"",IFERROR(_xlfn.IFS(AG15&gt;='NILAI CPL'!$B$3,4,AG15&gt;='NILAI CPL'!$B$4,3,AG15&gt;='NILAI CPL'!$B$5,2,AG15&gt;'NILAI CPL'!$B$6,1),0),"")</f>
        <v/>
      </c>
      <c r="BE15" s="2" t="str" cm="1">
        <f t="array" ref="BE15">IF('NILAI CPL'!$B15&lt;&gt;"",IFERROR(_xlfn.IFS(AH15&gt;='NILAI CPL'!$B$3,4,AH15&gt;='NILAI CPL'!$B$4,3,AH15&gt;='NILAI CPL'!$B$5,2,AH15&gt;'NILAI CPL'!$B$6,1),0),"")</f>
        <v/>
      </c>
      <c r="BF15" s="2" t="str" cm="1">
        <f t="array" ref="BF15">IF('NILAI CPL'!$B15&lt;&gt;"",IFERROR(_xlfn.IFS(AI15&gt;='NILAI CPL'!$B$3,4,AI15&gt;='NILAI CPL'!$B$4,3,AI15&gt;='NILAI CPL'!$B$5,2,AI15&gt;'NILAI CPL'!$B$6,1),0),"")</f>
        <v/>
      </c>
      <c r="BG15" s="2" t="str" cm="1">
        <f t="array" ref="BG15">IF('NILAI CPL'!$B15&lt;&gt;"",IFERROR(_xlfn.IFS(AJ15&gt;='NILAI CPL'!$B$3,4,AJ15&gt;='NILAI CPL'!$B$4,3,AJ15&gt;='NILAI CPL'!$B$5,2,AJ15&gt;'NILAI CPL'!$B$6,1),0),"")</f>
        <v/>
      </c>
      <c r="BH15" s="2" t="str" cm="1">
        <f t="array" ref="BH15">IF('NILAI CPL'!$B15&lt;&gt;"",IFERROR(_xlfn.IFS(AK15&gt;='NILAI CPL'!$B$3,4,AK15&gt;='NILAI CPL'!$B$4,3,AK15&gt;='NILAI CPL'!$B$5,2,AK15&gt;'NILAI CPL'!$B$6,1),0),"")</f>
        <v/>
      </c>
      <c r="BI15" s="2" t="str" cm="1">
        <f t="array" ref="BI15">IF('NILAI CPL'!$B15&lt;&gt;"",IFERROR(_xlfn.IFS(AL15&gt;='NILAI CPL'!$B$3,4,AL15&gt;='NILAI CPL'!$B$4,3,AL15&gt;='NILAI CPL'!$B$5,2,AL15&gt;'NILAI CPL'!$B$6,1),0),"")</f>
        <v/>
      </c>
      <c r="BJ15" s="2" t="str" cm="1">
        <f t="array" ref="BJ15">IF('NILAI CPL'!$B15&lt;&gt;"",IFERROR(_xlfn.IFS(AM15&gt;='NILAI CPL'!$B$3,4,AM15&gt;='NILAI CPL'!$B$4,3,AM15&gt;='NILAI CPL'!$B$5,2,AM15&gt;'NILAI CPL'!$B$6,1),0),"")</f>
        <v/>
      </c>
      <c r="BK15" s="2" t="str" cm="1">
        <f t="array" ref="BK15">IF('NILAI CPL'!$B15&lt;&gt;"",IFERROR(_xlfn.IFS(AN15&gt;='NILAI CPL'!$B$3,4,AN15&gt;='NILAI CPL'!$B$4,3,AN15&gt;='NILAI CPL'!$B$5,2,AN15&gt;'NILAI CPL'!$B$6,1),0),"")</f>
        <v/>
      </c>
    </row>
    <row r="16" spans="1:63" x14ac:dyDescent="0.2">
      <c r="A16" s="2">
        <v>6</v>
      </c>
      <c r="B16" s="2" t="str">
        <f>IF(LEN(SUMMARY!B16)&gt;0, SUMMARY!B16, "")</f>
        <v/>
      </c>
      <c r="C16" s="2" t="str">
        <f>IF(LEN(SUMMARY!C16)&gt;0, SUMMARY!C16, "")</f>
        <v/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" t="str">
        <f t="shared" si="2"/>
        <v/>
      </c>
      <c r="S16" s="2" t="str">
        <f t="shared" si="3"/>
        <v/>
      </c>
      <c r="T16" s="2" t="str">
        <f t="shared" si="4"/>
        <v/>
      </c>
      <c r="U16" s="2" t="str">
        <f t="shared" si="5"/>
        <v/>
      </c>
      <c r="V16" s="2" t="str">
        <f t="shared" si="6"/>
        <v/>
      </c>
      <c r="W16" s="2" t="str">
        <f t="shared" si="7"/>
        <v/>
      </c>
      <c r="X16" s="2" t="str">
        <f t="shared" si="8"/>
        <v/>
      </c>
      <c r="Y16" s="2" t="str">
        <f t="shared" si="9"/>
        <v/>
      </c>
      <c r="Z16" s="2" t="str">
        <f t="shared" si="10"/>
        <v/>
      </c>
      <c r="AA16" s="2" t="str">
        <f t="shared" si="11"/>
        <v/>
      </c>
      <c r="AB16" s="2" t="str">
        <f t="shared" si="12"/>
        <v/>
      </c>
      <c r="AC16" s="2" t="str">
        <f t="shared" si="13"/>
        <v/>
      </c>
      <c r="AD16" s="2" t="str">
        <f t="shared" si="14"/>
        <v/>
      </c>
      <c r="AE16" s="2" t="str">
        <f t="shared" si="15"/>
        <v/>
      </c>
      <c r="AF16" s="2" t="str">
        <f t="shared" si="16"/>
        <v/>
      </c>
      <c r="AG16" s="2" t="str">
        <f t="shared" si="17"/>
        <v/>
      </c>
      <c r="AH16" s="2" t="str">
        <f t="shared" si="18"/>
        <v/>
      </c>
      <c r="AI16" s="2" t="str">
        <f t="shared" si="19"/>
        <v/>
      </c>
      <c r="AJ16" s="2" t="str">
        <f t="shared" si="20"/>
        <v/>
      </c>
      <c r="AK16" s="2" t="str">
        <f t="shared" si="21"/>
        <v/>
      </c>
      <c r="AL16" s="2" t="str">
        <f t="shared" si="22"/>
        <v/>
      </c>
      <c r="AM16" s="2" t="str">
        <f t="shared" si="23"/>
        <v/>
      </c>
      <c r="AN16" s="2" t="str">
        <f t="shared" si="24"/>
        <v/>
      </c>
      <c r="AP16" s="2" t="str" cm="1">
        <f t="array" ref="AP16">IF('NILAI CPL'!$B16&lt;&gt;"",IFERROR(_xlfn.IFS(S16&gt;='NILAI CPL'!$B$3,4,S16&gt;='NILAI CPL'!$B$4,3,S16&gt;='NILAI CPL'!$B$5,2,S16&gt;'NILAI CPL'!$B$6,1),0),"")</f>
        <v/>
      </c>
      <c r="AQ16" s="2" t="str" cm="1">
        <f t="array" ref="AQ16">IF('NILAI CPL'!$B16&lt;&gt;"",IFERROR(_xlfn.IFS(T16&gt;='NILAI CPL'!$B$3,4,T16&gt;='NILAI CPL'!$B$4,3,T16&gt;='NILAI CPL'!$B$5,2,T16&gt;'NILAI CPL'!$B$6,1),0),"")</f>
        <v/>
      </c>
      <c r="AR16" s="2" t="str" cm="1">
        <f t="array" ref="AR16">IF('NILAI CPL'!$B16&lt;&gt;"",IFERROR(_xlfn.IFS(U16&gt;='NILAI CPL'!$B$3,4,U16&gt;='NILAI CPL'!$B$4,3,U16&gt;='NILAI CPL'!$B$5,2,U16&gt;'NILAI CPL'!$B$6,1),0),"")</f>
        <v/>
      </c>
      <c r="AS16" s="2" t="str" cm="1">
        <f t="array" ref="AS16">IF('NILAI CPL'!$B16&lt;&gt;"",IFERROR(_xlfn.IFS(V16&gt;='NILAI CPL'!$B$3,4,V16&gt;='NILAI CPL'!$B$4,3,V16&gt;='NILAI CPL'!$B$5,2,V16&gt;'NILAI CPL'!$B$6,1),0),"")</f>
        <v/>
      </c>
      <c r="AT16" s="2" t="str" cm="1">
        <f t="array" ref="AT16">IF('NILAI CPL'!$B16&lt;&gt;"",IFERROR(_xlfn.IFS(W16&gt;='NILAI CPL'!$B$3,4,W16&gt;='NILAI CPL'!$B$4,3,W16&gt;='NILAI CPL'!$B$5,2,W16&gt;'NILAI CPL'!$B$6,1),0),"")</f>
        <v/>
      </c>
      <c r="AU16" s="2" t="str" cm="1">
        <f t="array" ref="AU16">IF('NILAI CPL'!$B16&lt;&gt;"",IFERROR(_xlfn.IFS(X16&gt;='NILAI CPL'!$B$3,4,X16&gt;='NILAI CPL'!$B$4,3,X16&gt;='NILAI CPL'!$B$5,2,X16&gt;'NILAI CPL'!$B$6,1),0),"")</f>
        <v/>
      </c>
      <c r="AV16" s="2" t="str" cm="1">
        <f t="array" ref="AV16">IF('NILAI CPL'!$B16&lt;&gt;"",IFERROR(_xlfn.IFS(Y16&gt;='NILAI CPL'!$B$3,4,Y16&gt;='NILAI CPL'!$B$4,3,Y16&gt;='NILAI CPL'!$B$5,2,Y16&gt;'NILAI CPL'!$B$6,1),0),"")</f>
        <v/>
      </c>
      <c r="AW16" s="2" t="str" cm="1">
        <f t="array" ref="AW16">IF('NILAI CPL'!$B16&lt;&gt;"",IFERROR(_xlfn.IFS(Z16&gt;='NILAI CPL'!$B$3,4,Z16&gt;='NILAI CPL'!$B$4,3,Z16&gt;='NILAI CPL'!$B$5,2,Z16&gt;'NILAI CPL'!$B$6,1),0),"")</f>
        <v/>
      </c>
      <c r="AX16" s="2" t="str" cm="1">
        <f t="array" ref="AX16">IF('NILAI CPL'!$B16&lt;&gt;"",IFERROR(_xlfn.IFS(AA16&gt;='NILAI CPL'!$B$3,4,AA16&gt;='NILAI CPL'!$B$4,3,AA16&gt;='NILAI CPL'!$B$5,2,AA16&gt;'NILAI CPL'!$B$6,1),0),"")</f>
        <v/>
      </c>
      <c r="AY16" s="2" t="str" cm="1">
        <f t="array" ref="AY16">IF('NILAI CPL'!$B16&lt;&gt;"",IFERROR(_xlfn.IFS(AB16&gt;='NILAI CPL'!$B$3,4,AB16&gt;='NILAI CPL'!$B$4,3,AB16&gt;='NILAI CPL'!$B$5,2,AB16&gt;'NILAI CPL'!$B$6,1),0),"")</f>
        <v/>
      </c>
      <c r="AZ16" s="2" t="str" cm="1">
        <f t="array" ref="AZ16">IF('NILAI CPL'!$B16&lt;&gt;"",IFERROR(_xlfn.IFS(AC16&gt;='NILAI CPL'!$B$3,4,AC16&gt;='NILAI CPL'!$B$4,3,AC16&gt;='NILAI CPL'!$B$5,2,AC16&gt;'NILAI CPL'!$B$6,1),0),"")</f>
        <v/>
      </c>
      <c r="BA16" s="2" t="str" cm="1">
        <f t="array" ref="BA16">IF('NILAI CPL'!$B16&lt;&gt;"",IFERROR(_xlfn.IFS(AD16&gt;='NILAI CPL'!$B$3,4,AD16&gt;='NILAI CPL'!$B$4,3,AD16&gt;='NILAI CPL'!$B$5,2,AD16&gt;'NILAI CPL'!$B$6,1),0),"")</f>
        <v/>
      </c>
      <c r="BB16" s="2" t="str" cm="1">
        <f t="array" ref="BB16">IF('NILAI CPL'!$B16&lt;&gt;"",IFERROR(_xlfn.IFS(AE16&gt;='NILAI CPL'!$B$3,4,AE16&gt;='NILAI CPL'!$B$4,3,AE16&gt;='NILAI CPL'!$B$5,2,AE16&gt;'NILAI CPL'!$B$6,1),0),"")</f>
        <v/>
      </c>
      <c r="BC16" s="2" t="str" cm="1">
        <f t="array" ref="BC16">IF('NILAI CPL'!$B16&lt;&gt;"",IFERROR(_xlfn.IFS(AF16&gt;='NILAI CPL'!$B$3,4,AF16&gt;='NILAI CPL'!$B$4,3,AF16&gt;='NILAI CPL'!$B$5,2,AF16&gt;'NILAI CPL'!$B$6,1),0),"")</f>
        <v/>
      </c>
      <c r="BD16" s="2" t="str" cm="1">
        <f t="array" ref="BD16">IF('NILAI CPL'!$B16&lt;&gt;"",IFERROR(_xlfn.IFS(AG16&gt;='NILAI CPL'!$B$3,4,AG16&gt;='NILAI CPL'!$B$4,3,AG16&gt;='NILAI CPL'!$B$5,2,AG16&gt;'NILAI CPL'!$B$6,1),0),"")</f>
        <v/>
      </c>
      <c r="BE16" s="2" t="str" cm="1">
        <f t="array" ref="BE16">IF('NILAI CPL'!$B16&lt;&gt;"",IFERROR(_xlfn.IFS(AH16&gt;='NILAI CPL'!$B$3,4,AH16&gt;='NILAI CPL'!$B$4,3,AH16&gt;='NILAI CPL'!$B$5,2,AH16&gt;'NILAI CPL'!$B$6,1),0),"")</f>
        <v/>
      </c>
      <c r="BF16" s="2" t="str" cm="1">
        <f t="array" ref="BF16">IF('NILAI CPL'!$B16&lt;&gt;"",IFERROR(_xlfn.IFS(AI16&gt;='NILAI CPL'!$B$3,4,AI16&gt;='NILAI CPL'!$B$4,3,AI16&gt;='NILAI CPL'!$B$5,2,AI16&gt;'NILAI CPL'!$B$6,1),0),"")</f>
        <v/>
      </c>
      <c r="BG16" s="2" t="str" cm="1">
        <f t="array" ref="BG16">IF('NILAI CPL'!$B16&lt;&gt;"",IFERROR(_xlfn.IFS(AJ16&gt;='NILAI CPL'!$B$3,4,AJ16&gt;='NILAI CPL'!$B$4,3,AJ16&gt;='NILAI CPL'!$B$5,2,AJ16&gt;'NILAI CPL'!$B$6,1),0),"")</f>
        <v/>
      </c>
      <c r="BH16" s="2" t="str" cm="1">
        <f t="array" ref="BH16">IF('NILAI CPL'!$B16&lt;&gt;"",IFERROR(_xlfn.IFS(AK16&gt;='NILAI CPL'!$B$3,4,AK16&gt;='NILAI CPL'!$B$4,3,AK16&gt;='NILAI CPL'!$B$5,2,AK16&gt;'NILAI CPL'!$B$6,1),0),"")</f>
        <v/>
      </c>
      <c r="BI16" s="2" t="str" cm="1">
        <f t="array" ref="BI16">IF('NILAI CPL'!$B16&lt;&gt;"",IFERROR(_xlfn.IFS(AL16&gt;='NILAI CPL'!$B$3,4,AL16&gt;='NILAI CPL'!$B$4,3,AL16&gt;='NILAI CPL'!$B$5,2,AL16&gt;'NILAI CPL'!$B$6,1),0),"")</f>
        <v/>
      </c>
      <c r="BJ16" s="2" t="str" cm="1">
        <f t="array" ref="BJ16">IF('NILAI CPL'!$B16&lt;&gt;"",IFERROR(_xlfn.IFS(AM16&gt;='NILAI CPL'!$B$3,4,AM16&gt;='NILAI CPL'!$B$4,3,AM16&gt;='NILAI CPL'!$B$5,2,AM16&gt;'NILAI CPL'!$B$6,1),0),"")</f>
        <v/>
      </c>
      <c r="BK16" s="2" t="str" cm="1">
        <f t="array" ref="BK16">IF('NILAI CPL'!$B16&lt;&gt;"",IFERROR(_xlfn.IFS(AN16&gt;='NILAI CPL'!$B$3,4,AN16&gt;='NILAI CPL'!$B$4,3,AN16&gt;='NILAI CPL'!$B$5,2,AN16&gt;'NILAI CPL'!$B$6,1),0),"")</f>
        <v/>
      </c>
    </row>
    <row r="17" spans="1:63" x14ac:dyDescent="0.2">
      <c r="A17" s="2">
        <v>7</v>
      </c>
      <c r="B17" s="2" t="str">
        <f>IF(LEN(SUMMARY!B17)&gt;0, SUMMARY!B17, "")</f>
        <v/>
      </c>
      <c r="C17" s="2" t="str">
        <f>IF(LEN(SUMMARY!C17)&gt;0, SUMMARY!C17, "")</f>
        <v/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" t="str">
        <f t="shared" si="2"/>
        <v/>
      </c>
      <c r="S17" s="2" t="str">
        <f t="shared" si="3"/>
        <v/>
      </c>
      <c r="T17" s="2" t="str">
        <f t="shared" si="4"/>
        <v/>
      </c>
      <c r="U17" s="2" t="str">
        <f t="shared" si="5"/>
        <v/>
      </c>
      <c r="V17" s="2" t="str">
        <f t="shared" si="6"/>
        <v/>
      </c>
      <c r="W17" s="2" t="str">
        <f t="shared" si="7"/>
        <v/>
      </c>
      <c r="X17" s="2" t="str">
        <f t="shared" si="8"/>
        <v/>
      </c>
      <c r="Y17" s="2" t="str">
        <f t="shared" si="9"/>
        <v/>
      </c>
      <c r="Z17" s="2" t="str">
        <f t="shared" si="10"/>
        <v/>
      </c>
      <c r="AA17" s="2" t="str">
        <f t="shared" si="11"/>
        <v/>
      </c>
      <c r="AB17" s="2" t="str">
        <f t="shared" si="12"/>
        <v/>
      </c>
      <c r="AC17" s="2" t="str">
        <f t="shared" si="13"/>
        <v/>
      </c>
      <c r="AD17" s="2" t="str">
        <f t="shared" si="14"/>
        <v/>
      </c>
      <c r="AE17" s="2" t="str">
        <f t="shared" si="15"/>
        <v/>
      </c>
      <c r="AF17" s="2" t="str">
        <f t="shared" si="16"/>
        <v/>
      </c>
      <c r="AG17" s="2" t="str">
        <f t="shared" si="17"/>
        <v/>
      </c>
      <c r="AH17" s="2" t="str">
        <f t="shared" si="18"/>
        <v/>
      </c>
      <c r="AI17" s="2" t="str">
        <f t="shared" si="19"/>
        <v/>
      </c>
      <c r="AJ17" s="2" t="str">
        <f t="shared" si="20"/>
        <v/>
      </c>
      <c r="AK17" s="2" t="str">
        <f t="shared" si="21"/>
        <v/>
      </c>
      <c r="AL17" s="2" t="str">
        <f t="shared" si="22"/>
        <v/>
      </c>
      <c r="AM17" s="2" t="str">
        <f t="shared" si="23"/>
        <v/>
      </c>
      <c r="AN17" s="2" t="str">
        <f t="shared" si="24"/>
        <v/>
      </c>
      <c r="AP17" s="2" t="str" cm="1">
        <f t="array" ref="AP17">IF('NILAI CPL'!$B17&lt;&gt;"",IFERROR(_xlfn.IFS(S17&gt;='NILAI CPL'!$B$3,4,S17&gt;='NILAI CPL'!$B$4,3,S17&gt;='NILAI CPL'!$B$5,2,S17&gt;'NILAI CPL'!$B$6,1),0),"")</f>
        <v/>
      </c>
      <c r="AQ17" s="2" t="str" cm="1">
        <f t="array" ref="AQ17">IF('NILAI CPL'!$B17&lt;&gt;"",IFERROR(_xlfn.IFS(T17&gt;='NILAI CPL'!$B$3,4,T17&gt;='NILAI CPL'!$B$4,3,T17&gt;='NILAI CPL'!$B$5,2,T17&gt;'NILAI CPL'!$B$6,1),0),"")</f>
        <v/>
      </c>
      <c r="AR17" s="2" t="str" cm="1">
        <f t="array" ref="AR17">IF('NILAI CPL'!$B17&lt;&gt;"",IFERROR(_xlfn.IFS(U17&gt;='NILAI CPL'!$B$3,4,U17&gt;='NILAI CPL'!$B$4,3,U17&gt;='NILAI CPL'!$B$5,2,U17&gt;'NILAI CPL'!$B$6,1),0),"")</f>
        <v/>
      </c>
      <c r="AS17" s="2" t="str" cm="1">
        <f t="array" ref="AS17">IF('NILAI CPL'!$B17&lt;&gt;"",IFERROR(_xlfn.IFS(V17&gt;='NILAI CPL'!$B$3,4,V17&gt;='NILAI CPL'!$B$4,3,V17&gt;='NILAI CPL'!$B$5,2,V17&gt;'NILAI CPL'!$B$6,1),0),"")</f>
        <v/>
      </c>
      <c r="AT17" s="2" t="str" cm="1">
        <f t="array" ref="AT17">IF('NILAI CPL'!$B17&lt;&gt;"",IFERROR(_xlfn.IFS(W17&gt;='NILAI CPL'!$B$3,4,W17&gt;='NILAI CPL'!$B$4,3,W17&gt;='NILAI CPL'!$B$5,2,W17&gt;'NILAI CPL'!$B$6,1),0),"")</f>
        <v/>
      </c>
      <c r="AU17" s="2" t="str" cm="1">
        <f t="array" ref="AU17">IF('NILAI CPL'!$B17&lt;&gt;"",IFERROR(_xlfn.IFS(X17&gt;='NILAI CPL'!$B$3,4,X17&gt;='NILAI CPL'!$B$4,3,X17&gt;='NILAI CPL'!$B$5,2,X17&gt;'NILAI CPL'!$B$6,1),0),"")</f>
        <v/>
      </c>
      <c r="AV17" s="2" t="str" cm="1">
        <f t="array" ref="AV17">IF('NILAI CPL'!$B17&lt;&gt;"",IFERROR(_xlfn.IFS(Y17&gt;='NILAI CPL'!$B$3,4,Y17&gt;='NILAI CPL'!$B$4,3,Y17&gt;='NILAI CPL'!$B$5,2,Y17&gt;'NILAI CPL'!$B$6,1),0),"")</f>
        <v/>
      </c>
      <c r="AW17" s="2" t="str" cm="1">
        <f t="array" ref="AW17">IF('NILAI CPL'!$B17&lt;&gt;"",IFERROR(_xlfn.IFS(Z17&gt;='NILAI CPL'!$B$3,4,Z17&gt;='NILAI CPL'!$B$4,3,Z17&gt;='NILAI CPL'!$B$5,2,Z17&gt;'NILAI CPL'!$B$6,1),0),"")</f>
        <v/>
      </c>
      <c r="AX17" s="2" t="str" cm="1">
        <f t="array" ref="AX17">IF('NILAI CPL'!$B17&lt;&gt;"",IFERROR(_xlfn.IFS(AA17&gt;='NILAI CPL'!$B$3,4,AA17&gt;='NILAI CPL'!$B$4,3,AA17&gt;='NILAI CPL'!$B$5,2,AA17&gt;'NILAI CPL'!$B$6,1),0),"")</f>
        <v/>
      </c>
      <c r="AY17" s="2" t="str" cm="1">
        <f t="array" ref="AY17">IF('NILAI CPL'!$B17&lt;&gt;"",IFERROR(_xlfn.IFS(AB17&gt;='NILAI CPL'!$B$3,4,AB17&gt;='NILAI CPL'!$B$4,3,AB17&gt;='NILAI CPL'!$B$5,2,AB17&gt;'NILAI CPL'!$B$6,1),0),"")</f>
        <v/>
      </c>
      <c r="AZ17" s="2" t="str" cm="1">
        <f t="array" ref="AZ17">IF('NILAI CPL'!$B17&lt;&gt;"",IFERROR(_xlfn.IFS(AC17&gt;='NILAI CPL'!$B$3,4,AC17&gt;='NILAI CPL'!$B$4,3,AC17&gt;='NILAI CPL'!$B$5,2,AC17&gt;'NILAI CPL'!$B$6,1),0),"")</f>
        <v/>
      </c>
      <c r="BA17" s="2" t="str" cm="1">
        <f t="array" ref="BA17">IF('NILAI CPL'!$B17&lt;&gt;"",IFERROR(_xlfn.IFS(AD17&gt;='NILAI CPL'!$B$3,4,AD17&gt;='NILAI CPL'!$B$4,3,AD17&gt;='NILAI CPL'!$B$5,2,AD17&gt;'NILAI CPL'!$B$6,1),0),"")</f>
        <v/>
      </c>
      <c r="BB17" s="2" t="str" cm="1">
        <f t="array" ref="BB17">IF('NILAI CPL'!$B17&lt;&gt;"",IFERROR(_xlfn.IFS(AE17&gt;='NILAI CPL'!$B$3,4,AE17&gt;='NILAI CPL'!$B$4,3,AE17&gt;='NILAI CPL'!$B$5,2,AE17&gt;'NILAI CPL'!$B$6,1),0),"")</f>
        <v/>
      </c>
      <c r="BC17" s="2" t="str" cm="1">
        <f t="array" ref="BC17">IF('NILAI CPL'!$B17&lt;&gt;"",IFERROR(_xlfn.IFS(AF17&gt;='NILAI CPL'!$B$3,4,AF17&gt;='NILAI CPL'!$B$4,3,AF17&gt;='NILAI CPL'!$B$5,2,AF17&gt;'NILAI CPL'!$B$6,1),0),"")</f>
        <v/>
      </c>
      <c r="BD17" s="2" t="str" cm="1">
        <f t="array" ref="BD17">IF('NILAI CPL'!$B17&lt;&gt;"",IFERROR(_xlfn.IFS(AG17&gt;='NILAI CPL'!$B$3,4,AG17&gt;='NILAI CPL'!$B$4,3,AG17&gt;='NILAI CPL'!$B$5,2,AG17&gt;'NILAI CPL'!$B$6,1),0),"")</f>
        <v/>
      </c>
      <c r="BE17" s="2" t="str" cm="1">
        <f t="array" ref="BE17">IF('NILAI CPL'!$B17&lt;&gt;"",IFERROR(_xlfn.IFS(AH17&gt;='NILAI CPL'!$B$3,4,AH17&gt;='NILAI CPL'!$B$4,3,AH17&gt;='NILAI CPL'!$B$5,2,AH17&gt;'NILAI CPL'!$B$6,1),0),"")</f>
        <v/>
      </c>
      <c r="BF17" s="2" t="str" cm="1">
        <f t="array" ref="BF17">IF('NILAI CPL'!$B17&lt;&gt;"",IFERROR(_xlfn.IFS(AI17&gt;='NILAI CPL'!$B$3,4,AI17&gt;='NILAI CPL'!$B$4,3,AI17&gt;='NILAI CPL'!$B$5,2,AI17&gt;'NILAI CPL'!$B$6,1),0),"")</f>
        <v/>
      </c>
      <c r="BG17" s="2" t="str" cm="1">
        <f t="array" ref="BG17">IF('NILAI CPL'!$B17&lt;&gt;"",IFERROR(_xlfn.IFS(AJ17&gt;='NILAI CPL'!$B$3,4,AJ17&gt;='NILAI CPL'!$B$4,3,AJ17&gt;='NILAI CPL'!$B$5,2,AJ17&gt;'NILAI CPL'!$B$6,1),0),"")</f>
        <v/>
      </c>
      <c r="BH17" s="2" t="str" cm="1">
        <f t="array" ref="BH17">IF('NILAI CPL'!$B17&lt;&gt;"",IFERROR(_xlfn.IFS(AK17&gt;='NILAI CPL'!$B$3,4,AK17&gt;='NILAI CPL'!$B$4,3,AK17&gt;='NILAI CPL'!$B$5,2,AK17&gt;'NILAI CPL'!$B$6,1),0),"")</f>
        <v/>
      </c>
      <c r="BI17" s="2" t="str" cm="1">
        <f t="array" ref="BI17">IF('NILAI CPL'!$B17&lt;&gt;"",IFERROR(_xlfn.IFS(AL17&gt;='NILAI CPL'!$B$3,4,AL17&gt;='NILAI CPL'!$B$4,3,AL17&gt;='NILAI CPL'!$B$5,2,AL17&gt;'NILAI CPL'!$B$6,1),0),"")</f>
        <v/>
      </c>
      <c r="BJ17" s="2" t="str" cm="1">
        <f t="array" ref="BJ17">IF('NILAI CPL'!$B17&lt;&gt;"",IFERROR(_xlfn.IFS(AM17&gt;='NILAI CPL'!$B$3,4,AM17&gt;='NILAI CPL'!$B$4,3,AM17&gt;='NILAI CPL'!$B$5,2,AM17&gt;'NILAI CPL'!$B$6,1),0),"")</f>
        <v/>
      </c>
      <c r="BK17" s="2" t="str" cm="1">
        <f t="array" ref="BK17">IF('NILAI CPL'!$B17&lt;&gt;"",IFERROR(_xlfn.IFS(AN17&gt;='NILAI CPL'!$B$3,4,AN17&gt;='NILAI CPL'!$B$4,3,AN17&gt;='NILAI CPL'!$B$5,2,AN17&gt;'NILAI CPL'!$B$6,1),0),"")</f>
        <v/>
      </c>
    </row>
    <row r="18" spans="1:63" x14ac:dyDescent="0.2">
      <c r="A18" s="2">
        <v>8</v>
      </c>
      <c r="B18" s="2" t="str">
        <f>IF(LEN(SUMMARY!B18)&gt;0, SUMMARY!B18, "")</f>
        <v/>
      </c>
      <c r="C18" s="2" t="str">
        <f>IF(LEN(SUMMARY!C18)&gt;0, SUMMARY!C18, "")</f>
        <v/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" t="str">
        <f t="shared" si="2"/>
        <v/>
      </c>
      <c r="S18" s="2" t="str">
        <f t="shared" si="3"/>
        <v/>
      </c>
      <c r="T18" s="2" t="str">
        <f t="shared" si="4"/>
        <v/>
      </c>
      <c r="U18" s="2" t="str">
        <f t="shared" si="5"/>
        <v/>
      </c>
      <c r="V18" s="2" t="str">
        <f t="shared" si="6"/>
        <v/>
      </c>
      <c r="W18" s="2" t="str">
        <f t="shared" si="7"/>
        <v/>
      </c>
      <c r="X18" s="2" t="str">
        <f t="shared" si="8"/>
        <v/>
      </c>
      <c r="Y18" s="2" t="str">
        <f t="shared" si="9"/>
        <v/>
      </c>
      <c r="Z18" s="2" t="str">
        <f t="shared" si="10"/>
        <v/>
      </c>
      <c r="AA18" s="2" t="str">
        <f t="shared" si="11"/>
        <v/>
      </c>
      <c r="AB18" s="2" t="str">
        <f t="shared" si="12"/>
        <v/>
      </c>
      <c r="AC18" s="2" t="str">
        <f t="shared" si="13"/>
        <v/>
      </c>
      <c r="AD18" s="2" t="str">
        <f t="shared" si="14"/>
        <v/>
      </c>
      <c r="AE18" s="2" t="str">
        <f t="shared" si="15"/>
        <v/>
      </c>
      <c r="AF18" s="2" t="str">
        <f t="shared" si="16"/>
        <v/>
      </c>
      <c r="AG18" s="2" t="str">
        <f t="shared" si="17"/>
        <v/>
      </c>
      <c r="AH18" s="2" t="str">
        <f t="shared" si="18"/>
        <v/>
      </c>
      <c r="AI18" s="2" t="str">
        <f t="shared" si="19"/>
        <v/>
      </c>
      <c r="AJ18" s="2" t="str">
        <f t="shared" si="20"/>
        <v/>
      </c>
      <c r="AK18" s="2" t="str">
        <f t="shared" si="21"/>
        <v/>
      </c>
      <c r="AL18" s="2" t="str">
        <f t="shared" si="22"/>
        <v/>
      </c>
      <c r="AM18" s="2" t="str">
        <f t="shared" si="23"/>
        <v/>
      </c>
      <c r="AN18" s="2" t="str">
        <f t="shared" si="24"/>
        <v/>
      </c>
      <c r="AP18" s="2" t="str" cm="1">
        <f t="array" ref="AP18">IF('NILAI CPL'!$B18&lt;&gt;"",IFERROR(_xlfn.IFS(S18&gt;='NILAI CPL'!$B$3,4,S18&gt;='NILAI CPL'!$B$4,3,S18&gt;='NILAI CPL'!$B$5,2,S18&gt;'NILAI CPL'!$B$6,1),0),"")</f>
        <v/>
      </c>
      <c r="AQ18" s="2" t="str" cm="1">
        <f t="array" ref="AQ18">IF('NILAI CPL'!$B18&lt;&gt;"",IFERROR(_xlfn.IFS(T18&gt;='NILAI CPL'!$B$3,4,T18&gt;='NILAI CPL'!$B$4,3,T18&gt;='NILAI CPL'!$B$5,2,T18&gt;'NILAI CPL'!$B$6,1),0),"")</f>
        <v/>
      </c>
      <c r="AR18" s="2" t="str" cm="1">
        <f t="array" ref="AR18">IF('NILAI CPL'!$B18&lt;&gt;"",IFERROR(_xlfn.IFS(U18&gt;='NILAI CPL'!$B$3,4,U18&gt;='NILAI CPL'!$B$4,3,U18&gt;='NILAI CPL'!$B$5,2,U18&gt;'NILAI CPL'!$B$6,1),0),"")</f>
        <v/>
      </c>
      <c r="AS18" s="2" t="str" cm="1">
        <f t="array" ref="AS18">IF('NILAI CPL'!$B18&lt;&gt;"",IFERROR(_xlfn.IFS(V18&gt;='NILAI CPL'!$B$3,4,V18&gt;='NILAI CPL'!$B$4,3,V18&gt;='NILAI CPL'!$B$5,2,V18&gt;'NILAI CPL'!$B$6,1),0),"")</f>
        <v/>
      </c>
      <c r="AT18" s="2" t="str" cm="1">
        <f t="array" ref="AT18">IF('NILAI CPL'!$B18&lt;&gt;"",IFERROR(_xlfn.IFS(W18&gt;='NILAI CPL'!$B$3,4,W18&gt;='NILAI CPL'!$B$4,3,W18&gt;='NILAI CPL'!$B$5,2,W18&gt;'NILAI CPL'!$B$6,1),0),"")</f>
        <v/>
      </c>
      <c r="AU18" s="2" t="str" cm="1">
        <f t="array" ref="AU18">IF('NILAI CPL'!$B18&lt;&gt;"",IFERROR(_xlfn.IFS(X18&gt;='NILAI CPL'!$B$3,4,X18&gt;='NILAI CPL'!$B$4,3,X18&gt;='NILAI CPL'!$B$5,2,X18&gt;'NILAI CPL'!$B$6,1),0),"")</f>
        <v/>
      </c>
      <c r="AV18" s="2" t="str" cm="1">
        <f t="array" ref="AV18">IF('NILAI CPL'!$B18&lt;&gt;"",IFERROR(_xlfn.IFS(Y18&gt;='NILAI CPL'!$B$3,4,Y18&gt;='NILAI CPL'!$B$4,3,Y18&gt;='NILAI CPL'!$B$5,2,Y18&gt;'NILAI CPL'!$B$6,1),0),"")</f>
        <v/>
      </c>
      <c r="AW18" s="2" t="str" cm="1">
        <f t="array" ref="AW18">IF('NILAI CPL'!$B18&lt;&gt;"",IFERROR(_xlfn.IFS(Z18&gt;='NILAI CPL'!$B$3,4,Z18&gt;='NILAI CPL'!$B$4,3,Z18&gt;='NILAI CPL'!$B$5,2,Z18&gt;'NILAI CPL'!$B$6,1),0),"")</f>
        <v/>
      </c>
      <c r="AX18" s="2" t="str" cm="1">
        <f t="array" ref="AX18">IF('NILAI CPL'!$B18&lt;&gt;"",IFERROR(_xlfn.IFS(AA18&gt;='NILAI CPL'!$B$3,4,AA18&gt;='NILAI CPL'!$B$4,3,AA18&gt;='NILAI CPL'!$B$5,2,AA18&gt;'NILAI CPL'!$B$6,1),0),"")</f>
        <v/>
      </c>
      <c r="AY18" s="2" t="str" cm="1">
        <f t="array" ref="AY18">IF('NILAI CPL'!$B18&lt;&gt;"",IFERROR(_xlfn.IFS(AB18&gt;='NILAI CPL'!$B$3,4,AB18&gt;='NILAI CPL'!$B$4,3,AB18&gt;='NILAI CPL'!$B$5,2,AB18&gt;'NILAI CPL'!$B$6,1),0),"")</f>
        <v/>
      </c>
      <c r="AZ18" s="2" t="str" cm="1">
        <f t="array" ref="AZ18">IF('NILAI CPL'!$B18&lt;&gt;"",IFERROR(_xlfn.IFS(AC18&gt;='NILAI CPL'!$B$3,4,AC18&gt;='NILAI CPL'!$B$4,3,AC18&gt;='NILAI CPL'!$B$5,2,AC18&gt;'NILAI CPL'!$B$6,1),0),"")</f>
        <v/>
      </c>
      <c r="BA18" s="2" t="str" cm="1">
        <f t="array" ref="BA18">IF('NILAI CPL'!$B18&lt;&gt;"",IFERROR(_xlfn.IFS(AD18&gt;='NILAI CPL'!$B$3,4,AD18&gt;='NILAI CPL'!$B$4,3,AD18&gt;='NILAI CPL'!$B$5,2,AD18&gt;'NILAI CPL'!$B$6,1),0),"")</f>
        <v/>
      </c>
      <c r="BB18" s="2" t="str" cm="1">
        <f t="array" ref="BB18">IF('NILAI CPL'!$B18&lt;&gt;"",IFERROR(_xlfn.IFS(AE18&gt;='NILAI CPL'!$B$3,4,AE18&gt;='NILAI CPL'!$B$4,3,AE18&gt;='NILAI CPL'!$B$5,2,AE18&gt;'NILAI CPL'!$B$6,1),0),"")</f>
        <v/>
      </c>
      <c r="BC18" s="2" t="str" cm="1">
        <f t="array" ref="BC18">IF('NILAI CPL'!$B18&lt;&gt;"",IFERROR(_xlfn.IFS(AF18&gt;='NILAI CPL'!$B$3,4,AF18&gt;='NILAI CPL'!$B$4,3,AF18&gt;='NILAI CPL'!$B$5,2,AF18&gt;'NILAI CPL'!$B$6,1),0),"")</f>
        <v/>
      </c>
      <c r="BD18" s="2" t="str" cm="1">
        <f t="array" ref="BD18">IF('NILAI CPL'!$B18&lt;&gt;"",IFERROR(_xlfn.IFS(AG18&gt;='NILAI CPL'!$B$3,4,AG18&gt;='NILAI CPL'!$B$4,3,AG18&gt;='NILAI CPL'!$B$5,2,AG18&gt;'NILAI CPL'!$B$6,1),0),"")</f>
        <v/>
      </c>
      <c r="BE18" s="2" t="str" cm="1">
        <f t="array" ref="BE18">IF('NILAI CPL'!$B18&lt;&gt;"",IFERROR(_xlfn.IFS(AH18&gt;='NILAI CPL'!$B$3,4,AH18&gt;='NILAI CPL'!$B$4,3,AH18&gt;='NILAI CPL'!$B$5,2,AH18&gt;'NILAI CPL'!$B$6,1),0),"")</f>
        <v/>
      </c>
      <c r="BF18" s="2" t="str" cm="1">
        <f t="array" ref="BF18">IF('NILAI CPL'!$B18&lt;&gt;"",IFERROR(_xlfn.IFS(AI18&gt;='NILAI CPL'!$B$3,4,AI18&gt;='NILAI CPL'!$B$4,3,AI18&gt;='NILAI CPL'!$B$5,2,AI18&gt;'NILAI CPL'!$B$6,1),0),"")</f>
        <v/>
      </c>
      <c r="BG18" s="2" t="str" cm="1">
        <f t="array" ref="BG18">IF('NILAI CPL'!$B18&lt;&gt;"",IFERROR(_xlfn.IFS(AJ18&gt;='NILAI CPL'!$B$3,4,AJ18&gt;='NILAI CPL'!$B$4,3,AJ18&gt;='NILAI CPL'!$B$5,2,AJ18&gt;'NILAI CPL'!$B$6,1),0),"")</f>
        <v/>
      </c>
      <c r="BH18" s="2" t="str" cm="1">
        <f t="array" ref="BH18">IF('NILAI CPL'!$B18&lt;&gt;"",IFERROR(_xlfn.IFS(AK18&gt;='NILAI CPL'!$B$3,4,AK18&gt;='NILAI CPL'!$B$4,3,AK18&gt;='NILAI CPL'!$B$5,2,AK18&gt;'NILAI CPL'!$B$6,1),0),"")</f>
        <v/>
      </c>
      <c r="BI18" s="2" t="str" cm="1">
        <f t="array" ref="BI18">IF('NILAI CPL'!$B18&lt;&gt;"",IFERROR(_xlfn.IFS(AL18&gt;='NILAI CPL'!$B$3,4,AL18&gt;='NILAI CPL'!$B$4,3,AL18&gt;='NILAI CPL'!$B$5,2,AL18&gt;'NILAI CPL'!$B$6,1),0),"")</f>
        <v/>
      </c>
      <c r="BJ18" s="2" t="str" cm="1">
        <f t="array" ref="BJ18">IF('NILAI CPL'!$B18&lt;&gt;"",IFERROR(_xlfn.IFS(AM18&gt;='NILAI CPL'!$B$3,4,AM18&gt;='NILAI CPL'!$B$4,3,AM18&gt;='NILAI CPL'!$B$5,2,AM18&gt;'NILAI CPL'!$B$6,1),0),"")</f>
        <v/>
      </c>
      <c r="BK18" s="2" t="str" cm="1">
        <f t="array" ref="BK18">IF('NILAI CPL'!$B18&lt;&gt;"",IFERROR(_xlfn.IFS(AN18&gt;='NILAI CPL'!$B$3,4,AN18&gt;='NILAI CPL'!$B$4,3,AN18&gt;='NILAI CPL'!$B$5,2,AN18&gt;'NILAI CPL'!$B$6,1),0),"")</f>
        <v/>
      </c>
    </row>
    <row r="19" spans="1:63" x14ac:dyDescent="0.2">
      <c r="A19" s="2">
        <v>9</v>
      </c>
      <c r="B19" s="2" t="str">
        <f>IF(LEN(SUMMARY!B19)&gt;0, SUMMARY!B19, "")</f>
        <v/>
      </c>
      <c r="C19" s="2" t="str">
        <f>IF(LEN(SUMMARY!C19)&gt;0, SUMMARY!C19, "")</f>
        <v/>
      </c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" t="str">
        <f t="shared" si="2"/>
        <v/>
      </c>
      <c r="S19" s="2" t="str">
        <f t="shared" si="3"/>
        <v/>
      </c>
      <c r="T19" s="2" t="str">
        <f t="shared" si="4"/>
        <v/>
      </c>
      <c r="U19" s="2" t="str">
        <f t="shared" si="5"/>
        <v/>
      </c>
      <c r="V19" s="2" t="str">
        <f t="shared" si="6"/>
        <v/>
      </c>
      <c r="W19" s="2" t="str">
        <f t="shared" si="7"/>
        <v/>
      </c>
      <c r="X19" s="2" t="str">
        <f t="shared" si="8"/>
        <v/>
      </c>
      <c r="Y19" s="2" t="str">
        <f t="shared" si="9"/>
        <v/>
      </c>
      <c r="Z19" s="2" t="str">
        <f t="shared" si="10"/>
        <v/>
      </c>
      <c r="AA19" s="2" t="str">
        <f t="shared" si="11"/>
        <v/>
      </c>
      <c r="AB19" s="2" t="str">
        <f t="shared" si="12"/>
        <v/>
      </c>
      <c r="AC19" s="2" t="str">
        <f t="shared" si="13"/>
        <v/>
      </c>
      <c r="AD19" s="2" t="str">
        <f t="shared" si="14"/>
        <v/>
      </c>
      <c r="AE19" s="2" t="str">
        <f t="shared" si="15"/>
        <v/>
      </c>
      <c r="AF19" s="2" t="str">
        <f t="shared" si="16"/>
        <v/>
      </c>
      <c r="AG19" s="2" t="str">
        <f t="shared" si="17"/>
        <v/>
      </c>
      <c r="AH19" s="2" t="str">
        <f t="shared" si="18"/>
        <v/>
      </c>
      <c r="AI19" s="2" t="str">
        <f t="shared" si="19"/>
        <v/>
      </c>
      <c r="AJ19" s="2" t="str">
        <f t="shared" si="20"/>
        <v/>
      </c>
      <c r="AK19" s="2" t="str">
        <f t="shared" si="21"/>
        <v/>
      </c>
      <c r="AL19" s="2" t="str">
        <f t="shared" si="22"/>
        <v/>
      </c>
      <c r="AM19" s="2" t="str">
        <f t="shared" si="23"/>
        <v/>
      </c>
      <c r="AN19" s="2" t="str">
        <f t="shared" si="24"/>
        <v/>
      </c>
      <c r="AP19" s="2" t="str" cm="1">
        <f t="array" ref="AP19">IF('NILAI CPL'!$B19&lt;&gt;"",IFERROR(_xlfn.IFS(S19&gt;='NILAI CPL'!$B$3,4,S19&gt;='NILAI CPL'!$B$4,3,S19&gt;='NILAI CPL'!$B$5,2,S19&gt;'NILAI CPL'!$B$6,1),0),"")</f>
        <v/>
      </c>
      <c r="AQ19" s="2" t="str" cm="1">
        <f t="array" ref="AQ19">IF('NILAI CPL'!$B19&lt;&gt;"",IFERROR(_xlfn.IFS(T19&gt;='NILAI CPL'!$B$3,4,T19&gt;='NILAI CPL'!$B$4,3,T19&gt;='NILAI CPL'!$B$5,2,T19&gt;'NILAI CPL'!$B$6,1),0),"")</f>
        <v/>
      </c>
      <c r="AR19" s="2" t="str" cm="1">
        <f t="array" ref="AR19">IF('NILAI CPL'!$B19&lt;&gt;"",IFERROR(_xlfn.IFS(U19&gt;='NILAI CPL'!$B$3,4,U19&gt;='NILAI CPL'!$B$4,3,U19&gt;='NILAI CPL'!$B$5,2,U19&gt;'NILAI CPL'!$B$6,1),0),"")</f>
        <v/>
      </c>
      <c r="AS19" s="2" t="str" cm="1">
        <f t="array" ref="AS19">IF('NILAI CPL'!$B19&lt;&gt;"",IFERROR(_xlfn.IFS(V19&gt;='NILAI CPL'!$B$3,4,V19&gt;='NILAI CPL'!$B$4,3,V19&gt;='NILAI CPL'!$B$5,2,V19&gt;'NILAI CPL'!$B$6,1),0),"")</f>
        <v/>
      </c>
      <c r="AT19" s="2" t="str" cm="1">
        <f t="array" ref="AT19">IF('NILAI CPL'!$B19&lt;&gt;"",IFERROR(_xlfn.IFS(W19&gt;='NILAI CPL'!$B$3,4,W19&gt;='NILAI CPL'!$B$4,3,W19&gt;='NILAI CPL'!$B$5,2,W19&gt;'NILAI CPL'!$B$6,1),0),"")</f>
        <v/>
      </c>
      <c r="AU19" s="2" t="str" cm="1">
        <f t="array" ref="AU19">IF('NILAI CPL'!$B19&lt;&gt;"",IFERROR(_xlfn.IFS(X19&gt;='NILAI CPL'!$B$3,4,X19&gt;='NILAI CPL'!$B$4,3,X19&gt;='NILAI CPL'!$B$5,2,X19&gt;'NILAI CPL'!$B$6,1),0),"")</f>
        <v/>
      </c>
      <c r="AV19" s="2" t="str" cm="1">
        <f t="array" ref="AV19">IF('NILAI CPL'!$B19&lt;&gt;"",IFERROR(_xlfn.IFS(Y19&gt;='NILAI CPL'!$B$3,4,Y19&gt;='NILAI CPL'!$B$4,3,Y19&gt;='NILAI CPL'!$B$5,2,Y19&gt;'NILAI CPL'!$B$6,1),0),"")</f>
        <v/>
      </c>
      <c r="AW19" s="2" t="str" cm="1">
        <f t="array" ref="AW19">IF('NILAI CPL'!$B19&lt;&gt;"",IFERROR(_xlfn.IFS(Z19&gt;='NILAI CPL'!$B$3,4,Z19&gt;='NILAI CPL'!$B$4,3,Z19&gt;='NILAI CPL'!$B$5,2,Z19&gt;'NILAI CPL'!$B$6,1),0),"")</f>
        <v/>
      </c>
      <c r="AX19" s="2" t="str" cm="1">
        <f t="array" ref="AX19">IF('NILAI CPL'!$B19&lt;&gt;"",IFERROR(_xlfn.IFS(AA19&gt;='NILAI CPL'!$B$3,4,AA19&gt;='NILAI CPL'!$B$4,3,AA19&gt;='NILAI CPL'!$B$5,2,AA19&gt;'NILAI CPL'!$B$6,1),0),"")</f>
        <v/>
      </c>
      <c r="AY19" s="2" t="str" cm="1">
        <f t="array" ref="AY19">IF('NILAI CPL'!$B19&lt;&gt;"",IFERROR(_xlfn.IFS(AB19&gt;='NILAI CPL'!$B$3,4,AB19&gt;='NILAI CPL'!$B$4,3,AB19&gt;='NILAI CPL'!$B$5,2,AB19&gt;'NILAI CPL'!$B$6,1),0),"")</f>
        <v/>
      </c>
      <c r="AZ19" s="2" t="str" cm="1">
        <f t="array" ref="AZ19">IF('NILAI CPL'!$B19&lt;&gt;"",IFERROR(_xlfn.IFS(AC19&gt;='NILAI CPL'!$B$3,4,AC19&gt;='NILAI CPL'!$B$4,3,AC19&gt;='NILAI CPL'!$B$5,2,AC19&gt;'NILAI CPL'!$B$6,1),0),"")</f>
        <v/>
      </c>
      <c r="BA19" s="2" t="str" cm="1">
        <f t="array" ref="BA19">IF('NILAI CPL'!$B19&lt;&gt;"",IFERROR(_xlfn.IFS(AD19&gt;='NILAI CPL'!$B$3,4,AD19&gt;='NILAI CPL'!$B$4,3,AD19&gt;='NILAI CPL'!$B$5,2,AD19&gt;'NILAI CPL'!$B$6,1),0),"")</f>
        <v/>
      </c>
      <c r="BB19" s="2" t="str" cm="1">
        <f t="array" ref="BB19">IF('NILAI CPL'!$B19&lt;&gt;"",IFERROR(_xlfn.IFS(AE19&gt;='NILAI CPL'!$B$3,4,AE19&gt;='NILAI CPL'!$B$4,3,AE19&gt;='NILAI CPL'!$B$5,2,AE19&gt;'NILAI CPL'!$B$6,1),0),"")</f>
        <v/>
      </c>
      <c r="BC19" s="2" t="str" cm="1">
        <f t="array" ref="BC19">IF('NILAI CPL'!$B19&lt;&gt;"",IFERROR(_xlfn.IFS(AF19&gt;='NILAI CPL'!$B$3,4,AF19&gt;='NILAI CPL'!$B$4,3,AF19&gt;='NILAI CPL'!$B$5,2,AF19&gt;'NILAI CPL'!$B$6,1),0),"")</f>
        <v/>
      </c>
      <c r="BD19" s="2" t="str" cm="1">
        <f t="array" ref="BD19">IF('NILAI CPL'!$B19&lt;&gt;"",IFERROR(_xlfn.IFS(AG19&gt;='NILAI CPL'!$B$3,4,AG19&gt;='NILAI CPL'!$B$4,3,AG19&gt;='NILAI CPL'!$B$5,2,AG19&gt;'NILAI CPL'!$B$6,1),0),"")</f>
        <v/>
      </c>
      <c r="BE19" s="2" t="str" cm="1">
        <f t="array" ref="BE19">IF('NILAI CPL'!$B19&lt;&gt;"",IFERROR(_xlfn.IFS(AH19&gt;='NILAI CPL'!$B$3,4,AH19&gt;='NILAI CPL'!$B$4,3,AH19&gt;='NILAI CPL'!$B$5,2,AH19&gt;'NILAI CPL'!$B$6,1),0),"")</f>
        <v/>
      </c>
      <c r="BF19" s="2" t="str" cm="1">
        <f t="array" ref="BF19">IF('NILAI CPL'!$B19&lt;&gt;"",IFERROR(_xlfn.IFS(AI19&gt;='NILAI CPL'!$B$3,4,AI19&gt;='NILAI CPL'!$B$4,3,AI19&gt;='NILAI CPL'!$B$5,2,AI19&gt;'NILAI CPL'!$B$6,1),0),"")</f>
        <v/>
      </c>
      <c r="BG19" s="2" t="str" cm="1">
        <f t="array" ref="BG19">IF('NILAI CPL'!$B19&lt;&gt;"",IFERROR(_xlfn.IFS(AJ19&gt;='NILAI CPL'!$B$3,4,AJ19&gt;='NILAI CPL'!$B$4,3,AJ19&gt;='NILAI CPL'!$B$5,2,AJ19&gt;'NILAI CPL'!$B$6,1),0),"")</f>
        <v/>
      </c>
      <c r="BH19" s="2" t="str" cm="1">
        <f t="array" ref="BH19">IF('NILAI CPL'!$B19&lt;&gt;"",IFERROR(_xlfn.IFS(AK19&gt;='NILAI CPL'!$B$3,4,AK19&gt;='NILAI CPL'!$B$4,3,AK19&gt;='NILAI CPL'!$B$5,2,AK19&gt;'NILAI CPL'!$B$6,1),0),"")</f>
        <v/>
      </c>
      <c r="BI19" s="2" t="str" cm="1">
        <f t="array" ref="BI19">IF('NILAI CPL'!$B19&lt;&gt;"",IFERROR(_xlfn.IFS(AL19&gt;='NILAI CPL'!$B$3,4,AL19&gt;='NILAI CPL'!$B$4,3,AL19&gt;='NILAI CPL'!$B$5,2,AL19&gt;'NILAI CPL'!$B$6,1),0),"")</f>
        <v/>
      </c>
      <c r="BJ19" s="2" t="str" cm="1">
        <f t="array" ref="BJ19">IF('NILAI CPL'!$B19&lt;&gt;"",IFERROR(_xlfn.IFS(AM19&gt;='NILAI CPL'!$B$3,4,AM19&gt;='NILAI CPL'!$B$4,3,AM19&gt;='NILAI CPL'!$B$5,2,AM19&gt;'NILAI CPL'!$B$6,1),0),"")</f>
        <v/>
      </c>
      <c r="BK19" s="2" t="str" cm="1">
        <f t="array" ref="BK19">IF('NILAI CPL'!$B19&lt;&gt;"",IFERROR(_xlfn.IFS(AN19&gt;='NILAI CPL'!$B$3,4,AN19&gt;='NILAI CPL'!$B$4,3,AN19&gt;='NILAI CPL'!$B$5,2,AN19&gt;'NILAI CPL'!$B$6,1),0),"")</f>
        <v/>
      </c>
    </row>
    <row r="20" spans="1:63" x14ac:dyDescent="0.2">
      <c r="A20" s="2">
        <v>10</v>
      </c>
      <c r="B20" s="2" t="str">
        <f>IF(LEN(SUMMARY!B20)&gt;0, SUMMARY!B20, "")</f>
        <v/>
      </c>
      <c r="C20" s="2" t="str">
        <f>IF(LEN(SUMMARY!C20)&gt;0, SUMMARY!C20, "")</f>
        <v/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" t="str">
        <f t="shared" si="2"/>
        <v/>
      </c>
      <c r="S20" s="2" t="str">
        <f t="shared" si="3"/>
        <v/>
      </c>
      <c r="T20" s="2" t="str">
        <f t="shared" si="4"/>
        <v/>
      </c>
      <c r="U20" s="2" t="str">
        <f t="shared" si="5"/>
        <v/>
      </c>
      <c r="V20" s="2" t="str">
        <f t="shared" si="6"/>
        <v/>
      </c>
      <c r="W20" s="2" t="str">
        <f t="shared" si="7"/>
        <v/>
      </c>
      <c r="X20" s="2" t="str">
        <f t="shared" si="8"/>
        <v/>
      </c>
      <c r="Y20" s="2" t="str">
        <f t="shared" si="9"/>
        <v/>
      </c>
      <c r="Z20" s="2" t="str">
        <f t="shared" si="10"/>
        <v/>
      </c>
      <c r="AA20" s="2" t="str">
        <f t="shared" si="11"/>
        <v/>
      </c>
      <c r="AB20" s="2" t="str">
        <f t="shared" si="12"/>
        <v/>
      </c>
      <c r="AC20" s="2" t="str">
        <f t="shared" si="13"/>
        <v/>
      </c>
      <c r="AD20" s="2" t="str">
        <f t="shared" si="14"/>
        <v/>
      </c>
      <c r="AE20" s="2" t="str">
        <f t="shared" si="15"/>
        <v/>
      </c>
      <c r="AF20" s="2" t="str">
        <f t="shared" si="16"/>
        <v/>
      </c>
      <c r="AG20" s="2" t="str">
        <f t="shared" si="17"/>
        <v/>
      </c>
      <c r="AH20" s="2" t="str">
        <f t="shared" si="18"/>
        <v/>
      </c>
      <c r="AI20" s="2" t="str">
        <f t="shared" si="19"/>
        <v/>
      </c>
      <c r="AJ20" s="2" t="str">
        <f t="shared" si="20"/>
        <v/>
      </c>
      <c r="AK20" s="2" t="str">
        <f t="shared" si="21"/>
        <v/>
      </c>
      <c r="AL20" s="2" t="str">
        <f t="shared" si="22"/>
        <v/>
      </c>
      <c r="AM20" s="2" t="str">
        <f t="shared" si="23"/>
        <v/>
      </c>
      <c r="AN20" s="2" t="str">
        <f t="shared" si="24"/>
        <v/>
      </c>
      <c r="AP20" s="2" t="str" cm="1">
        <f t="array" ref="AP20">IF('NILAI CPL'!$B20&lt;&gt;"",IFERROR(_xlfn.IFS(S20&gt;='NILAI CPL'!$B$3,4,S20&gt;='NILAI CPL'!$B$4,3,S20&gt;='NILAI CPL'!$B$5,2,S20&gt;'NILAI CPL'!$B$6,1),0),"")</f>
        <v/>
      </c>
      <c r="AQ20" s="2" t="str" cm="1">
        <f t="array" ref="AQ20">IF('NILAI CPL'!$B20&lt;&gt;"",IFERROR(_xlfn.IFS(T20&gt;='NILAI CPL'!$B$3,4,T20&gt;='NILAI CPL'!$B$4,3,T20&gt;='NILAI CPL'!$B$5,2,T20&gt;'NILAI CPL'!$B$6,1),0),"")</f>
        <v/>
      </c>
      <c r="AR20" s="2" t="str" cm="1">
        <f t="array" ref="AR20">IF('NILAI CPL'!$B20&lt;&gt;"",IFERROR(_xlfn.IFS(U20&gt;='NILAI CPL'!$B$3,4,U20&gt;='NILAI CPL'!$B$4,3,U20&gt;='NILAI CPL'!$B$5,2,U20&gt;'NILAI CPL'!$B$6,1),0),"")</f>
        <v/>
      </c>
      <c r="AS20" s="2" t="str" cm="1">
        <f t="array" ref="AS20">IF('NILAI CPL'!$B20&lt;&gt;"",IFERROR(_xlfn.IFS(V20&gt;='NILAI CPL'!$B$3,4,V20&gt;='NILAI CPL'!$B$4,3,V20&gt;='NILAI CPL'!$B$5,2,V20&gt;'NILAI CPL'!$B$6,1),0),"")</f>
        <v/>
      </c>
      <c r="AT20" s="2" t="str" cm="1">
        <f t="array" ref="AT20">IF('NILAI CPL'!$B20&lt;&gt;"",IFERROR(_xlfn.IFS(W20&gt;='NILAI CPL'!$B$3,4,W20&gt;='NILAI CPL'!$B$4,3,W20&gt;='NILAI CPL'!$B$5,2,W20&gt;'NILAI CPL'!$B$6,1),0),"")</f>
        <v/>
      </c>
      <c r="AU20" s="2" t="str" cm="1">
        <f t="array" ref="AU20">IF('NILAI CPL'!$B20&lt;&gt;"",IFERROR(_xlfn.IFS(X20&gt;='NILAI CPL'!$B$3,4,X20&gt;='NILAI CPL'!$B$4,3,X20&gt;='NILAI CPL'!$B$5,2,X20&gt;'NILAI CPL'!$B$6,1),0),"")</f>
        <v/>
      </c>
      <c r="AV20" s="2" t="str" cm="1">
        <f t="array" ref="AV20">IF('NILAI CPL'!$B20&lt;&gt;"",IFERROR(_xlfn.IFS(Y20&gt;='NILAI CPL'!$B$3,4,Y20&gt;='NILAI CPL'!$B$4,3,Y20&gt;='NILAI CPL'!$B$5,2,Y20&gt;'NILAI CPL'!$B$6,1),0),"")</f>
        <v/>
      </c>
      <c r="AW20" s="2" t="str" cm="1">
        <f t="array" ref="AW20">IF('NILAI CPL'!$B20&lt;&gt;"",IFERROR(_xlfn.IFS(Z20&gt;='NILAI CPL'!$B$3,4,Z20&gt;='NILAI CPL'!$B$4,3,Z20&gt;='NILAI CPL'!$B$5,2,Z20&gt;'NILAI CPL'!$B$6,1),0),"")</f>
        <v/>
      </c>
      <c r="AX20" s="2" t="str" cm="1">
        <f t="array" ref="AX20">IF('NILAI CPL'!$B20&lt;&gt;"",IFERROR(_xlfn.IFS(AA20&gt;='NILAI CPL'!$B$3,4,AA20&gt;='NILAI CPL'!$B$4,3,AA20&gt;='NILAI CPL'!$B$5,2,AA20&gt;'NILAI CPL'!$B$6,1),0),"")</f>
        <v/>
      </c>
      <c r="AY20" s="2" t="str" cm="1">
        <f t="array" ref="AY20">IF('NILAI CPL'!$B20&lt;&gt;"",IFERROR(_xlfn.IFS(AB20&gt;='NILAI CPL'!$B$3,4,AB20&gt;='NILAI CPL'!$B$4,3,AB20&gt;='NILAI CPL'!$B$5,2,AB20&gt;'NILAI CPL'!$B$6,1),0),"")</f>
        <v/>
      </c>
      <c r="AZ20" s="2" t="str" cm="1">
        <f t="array" ref="AZ20">IF('NILAI CPL'!$B20&lt;&gt;"",IFERROR(_xlfn.IFS(AC20&gt;='NILAI CPL'!$B$3,4,AC20&gt;='NILAI CPL'!$B$4,3,AC20&gt;='NILAI CPL'!$B$5,2,AC20&gt;'NILAI CPL'!$B$6,1),0),"")</f>
        <v/>
      </c>
      <c r="BA20" s="2" t="str" cm="1">
        <f t="array" ref="BA20">IF('NILAI CPL'!$B20&lt;&gt;"",IFERROR(_xlfn.IFS(AD20&gt;='NILAI CPL'!$B$3,4,AD20&gt;='NILAI CPL'!$B$4,3,AD20&gt;='NILAI CPL'!$B$5,2,AD20&gt;'NILAI CPL'!$B$6,1),0),"")</f>
        <v/>
      </c>
      <c r="BB20" s="2" t="str" cm="1">
        <f t="array" ref="BB20">IF('NILAI CPL'!$B20&lt;&gt;"",IFERROR(_xlfn.IFS(AE20&gt;='NILAI CPL'!$B$3,4,AE20&gt;='NILAI CPL'!$B$4,3,AE20&gt;='NILAI CPL'!$B$5,2,AE20&gt;'NILAI CPL'!$B$6,1),0),"")</f>
        <v/>
      </c>
      <c r="BC20" s="2" t="str" cm="1">
        <f t="array" ref="BC20">IF('NILAI CPL'!$B20&lt;&gt;"",IFERROR(_xlfn.IFS(AF20&gt;='NILAI CPL'!$B$3,4,AF20&gt;='NILAI CPL'!$B$4,3,AF20&gt;='NILAI CPL'!$B$5,2,AF20&gt;'NILAI CPL'!$B$6,1),0),"")</f>
        <v/>
      </c>
      <c r="BD20" s="2" t="str" cm="1">
        <f t="array" ref="BD20">IF('NILAI CPL'!$B20&lt;&gt;"",IFERROR(_xlfn.IFS(AG20&gt;='NILAI CPL'!$B$3,4,AG20&gt;='NILAI CPL'!$B$4,3,AG20&gt;='NILAI CPL'!$B$5,2,AG20&gt;'NILAI CPL'!$B$6,1),0),"")</f>
        <v/>
      </c>
      <c r="BE20" s="2" t="str" cm="1">
        <f t="array" ref="BE20">IF('NILAI CPL'!$B20&lt;&gt;"",IFERROR(_xlfn.IFS(AH20&gt;='NILAI CPL'!$B$3,4,AH20&gt;='NILAI CPL'!$B$4,3,AH20&gt;='NILAI CPL'!$B$5,2,AH20&gt;'NILAI CPL'!$B$6,1),0),"")</f>
        <v/>
      </c>
      <c r="BF20" s="2" t="str" cm="1">
        <f t="array" ref="BF20">IF('NILAI CPL'!$B20&lt;&gt;"",IFERROR(_xlfn.IFS(AI20&gt;='NILAI CPL'!$B$3,4,AI20&gt;='NILAI CPL'!$B$4,3,AI20&gt;='NILAI CPL'!$B$5,2,AI20&gt;'NILAI CPL'!$B$6,1),0),"")</f>
        <v/>
      </c>
      <c r="BG20" s="2" t="str" cm="1">
        <f t="array" ref="BG20">IF('NILAI CPL'!$B20&lt;&gt;"",IFERROR(_xlfn.IFS(AJ20&gt;='NILAI CPL'!$B$3,4,AJ20&gt;='NILAI CPL'!$B$4,3,AJ20&gt;='NILAI CPL'!$B$5,2,AJ20&gt;'NILAI CPL'!$B$6,1),0),"")</f>
        <v/>
      </c>
      <c r="BH20" s="2" t="str" cm="1">
        <f t="array" ref="BH20">IF('NILAI CPL'!$B20&lt;&gt;"",IFERROR(_xlfn.IFS(AK20&gt;='NILAI CPL'!$B$3,4,AK20&gt;='NILAI CPL'!$B$4,3,AK20&gt;='NILAI CPL'!$B$5,2,AK20&gt;'NILAI CPL'!$B$6,1),0),"")</f>
        <v/>
      </c>
      <c r="BI20" s="2" t="str" cm="1">
        <f t="array" ref="BI20">IF('NILAI CPL'!$B20&lt;&gt;"",IFERROR(_xlfn.IFS(AL20&gt;='NILAI CPL'!$B$3,4,AL20&gt;='NILAI CPL'!$B$4,3,AL20&gt;='NILAI CPL'!$B$5,2,AL20&gt;'NILAI CPL'!$B$6,1),0),"")</f>
        <v/>
      </c>
      <c r="BJ20" s="2" t="str" cm="1">
        <f t="array" ref="BJ20">IF('NILAI CPL'!$B20&lt;&gt;"",IFERROR(_xlfn.IFS(AM20&gt;='NILAI CPL'!$B$3,4,AM20&gt;='NILAI CPL'!$B$4,3,AM20&gt;='NILAI CPL'!$B$5,2,AM20&gt;'NILAI CPL'!$B$6,1),0),"")</f>
        <v/>
      </c>
      <c r="BK20" s="2" t="str" cm="1">
        <f t="array" ref="BK20">IF('NILAI CPL'!$B20&lt;&gt;"",IFERROR(_xlfn.IFS(AN20&gt;='NILAI CPL'!$B$3,4,AN20&gt;='NILAI CPL'!$B$4,3,AN20&gt;='NILAI CPL'!$B$5,2,AN20&gt;'NILAI CPL'!$B$6,1),0),"")</f>
        <v/>
      </c>
    </row>
    <row r="21" spans="1:63" x14ac:dyDescent="0.2">
      <c r="A21" s="2">
        <v>11</v>
      </c>
      <c r="B21" s="2" t="str">
        <f>IF(LEN(SUMMARY!B21)&gt;0, SUMMARY!B21, "")</f>
        <v/>
      </c>
      <c r="C21" s="2" t="str">
        <f>IF(LEN(SUMMARY!C21)&gt;0, SUMMARY!C21, "")</f>
        <v/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" t="str">
        <f t="shared" si="2"/>
        <v/>
      </c>
      <c r="S21" s="2" t="str">
        <f t="shared" si="3"/>
        <v/>
      </c>
      <c r="T21" s="2" t="str">
        <f t="shared" si="4"/>
        <v/>
      </c>
      <c r="U21" s="2" t="str">
        <f t="shared" si="5"/>
        <v/>
      </c>
      <c r="V21" s="2" t="str">
        <f t="shared" si="6"/>
        <v/>
      </c>
      <c r="W21" s="2" t="str">
        <f t="shared" si="7"/>
        <v/>
      </c>
      <c r="X21" s="2" t="str">
        <f t="shared" si="8"/>
        <v/>
      </c>
      <c r="Y21" s="2" t="str">
        <f t="shared" si="9"/>
        <v/>
      </c>
      <c r="Z21" s="2" t="str">
        <f t="shared" si="10"/>
        <v/>
      </c>
      <c r="AA21" s="2" t="str">
        <f t="shared" si="11"/>
        <v/>
      </c>
      <c r="AB21" s="2" t="str">
        <f t="shared" si="12"/>
        <v/>
      </c>
      <c r="AC21" s="2" t="str">
        <f t="shared" si="13"/>
        <v/>
      </c>
      <c r="AD21" s="2" t="str">
        <f t="shared" si="14"/>
        <v/>
      </c>
      <c r="AE21" s="2" t="str">
        <f t="shared" si="15"/>
        <v/>
      </c>
      <c r="AF21" s="2" t="str">
        <f t="shared" si="16"/>
        <v/>
      </c>
      <c r="AG21" s="2" t="str">
        <f t="shared" si="17"/>
        <v/>
      </c>
      <c r="AH21" s="2" t="str">
        <f t="shared" si="18"/>
        <v/>
      </c>
      <c r="AI21" s="2" t="str">
        <f t="shared" si="19"/>
        <v/>
      </c>
      <c r="AJ21" s="2" t="str">
        <f t="shared" si="20"/>
        <v/>
      </c>
      <c r="AK21" s="2" t="str">
        <f t="shared" si="21"/>
        <v/>
      </c>
      <c r="AL21" s="2" t="str">
        <f t="shared" si="22"/>
        <v/>
      </c>
      <c r="AM21" s="2" t="str">
        <f t="shared" si="23"/>
        <v/>
      </c>
      <c r="AN21" s="2" t="str">
        <f t="shared" si="24"/>
        <v/>
      </c>
      <c r="AP21" s="2" t="str" cm="1">
        <f t="array" ref="AP21">IF('NILAI CPL'!$B21&lt;&gt;"",IFERROR(_xlfn.IFS(S21&gt;='NILAI CPL'!$B$3,4,S21&gt;='NILAI CPL'!$B$4,3,S21&gt;='NILAI CPL'!$B$5,2,S21&gt;'NILAI CPL'!$B$6,1),0),"")</f>
        <v/>
      </c>
      <c r="AQ21" s="2" t="str" cm="1">
        <f t="array" ref="AQ21">IF('NILAI CPL'!$B21&lt;&gt;"",IFERROR(_xlfn.IFS(T21&gt;='NILAI CPL'!$B$3,4,T21&gt;='NILAI CPL'!$B$4,3,T21&gt;='NILAI CPL'!$B$5,2,T21&gt;'NILAI CPL'!$B$6,1),0),"")</f>
        <v/>
      </c>
      <c r="AR21" s="2" t="str" cm="1">
        <f t="array" ref="AR21">IF('NILAI CPL'!$B21&lt;&gt;"",IFERROR(_xlfn.IFS(U21&gt;='NILAI CPL'!$B$3,4,U21&gt;='NILAI CPL'!$B$4,3,U21&gt;='NILAI CPL'!$B$5,2,U21&gt;'NILAI CPL'!$B$6,1),0),"")</f>
        <v/>
      </c>
      <c r="AS21" s="2" t="str" cm="1">
        <f t="array" ref="AS21">IF('NILAI CPL'!$B21&lt;&gt;"",IFERROR(_xlfn.IFS(V21&gt;='NILAI CPL'!$B$3,4,V21&gt;='NILAI CPL'!$B$4,3,V21&gt;='NILAI CPL'!$B$5,2,V21&gt;'NILAI CPL'!$B$6,1),0),"")</f>
        <v/>
      </c>
      <c r="AT21" s="2" t="str" cm="1">
        <f t="array" ref="AT21">IF('NILAI CPL'!$B21&lt;&gt;"",IFERROR(_xlfn.IFS(W21&gt;='NILAI CPL'!$B$3,4,W21&gt;='NILAI CPL'!$B$4,3,W21&gt;='NILAI CPL'!$B$5,2,W21&gt;'NILAI CPL'!$B$6,1),0),"")</f>
        <v/>
      </c>
      <c r="AU21" s="2" t="str" cm="1">
        <f t="array" ref="AU21">IF('NILAI CPL'!$B21&lt;&gt;"",IFERROR(_xlfn.IFS(X21&gt;='NILAI CPL'!$B$3,4,X21&gt;='NILAI CPL'!$B$4,3,X21&gt;='NILAI CPL'!$B$5,2,X21&gt;'NILAI CPL'!$B$6,1),0),"")</f>
        <v/>
      </c>
      <c r="AV21" s="2" t="str" cm="1">
        <f t="array" ref="AV21">IF('NILAI CPL'!$B21&lt;&gt;"",IFERROR(_xlfn.IFS(Y21&gt;='NILAI CPL'!$B$3,4,Y21&gt;='NILAI CPL'!$B$4,3,Y21&gt;='NILAI CPL'!$B$5,2,Y21&gt;'NILAI CPL'!$B$6,1),0),"")</f>
        <v/>
      </c>
      <c r="AW21" s="2" t="str" cm="1">
        <f t="array" ref="AW21">IF('NILAI CPL'!$B21&lt;&gt;"",IFERROR(_xlfn.IFS(Z21&gt;='NILAI CPL'!$B$3,4,Z21&gt;='NILAI CPL'!$B$4,3,Z21&gt;='NILAI CPL'!$B$5,2,Z21&gt;'NILAI CPL'!$B$6,1),0),"")</f>
        <v/>
      </c>
      <c r="AX21" s="2" t="str" cm="1">
        <f t="array" ref="AX21">IF('NILAI CPL'!$B21&lt;&gt;"",IFERROR(_xlfn.IFS(AA21&gt;='NILAI CPL'!$B$3,4,AA21&gt;='NILAI CPL'!$B$4,3,AA21&gt;='NILAI CPL'!$B$5,2,AA21&gt;'NILAI CPL'!$B$6,1),0),"")</f>
        <v/>
      </c>
      <c r="AY21" s="2" t="str" cm="1">
        <f t="array" ref="AY21">IF('NILAI CPL'!$B21&lt;&gt;"",IFERROR(_xlfn.IFS(AB21&gt;='NILAI CPL'!$B$3,4,AB21&gt;='NILAI CPL'!$B$4,3,AB21&gt;='NILAI CPL'!$B$5,2,AB21&gt;'NILAI CPL'!$B$6,1),0),"")</f>
        <v/>
      </c>
      <c r="AZ21" s="2" t="str" cm="1">
        <f t="array" ref="AZ21">IF('NILAI CPL'!$B21&lt;&gt;"",IFERROR(_xlfn.IFS(AC21&gt;='NILAI CPL'!$B$3,4,AC21&gt;='NILAI CPL'!$B$4,3,AC21&gt;='NILAI CPL'!$B$5,2,AC21&gt;'NILAI CPL'!$B$6,1),0),"")</f>
        <v/>
      </c>
      <c r="BA21" s="2" t="str" cm="1">
        <f t="array" ref="BA21">IF('NILAI CPL'!$B21&lt;&gt;"",IFERROR(_xlfn.IFS(AD21&gt;='NILAI CPL'!$B$3,4,AD21&gt;='NILAI CPL'!$B$4,3,AD21&gt;='NILAI CPL'!$B$5,2,AD21&gt;'NILAI CPL'!$B$6,1),0),"")</f>
        <v/>
      </c>
      <c r="BB21" s="2" t="str" cm="1">
        <f t="array" ref="BB21">IF('NILAI CPL'!$B21&lt;&gt;"",IFERROR(_xlfn.IFS(AE21&gt;='NILAI CPL'!$B$3,4,AE21&gt;='NILAI CPL'!$B$4,3,AE21&gt;='NILAI CPL'!$B$5,2,AE21&gt;'NILAI CPL'!$B$6,1),0),"")</f>
        <v/>
      </c>
      <c r="BC21" s="2" t="str" cm="1">
        <f t="array" ref="BC21">IF('NILAI CPL'!$B21&lt;&gt;"",IFERROR(_xlfn.IFS(AF21&gt;='NILAI CPL'!$B$3,4,AF21&gt;='NILAI CPL'!$B$4,3,AF21&gt;='NILAI CPL'!$B$5,2,AF21&gt;'NILAI CPL'!$B$6,1),0),"")</f>
        <v/>
      </c>
      <c r="BD21" s="2" t="str" cm="1">
        <f t="array" ref="BD21">IF('NILAI CPL'!$B21&lt;&gt;"",IFERROR(_xlfn.IFS(AG21&gt;='NILAI CPL'!$B$3,4,AG21&gt;='NILAI CPL'!$B$4,3,AG21&gt;='NILAI CPL'!$B$5,2,AG21&gt;'NILAI CPL'!$B$6,1),0),"")</f>
        <v/>
      </c>
      <c r="BE21" s="2" t="str" cm="1">
        <f t="array" ref="BE21">IF('NILAI CPL'!$B21&lt;&gt;"",IFERROR(_xlfn.IFS(AH21&gt;='NILAI CPL'!$B$3,4,AH21&gt;='NILAI CPL'!$B$4,3,AH21&gt;='NILAI CPL'!$B$5,2,AH21&gt;'NILAI CPL'!$B$6,1),0),"")</f>
        <v/>
      </c>
      <c r="BF21" s="2" t="str" cm="1">
        <f t="array" ref="BF21">IF('NILAI CPL'!$B21&lt;&gt;"",IFERROR(_xlfn.IFS(AI21&gt;='NILAI CPL'!$B$3,4,AI21&gt;='NILAI CPL'!$B$4,3,AI21&gt;='NILAI CPL'!$B$5,2,AI21&gt;'NILAI CPL'!$B$6,1),0),"")</f>
        <v/>
      </c>
      <c r="BG21" s="2" t="str" cm="1">
        <f t="array" ref="BG21">IF('NILAI CPL'!$B21&lt;&gt;"",IFERROR(_xlfn.IFS(AJ21&gt;='NILAI CPL'!$B$3,4,AJ21&gt;='NILAI CPL'!$B$4,3,AJ21&gt;='NILAI CPL'!$B$5,2,AJ21&gt;'NILAI CPL'!$B$6,1),0),"")</f>
        <v/>
      </c>
      <c r="BH21" s="2" t="str" cm="1">
        <f t="array" ref="BH21">IF('NILAI CPL'!$B21&lt;&gt;"",IFERROR(_xlfn.IFS(AK21&gt;='NILAI CPL'!$B$3,4,AK21&gt;='NILAI CPL'!$B$4,3,AK21&gt;='NILAI CPL'!$B$5,2,AK21&gt;'NILAI CPL'!$B$6,1),0),"")</f>
        <v/>
      </c>
      <c r="BI21" s="2" t="str" cm="1">
        <f t="array" ref="BI21">IF('NILAI CPL'!$B21&lt;&gt;"",IFERROR(_xlfn.IFS(AL21&gt;='NILAI CPL'!$B$3,4,AL21&gt;='NILAI CPL'!$B$4,3,AL21&gt;='NILAI CPL'!$B$5,2,AL21&gt;'NILAI CPL'!$B$6,1),0),"")</f>
        <v/>
      </c>
      <c r="BJ21" s="2" t="str" cm="1">
        <f t="array" ref="BJ21">IF('NILAI CPL'!$B21&lt;&gt;"",IFERROR(_xlfn.IFS(AM21&gt;='NILAI CPL'!$B$3,4,AM21&gt;='NILAI CPL'!$B$4,3,AM21&gt;='NILAI CPL'!$B$5,2,AM21&gt;'NILAI CPL'!$B$6,1),0),"")</f>
        <v/>
      </c>
      <c r="BK21" s="2" t="str" cm="1">
        <f t="array" ref="BK21">IF('NILAI CPL'!$B21&lt;&gt;"",IFERROR(_xlfn.IFS(AN21&gt;='NILAI CPL'!$B$3,4,AN21&gt;='NILAI CPL'!$B$4,3,AN21&gt;='NILAI CPL'!$B$5,2,AN21&gt;'NILAI CPL'!$B$6,1),0),"")</f>
        <v/>
      </c>
    </row>
    <row r="22" spans="1:63" x14ac:dyDescent="0.2">
      <c r="A22" s="2">
        <v>12</v>
      </c>
      <c r="B22" s="2" t="str">
        <f>IF(LEN(SUMMARY!B22)&gt;0, SUMMARY!B22, "")</f>
        <v/>
      </c>
      <c r="C22" s="2" t="str">
        <f>IF(LEN(SUMMARY!C22)&gt;0, SUMMARY!C22, "")</f>
        <v/>
      </c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" t="str">
        <f t="shared" si="2"/>
        <v/>
      </c>
      <c r="S22" s="2" t="str">
        <f t="shared" si="3"/>
        <v/>
      </c>
      <c r="T22" s="2" t="str">
        <f t="shared" si="4"/>
        <v/>
      </c>
      <c r="U22" s="2" t="str">
        <f t="shared" si="5"/>
        <v/>
      </c>
      <c r="V22" s="2" t="str">
        <f t="shared" si="6"/>
        <v/>
      </c>
      <c r="W22" s="2" t="str">
        <f t="shared" si="7"/>
        <v/>
      </c>
      <c r="X22" s="2" t="str">
        <f t="shared" si="8"/>
        <v/>
      </c>
      <c r="Y22" s="2" t="str">
        <f t="shared" si="9"/>
        <v/>
      </c>
      <c r="Z22" s="2" t="str">
        <f t="shared" si="10"/>
        <v/>
      </c>
      <c r="AA22" s="2" t="str">
        <f t="shared" si="11"/>
        <v/>
      </c>
      <c r="AB22" s="2" t="str">
        <f t="shared" si="12"/>
        <v/>
      </c>
      <c r="AC22" s="2" t="str">
        <f t="shared" si="13"/>
        <v/>
      </c>
      <c r="AD22" s="2" t="str">
        <f t="shared" si="14"/>
        <v/>
      </c>
      <c r="AE22" s="2" t="str">
        <f t="shared" si="15"/>
        <v/>
      </c>
      <c r="AF22" s="2" t="str">
        <f t="shared" si="16"/>
        <v/>
      </c>
      <c r="AG22" s="2" t="str">
        <f t="shared" si="17"/>
        <v/>
      </c>
      <c r="AH22" s="2" t="str">
        <f t="shared" si="18"/>
        <v/>
      </c>
      <c r="AI22" s="2" t="str">
        <f t="shared" si="19"/>
        <v/>
      </c>
      <c r="AJ22" s="2" t="str">
        <f t="shared" si="20"/>
        <v/>
      </c>
      <c r="AK22" s="2" t="str">
        <f t="shared" si="21"/>
        <v/>
      </c>
      <c r="AL22" s="2" t="str">
        <f t="shared" si="22"/>
        <v/>
      </c>
      <c r="AM22" s="2" t="str">
        <f t="shared" si="23"/>
        <v/>
      </c>
      <c r="AN22" s="2" t="str">
        <f t="shared" si="24"/>
        <v/>
      </c>
      <c r="AP22" s="2" t="str" cm="1">
        <f t="array" ref="AP22">IF('NILAI CPL'!$B22&lt;&gt;"",IFERROR(_xlfn.IFS(S22&gt;='NILAI CPL'!$B$3,4,S22&gt;='NILAI CPL'!$B$4,3,S22&gt;='NILAI CPL'!$B$5,2,S22&gt;'NILAI CPL'!$B$6,1),0),"")</f>
        <v/>
      </c>
      <c r="AQ22" s="2" t="str" cm="1">
        <f t="array" ref="AQ22">IF('NILAI CPL'!$B22&lt;&gt;"",IFERROR(_xlfn.IFS(T22&gt;='NILAI CPL'!$B$3,4,T22&gt;='NILAI CPL'!$B$4,3,T22&gt;='NILAI CPL'!$B$5,2,T22&gt;'NILAI CPL'!$B$6,1),0),"")</f>
        <v/>
      </c>
      <c r="AR22" s="2" t="str" cm="1">
        <f t="array" ref="AR22">IF('NILAI CPL'!$B22&lt;&gt;"",IFERROR(_xlfn.IFS(U22&gt;='NILAI CPL'!$B$3,4,U22&gt;='NILAI CPL'!$B$4,3,U22&gt;='NILAI CPL'!$B$5,2,U22&gt;'NILAI CPL'!$B$6,1),0),"")</f>
        <v/>
      </c>
      <c r="AS22" s="2" t="str" cm="1">
        <f t="array" ref="AS22">IF('NILAI CPL'!$B22&lt;&gt;"",IFERROR(_xlfn.IFS(V22&gt;='NILAI CPL'!$B$3,4,V22&gt;='NILAI CPL'!$B$4,3,V22&gt;='NILAI CPL'!$B$5,2,V22&gt;'NILAI CPL'!$B$6,1),0),"")</f>
        <v/>
      </c>
      <c r="AT22" s="2" t="str" cm="1">
        <f t="array" ref="AT22">IF('NILAI CPL'!$B22&lt;&gt;"",IFERROR(_xlfn.IFS(W22&gt;='NILAI CPL'!$B$3,4,W22&gt;='NILAI CPL'!$B$4,3,W22&gt;='NILAI CPL'!$B$5,2,W22&gt;'NILAI CPL'!$B$6,1),0),"")</f>
        <v/>
      </c>
      <c r="AU22" s="2" t="str" cm="1">
        <f t="array" ref="AU22">IF('NILAI CPL'!$B22&lt;&gt;"",IFERROR(_xlfn.IFS(X22&gt;='NILAI CPL'!$B$3,4,X22&gt;='NILAI CPL'!$B$4,3,X22&gt;='NILAI CPL'!$B$5,2,X22&gt;'NILAI CPL'!$B$6,1),0),"")</f>
        <v/>
      </c>
      <c r="AV22" s="2" t="str" cm="1">
        <f t="array" ref="AV22">IF('NILAI CPL'!$B22&lt;&gt;"",IFERROR(_xlfn.IFS(Y22&gt;='NILAI CPL'!$B$3,4,Y22&gt;='NILAI CPL'!$B$4,3,Y22&gt;='NILAI CPL'!$B$5,2,Y22&gt;'NILAI CPL'!$B$6,1),0),"")</f>
        <v/>
      </c>
      <c r="AW22" s="2" t="str" cm="1">
        <f t="array" ref="AW22">IF('NILAI CPL'!$B22&lt;&gt;"",IFERROR(_xlfn.IFS(Z22&gt;='NILAI CPL'!$B$3,4,Z22&gt;='NILAI CPL'!$B$4,3,Z22&gt;='NILAI CPL'!$B$5,2,Z22&gt;'NILAI CPL'!$B$6,1),0),"")</f>
        <v/>
      </c>
      <c r="AX22" s="2" t="str" cm="1">
        <f t="array" ref="AX22">IF('NILAI CPL'!$B22&lt;&gt;"",IFERROR(_xlfn.IFS(AA22&gt;='NILAI CPL'!$B$3,4,AA22&gt;='NILAI CPL'!$B$4,3,AA22&gt;='NILAI CPL'!$B$5,2,AA22&gt;'NILAI CPL'!$B$6,1),0),"")</f>
        <v/>
      </c>
      <c r="AY22" s="2" t="str" cm="1">
        <f t="array" ref="AY22">IF('NILAI CPL'!$B22&lt;&gt;"",IFERROR(_xlfn.IFS(AB22&gt;='NILAI CPL'!$B$3,4,AB22&gt;='NILAI CPL'!$B$4,3,AB22&gt;='NILAI CPL'!$B$5,2,AB22&gt;'NILAI CPL'!$B$6,1),0),"")</f>
        <v/>
      </c>
      <c r="AZ22" s="2" t="str" cm="1">
        <f t="array" ref="AZ22">IF('NILAI CPL'!$B22&lt;&gt;"",IFERROR(_xlfn.IFS(AC22&gt;='NILAI CPL'!$B$3,4,AC22&gt;='NILAI CPL'!$B$4,3,AC22&gt;='NILAI CPL'!$B$5,2,AC22&gt;'NILAI CPL'!$B$6,1),0),"")</f>
        <v/>
      </c>
      <c r="BA22" s="2" t="str" cm="1">
        <f t="array" ref="BA22">IF('NILAI CPL'!$B22&lt;&gt;"",IFERROR(_xlfn.IFS(AD22&gt;='NILAI CPL'!$B$3,4,AD22&gt;='NILAI CPL'!$B$4,3,AD22&gt;='NILAI CPL'!$B$5,2,AD22&gt;'NILAI CPL'!$B$6,1),0),"")</f>
        <v/>
      </c>
      <c r="BB22" s="2" t="str" cm="1">
        <f t="array" ref="BB22">IF('NILAI CPL'!$B22&lt;&gt;"",IFERROR(_xlfn.IFS(AE22&gt;='NILAI CPL'!$B$3,4,AE22&gt;='NILAI CPL'!$B$4,3,AE22&gt;='NILAI CPL'!$B$5,2,AE22&gt;'NILAI CPL'!$B$6,1),0),"")</f>
        <v/>
      </c>
      <c r="BC22" s="2" t="str" cm="1">
        <f t="array" ref="BC22">IF('NILAI CPL'!$B22&lt;&gt;"",IFERROR(_xlfn.IFS(AF22&gt;='NILAI CPL'!$B$3,4,AF22&gt;='NILAI CPL'!$B$4,3,AF22&gt;='NILAI CPL'!$B$5,2,AF22&gt;'NILAI CPL'!$B$6,1),0),"")</f>
        <v/>
      </c>
      <c r="BD22" s="2" t="str" cm="1">
        <f t="array" ref="BD22">IF('NILAI CPL'!$B22&lt;&gt;"",IFERROR(_xlfn.IFS(AG22&gt;='NILAI CPL'!$B$3,4,AG22&gt;='NILAI CPL'!$B$4,3,AG22&gt;='NILAI CPL'!$B$5,2,AG22&gt;'NILAI CPL'!$B$6,1),0),"")</f>
        <v/>
      </c>
      <c r="BE22" s="2" t="str" cm="1">
        <f t="array" ref="BE22">IF('NILAI CPL'!$B22&lt;&gt;"",IFERROR(_xlfn.IFS(AH22&gt;='NILAI CPL'!$B$3,4,AH22&gt;='NILAI CPL'!$B$4,3,AH22&gt;='NILAI CPL'!$B$5,2,AH22&gt;'NILAI CPL'!$B$6,1),0),"")</f>
        <v/>
      </c>
      <c r="BF22" s="2" t="str" cm="1">
        <f t="array" ref="BF22">IF('NILAI CPL'!$B22&lt;&gt;"",IFERROR(_xlfn.IFS(AI22&gt;='NILAI CPL'!$B$3,4,AI22&gt;='NILAI CPL'!$B$4,3,AI22&gt;='NILAI CPL'!$B$5,2,AI22&gt;'NILAI CPL'!$B$6,1),0),"")</f>
        <v/>
      </c>
      <c r="BG22" s="2" t="str" cm="1">
        <f t="array" ref="BG22">IF('NILAI CPL'!$B22&lt;&gt;"",IFERROR(_xlfn.IFS(AJ22&gt;='NILAI CPL'!$B$3,4,AJ22&gt;='NILAI CPL'!$B$4,3,AJ22&gt;='NILAI CPL'!$B$5,2,AJ22&gt;'NILAI CPL'!$B$6,1),0),"")</f>
        <v/>
      </c>
      <c r="BH22" s="2" t="str" cm="1">
        <f t="array" ref="BH22">IF('NILAI CPL'!$B22&lt;&gt;"",IFERROR(_xlfn.IFS(AK22&gt;='NILAI CPL'!$B$3,4,AK22&gt;='NILAI CPL'!$B$4,3,AK22&gt;='NILAI CPL'!$B$5,2,AK22&gt;'NILAI CPL'!$B$6,1),0),"")</f>
        <v/>
      </c>
      <c r="BI22" s="2" t="str" cm="1">
        <f t="array" ref="BI22">IF('NILAI CPL'!$B22&lt;&gt;"",IFERROR(_xlfn.IFS(AL22&gt;='NILAI CPL'!$B$3,4,AL22&gt;='NILAI CPL'!$B$4,3,AL22&gt;='NILAI CPL'!$B$5,2,AL22&gt;'NILAI CPL'!$B$6,1),0),"")</f>
        <v/>
      </c>
      <c r="BJ22" s="2" t="str" cm="1">
        <f t="array" ref="BJ22">IF('NILAI CPL'!$B22&lt;&gt;"",IFERROR(_xlfn.IFS(AM22&gt;='NILAI CPL'!$B$3,4,AM22&gt;='NILAI CPL'!$B$4,3,AM22&gt;='NILAI CPL'!$B$5,2,AM22&gt;'NILAI CPL'!$B$6,1),0),"")</f>
        <v/>
      </c>
      <c r="BK22" s="2" t="str" cm="1">
        <f t="array" ref="BK22">IF('NILAI CPL'!$B22&lt;&gt;"",IFERROR(_xlfn.IFS(AN22&gt;='NILAI CPL'!$B$3,4,AN22&gt;='NILAI CPL'!$B$4,3,AN22&gt;='NILAI CPL'!$B$5,2,AN22&gt;'NILAI CPL'!$B$6,1),0),"")</f>
        <v/>
      </c>
    </row>
    <row r="23" spans="1:63" x14ac:dyDescent="0.2">
      <c r="A23" s="2">
        <v>13</v>
      </c>
      <c r="B23" s="2" t="str">
        <f>IF(LEN(SUMMARY!B23)&gt;0, SUMMARY!B23, "")</f>
        <v/>
      </c>
      <c r="C23" s="2" t="str">
        <f>IF(LEN(SUMMARY!C23)&gt;0, SUMMARY!C23, "")</f>
        <v/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" t="str">
        <f t="shared" si="2"/>
        <v/>
      </c>
      <c r="S23" s="2" t="str">
        <f t="shared" si="3"/>
        <v/>
      </c>
      <c r="T23" s="2" t="str">
        <f t="shared" si="4"/>
        <v/>
      </c>
      <c r="U23" s="2" t="str">
        <f t="shared" si="5"/>
        <v/>
      </c>
      <c r="V23" s="2" t="str">
        <f t="shared" si="6"/>
        <v/>
      </c>
      <c r="W23" s="2" t="str">
        <f t="shared" si="7"/>
        <v/>
      </c>
      <c r="X23" s="2" t="str">
        <f t="shared" si="8"/>
        <v/>
      </c>
      <c r="Y23" s="2" t="str">
        <f t="shared" si="9"/>
        <v/>
      </c>
      <c r="Z23" s="2" t="str">
        <f t="shared" si="10"/>
        <v/>
      </c>
      <c r="AA23" s="2" t="str">
        <f t="shared" si="11"/>
        <v/>
      </c>
      <c r="AB23" s="2" t="str">
        <f t="shared" si="12"/>
        <v/>
      </c>
      <c r="AC23" s="2" t="str">
        <f t="shared" si="13"/>
        <v/>
      </c>
      <c r="AD23" s="2" t="str">
        <f t="shared" si="14"/>
        <v/>
      </c>
      <c r="AE23" s="2" t="str">
        <f t="shared" si="15"/>
        <v/>
      </c>
      <c r="AF23" s="2" t="str">
        <f t="shared" si="16"/>
        <v/>
      </c>
      <c r="AG23" s="2" t="str">
        <f t="shared" si="17"/>
        <v/>
      </c>
      <c r="AH23" s="2" t="str">
        <f t="shared" si="18"/>
        <v/>
      </c>
      <c r="AI23" s="2" t="str">
        <f t="shared" si="19"/>
        <v/>
      </c>
      <c r="AJ23" s="2" t="str">
        <f t="shared" si="20"/>
        <v/>
      </c>
      <c r="AK23" s="2" t="str">
        <f t="shared" si="21"/>
        <v/>
      </c>
      <c r="AL23" s="2" t="str">
        <f t="shared" si="22"/>
        <v/>
      </c>
      <c r="AM23" s="2" t="str">
        <f t="shared" si="23"/>
        <v/>
      </c>
      <c r="AN23" s="2" t="str">
        <f t="shared" si="24"/>
        <v/>
      </c>
      <c r="AP23" s="2" t="str" cm="1">
        <f t="array" ref="AP23">IF('NILAI CPL'!$B23&lt;&gt;"",IFERROR(_xlfn.IFS(S23&gt;='NILAI CPL'!$B$3,4,S23&gt;='NILAI CPL'!$B$4,3,S23&gt;='NILAI CPL'!$B$5,2,S23&gt;'NILAI CPL'!$B$6,1),0),"")</f>
        <v/>
      </c>
      <c r="AQ23" s="2" t="str" cm="1">
        <f t="array" ref="AQ23">IF('NILAI CPL'!$B23&lt;&gt;"",IFERROR(_xlfn.IFS(T23&gt;='NILAI CPL'!$B$3,4,T23&gt;='NILAI CPL'!$B$4,3,T23&gt;='NILAI CPL'!$B$5,2,T23&gt;'NILAI CPL'!$B$6,1),0),"")</f>
        <v/>
      </c>
      <c r="AR23" s="2" t="str" cm="1">
        <f t="array" ref="AR23">IF('NILAI CPL'!$B23&lt;&gt;"",IFERROR(_xlfn.IFS(U23&gt;='NILAI CPL'!$B$3,4,U23&gt;='NILAI CPL'!$B$4,3,U23&gt;='NILAI CPL'!$B$5,2,U23&gt;'NILAI CPL'!$B$6,1),0),"")</f>
        <v/>
      </c>
      <c r="AS23" s="2" t="str" cm="1">
        <f t="array" ref="AS23">IF('NILAI CPL'!$B23&lt;&gt;"",IFERROR(_xlfn.IFS(V23&gt;='NILAI CPL'!$B$3,4,V23&gt;='NILAI CPL'!$B$4,3,V23&gt;='NILAI CPL'!$B$5,2,V23&gt;'NILAI CPL'!$B$6,1),0),"")</f>
        <v/>
      </c>
      <c r="AT23" s="2" t="str" cm="1">
        <f t="array" ref="AT23">IF('NILAI CPL'!$B23&lt;&gt;"",IFERROR(_xlfn.IFS(W23&gt;='NILAI CPL'!$B$3,4,W23&gt;='NILAI CPL'!$B$4,3,W23&gt;='NILAI CPL'!$B$5,2,W23&gt;'NILAI CPL'!$B$6,1),0),"")</f>
        <v/>
      </c>
      <c r="AU23" s="2" t="str" cm="1">
        <f t="array" ref="AU23">IF('NILAI CPL'!$B23&lt;&gt;"",IFERROR(_xlfn.IFS(X23&gt;='NILAI CPL'!$B$3,4,X23&gt;='NILAI CPL'!$B$4,3,X23&gt;='NILAI CPL'!$B$5,2,X23&gt;'NILAI CPL'!$B$6,1),0),"")</f>
        <v/>
      </c>
      <c r="AV23" s="2" t="str" cm="1">
        <f t="array" ref="AV23">IF('NILAI CPL'!$B23&lt;&gt;"",IFERROR(_xlfn.IFS(Y23&gt;='NILAI CPL'!$B$3,4,Y23&gt;='NILAI CPL'!$B$4,3,Y23&gt;='NILAI CPL'!$B$5,2,Y23&gt;'NILAI CPL'!$B$6,1),0),"")</f>
        <v/>
      </c>
      <c r="AW23" s="2" t="str" cm="1">
        <f t="array" ref="AW23">IF('NILAI CPL'!$B23&lt;&gt;"",IFERROR(_xlfn.IFS(Z23&gt;='NILAI CPL'!$B$3,4,Z23&gt;='NILAI CPL'!$B$4,3,Z23&gt;='NILAI CPL'!$B$5,2,Z23&gt;'NILAI CPL'!$B$6,1),0),"")</f>
        <v/>
      </c>
      <c r="AX23" s="2" t="str" cm="1">
        <f t="array" ref="AX23">IF('NILAI CPL'!$B23&lt;&gt;"",IFERROR(_xlfn.IFS(AA23&gt;='NILAI CPL'!$B$3,4,AA23&gt;='NILAI CPL'!$B$4,3,AA23&gt;='NILAI CPL'!$B$5,2,AA23&gt;'NILAI CPL'!$B$6,1),0),"")</f>
        <v/>
      </c>
      <c r="AY23" s="2" t="str" cm="1">
        <f t="array" ref="AY23">IF('NILAI CPL'!$B23&lt;&gt;"",IFERROR(_xlfn.IFS(AB23&gt;='NILAI CPL'!$B$3,4,AB23&gt;='NILAI CPL'!$B$4,3,AB23&gt;='NILAI CPL'!$B$5,2,AB23&gt;'NILAI CPL'!$B$6,1),0),"")</f>
        <v/>
      </c>
      <c r="AZ23" s="2" t="str" cm="1">
        <f t="array" ref="AZ23">IF('NILAI CPL'!$B23&lt;&gt;"",IFERROR(_xlfn.IFS(AC23&gt;='NILAI CPL'!$B$3,4,AC23&gt;='NILAI CPL'!$B$4,3,AC23&gt;='NILAI CPL'!$B$5,2,AC23&gt;'NILAI CPL'!$B$6,1),0),"")</f>
        <v/>
      </c>
      <c r="BA23" s="2" t="str" cm="1">
        <f t="array" ref="BA23">IF('NILAI CPL'!$B23&lt;&gt;"",IFERROR(_xlfn.IFS(AD23&gt;='NILAI CPL'!$B$3,4,AD23&gt;='NILAI CPL'!$B$4,3,AD23&gt;='NILAI CPL'!$B$5,2,AD23&gt;'NILAI CPL'!$B$6,1),0),"")</f>
        <v/>
      </c>
      <c r="BB23" s="2" t="str" cm="1">
        <f t="array" ref="BB23">IF('NILAI CPL'!$B23&lt;&gt;"",IFERROR(_xlfn.IFS(AE23&gt;='NILAI CPL'!$B$3,4,AE23&gt;='NILAI CPL'!$B$4,3,AE23&gt;='NILAI CPL'!$B$5,2,AE23&gt;'NILAI CPL'!$B$6,1),0),"")</f>
        <v/>
      </c>
      <c r="BC23" s="2" t="str" cm="1">
        <f t="array" ref="BC23">IF('NILAI CPL'!$B23&lt;&gt;"",IFERROR(_xlfn.IFS(AF23&gt;='NILAI CPL'!$B$3,4,AF23&gt;='NILAI CPL'!$B$4,3,AF23&gt;='NILAI CPL'!$B$5,2,AF23&gt;'NILAI CPL'!$B$6,1),0),"")</f>
        <v/>
      </c>
      <c r="BD23" s="2" t="str" cm="1">
        <f t="array" ref="BD23">IF('NILAI CPL'!$B23&lt;&gt;"",IFERROR(_xlfn.IFS(AG23&gt;='NILAI CPL'!$B$3,4,AG23&gt;='NILAI CPL'!$B$4,3,AG23&gt;='NILAI CPL'!$B$5,2,AG23&gt;'NILAI CPL'!$B$6,1),0),"")</f>
        <v/>
      </c>
      <c r="BE23" s="2" t="str" cm="1">
        <f t="array" ref="BE23">IF('NILAI CPL'!$B23&lt;&gt;"",IFERROR(_xlfn.IFS(AH23&gt;='NILAI CPL'!$B$3,4,AH23&gt;='NILAI CPL'!$B$4,3,AH23&gt;='NILAI CPL'!$B$5,2,AH23&gt;'NILAI CPL'!$B$6,1),0),"")</f>
        <v/>
      </c>
      <c r="BF23" s="2" t="str" cm="1">
        <f t="array" ref="BF23">IF('NILAI CPL'!$B23&lt;&gt;"",IFERROR(_xlfn.IFS(AI23&gt;='NILAI CPL'!$B$3,4,AI23&gt;='NILAI CPL'!$B$4,3,AI23&gt;='NILAI CPL'!$B$5,2,AI23&gt;'NILAI CPL'!$B$6,1),0),"")</f>
        <v/>
      </c>
      <c r="BG23" s="2" t="str" cm="1">
        <f t="array" ref="BG23">IF('NILAI CPL'!$B23&lt;&gt;"",IFERROR(_xlfn.IFS(AJ23&gt;='NILAI CPL'!$B$3,4,AJ23&gt;='NILAI CPL'!$B$4,3,AJ23&gt;='NILAI CPL'!$B$5,2,AJ23&gt;'NILAI CPL'!$B$6,1),0),"")</f>
        <v/>
      </c>
      <c r="BH23" s="2" t="str" cm="1">
        <f t="array" ref="BH23">IF('NILAI CPL'!$B23&lt;&gt;"",IFERROR(_xlfn.IFS(AK23&gt;='NILAI CPL'!$B$3,4,AK23&gt;='NILAI CPL'!$B$4,3,AK23&gt;='NILAI CPL'!$B$5,2,AK23&gt;'NILAI CPL'!$B$6,1),0),"")</f>
        <v/>
      </c>
      <c r="BI23" s="2" t="str" cm="1">
        <f t="array" ref="BI23">IF('NILAI CPL'!$B23&lt;&gt;"",IFERROR(_xlfn.IFS(AL23&gt;='NILAI CPL'!$B$3,4,AL23&gt;='NILAI CPL'!$B$4,3,AL23&gt;='NILAI CPL'!$B$5,2,AL23&gt;'NILAI CPL'!$B$6,1),0),"")</f>
        <v/>
      </c>
      <c r="BJ23" s="2" t="str" cm="1">
        <f t="array" ref="BJ23">IF('NILAI CPL'!$B23&lt;&gt;"",IFERROR(_xlfn.IFS(AM23&gt;='NILAI CPL'!$B$3,4,AM23&gt;='NILAI CPL'!$B$4,3,AM23&gt;='NILAI CPL'!$B$5,2,AM23&gt;'NILAI CPL'!$B$6,1),0),"")</f>
        <v/>
      </c>
      <c r="BK23" s="2" t="str" cm="1">
        <f t="array" ref="BK23">IF('NILAI CPL'!$B23&lt;&gt;"",IFERROR(_xlfn.IFS(AN23&gt;='NILAI CPL'!$B$3,4,AN23&gt;='NILAI CPL'!$B$4,3,AN23&gt;='NILAI CPL'!$B$5,2,AN23&gt;'NILAI CPL'!$B$6,1),0),"")</f>
        <v/>
      </c>
    </row>
    <row r="24" spans="1:63" x14ac:dyDescent="0.2">
      <c r="A24" s="2">
        <v>14</v>
      </c>
      <c r="B24" s="2" t="str">
        <f>IF(LEN(SUMMARY!B24)&gt;0, SUMMARY!B24, "")</f>
        <v/>
      </c>
      <c r="C24" s="2" t="str">
        <f>IF(LEN(SUMMARY!C24)&gt;0, SUMMARY!C24, "")</f>
        <v/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" t="str">
        <f t="shared" si="2"/>
        <v/>
      </c>
      <c r="S24" s="2" t="str">
        <f t="shared" si="3"/>
        <v/>
      </c>
      <c r="T24" s="2" t="str">
        <f t="shared" si="4"/>
        <v/>
      </c>
      <c r="U24" s="2" t="str">
        <f t="shared" si="5"/>
        <v/>
      </c>
      <c r="V24" s="2" t="str">
        <f t="shared" si="6"/>
        <v/>
      </c>
      <c r="W24" s="2" t="str">
        <f t="shared" si="7"/>
        <v/>
      </c>
      <c r="X24" s="2" t="str">
        <f t="shared" si="8"/>
        <v/>
      </c>
      <c r="Y24" s="2" t="str">
        <f t="shared" si="9"/>
        <v/>
      </c>
      <c r="Z24" s="2" t="str">
        <f t="shared" si="10"/>
        <v/>
      </c>
      <c r="AA24" s="2" t="str">
        <f t="shared" si="11"/>
        <v/>
      </c>
      <c r="AB24" s="2" t="str">
        <f t="shared" si="12"/>
        <v/>
      </c>
      <c r="AC24" s="2" t="str">
        <f t="shared" si="13"/>
        <v/>
      </c>
      <c r="AD24" s="2" t="str">
        <f t="shared" si="14"/>
        <v/>
      </c>
      <c r="AE24" s="2" t="str">
        <f t="shared" si="15"/>
        <v/>
      </c>
      <c r="AF24" s="2" t="str">
        <f t="shared" si="16"/>
        <v/>
      </c>
      <c r="AG24" s="2" t="str">
        <f t="shared" si="17"/>
        <v/>
      </c>
      <c r="AH24" s="2" t="str">
        <f t="shared" si="18"/>
        <v/>
      </c>
      <c r="AI24" s="2" t="str">
        <f t="shared" si="19"/>
        <v/>
      </c>
      <c r="AJ24" s="2" t="str">
        <f t="shared" si="20"/>
        <v/>
      </c>
      <c r="AK24" s="2" t="str">
        <f t="shared" si="21"/>
        <v/>
      </c>
      <c r="AL24" s="2" t="str">
        <f t="shared" si="22"/>
        <v/>
      </c>
      <c r="AM24" s="2" t="str">
        <f t="shared" si="23"/>
        <v/>
      </c>
      <c r="AN24" s="2" t="str">
        <f t="shared" si="24"/>
        <v/>
      </c>
      <c r="AP24" s="2" t="str" cm="1">
        <f t="array" ref="AP24">IF('NILAI CPL'!$B24&lt;&gt;"",IFERROR(_xlfn.IFS(S24&gt;='NILAI CPL'!$B$3,4,S24&gt;='NILAI CPL'!$B$4,3,S24&gt;='NILAI CPL'!$B$5,2,S24&gt;'NILAI CPL'!$B$6,1),0),"")</f>
        <v/>
      </c>
      <c r="AQ24" s="2" t="str" cm="1">
        <f t="array" ref="AQ24">IF('NILAI CPL'!$B24&lt;&gt;"",IFERROR(_xlfn.IFS(T24&gt;='NILAI CPL'!$B$3,4,T24&gt;='NILAI CPL'!$B$4,3,T24&gt;='NILAI CPL'!$B$5,2,T24&gt;'NILAI CPL'!$B$6,1),0),"")</f>
        <v/>
      </c>
      <c r="AR24" s="2" t="str" cm="1">
        <f t="array" ref="AR24">IF('NILAI CPL'!$B24&lt;&gt;"",IFERROR(_xlfn.IFS(U24&gt;='NILAI CPL'!$B$3,4,U24&gt;='NILAI CPL'!$B$4,3,U24&gt;='NILAI CPL'!$B$5,2,U24&gt;'NILAI CPL'!$B$6,1),0),"")</f>
        <v/>
      </c>
      <c r="AS24" s="2" t="str" cm="1">
        <f t="array" ref="AS24">IF('NILAI CPL'!$B24&lt;&gt;"",IFERROR(_xlfn.IFS(V24&gt;='NILAI CPL'!$B$3,4,V24&gt;='NILAI CPL'!$B$4,3,V24&gt;='NILAI CPL'!$B$5,2,V24&gt;'NILAI CPL'!$B$6,1),0),"")</f>
        <v/>
      </c>
      <c r="AT24" s="2" t="str" cm="1">
        <f t="array" ref="AT24">IF('NILAI CPL'!$B24&lt;&gt;"",IFERROR(_xlfn.IFS(W24&gt;='NILAI CPL'!$B$3,4,W24&gt;='NILAI CPL'!$B$4,3,W24&gt;='NILAI CPL'!$B$5,2,W24&gt;'NILAI CPL'!$B$6,1),0),"")</f>
        <v/>
      </c>
      <c r="AU24" s="2" t="str" cm="1">
        <f t="array" ref="AU24">IF('NILAI CPL'!$B24&lt;&gt;"",IFERROR(_xlfn.IFS(X24&gt;='NILAI CPL'!$B$3,4,X24&gt;='NILAI CPL'!$B$4,3,X24&gt;='NILAI CPL'!$B$5,2,X24&gt;'NILAI CPL'!$B$6,1),0),"")</f>
        <v/>
      </c>
      <c r="AV24" s="2" t="str" cm="1">
        <f t="array" ref="AV24">IF('NILAI CPL'!$B24&lt;&gt;"",IFERROR(_xlfn.IFS(Y24&gt;='NILAI CPL'!$B$3,4,Y24&gt;='NILAI CPL'!$B$4,3,Y24&gt;='NILAI CPL'!$B$5,2,Y24&gt;'NILAI CPL'!$B$6,1),0),"")</f>
        <v/>
      </c>
      <c r="AW24" s="2" t="str" cm="1">
        <f t="array" ref="AW24">IF('NILAI CPL'!$B24&lt;&gt;"",IFERROR(_xlfn.IFS(Z24&gt;='NILAI CPL'!$B$3,4,Z24&gt;='NILAI CPL'!$B$4,3,Z24&gt;='NILAI CPL'!$B$5,2,Z24&gt;'NILAI CPL'!$B$6,1),0),"")</f>
        <v/>
      </c>
      <c r="AX24" s="2" t="str" cm="1">
        <f t="array" ref="AX24">IF('NILAI CPL'!$B24&lt;&gt;"",IFERROR(_xlfn.IFS(AA24&gt;='NILAI CPL'!$B$3,4,AA24&gt;='NILAI CPL'!$B$4,3,AA24&gt;='NILAI CPL'!$B$5,2,AA24&gt;'NILAI CPL'!$B$6,1),0),"")</f>
        <v/>
      </c>
      <c r="AY24" s="2" t="str" cm="1">
        <f t="array" ref="AY24">IF('NILAI CPL'!$B24&lt;&gt;"",IFERROR(_xlfn.IFS(AB24&gt;='NILAI CPL'!$B$3,4,AB24&gt;='NILAI CPL'!$B$4,3,AB24&gt;='NILAI CPL'!$B$5,2,AB24&gt;'NILAI CPL'!$B$6,1),0),"")</f>
        <v/>
      </c>
      <c r="AZ24" s="2" t="str" cm="1">
        <f t="array" ref="AZ24">IF('NILAI CPL'!$B24&lt;&gt;"",IFERROR(_xlfn.IFS(AC24&gt;='NILAI CPL'!$B$3,4,AC24&gt;='NILAI CPL'!$B$4,3,AC24&gt;='NILAI CPL'!$B$5,2,AC24&gt;'NILAI CPL'!$B$6,1),0),"")</f>
        <v/>
      </c>
      <c r="BA24" s="2" t="str" cm="1">
        <f t="array" ref="BA24">IF('NILAI CPL'!$B24&lt;&gt;"",IFERROR(_xlfn.IFS(AD24&gt;='NILAI CPL'!$B$3,4,AD24&gt;='NILAI CPL'!$B$4,3,AD24&gt;='NILAI CPL'!$B$5,2,AD24&gt;'NILAI CPL'!$B$6,1),0),"")</f>
        <v/>
      </c>
      <c r="BB24" s="2" t="str" cm="1">
        <f t="array" ref="BB24">IF('NILAI CPL'!$B24&lt;&gt;"",IFERROR(_xlfn.IFS(AE24&gt;='NILAI CPL'!$B$3,4,AE24&gt;='NILAI CPL'!$B$4,3,AE24&gt;='NILAI CPL'!$B$5,2,AE24&gt;'NILAI CPL'!$B$6,1),0),"")</f>
        <v/>
      </c>
      <c r="BC24" s="2" t="str" cm="1">
        <f t="array" ref="BC24">IF('NILAI CPL'!$B24&lt;&gt;"",IFERROR(_xlfn.IFS(AF24&gt;='NILAI CPL'!$B$3,4,AF24&gt;='NILAI CPL'!$B$4,3,AF24&gt;='NILAI CPL'!$B$5,2,AF24&gt;'NILAI CPL'!$B$6,1),0),"")</f>
        <v/>
      </c>
      <c r="BD24" s="2" t="str" cm="1">
        <f t="array" ref="BD24">IF('NILAI CPL'!$B24&lt;&gt;"",IFERROR(_xlfn.IFS(AG24&gt;='NILAI CPL'!$B$3,4,AG24&gt;='NILAI CPL'!$B$4,3,AG24&gt;='NILAI CPL'!$B$5,2,AG24&gt;'NILAI CPL'!$B$6,1),0),"")</f>
        <v/>
      </c>
      <c r="BE24" s="2" t="str" cm="1">
        <f t="array" ref="BE24">IF('NILAI CPL'!$B24&lt;&gt;"",IFERROR(_xlfn.IFS(AH24&gt;='NILAI CPL'!$B$3,4,AH24&gt;='NILAI CPL'!$B$4,3,AH24&gt;='NILAI CPL'!$B$5,2,AH24&gt;'NILAI CPL'!$B$6,1),0),"")</f>
        <v/>
      </c>
      <c r="BF24" s="2" t="str" cm="1">
        <f t="array" ref="BF24">IF('NILAI CPL'!$B24&lt;&gt;"",IFERROR(_xlfn.IFS(AI24&gt;='NILAI CPL'!$B$3,4,AI24&gt;='NILAI CPL'!$B$4,3,AI24&gt;='NILAI CPL'!$B$5,2,AI24&gt;'NILAI CPL'!$B$6,1),0),"")</f>
        <v/>
      </c>
      <c r="BG24" s="2" t="str" cm="1">
        <f t="array" ref="BG24">IF('NILAI CPL'!$B24&lt;&gt;"",IFERROR(_xlfn.IFS(AJ24&gt;='NILAI CPL'!$B$3,4,AJ24&gt;='NILAI CPL'!$B$4,3,AJ24&gt;='NILAI CPL'!$B$5,2,AJ24&gt;'NILAI CPL'!$B$6,1),0),"")</f>
        <v/>
      </c>
      <c r="BH24" s="2" t="str" cm="1">
        <f t="array" ref="BH24">IF('NILAI CPL'!$B24&lt;&gt;"",IFERROR(_xlfn.IFS(AK24&gt;='NILAI CPL'!$B$3,4,AK24&gt;='NILAI CPL'!$B$4,3,AK24&gt;='NILAI CPL'!$B$5,2,AK24&gt;'NILAI CPL'!$B$6,1),0),"")</f>
        <v/>
      </c>
      <c r="BI24" s="2" t="str" cm="1">
        <f t="array" ref="BI24">IF('NILAI CPL'!$B24&lt;&gt;"",IFERROR(_xlfn.IFS(AL24&gt;='NILAI CPL'!$B$3,4,AL24&gt;='NILAI CPL'!$B$4,3,AL24&gt;='NILAI CPL'!$B$5,2,AL24&gt;'NILAI CPL'!$B$6,1),0),"")</f>
        <v/>
      </c>
      <c r="BJ24" s="2" t="str" cm="1">
        <f t="array" ref="BJ24">IF('NILAI CPL'!$B24&lt;&gt;"",IFERROR(_xlfn.IFS(AM24&gt;='NILAI CPL'!$B$3,4,AM24&gt;='NILAI CPL'!$B$4,3,AM24&gt;='NILAI CPL'!$B$5,2,AM24&gt;'NILAI CPL'!$B$6,1),0),"")</f>
        <v/>
      </c>
      <c r="BK24" s="2" t="str" cm="1">
        <f t="array" ref="BK24">IF('NILAI CPL'!$B24&lt;&gt;"",IFERROR(_xlfn.IFS(AN24&gt;='NILAI CPL'!$B$3,4,AN24&gt;='NILAI CPL'!$B$4,3,AN24&gt;='NILAI CPL'!$B$5,2,AN24&gt;'NILAI CPL'!$B$6,1),0),"")</f>
        <v/>
      </c>
    </row>
    <row r="25" spans="1:63" x14ac:dyDescent="0.2">
      <c r="A25" s="2">
        <v>15</v>
      </c>
      <c r="B25" s="2" t="str">
        <f>IF(LEN(SUMMARY!B25)&gt;0, SUMMARY!B25, "")</f>
        <v/>
      </c>
      <c r="C25" s="2" t="str">
        <f>IF(LEN(SUMMARY!C25)&gt;0, SUMMARY!C25, "")</f>
        <v/>
      </c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" t="str">
        <f t="shared" si="2"/>
        <v/>
      </c>
      <c r="S25" s="2" t="str">
        <f t="shared" si="3"/>
        <v/>
      </c>
      <c r="T25" s="2" t="str">
        <f t="shared" si="4"/>
        <v/>
      </c>
      <c r="U25" s="2" t="str">
        <f t="shared" si="5"/>
        <v/>
      </c>
      <c r="V25" s="2" t="str">
        <f t="shared" si="6"/>
        <v/>
      </c>
      <c r="W25" s="2" t="str">
        <f t="shared" si="7"/>
        <v/>
      </c>
      <c r="X25" s="2" t="str">
        <f t="shared" si="8"/>
        <v/>
      </c>
      <c r="Y25" s="2" t="str">
        <f t="shared" si="9"/>
        <v/>
      </c>
      <c r="Z25" s="2" t="str">
        <f t="shared" si="10"/>
        <v/>
      </c>
      <c r="AA25" s="2" t="str">
        <f t="shared" si="11"/>
        <v/>
      </c>
      <c r="AB25" s="2" t="str">
        <f t="shared" si="12"/>
        <v/>
      </c>
      <c r="AC25" s="2" t="str">
        <f t="shared" si="13"/>
        <v/>
      </c>
      <c r="AD25" s="2" t="str">
        <f t="shared" si="14"/>
        <v/>
      </c>
      <c r="AE25" s="2" t="str">
        <f t="shared" si="15"/>
        <v/>
      </c>
      <c r="AF25" s="2" t="str">
        <f t="shared" si="16"/>
        <v/>
      </c>
      <c r="AG25" s="2" t="str">
        <f t="shared" si="17"/>
        <v/>
      </c>
      <c r="AH25" s="2" t="str">
        <f t="shared" si="18"/>
        <v/>
      </c>
      <c r="AI25" s="2" t="str">
        <f t="shared" si="19"/>
        <v/>
      </c>
      <c r="AJ25" s="2" t="str">
        <f t="shared" si="20"/>
        <v/>
      </c>
      <c r="AK25" s="2" t="str">
        <f t="shared" si="21"/>
        <v/>
      </c>
      <c r="AL25" s="2" t="str">
        <f t="shared" si="22"/>
        <v/>
      </c>
      <c r="AM25" s="2" t="str">
        <f t="shared" si="23"/>
        <v/>
      </c>
      <c r="AN25" s="2" t="str">
        <f t="shared" si="24"/>
        <v/>
      </c>
      <c r="AP25" s="2" t="str" cm="1">
        <f t="array" ref="AP25">IF('NILAI CPL'!$B25&lt;&gt;"",IFERROR(_xlfn.IFS(S25&gt;='NILAI CPL'!$B$3,4,S25&gt;='NILAI CPL'!$B$4,3,S25&gt;='NILAI CPL'!$B$5,2,S25&gt;'NILAI CPL'!$B$6,1),0),"")</f>
        <v/>
      </c>
      <c r="AQ25" s="2" t="str" cm="1">
        <f t="array" ref="AQ25">IF('NILAI CPL'!$B25&lt;&gt;"",IFERROR(_xlfn.IFS(T25&gt;='NILAI CPL'!$B$3,4,T25&gt;='NILAI CPL'!$B$4,3,T25&gt;='NILAI CPL'!$B$5,2,T25&gt;'NILAI CPL'!$B$6,1),0),"")</f>
        <v/>
      </c>
      <c r="AR25" s="2" t="str" cm="1">
        <f t="array" ref="AR25">IF('NILAI CPL'!$B25&lt;&gt;"",IFERROR(_xlfn.IFS(U25&gt;='NILAI CPL'!$B$3,4,U25&gt;='NILAI CPL'!$B$4,3,U25&gt;='NILAI CPL'!$B$5,2,U25&gt;'NILAI CPL'!$B$6,1),0),"")</f>
        <v/>
      </c>
      <c r="AS25" s="2" t="str" cm="1">
        <f t="array" ref="AS25">IF('NILAI CPL'!$B25&lt;&gt;"",IFERROR(_xlfn.IFS(V25&gt;='NILAI CPL'!$B$3,4,V25&gt;='NILAI CPL'!$B$4,3,V25&gt;='NILAI CPL'!$B$5,2,V25&gt;'NILAI CPL'!$B$6,1),0),"")</f>
        <v/>
      </c>
      <c r="AT25" s="2" t="str" cm="1">
        <f t="array" ref="AT25">IF('NILAI CPL'!$B25&lt;&gt;"",IFERROR(_xlfn.IFS(W25&gt;='NILAI CPL'!$B$3,4,W25&gt;='NILAI CPL'!$B$4,3,W25&gt;='NILAI CPL'!$B$5,2,W25&gt;'NILAI CPL'!$B$6,1),0),"")</f>
        <v/>
      </c>
      <c r="AU25" s="2" t="str" cm="1">
        <f t="array" ref="AU25">IF('NILAI CPL'!$B25&lt;&gt;"",IFERROR(_xlfn.IFS(X25&gt;='NILAI CPL'!$B$3,4,X25&gt;='NILAI CPL'!$B$4,3,X25&gt;='NILAI CPL'!$B$5,2,X25&gt;'NILAI CPL'!$B$6,1),0),"")</f>
        <v/>
      </c>
      <c r="AV25" s="2" t="str" cm="1">
        <f t="array" ref="AV25">IF('NILAI CPL'!$B25&lt;&gt;"",IFERROR(_xlfn.IFS(Y25&gt;='NILAI CPL'!$B$3,4,Y25&gt;='NILAI CPL'!$B$4,3,Y25&gt;='NILAI CPL'!$B$5,2,Y25&gt;'NILAI CPL'!$B$6,1),0),"")</f>
        <v/>
      </c>
      <c r="AW25" s="2" t="str" cm="1">
        <f t="array" ref="AW25">IF('NILAI CPL'!$B25&lt;&gt;"",IFERROR(_xlfn.IFS(Z25&gt;='NILAI CPL'!$B$3,4,Z25&gt;='NILAI CPL'!$B$4,3,Z25&gt;='NILAI CPL'!$B$5,2,Z25&gt;'NILAI CPL'!$B$6,1),0),"")</f>
        <v/>
      </c>
      <c r="AX25" s="2" t="str" cm="1">
        <f t="array" ref="AX25">IF('NILAI CPL'!$B25&lt;&gt;"",IFERROR(_xlfn.IFS(AA25&gt;='NILAI CPL'!$B$3,4,AA25&gt;='NILAI CPL'!$B$4,3,AA25&gt;='NILAI CPL'!$B$5,2,AA25&gt;'NILAI CPL'!$B$6,1),0),"")</f>
        <v/>
      </c>
      <c r="AY25" s="2" t="str" cm="1">
        <f t="array" ref="AY25">IF('NILAI CPL'!$B25&lt;&gt;"",IFERROR(_xlfn.IFS(AB25&gt;='NILAI CPL'!$B$3,4,AB25&gt;='NILAI CPL'!$B$4,3,AB25&gt;='NILAI CPL'!$B$5,2,AB25&gt;'NILAI CPL'!$B$6,1),0),"")</f>
        <v/>
      </c>
      <c r="AZ25" s="2" t="str" cm="1">
        <f t="array" ref="AZ25">IF('NILAI CPL'!$B25&lt;&gt;"",IFERROR(_xlfn.IFS(AC25&gt;='NILAI CPL'!$B$3,4,AC25&gt;='NILAI CPL'!$B$4,3,AC25&gt;='NILAI CPL'!$B$5,2,AC25&gt;'NILAI CPL'!$B$6,1),0),"")</f>
        <v/>
      </c>
      <c r="BA25" s="2" t="str" cm="1">
        <f t="array" ref="BA25">IF('NILAI CPL'!$B25&lt;&gt;"",IFERROR(_xlfn.IFS(AD25&gt;='NILAI CPL'!$B$3,4,AD25&gt;='NILAI CPL'!$B$4,3,AD25&gt;='NILAI CPL'!$B$5,2,AD25&gt;'NILAI CPL'!$B$6,1),0),"")</f>
        <v/>
      </c>
      <c r="BB25" s="2" t="str" cm="1">
        <f t="array" ref="BB25">IF('NILAI CPL'!$B25&lt;&gt;"",IFERROR(_xlfn.IFS(AE25&gt;='NILAI CPL'!$B$3,4,AE25&gt;='NILAI CPL'!$B$4,3,AE25&gt;='NILAI CPL'!$B$5,2,AE25&gt;'NILAI CPL'!$B$6,1),0),"")</f>
        <v/>
      </c>
      <c r="BC25" s="2" t="str" cm="1">
        <f t="array" ref="BC25">IF('NILAI CPL'!$B25&lt;&gt;"",IFERROR(_xlfn.IFS(AF25&gt;='NILAI CPL'!$B$3,4,AF25&gt;='NILAI CPL'!$B$4,3,AF25&gt;='NILAI CPL'!$B$5,2,AF25&gt;'NILAI CPL'!$B$6,1),0),"")</f>
        <v/>
      </c>
      <c r="BD25" s="2" t="str" cm="1">
        <f t="array" ref="BD25">IF('NILAI CPL'!$B25&lt;&gt;"",IFERROR(_xlfn.IFS(AG25&gt;='NILAI CPL'!$B$3,4,AG25&gt;='NILAI CPL'!$B$4,3,AG25&gt;='NILAI CPL'!$B$5,2,AG25&gt;'NILAI CPL'!$B$6,1),0),"")</f>
        <v/>
      </c>
      <c r="BE25" s="2" t="str" cm="1">
        <f t="array" ref="BE25">IF('NILAI CPL'!$B25&lt;&gt;"",IFERROR(_xlfn.IFS(AH25&gt;='NILAI CPL'!$B$3,4,AH25&gt;='NILAI CPL'!$B$4,3,AH25&gt;='NILAI CPL'!$B$5,2,AH25&gt;'NILAI CPL'!$B$6,1),0),"")</f>
        <v/>
      </c>
      <c r="BF25" s="2" t="str" cm="1">
        <f t="array" ref="BF25">IF('NILAI CPL'!$B25&lt;&gt;"",IFERROR(_xlfn.IFS(AI25&gt;='NILAI CPL'!$B$3,4,AI25&gt;='NILAI CPL'!$B$4,3,AI25&gt;='NILAI CPL'!$B$5,2,AI25&gt;'NILAI CPL'!$B$6,1),0),"")</f>
        <v/>
      </c>
      <c r="BG25" s="2" t="str" cm="1">
        <f t="array" ref="BG25">IF('NILAI CPL'!$B25&lt;&gt;"",IFERROR(_xlfn.IFS(AJ25&gt;='NILAI CPL'!$B$3,4,AJ25&gt;='NILAI CPL'!$B$4,3,AJ25&gt;='NILAI CPL'!$B$5,2,AJ25&gt;'NILAI CPL'!$B$6,1),0),"")</f>
        <v/>
      </c>
      <c r="BH25" s="2" t="str" cm="1">
        <f t="array" ref="BH25">IF('NILAI CPL'!$B25&lt;&gt;"",IFERROR(_xlfn.IFS(AK25&gt;='NILAI CPL'!$B$3,4,AK25&gt;='NILAI CPL'!$B$4,3,AK25&gt;='NILAI CPL'!$B$5,2,AK25&gt;'NILAI CPL'!$B$6,1),0),"")</f>
        <v/>
      </c>
      <c r="BI25" s="2" t="str" cm="1">
        <f t="array" ref="BI25">IF('NILAI CPL'!$B25&lt;&gt;"",IFERROR(_xlfn.IFS(AL25&gt;='NILAI CPL'!$B$3,4,AL25&gt;='NILAI CPL'!$B$4,3,AL25&gt;='NILAI CPL'!$B$5,2,AL25&gt;'NILAI CPL'!$B$6,1),0),"")</f>
        <v/>
      </c>
      <c r="BJ25" s="2" t="str" cm="1">
        <f t="array" ref="BJ25">IF('NILAI CPL'!$B25&lt;&gt;"",IFERROR(_xlfn.IFS(AM25&gt;='NILAI CPL'!$B$3,4,AM25&gt;='NILAI CPL'!$B$4,3,AM25&gt;='NILAI CPL'!$B$5,2,AM25&gt;'NILAI CPL'!$B$6,1),0),"")</f>
        <v/>
      </c>
      <c r="BK25" s="2" t="str" cm="1">
        <f t="array" ref="BK25">IF('NILAI CPL'!$B25&lt;&gt;"",IFERROR(_xlfn.IFS(AN25&gt;='NILAI CPL'!$B$3,4,AN25&gt;='NILAI CPL'!$B$4,3,AN25&gt;='NILAI CPL'!$B$5,2,AN25&gt;'NILAI CPL'!$B$6,1),0),"")</f>
        <v/>
      </c>
    </row>
    <row r="26" spans="1:63" x14ac:dyDescent="0.2">
      <c r="A26" s="2">
        <v>16</v>
      </c>
      <c r="B26" s="2" t="str">
        <f>IF(LEN(SUMMARY!B26)&gt;0, SUMMARY!B26, "")</f>
        <v/>
      </c>
      <c r="C26" s="2" t="str">
        <f>IF(LEN(SUMMARY!C26)&gt;0, SUMMARY!C26, "")</f>
        <v/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" t="str">
        <f t="shared" si="2"/>
        <v/>
      </c>
      <c r="S26" s="2" t="str">
        <f t="shared" si="3"/>
        <v/>
      </c>
      <c r="T26" s="2" t="str">
        <f t="shared" si="4"/>
        <v/>
      </c>
      <c r="U26" s="2" t="str">
        <f t="shared" si="5"/>
        <v/>
      </c>
      <c r="V26" s="2" t="str">
        <f t="shared" si="6"/>
        <v/>
      </c>
      <c r="W26" s="2" t="str">
        <f t="shared" si="7"/>
        <v/>
      </c>
      <c r="X26" s="2" t="str">
        <f t="shared" si="8"/>
        <v/>
      </c>
      <c r="Y26" s="2" t="str">
        <f t="shared" si="9"/>
        <v/>
      </c>
      <c r="Z26" s="2" t="str">
        <f t="shared" si="10"/>
        <v/>
      </c>
      <c r="AA26" s="2" t="str">
        <f t="shared" si="11"/>
        <v/>
      </c>
      <c r="AB26" s="2" t="str">
        <f t="shared" si="12"/>
        <v/>
      </c>
      <c r="AC26" s="2" t="str">
        <f t="shared" si="13"/>
        <v/>
      </c>
      <c r="AD26" s="2" t="str">
        <f t="shared" si="14"/>
        <v/>
      </c>
      <c r="AE26" s="2" t="str">
        <f t="shared" si="15"/>
        <v/>
      </c>
      <c r="AF26" s="2" t="str">
        <f t="shared" si="16"/>
        <v/>
      </c>
      <c r="AG26" s="2" t="str">
        <f t="shared" si="17"/>
        <v/>
      </c>
      <c r="AH26" s="2" t="str">
        <f t="shared" si="18"/>
        <v/>
      </c>
      <c r="AI26" s="2" t="str">
        <f t="shared" si="19"/>
        <v/>
      </c>
      <c r="AJ26" s="2" t="str">
        <f t="shared" si="20"/>
        <v/>
      </c>
      <c r="AK26" s="2" t="str">
        <f t="shared" si="21"/>
        <v/>
      </c>
      <c r="AL26" s="2" t="str">
        <f t="shared" si="22"/>
        <v/>
      </c>
      <c r="AM26" s="2" t="str">
        <f t="shared" si="23"/>
        <v/>
      </c>
      <c r="AN26" s="2" t="str">
        <f t="shared" si="24"/>
        <v/>
      </c>
      <c r="AP26" s="2" t="str" cm="1">
        <f t="array" ref="AP26">IF('NILAI CPL'!$B26&lt;&gt;"",IFERROR(_xlfn.IFS(S26&gt;='NILAI CPL'!$B$3,4,S26&gt;='NILAI CPL'!$B$4,3,S26&gt;='NILAI CPL'!$B$5,2,S26&gt;'NILAI CPL'!$B$6,1),0),"")</f>
        <v/>
      </c>
      <c r="AQ26" s="2" t="str" cm="1">
        <f t="array" ref="AQ26">IF('NILAI CPL'!$B26&lt;&gt;"",IFERROR(_xlfn.IFS(T26&gt;='NILAI CPL'!$B$3,4,T26&gt;='NILAI CPL'!$B$4,3,T26&gt;='NILAI CPL'!$B$5,2,T26&gt;'NILAI CPL'!$B$6,1),0),"")</f>
        <v/>
      </c>
      <c r="AR26" s="2" t="str" cm="1">
        <f t="array" ref="AR26">IF('NILAI CPL'!$B26&lt;&gt;"",IFERROR(_xlfn.IFS(U26&gt;='NILAI CPL'!$B$3,4,U26&gt;='NILAI CPL'!$B$4,3,U26&gt;='NILAI CPL'!$B$5,2,U26&gt;'NILAI CPL'!$B$6,1),0),"")</f>
        <v/>
      </c>
      <c r="AS26" s="2" t="str" cm="1">
        <f t="array" ref="AS26">IF('NILAI CPL'!$B26&lt;&gt;"",IFERROR(_xlfn.IFS(V26&gt;='NILAI CPL'!$B$3,4,V26&gt;='NILAI CPL'!$B$4,3,V26&gt;='NILAI CPL'!$B$5,2,V26&gt;'NILAI CPL'!$B$6,1),0),"")</f>
        <v/>
      </c>
      <c r="AT26" s="2" t="str" cm="1">
        <f t="array" ref="AT26">IF('NILAI CPL'!$B26&lt;&gt;"",IFERROR(_xlfn.IFS(W26&gt;='NILAI CPL'!$B$3,4,W26&gt;='NILAI CPL'!$B$4,3,W26&gt;='NILAI CPL'!$B$5,2,W26&gt;'NILAI CPL'!$B$6,1),0),"")</f>
        <v/>
      </c>
      <c r="AU26" s="2" t="str" cm="1">
        <f t="array" ref="AU26">IF('NILAI CPL'!$B26&lt;&gt;"",IFERROR(_xlfn.IFS(X26&gt;='NILAI CPL'!$B$3,4,X26&gt;='NILAI CPL'!$B$4,3,X26&gt;='NILAI CPL'!$B$5,2,X26&gt;'NILAI CPL'!$B$6,1),0),"")</f>
        <v/>
      </c>
      <c r="AV26" s="2" t="str" cm="1">
        <f t="array" ref="AV26">IF('NILAI CPL'!$B26&lt;&gt;"",IFERROR(_xlfn.IFS(Y26&gt;='NILAI CPL'!$B$3,4,Y26&gt;='NILAI CPL'!$B$4,3,Y26&gt;='NILAI CPL'!$B$5,2,Y26&gt;'NILAI CPL'!$B$6,1),0),"")</f>
        <v/>
      </c>
      <c r="AW26" s="2" t="str" cm="1">
        <f t="array" ref="AW26">IF('NILAI CPL'!$B26&lt;&gt;"",IFERROR(_xlfn.IFS(Z26&gt;='NILAI CPL'!$B$3,4,Z26&gt;='NILAI CPL'!$B$4,3,Z26&gt;='NILAI CPL'!$B$5,2,Z26&gt;'NILAI CPL'!$B$6,1),0),"")</f>
        <v/>
      </c>
      <c r="AX26" s="2" t="str" cm="1">
        <f t="array" ref="AX26">IF('NILAI CPL'!$B26&lt;&gt;"",IFERROR(_xlfn.IFS(AA26&gt;='NILAI CPL'!$B$3,4,AA26&gt;='NILAI CPL'!$B$4,3,AA26&gt;='NILAI CPL'!$B$5,2,AA26&gt;'NILAI CPL'!$B$6,1),0),"")</f>
        <v/>
      </c>
      <c r="AY26" s="2" t="str" cm="1">
        <f t="array" ref="AY26">IF('NILAI CPL'!$B26&lt;&gt;"",IFERROR(_xlfn.IFS(AB26&gt;='NILAI CPL'!$B$3,4,AB26&gt;='NILAI CPL'!$B$4,3,AB26&gt;='NILAI CPL'!$B$5,2,AB26&gt;'NILAI CPL'!$B$6,1),0),"")</f>
        <v/>
      </c>
      <c r="AZ26" s="2" t="str" cm="1">
        <f t="array" ref="AZ26">IF('NILAI CPL'!$B26&lt;&gt;"",IFERROR(_xlfn.IFS(AC26&gt;='NILAI CPL'!$B$3,4,AC26&gt;='NILAI CPL'!$B$4,3,AC26&gt;='NILAI CPL'!$B$5,2,AC26&gt;'NILAI CPL'!$B$6,1),0),"")</f>
        <v/>
      </c>
      <c r="BA26" s="2" t="str" cm="1">
        <f t="array" ref="BA26">IF('NILAI CPL'!$B26&lt;&gt;"",IFERROR(_xlfn.IFS(AD26&gt;='NILAI CPL'!$B$3,4,AD26&gt;='NILAI CPL'!$B$4,3,AD26&gt;='NILAI CPL'!$B$5,2,AD26&gt;'NILAI CPL'!$B$6,1),0),"")</f>
        <v/>
      </c>
      <c r="BB26" s="2" t="str" cm="1">
        <f t="array" ref="BB26">IF('NILAI CPL'!$B26&lt;&gt;"",IFERROR(_xlfn.IFS(AE26&gt;='NILAI CPL'!$B$3,4,AE26&gt;='NILAI CPL'!$B$4,3,AE26&gt;='NILAI CPL'!$B$5,2,AE26&gt;'NILAI CPL'!$B$6,1),0),"")</f>
        <v/>
      </c>
      <c r="BC26" s="2" t="str" cm="1">
        <f t="array" ref="BC26">IF('NILAI CPL'!$B26&lt;&gt;"",IFERROR(_xlfn.IFS(AF26&gt;='NILAI CPL'!$B$3,4,AF26&gt;='NILAI CPL'!$B$4,3,AF26&gt;='NILAI CPL'!$B$5,2,AF26&gt;'NILAI CPL'!$B$6,1),0),"")</f>
        <v/>
      </c>
      <c r="BD26" s="2" t="str" cm="1">
        <f t="array" ref="BD26">IF('NILAI CPL'!$B26&lt;&gt;"",IFERROR(_xlfn.IFS(AG26&gt;='NILAI CPL'!$B$3,4,AG26&gt;='NILAI CPL'!$B$4,3,AG26&gt;='NILAI CPL'!$B$5,2,AG26&gt;'NILAI CPL'!$B$6,1),0),"")</f>
        <v/>
      </c>
      <c r="BE26" s="2" t="str" cm="1">
        <f t="array" ref="BE26">IF('NILAI CPL'!$B26&lt;&gt;"",IFERROR(_xlfn.IFS(AH26&gt;='NILAI CPL'!$B$3,4,AH26&gt;='NILAI CPL'!$B$4,3,AH26&gt;='NILAI CPL'!$B$5,2,AH26&gt;'NILAI CPL'!$B$6,1),0),"")</f>
        <v/>
      </c>
      <c r="BF26" s="2" t="str" cm="1">
        <f t="array" ref="BF26">IF('NILAI CPL'!$B26&lt;&gt;"",IFERROR(_xlfn.IFS(AI26&gt;='NILAI CPL'!$B$3,4,AI26&gt;='NILAI CPL'!$B$4,3,AI26&gt;='NILAI CPL'!$B$5,2,AI26&gt;'NILAI CPL'!$B$6,1),0),"")</f>
        <v/>
      </c>
      <c r="BG26" s="2" t="str" cm="1">
        <f t="array" ref="BG26">IF('NILAI CPL'!$B26&lt;&gt;"",IFERROR(_xlfn.IFS(AJ26&gt;='NILAI CPL'!$B$3,4,AJ26&gt;='NILAI CPL'!$B$4,3,AJ26&gt;='NILAI CPL'!$B$5,2,AJ26&gt;'NILAI CPL'!$B$6,1),0),"")</f>
        <v/>
      </c>
      <c r="BH26" s="2" t="str" cm="1">
        <f t="array" ref="BH26">IF('NILAI CPL'!$B26&lt;&gt;"",IFERROR(_xlfn.IFS(AK26&gt;='NILAI CPL'!$B$3,4,AK26&gt;='NILAI CPL'!$B$4,3,AK26&gt;='NILAI CPL'!$B$5,2,AK26&gt;'NILAI CPL'!$B$6,1),0),"")</f>
        <v/>
      </c>
      <c r="BI26" s="2" t="str" cm="1">
        <f t="array" ref="BI26">IF('NILAI CPL'!$B26&lt;&gt;"",IFERROR(_xlfn.IFS(AL26&gt;='NILAI CPL'!$B$3,4,AL26&gt;='NILAI CPL'!$B$4,3,AL26&gt;='NILAI CPL'!$B$5,2,AL26&gt;'NILAI CPL'!$B$6,1),0),"")</f>
        <v/>
      </c>
      <c r="BJ26" s="2" t="str" cm="1">
        <f t="array" ref="BJ26">IF('NILAI CPL'!$B26&lt;&gt;"",IFERROR(_xlfn.IFS(AM26&gt;='NILAI CPL'!$B$3,4,AM26&gt;='NILAI CPL'!$B$4,3,AM26&gt;='NILAI CPL'!$B$5,2,AM26&gt;'NILAI CPL'!$B$6,1),0),"")</f>
        <v/>
      </c>
      <c r="BK26" s="2" t="str" cm="1">
        <f t="array" ref="BK26">IF('NILAI CPL'!$B26&lt;&gt;"",IFERROR(_xlfn.IFS(AN26&gt;='NILAI CPL'!$B$3,4,AN26&gt;='NILAI CPL'!$B$4,3,AN26&gt;='NILAI CPL'!$B$5,2,AN26&gt;'NILAI CPL'!$B$6,1),0),"")</f>
        <v/>
      </c>
    </row>
    <row r="27" spans="1:63" x14ac:dyDescent="0.2">
      <c r="A27" s="2">
        <v>17</v>
      </c>
      <c r="B27" s="2" t="str">
        <f>IF(LEN(SUMMARY!B27)&gt;0, SUMMARY!B27, "")</f>
        <v/>
      </c>
      <c r="C27" s="2" t="str">
        <f>IF(LEN(SUMMARY!C27)&gt;0, SUMMARY!C27, "")</f>
        <v/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" t="str">
        <f t="shared" si="2"/>
        <v/>
      </c>
      <c r="S27" s="2" t="str">
        <f t="shared" si="3"/>
        <v/>
      </c>
      <c r="T27" s="2" t="str">
        <f t="shared" si="4"/>
        <v/>
      </c>
      <c r="U27" s="2" t="str">
        <f t="shared" si="5"/>
        <v/>
      </c>
      <c r="V27" s="2" t="str">
        <f t="shared" si="6"/>
        <v/>
      </c>
      <c r="W27" s="2" t="str">
        <f t="shared" si="7"/>
        <v/>
      </c>
      <c r="X27" s="2" t="str">
        <f t="shared" si="8"/>
        <v/>
      </c>
      <c r="Y27" s="2" t="str">
        <f t="shared" si="9"/>
        <v/>
      </c>
      <c r="Z27" s="2" t="str">
        <f t="shared" si="10"/>
        <v/>
      </c>
      <c r="AA27" s="2" t="str">
        <f t="shared" si="11"/>
        <v/>
      </c>
      <c r="AB27" s="2" t="str">
        <f t="shared" si="12"/>
        <v/>
      </c>
      <c r="AC27" s="2" t="str">
        <f t="shared" si="13"/>
        <v/>
      </c>
      <c r="AD27" s="2" t="str">
        <f t="shared" si="14"/>
        <v/>
      </c>
      <c r="AE27" s="2" t="str">
        <f t="shared" si="15"/>
        <v/>
      </c>
      <c r="AF27" s="2" t="str">
        <f t="shared" si="16"/>
        <v/>
      </c>
      <c r="AG27" s="2" t="str">
        <f t="shared" si="17"/>
        <v/>
      </c>
      <c r="AH27" s="2" t="str">
        <f t="shared" si="18"/>
        <v/>
      </c>
      <c r="AI27" s="2" t="str">
        <f t="shared" si="19"/>
        <v/>
      </c>
      <c r="AJ27" s="2" t="str">
        <f t="shared" si="20"/>
        <v/>
      </c>
      <c r="AK27" s="2" t="str">
        <f t="shared" si="21"/>
        <v/>
      </c>
      <c r="AL27" s="2" t="str">
        <f t="shared" si="22"/>
        <v/>
      </c>
      <c r="AM27" s="2" t="str">
        <f t="shared" si="23"/>
        <v/>
      </c>
      <c r="AN27" s="2" t="str">
        <f t="shared" si="24"/>
        <v/>
      </c>
      <c r="AP27" s="2" t="str" cm="1">
        <f t="array" ref="AP27">IF('NILAI CPL'!$B27&lt;&gt;"",IFERROR(_xlfn.IFS(S27&gt;='NILAI CPL'!$B$3,4,S27&gt;='NILAI CPL'!$B$4,3,S27&gt;='NILAI CPL'!$B$5,2,S27&gt;'NILAI CPL'!$B$6,1),0),"")</f>
        <v/>
      </c>
      <c r="AQ27" s="2" t="str" cm="1">
        <f t="array" ref="AQ27">IF('NILAI CPL'!$B27&lt;&gt;"",IFERROR(_xlfn.IFS(T27&gt;='NILAI CPL'!$B$3,4,T27&gt;='NILAI CPL'!$B$4,3,T27&gt;='NILAI CPL'!$B$5,2,T27&gt;'NILAI CPL'!$B$6,1),0),"")</f>
        <v/>
      </c>
      <c r="AR27" s="2" t="str" cm="1">
        <f t="array" ref="AR27">IF('NILAI CPL'!$B27&lt;&gt;"",IFERROR(_xlfn.IFS(U27&gt;='NILAI CPL'!$B$3,4,U27&gt;='NILAI CPL'!$B$4,3,U27&gt;='NILAI CPL'!$B$5,2,U27&gt;'NILAI CPL'!$B$6,1),0),"")</f>
        <v/>
      </c>
      <c r="AS27" s="2" t="str" cm="1">
        <f t="array" ref="AS27">IF('NILAI CPL'!$B27&lt;&gt;"",IFERROR(_xlfn.IFS(V27&gt;='NILAI CPL'!$B$3,4,V27&gt;='NILAI CPL'!$B$4,3,V27&gt;='NILAI CPL'!$B$5,2,V27&gt;'NILAI CPL'!$B$6,1),0),"")</f>
        <v/>
      </c>
      <c r="AT27" s="2" t="str" cm="1">
        <f t="array" ref="AT27">IF('NILAI CPL'!$B27&lt;&gt;"",IFERROR(_xlfn.IFS(W27&gt;='NILAI CPL'!$B$3,4,W27&gt;='NILAI CPL'!$B$4,3,W27&gt;='NILAI CPL'!$B$5,2,W27&gt;'NILAI CPL'!$B$6,1),0),"")</f>
        <v/>
      </c>
      <c r="AU27" s="2" t="str" cm="1">
        <f t="array" ref="AU27">IF('NILAI CPL'!$B27&lt;&gt;"",IFERROR(_xlfn.IFS(X27&gt;='NILAI CPL'!$B$3,4,X27&gt;='NILAI CPL'!$B$4,3,X27&gt;='NILAI CPL'!$B$5,2,X27&gt;'NILAI CPL'!$B$6,1),0),"")</f>
        <v/>
      </c>
      <c r="AV27" s="2" t="str" cm="1">
        <f t="array" ref="AV27">IF('NILAI CPL'!$B27&lt;&gt;"",IFERROR(_xlfn.IFS(Y27&gt;='NILAI CPL'!$B$3,4,Y27&gt;='NILAI CPL'!$B$4,3,Y27&gt;='NILAI CPL'!$B$5,2,Y27&gt;'NILAI CPL'!$B$6,1),0),"")</f>
        <v/>
      </c>
      <c r="AW27" s="2" t="str" cm="1">
        <f t="array" ref="AW27">IF('NILAI CPL'!$B27&lt;&gt;"",IFERROR(_xlfn.IFS(Z27&gt;='NILAI CPL'!$B$3,4,Z27&gt;='NILAI CPL'!$B$4,3,Z27&gt;='NILAI CPL'!$B$5,2,Z27&gt;'NILAI CPL'!$B$6,1),0),"")</f>
        <v/>
      </c>
      <c r="AX27" s="2" t="str" cm="1">
        <f t="array" ref="AX27">IF('NILAI CPL'!$B27&lt;&gt;"",IFERROR(_xlfn.IFS(AA27&gt;='NILAI CPL'!$B$3,4,AA27&gt;='NILAI CPL'!$B$4,3,AA27&gt;='NILAI CPL'!$B$5,2,AA27&gt;'NILAI CPL'!$B$6,1),0),"")</f>
        <v/>
      </c>
      <c r="AY27" s="2" t="str" cm="1">
        <f t="array" ref="AY27">IF('NILAI CPL'!$B27&lt;&gt;"",IFERROR(_xlfn.IFS(AB27&gt;='NILAI CPL'!$B$3,4,AB27&gt;='NILAI CPL'!$B$4,3,AB27&gt;='NILAI CPL'!$B$5,2,AB27&gt;'NILAI CPL'!$B$6,1),0),"")</f>
        <v/>
      </c>
      <c r="AZ27" s="2" t="str" cm="1">
        <f t="array" ref="AZ27">IF('NILAI CPL'!$B27&lt;&gt;"",IFERROR(_xlfn.IFS(AC27&gt;='NILAI CPL'!$B$3,4,AC27&gt;='NILAI CPL'!$B$4,3,AC27&gt;='NILAI CPL'!$B$5,2,AC27&gt;'NILAI CPL'!$B$6,1),0),"")</f>
        <v/>
      </c>
      <c r="BA27" s="2" t="str" cm="1">
        <f t="array" ref="BA27">IF('NILAI CPL'!$B27&lt;&gt;"",IFERROR(_xlfn.IFS(AD27&gt;='NILAI CPL'!$B$3,4,AD27&gt;='NILAI CPL'!$B$4,3,AD27&gt;='NILAI CPL'!$B$5,2,AD27&gt;'NILAI CPL'!$B$6,1),0),"")</f>
        <v/>
      </c>
      <c r="BB27" s="2" t="str" cm="1">
        <f t="array" ref="BB27">IF('NILAI CPL'!$B27&lt;&gt;"",IFERROR(_xlfn.IFS(AE27&gt;='NILAI CPL'!$B$3,4,AE27&gt;='NILAI CPL'!$B$4,3,AE27&gt;='NILAI CPL'!$B$5,2,AE27&gt;'NILAI CPL'!$B$6,1),0),"")</f>
        <v/>
      </c>
      <c r="BC27" s="2" t="str" cm="1">
        <f t="array" ref="BC27">IF('NILAI CPL'!$B27&lt;&gt;"",IFERROR(_xlfn.IFS(AF27&gt;='NILAI CPL'!$B$3,4,AF27&gt;='NILAI CPL'!$B$4,3,AF27&gt;='NILAI CPL'!$B$5,2,AF27&gt;'NILAI CPL'!$B$6,1),0),"")</f>
        <v/>
      </c>
      <c r="BD27" s="2" t="str" cm="1">
        <f t="array" ref="BD27">IF('NILAI CPL'!$B27&lt;&gt;"",IFERROR(_xlfn.IFS(AG27&gt;='NILAI CPL'!$B$3,4,AG27&gt;='NILAI CPL'!$B$4,3,AG27&gt;='NILAI CPL'!$B$5,2,AG27&gt;'NILAI CPL'!$B$6,1),0),"")</f>
        <v/>
      </c>
      <c r="BE27" s="2" t="str" cm="1">
        <f t="array" ref="BE27">IF('NILAI CPL'!$B27&lt;&gt;"",IFERROR(_xlfn.IFS(AH27&gt;='NILAI CPL'!$B$3,4,AH27&gt;='NILAI CPL'!$B$4,3,AH27&gt;='NILAI CPL'!$B$5,2,AH27&gt;'NILAI CPL'!$B$6,1),0),"")</f>
        <v/>
      </c>
      <c r="BF27" s="2" t="str" cm="1">
        <f t="array" ref="BF27">IF('NILAI CPL'!$B27&lt;&gt;"",IFERROR(_xlfn.IFS(AI27&gt;='NILAI CPL'!$B$3,4,AI27&gt;='NILAI CPL'!$B$4,3,AI27&gt;='NILAI CPL'!$B$5,2,AI27&gt;'NILAI CPL'!$B$6,1),0),"")</f>
        <v/>
      </c>
      <c r="BG27" s="2" t="str" cm="1">
        <f t="array" ref="BG27">IF('NILAI CPL'!$B27&lt;&gt;"",IFERROR(_xlfn.IFS(AJ27&gt;='NILAI CPL'!$B$3,4,AJ27&gt;='NILAI CPL'!$B$4,3,AJ27&gt;='NILAI CPL'!$B$5,2,AJ27&gt;'NILAI CPL'!$B$6,1),0),"")</f>
        <v/>
      </c>
      <c r="BH27" s="2" t="str" cm="1">
        <f t="array" ref="BH27">IF('NILAI CPL'!$B27&lt;&gt;"",IFERROR(_xlfn.IFS(AK27&gt;='NILAI CPL'!$B$3,4,AK27&gt;='NILAI CPL'!$B$4,3,AK27&gt;='NILAI CPL'!$B$5,2,AK27&gt;'NILAI CPL'!$B$6,1),0),"")</f>
        <v/>
      </c>
      <c r="BI27" s="2" t="str" cm="1">
        <f t="array" ref="BI27">IF('NILAI CPL'!$B27&lt;&gt;"",IFERROR(_xlfn.IFS(AL27&gt;='NILAI CPL'!$B$3,4,AL27&gt;='NILAI CPL'!$B$4,3,AL27&gt;='NILAI CPL'!$B$5,2,AL27&gt;'NILAI CPL'!$B$6,1),0),"")</f>
        <v/>
      </c>
      <c r="BJ27" s="2" t="str" cm="1">
        <f t="array" ref="BJ27">IF('NILAI CPL'!$B27&lt;&gt;"",IFERROR(_xlfn.IFS(AM27&gt;='NILAI CPL'!$B$3,4,AM27&gt;='NILAI CPL'!$B$4,3,AM27&gt;='NILAI CPL'!$B$5,2,AM27&gt;'NILAI CPL'!$B$6,1),0),"")</f>
        <v/>
      </c>
      <c r="BK27" s="2" t="str" cm="1">
        <f t="array" ref="BK27">IF('NILAI CPL'!$B27&lt;&gt;"",IFERROR(_xlfn.IFS(AN27&gt;='NILAI CPL'!$B$3,4,AN27&gt;='NILAI CPL'!$B$4,3,AN27&gt;='NILAI CPL'!$B$5,2,AN27&gt;'NILAI CPL'!$B$6,1),0),"")</f>
        <v/>
      </c>
    </row>
    <row r="28" spans="1:63" x14ac:dyDescent="0.2">
      <c r="A28" s="2">
        <v>18</v>
      </c>
      <c r="B28" s="2" t="str">
        <f>IF(LEN(SUMMARY!B28)&gt;0, SUMMARY!B28, "")</f>
        <v/>
      </c>
      <c r="C28" s="2" t="str">
        <f>IF(LEN(SUMMARY!C28)&gt;0, SUMMARY!C28, "")</f>
        <v/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" t="str">
        <f t="shared" si="2"/>
        <v/>
      </c>
      <c r="S28" s="2" t="str">
        <f t="shared" si="3"/>
        <v/>
      </c>
      <c r="T28" s="2" t="str">
        <f t="shared" si="4"/>
        <v/>
      </c>
      <c r="U28" s="2" t="str">
        <f t="shared" si="5"/>
        <v/>
      </c>
      <c r="V28" s="2" t="str">
        <f t="shared" si="6"/>
        <v/>
      </c>
      <c r="W28" s="2" t="str">
        <f t="shared" si="7"/>
        <v/>
      </c>
      <c r="X28" s="2" t="str">
        <f t="shared" si="8"/>
        <v/>
      </c>
      <c r="Y28" s="2" t="str">
        <f t="shared" si="9"/>
        <v/>
      </c>
      <c r="Z28" s="2" t="str">
        <f t="shared" si="10"/>
        <v/>
      </c>
      <c r="AA28" s="2" t="str">
        <f t="shared" si="11"/>
        <v/>
      </c>
      <c r="AB28" s="2" t="str">
        <f t="shared" si="12"/>
        <v/>
      </c>
      <c r="AC28" s="2" t="str">
        <f t="shared" si="13"/>
        <v/>
      </c>
      <c r="AD28" s="2" t="str">
        <f t="shared" si="14"/>
        <v/>
      </c>
      <c r="AE28" s="2" t="str">
        <f t="shared" si="15"/>
        <v/>
      </c>
      <c r="AF28" s="2" t="str">
        <f t="shared" si="16"/>
        <v/>
      </c>
      <c r="AG28" s="2" t="str">
        <f t="shared" si="17"/>
        <v/>
      </c>
      <c r="AH28" s="2" t="str">
        <f t="shared" si="18"/>
        <v/>
      </c>
      <c r="AI28" s="2" t="str">
        <f t="shared" si="19"/>
        <v/>
      </c>
      <c r="AJ28" s="2" t="str">
        <f t="shared" si="20"/>
        <v/>
      </c>
      <c r="AK28" s="2" t="str">
        <f t="shared" si="21"/>
        <v/>
      </c>
      <c r="AL28" s="2" t="str">
        <f t="shared" si="22"/>
        <v/>
      </c>
      <c r="AM28" s="2" t="str">
        <f t="shared" si="23"/>
        <v/>
      </c>
      <c r="AN28" s="2" t="str">
        <f t="shared" si="24"/>
        <v/>
      </c>
      <c r="AP28" s="2" t="str" cm="1">
        <f t="array" ref="AP28">IF('NILAI CPL'!$B28&lt;&gt;"",IFERROR(_xlfn.IFS(S28&gt;='NILAI CPL'!$B$3,4,S28&gt;='NILAI CPL'!$B$4,3,S28&gt;='NILAI CPL'!$B$5,2,S28&gt;'NILAI CPL'!$B$6,1),0),"")</f>
        <v/>
      </c>
      <c r="AQ28" s="2" t="str" cm="1">
        <f t="array" ref="AQ28">IF('NILAI CPL'!$B28&lt;&gt;"",IFERROR(_xlfn.IFS(T28&gt;='NILAI CPL'!$B$3,4,T28&gt;='NILAI CPL'!$B$4,3,T28&gt;='NILAI CPL'!$B$5,2,T28&gt;'NILAI CPL'!$B$6,1),0),"")</f>
        <v/>
      </c>
      <c r="AR28" s="2" t="str" cm="1">
        <f t="array" ref="AR28">IF('NILAI CPL'!$B28&lt;&gt;"",IFERROR(_xlfn.IFS(U28&gt;='NILAI CPL'!$B$3,4,U28&gt;='NILAI CPL'!$B$4,3,U28&gt;='NILAI CPL'!$B$5,2,U28&gt;'NILAI CPL'!$B$6,1),0),"")</f>
        <v/>
      </c>
      <c r="AS28" s="2" t="str" cm="1">
        <f t="array" ref="AS28">IF('NILAI CPL'!$B28&lt;&gt;"",IFERROR(_xlfn.IFS(V28&gt;='NILAI CPL'!$B$3,4,V28&gt;='NILAI CPL'!$B$4,3,V28&gt;='NILAI CPL'!$B$5,2,V28&gt;'NILAI CPL'!$B$6,1),0),"")</f>
        <v/>
      </c>
      <c r="AT28" s="2" t="str" cm="1">
        <f t="array" ref="AT28">IF('NILAI CPL'!$B28&lt;&gt;"",IFERROR(_xlfn.IFS(W28&gt;='NILAI CPL'!$B$3,4,W28&gt;='NILAI CPL'!$B$4,3,W28&gt;='NILAI CPL'!$B$5,2,W28&gt;'NILAI CPL'!$B$6,1),0),"")</f>
        <v/>
      </c>
      <c r="AU28" s="2" t="str" cm="1">
        <f t="array" ref="AU28">IF('NILAI CPL'!$B28&lt;&gt;"",IFERROR(_xlfn.IFS(X28&gt;='NILAI CPL'!$B$3,4,X28&gt;='NILAI CPL'!$B$4,3,X28&gt;='NILAI CPL'!$B$5,2,X28&gt;'NILAI CPL'!$B$6,1),0),"")</f>
        <v/>
      </c>
      <c r="AV28" s="2" t="str" cm="1">
        <f t="array" ref="AV28">IF('NILAI CPL'!$B28&lt;&gt;"",IFERROR(_xlfn.IFS(Y28&gt;='NILAI CPL'!$B$3,4,Y28&gt;='NILAI CPL'!$B$4,3,Y28&gt;='NILAI CPL'!$B$5,2,Y28&gt;'NILAI CPL'!$B$6,1),0),"")</f>
        <v/>
      </c>
      <c r="AW28" s="2" t="str" cm="1">
        <f t="array" ref="AW28">IF('NILAI CPL'!$B28&lt;&gt;"",IFERROR(_xlfn.IFS(Z28&gt;='NILAI CPL'!$B$3,4,Z28&gt;='NILAI CPL'!$B$4,3,Z28&gt;='NILAI CPL'!$B$5,2,Z28&gt;'NILAI CPL'!$B$6,1),0),"")</f>
        <v/>
      </c>
      <c r="AX28" s="2" t="str" cm="1">
        <f t="array" ref="AX28">IF('NILAI CPL'!$B28&lt;&gt;"",IFERROR(_xlfn.IFS(AA28&gt;='NILAI CPL'!$B$3,4,AA28&gt;='NILAI CPL'!$B$4,3,AA28&gt;='NILAI CPL'!$B$5,2,AA28&gt;'NILAI CPL'!$B$6,1),0),"")</f>
        <v/>
      </c>
      <c r="AY28" s="2" t="str" cm="1">
        <f t="array" ref="AY28">IF('NILAI CPL'!$B28&lt;&gt;"",IFERROR(_xlfn.IFS(AB28&gt;='NILAI CPL'!$B$3,4,AB28&gt;='NILAI CPL'!$B$4,3,AB28&gt;='NILAI CPL'!$B$5,2,AB28&gt;'NILAI CPL'!$B$6,1),0),"")</f>
        <v/>
      </c>
      <c r="AZ28" s="2" t="str" cm="1">
        <f t="array" ref="AZ28">IF('NILAI CPL'!$B28&lt;&gt;"",IFERROR(_xlfn.IFS(AC28&gt;='NILAI CPL'!$B$3,4,AC28&gt;='NILAI CPL'!$B$4,3,AC28&gt;='NILAI CPL'!$B$5,2,AC28&gt;'NILAI CPL'!$B$6,1),0),"")</f>
        <v/>
      </c>
      <c r="BA28" s="2" t="str" cm="1">
        <f t="array" ref="BA28">IF('NILAI CPL'!$B28&lt;&gt;"",IFERROR(_xlfn.IFS(AD28&gt;='NILAI CPL'!$B$3,4,AD28&gt;='NILAI CPL'!$B$4,3,AD28&gt;='NILAI CPL'!$B$5,2,AD28&gt;'NILAI CPL'!$B$6,1),0),"")</f>
        <v/>
      </c>
      <c r="BB28" s="2" t="str" cm="1">
        <f t="array" ref="BB28">IF('NILAI CPL'!$B28&lt;&gt;"",IFERROR(_xlfn.IFS(AE28&gt;='NILAI CPL'!$B$3,4,AE28&gt;='NILAI CPL'!$B$4,3,AE28&gt;='NILAI CPL'!$B$5,2,AE28&gt;'NILAI CPL'!$B$6,1),0),"")</f>
        <v/>
      </c>
      <c r="BC28" s="2" t="str" cm="1">
        <f t="array" ref="BC28">IF('NILAI CPL'!$B28&lt;&gt;"",IFERROR(_xlfn.IFS(AF28&gt;='NILAI CPL'!$B$3,4,AF28&gt;='NILAI CPL'!$B$4,3,AF28&gt;='NILAI CPL'!$B$5,2,AF28&gt;'NILAI CPL'!$B$6,1),0),"")</f>
        <v/>
      </c>
      <c r="BD28" s="2" t="str" cm="1">
        <f t="array" ref="BD28">IF('NILAI CPL'!$B28&lt;&gt;"",IFERROR(_xlfn.IFS(AG28&gt;='NILAI CPL'!$B$3,4,AG28&gt;='NILAI CPL'!$B$4,3,AG28&gt;='NILAI CPL'!$B$5,2,AG28&gt;'NILAI CPL'!$B$6,1),0),"")</f>
        <v/>
      </c>
      <c r="BE28" s="2" t="str" cm="1">
        <f t="array" ref="BE28">IF('NILAI CPL'!$B28&lt;&gt;"",IFERROR(_xlfn.IFS(AH28&gt;='NILAI CPL'!$B$3,4,AH28&gt;='NILAI CPL'!$B$4,3,AH28&gt;='NILAI CPL'!$B$5,2,AH28&gt;'NILAI CPL'!$B$6,1),0),"")</f>
        <v/>
      </c>
      <c r="BF28" s="2" t="str" cm="1">
        <f t="array" ref="BF28">IF('NILAI CPL'!$B28&lt;&gt;"",IFERROR(_xlfn.IFS(AI28&gt;='NILAI CPL'!$B$3,4,AI28&gt;='NILAI CPL'!$B$4,3,AI28&gt;='NILAI CPL'!$B$5,2,AI28&gt;'NILAI CPL'!$B$6,1),0),"")</f>
        <v/>
      </c>
      <c r="BG28" s="2" t="str" cm="1">
        <f t="array" ref="BG28">IF('NILAI CPL'!$B28&lt;&gt;"",IFERROR(_xlfn.IFS(AJ28&gt;='NILAI CPL'!$B$3,4,AJ28&gt;='NILAI CPL'!$B$4,3,AJ28&gt;='NILAI CPL'!$B$5,2,AJ28&gt;'NILAI CPL'!$B$6,1),0),"")</f>
        <v/>
      </c>
      <c r="BH28" s="2" t="str" cm="1">
        <f t="array" ref="BH28">IF('NILAI CPL'!$B28&lt;&gt;"",IFERROR(_xlfn.IFS(AK28&gt;='NILAI CPL'!$B$3,4,AK28&gt;='NILAI CPL'!$B$4,3,AK28&gt;='NILAI CPL'!$B$5,2,AK28&gt;'NILAI CPL'!$B$6,1),0),"")</f>
        <v/>
      </c>
      <c r="BI28" s="2" t="str" cm="1">
        <f t="array" ref="BI28">IF('NILAI CPL'!$B28&lt;&gt;"",IFERROR(_xlfn.IFS(AL28&gt;='NILAI CPL'!$B$3,4,AL28&gt;='NILAI CPL'!$B$4,3,AL28&gt;='NILAI CPL'!$B$5,2,AL28&gt;'NILAI CPL'!$B$6,1),0),"")</f>
        <v/>
      </c>
      <c r="BJ28" s="2" t="str" cm="1">
        <f t="array" ref="BJ28">IF('NILAI CPL'!$B28&lt;&gt;"",IFERROR(_xlfn.IFS(AM28&gt;='NILAI CPL'!$B$3,4,AM28&gt;='NILAI CPL'!$B$4,3,AM28&gt;='NILAI CPL'!$B$5,2,AM28&gt;'NILAI CPL'!$B$6,1),0),"")</f>
        <v/>
      </c>
      <c r="BK28" s="2" t="str" cm="1">
        <f t="array" ref="BK28">IF('NILAI CPL'!$B28&lt;&gt;"",IFERROR(_xlfn.IFS(AN28&gt;='NILAI CPL'!$B$3,4,AN28&gt;='NILAI CPL'!$B$4,3,AN28&gt;='NILAI CPL'!$B$5,2,AN28&gt;'NILAI CPL'!$B$6,1),0),"")</f>
        <v/>
      </c>
    </row>
    <row r="29" spans="1:63" x14ac:dyDescent="0.2">
      <c r="A29" s="2">
        <v>19</v>
      </c>
      <c r="B29" s="2" t="str">
        <f>IF(LEN(SUMMARY!B29)&gt;0, SUMMARY!B29, "")</f>
        <v/>
      </c>
      <c r="C29" s="2" t="str">
        <f>IF(LEN(SUMMARY!C29)&gt;0, SUMMARY!C29, "")</f>
        <v/>
      </c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" t="str">
        <f t="shared" si="2"/>
        <v/>
      </c>
      <c r="S29" s="2" t="str">
        <f t="shared" si="3"/>
        <v/>
      </c>
      <c r="T29" s="2" t="str">
        <f t="shared" si="4"/>
        <v/>
      </c>
      <c r="U29" s="2" t="str">
        <f t="shared" si="5"/>
        <v/>
      </c>
      <c r="V29" s="2" t="str">
        <f t="shared" si="6"/>
        <v/>
      </c>
      <c r="W29" s="2" t="str">
        <f t="shared" si="7"/>
        <v/>
      </c>
      <c r="X29" s="2" t="str">
        <f t="shared" si="8"/>
        <v/>
      </c>
      <c r="Y29" s="2" t="str">
        <f t="shared" si="9"/>
        <v/>
      </c>
      <c r="Z29" s="2" t="str">
        <f t="shared" si="10"/>
        <v/>
      </c>
      <c r="AA29" s="2" t="str">
        <f t="shared" si="11"/>
        <v/>
      </c>
      <c r="AB29" s="2" t="str">
        <f t="shared" si="12"/>
        <v/>
      </c>
      <c r="AC29" s="2" t="str">
        <f t="shared" si="13"/>
        <v/>
      </c>
      <c r="AD29" s="2" t="str">
        <f t="shared" si="14"/>
        <v/>
      </c>
      <c r="AE29" s="2" t="str">
        <f t="shared" si="15"/>
        <v/>
      </c>
      <c r="AF29" s="2" t="str">
        <f t="shared" si="16"/>
        <v/>
      </c>
      <c r="AG29" s="2" t="str">
        <f t="shared" si="17"/>
        <v/>
      </c>
      <c r="AH29" s="2" t="str">
        <f t="shared" si="18"/>
        <v/>
      </c>
      <c r="AI29" s="2" t="str">
        <f t="shared" si="19"/>
        <v/>
      </c>
      <c r="AJ29" s="2" t="str">
        <f t="shared" si="20"/>
        <v/>
      </c>
      <c r="AK29" s="2" t="str">
        <f t="shared" si="21"/>
        <v/>
      </c>
      <c r="AL29" s="2" t="str">
        <f t="shared" si="22"/>
        <v/>
      </c>
      <c r="AM29" s="2" t="str">
        <f t="shared" si="23"/>
        <v/>
      </c>
      <c r="AN29" s="2" t="str">
        <f t="shared" si="24"/>
        <v/>
      </c>
      <c r="AP29" s="2" t="str" cm="1">
        <f t="array" ref="AP29">IF('NILAI CPL'!$B29&lt;&gt;"",IFERROR(_xlfn.IFS(S29&gt;='NILAI CPL'!$B$3,4,S29&gt;='NILAI CPL'!$B$4,3,S29&gt;='NILAI CPL'!$B$5,2,S29&gt;'NILAI CPL'!$B$6,1),0),"")</f>
        <v/>
      </c>
      <c r="AQ29" s="2" t="str" cm="1">
        <f t="array" ref="AQ29">IF('NILAI CPL'!$B29&lt;&gt;"",IFERROR(_xlfn.IFS(T29&gt;='NILAI CPL'!$B$3,4,T29&gt;='NILAI CPL'!$B$4,3,T29&gt;='NILAI CPL'!$B$5,2,T29&gt;'NILAI CPL'!$B$6,1),0),"")</f>
        <v/>
      </c>
      <c r="AR29" s="2" t="str" cm="1">
        <f t="array" ref="AR29">IF('NILAI CPL'!$B29&lt;&gt;"",IFERROR(_xlfn.IFS(U29&gt;='NILAI CPL'!$B$3,4,U29&gt;='NILAI CPL'!$B$4,3,U29&gt;='NILAI CPL'!$B$5,2,U29&gt;'NILAI CPL'!$B$6,1),0),"")</f>
        <v/>
      </c>
      <c r="AS29" s="2" t="str" cm="1">
        <f t="array" ref="AS29">IF('NILAI CPL'!$B29&lt;&gt;"",IFERROR(_xlfn.IFS(V29&gt;='NILAI CPL'!$B$3,4,V29&gt;='NILAI CPL'!$B$4,3,V29&gt;='NILAI CPL'!$B$5,2,V29&gt;'NILAI CPL'!$B$6,1),0),"")</f>
        <v/>
      </c>
      <c r="AT29" s="2" t="str" cm="1">
        <f t="array" ref="AT29">IF('NILAI CPL'!$B29&lt;&gt;"",IFERROR(_xlfn.IFS(W29&gt;='NILAI CPL'!$B$3,4,W29&gt;='NILAI CPL'!$B$4,3,W29&gt;='NILAI CPL'!$B$5,2,W29&gt;'NILAI CPL'!$B$6,1),0),"")</f>
        <v/>
      </c>
      <c r="AU29" s="2" t="str" cm="1">
        <f t="array" ref="AU29">IF('NILAI CPL'!$B29&lt;&gt;"",IFERROR(_xlfn.IFS(X29&gt;='NILAI CPL'!$B$3,4,X29&gt;='NILAI CPL'!$B$4,3,X29&gt;='NILAI CPL'!$B$5,2,X29&gt;'NILAI CPL'!$B$6,1),0),"")</f>
        <v/>
      </c>
      <c r="AV29" s="2" t="str" cm="1">
        <f t="array" ref="AV29">IF('NILAI CPL'!$B29&lt;&gt;"",IFERROR(_xlfn.IFS(Y29&gt;='NILAI CPL'!$B$3,4,Y29&gt;='NILAI CPL'!$B$4,3,Y29&gt;='NILAI CPL'!$B$5,2,Y29&gt;'NILAI CPL'!$B$6,1),0),"")</f>
        <v/>
      </c>
      <c r="AW29" s="2" t="str" cm="1">
        <f t="array" ref="AW29">IF('NILAI CPL'!$B29&lt;&gt;"",IFERROR(_xlfn.IFS(Z29&gt;='NILAI CPL'!$B$3,4,Z29&gt;='NILAI CPL'!$B$4,3,Z29&gt;='NILAI CPL'!$B$5,2,Z29&gt;'NILAI CPL'!$B$6,1),0),"")</f>
        <v/>
      </c>
      <c r="AX29" s="2" t="str" cm="1">
        <f t="array" ref="AX29">IF('NILAI CPL'!$B29&lt;&gt;"",IFERROR(_xlfn.IFS(AA29&gt;='NILAI CPL'!$B$3,4,AA29&gt;='NILAI CPL'!$B$4,3,AA29&gt;='NILAI CPL'!$B$5,2,AA29&gt;'NILAI CPL'!$B$6,1),0),"")</f>
        <v/>
      </c>
      <c r="AY29" s="2" t="str" cm="1">
        <f t="array" ref="AY29">IF('NILAI CPL'!$B29&lt;&gt;"",IFERROR(_xlfn.IFS(AB29&gt;='NILAI CPL'!$B$3,4,AB29&gt;='NILAI CPL'!$B$4,3,AB29&gt;='NILAI CPL'!$B$5,2,AB29&gt;'NILAI CPL'!$B$6,1),0),"")</f>
        <v/>
      </c>
      <c r="AZ29" s="2" t="str" cm="1">
        <f t="array" ref="AZ29">IF('NILAI CPL'!$B29&lt;&gt;"",IFERROR(_xlfn.IFS(AC29&gt;='NILAI CPL'!$B$3,4,AC29&gt;='NILAI CPL'!$B$4,3,AC29&gt;='NILAI CPL'!$B$5,2,AC29&gt;'NILAI CPL'!$B$6,1),0),"")</f>
        <v/>
      </c>
      <c r="BA29" s="2" t="str" cm="1">
        <f t="array" ref="BA29">IF('NILAI CPL'!$B29&lt;&gt;"",IFERROR(_xlfn.IFS(AD29&gt;='NILAI CPL'!$B$3,4,AD29&gt;='NILAI CPL'!$B$4,3,AD29&gt;='NILAI CPL'!$B$5,2,AD29&gt;'NILAI CPL'!$B$6,1),0),"")</f>
        <v/>
      </c>
      <c r="BB29" s="2" t="str" cm="1">
        <f t="array" ref="BB29">IF('NILAI CPL'!$B29&lt;&gt;"",IFERROR(_xlfn.IFS(AE29&gt;='NILAI CPL'!$B$3,4,AE29&gt;='NILAI CPL'!$B$4,3,AE29&gt;='NILAI CPL'!$B$5,2,AE29&gt;'NILAI CPL'!$B$6,1),0),"")</f>
        <v/>
      </c>
      <c r="BC29" s="2" t="str" cm="1">
        <f t="array" ref="BC29">IF('NILAI CPL'!$B29&lt;&gt;"",IFERROR(_xlfn.IFS(AF29&gt;='NILAI CPL'!$B$3,4,AF29&gt;='NILAI CPL'!$B$4,3,AF29&gt;='NILAI CPL'!$B$5,2,AF29&gt;'NILAI CPL'!$B$6,1),0),"")</f>
        <v/>
      </c>
      <c r="BD29" s="2" t="str" cm="1">
        <f t="array" ref="BD29">IF('NILAI CPL'!$B29&lt;&gt;"",IFERROR(_xlfn.IFS(AG29&gt;='NILAI CPL'!$B$3,4,AG29&gt;='NILAI CPL'!$B$4,3,AG29&gt;='NILAI CPL'!$B$5,2,AG29&gt;'NILAI CPL'!$B$6,1),0),"")</f>
        <v/>
      </c>
      <c r="BE29" s="2" t="str" cm="1">
        <f t="array" ref="BE29">IF('NILAI CPL'!$B29&lt;&gt;"",IFERROR(_xlfn.IFS(AH29&gt;='NILAI CPL'!$B$3,4,AH29&gt;='NILAI CPL'!$B$4,3,AH29&gt;='NILAI CPL'!$B$5,2,AH29&gt;'NILAI CPL'!$B$6,1),0),"")</f>
        <v/>
      </c>
      <c r="BF29" s="2" t="str" cm="1">
        <f t="array" ref="BF29">IF('NILAI CPL'!$B29&lt;&gt;"",IFERROR(_xlfn.IFS(AI29&gt;='NILAI CPL'!$B$3,4,AI29&gt;='NILAI CPL'!$B$4,3,AI29&gt;='NILAI CPL'!$B$5,2,AI29&gt;'NILAI CPL'!$B$6,1),0),"")</f>
        <v/>
      </c>
      <c r="BG29" s="2" t="str" cm="1">
        <f t="array" ref="BG29">IF('NILAI CPL'!$B29&lt;&gt;"",IFERROR(_xlfn.IFS(AJ29&gt;='NILAI CPL'!$B$3,4,AJ29&gt;='NILAI CPL'!$B$4,3,AJ29&gt;='NILAI CPL'!$B$5,2,AJ29&gt;'NILAI CPL'!$B$6,1),0),"")</f>
        <v/>
      </c>
      <c r="BH29" s="2" t="str" cm="1">
        <f t="array" ref="BH29">IF('NILAI CPL'!$B29&lt;&gt;"",IFERROR(_xlfn.IFS(AK29&gt;='NILAI CPL'!$B$3,4,AK29&gt;='NILAI CPL'!$B$4,3,AK29&gt;='NILAI CPL'!$B$5,2,AK29&gt;'NILAI CPL'!$B$6,1),0),"")</f>
        <v/>
      </c>
      <c r="BI29" s="2" t="str" cm="1">
        <f t="array" ref="BI29">IF('NILAI CPL'!$B29&lt;&gt;"",IFERROR(_xlfn.IFS(AL29&gt;='NILAI CPL'!$B$3,4,AL29&gt;='NILAI CPL'!$B$4,3,AL29&gt;='NILAI CPL'!$B$5,2,AL29&gt;'NILAI CPL'!$B$6,1),0),"")</f>
        <v/>
      </c>
      <c r="BJ29" s="2" t="str" cm="1">
        <f t="array" ref="BJ29">IF('NILAI CPL'!$B29&lt;&gt;"",IFERROR(_xlfn.IFS(AM29&gt;='NILAI CPL'!$B$3,4,AM29&gt;='NILAI CPL'!$B$4,3,AM29&gt;='NILAI CPL'!$B$5,2,AM29&gt;'NILAI CPL'!$B$6,1),0),"")</f>
        <v/>
      </c>
      <c r="BK29" s="2" t="str" cm="1">
        <f t="array" ref="BK29">IF('NILAI CPL'!$B29&lt;&gt;"",IFERROR(_xlfn.IFS(AN29&gt;='NILAI CPL'!$B$3,4,AN29&gt;='NILAI CPL'!$B$4,3,AN29&gt;='NILAI CPL'!$B$5,2,AN29&gt;'NILAI CPL'!$B$6,1),0),"")</f>
        <v/>
      </c>
    </row>
    <row r="30" spans="1:63" x14ac:dyDescent="0.2">
      <c r="A30" s="2">
        <v>20</v>
      </c>
      <c r="B30" s="2" t="str">
        <f>IF(LEN(SUMMARY!B30)&gt;0, SUMMARY!B30, "")</f>
        <v/>
      </c>
      <c r="C30" s="2" t="str">
        <f>IF(LEN(SUMMARY!C30)&gt;0, SUMMARY!C30, "")</f>
        <v/>
      </c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" t="str">
        <f t="shared" si="2"/>
        <v/>
      </c>
      <c r="S30" s="2" t="str">
        <f t="shared" si="3"/>
        <v/>
      </c>
      <c r="T30" s="2" t="str">
        <f t="shared" si="4"/>
        <v/>
      </c>
      <c r="U30" s="2" t="str">
        <f t="shared" si="5"/>
        <v/>
      </c>
      <c r="V30" s="2" t="str">
        <f t="shared" si="6"/>
        <v/>
      </c>
      <c r="W30" s="2" t="str">
        <f t="shared" si="7"/>
        <v/>
      </c>
      <c r="X30" s="2" t="str">
        <f t="shared" si="8"/>
        <v/>
      </c>
      <c r="Y30" s="2" t="str">
        <f t="shared" si="9"/>
        <v/>
      </c>
      <c r="Z30" s="2" t="str">
        <f t="shared" si="10"/>
        <v/>
      </c>
      <c r="AA30" s="2" t="str">
        <f t="shared" si="11"/>
        <v/>
      </c>
      <c r="AB30" s="2" t="str">
        <f t="shared" si="12"/>
        <v/>
      </c>
      <c r="AC30" s="2" t="str">
        <f t="shared" si="13"/>
        <v/>
      </c>
      <c r="AD30" s="2" t="str">
        <f t="shared" si="14"/>
        <v/>
      </c>
      <c r="AE30" s="2" t="str">
        <f t="shared" si="15"/>
        <v/>
      </c>
      <c r="AF30" s="2" t="str">
        <f t="shared" si="16"/>
        <v/>
      </c>
      <c r="AG30" s="2" t="str">
        <f t="shared" si="17"/>
        <v/>
      </c>
      <c r="AH30" s="2" t="str">
        <f t="shared" si="18"/>
        <v/>
      </c>
      <c r="AI30" s="2" t="str">
        <f t="shared" si="19"/>
        <v/>
      </c>
      <c r="AJ30" s="2" t="str">
        <f t="shared" si="20"/>
        <v/>
      </c>
      <c r="AK30" s="2" t="str">
        <f t="shared" si="21"/>
        <v/>
      </c>
      <c r="AL30" s="2" t="str">
        <f t="shared" si="22"/>
        <v/>
      </c>
      <c r="AM30" s="2" t="str">
        <f t="shared" si="23"/>
        <v/>
      </c>
      <c r="AN30" s="2" t="str">
        <f t="shared" si="24"/>
        <v/>
      </c>
      <c r="AP30" s="2" t="str" cm="1">
        <f t="array" ref="AP30">IF('NILAI CPL'!$B30&lt;&gt;"",IFERROR(_xlfn.IFS(S30&gt;='NILAI CPL'!$B$3,4,S30&gt;='NILAI CPL'!$B$4,3,S30&gt;='NILAI CPL'!$B$5,2,S30&gt;'NILAI CPL'!$B$6,1),0),"")</f>
        <v/>
      </c>
      <c r="AQ30" s="2" t="str" cm="1">
        <f t="array" ref="AQ30">IF('NILAI CPL'!$B30&lt;&gt;"",IFERROR(_xlfn.IFS(T30&gt;='NILAI CPL'!$B$3,4,T30&gt;='NILAI CPL'!$B$4,3,T30&gt;='NILAI CPL'!$B$5,2,T30&gt;'NILAI CPL'!$B$6,1),0),"")</f>
        <v/>
      </c>
      <c r="AR30" s="2" t="str" cm="1">
        <f t="array" ref="AR30">IF('NILAI CPL'!$B30&lt;&gt;"",IFERROR(_xlfn.IFS(U30&gt;='NILAI CPL'!$B$3,4,U30&gt;='NILAI CPL'!$B$4,3,U30&gt;='NILAI CPL'!$B$5,2,U30&gt;'NILAI CPL'!$B$6,1),0),"")</f>
        <v/>
      </c>
      <c r="AS30" s="2" t="str" cm="1">
        <f t="array" ref="AS30">IF('NILAI CPL'!$B30&lt;&gt;"",IFERROR(_xlfn.IFS(V30&gt;='NILAI CPL'!$B$3,4,V30&gt;='NILAI CPL'!$B$4,3,V30&gt;='NILAI CPL'!$B$5,2,V30&gt;'NILAI CPL'!$B$6,1),0),"")</f>
        <v/>
      </c>
      <c r="AT30" s="2" t="str" cm="1">
        <f t="array" ref="AT30">IF('NILAI CPL'!$B30&lt;&gt;"",IFERROR(_xlfn.IFS(W30&gt;='NILAI CPL'!$B$3,4,W30&gt;='NILAI CPL'!$B$4,3,W30&gt;='NILAI CPL'!$B$5,2,W30&gt;'NILAI CPL'!$B$6,1),0),"")</f>
        <v/>
      </c>
      <c r="AU30" s="2" t="str" cm="1">
        <f t="array" ref="AU30">IF('NILAI CPL'!$B30&lt;&gt;"",IFERROR(_xlfn.IFS(X30&gt;='NILAI CPL'!$B$3,4,X30&gt;='NILAI CPL'!$B$4,3,X30&gt;='NILAI CPL'!$B$5,2,X30&gt;'NILAI CPL'!$B$6,1),0),"")</f>
        <v/>
      </c>
      <c r="AV30" s="2" t="str" cm="1">
        <f t="array" ref="AV30">IF('NILAI CPL'!$B30&lt;&gt;"",IFERROR(_xlfn.IFS(Y30&gt;='NILAI CPL'!$B$3,4,Y30&gt;='NILAI CPL'!$B$4,3,Y30&gt;='NILAI CPL'!$B$5,2,Y30&gt;'NILAI CPL'!$B$6,1),0),"")</f>
        <v/>
      </c>
      <c r="AW30" s="2" t="str" cm="1">
        <f t="array" ref="AW30">IF('NILAI CPL'!$B30&lt;&gt;"",IFERROR(_xlfn.IFS(Z30&gt;='NILAI CPL'!$B$3,4,Z30&gt;='NILAI CPL'!$B$4,3,Z30&gt;='NILAI CPL'!$B$5,2,Z30&gt;'NILAI CPL'!$B$6,1),0),"")</f>
        <v/>
      </c>
      <c r="AX30" s="2" t="str" cm="1">
        <f t="array" ref="AX30">IF('NILAI CPL'!$B30&lt;&gt;"",IFERROR(_xlfn.IFS(AA30&gt;='NILAI CPL'!$B$3,4,AA30&gt;='NILAI CPL'!$B$4,3,AA30&gt;='NILAI CPL'!$B$5,2,AA30&gt;'NILAI CPL'!$B$6,1),0),"")</f>
        <v/>
      </c>
      <c r="AY30" s="2" t="str" cm="1">
        <f t="array" ref="AY30">IF('NILAI CPL'!$B30&lt;&gt;"",IFERROR(_xlfn.IFS(AB30&gt;='NILAI CPL'!$B$3,4,AB30&gt;='NILAI CPL'!$B$4,3,AB30&gt;='NILAI CPL'!$B$5,2,AB30&gt;'NILAI CPL'!$B$6,1),0),"")</f>
        <v/>
      </c>
      <c r="AZ30" s="2" t="str" cm="1">
        <f t="array" ref="AZ30">IF('NILAI CPL'!$B30&lt;&gt;"",IFERROR(_xlfn.IFS(AC30&gt;='NILAI CPL'!$B$3,4,AC30&gt;='NILAI CPL'!$B$4,3,AC30&gt;='NILAI CPL'!$B$5,2,AC30&gt;'NILAI CPL'!$B$6,1),0),"")</f>
        <v/>
      </c>
      <c r="BA30" s="2" t="str" cm="1">
        <f t="array" ref="BA30">IF('NILAI CPL'!$B30&lt;&gt;"",IFERROR(_xlfn.IFS(AD30&gt;='NILAI CPL'!$B$3,4,AD30&gt;='NILAI CPL'!$B$4,3,AD30&gt;='NILAI CPL'!$B$5,2,AD30&gt;'NILAI CPL'!$B$6,1),0),"")</f>
        <v/>
      </c>
      <c r="BB30" s="2" t="str" cm="1">
        <f t="array" ref="BB30">IF('NILAI CPL'!$B30&lt;&gt;"",IFERROR(_xlfn.IFS(AE30&gt;='NILAI CPL'!$B$3,4,AE30&gt;='NILAI CPL'!$B$4,3,AE30&gt;='NILAI CPL'!$B$5,2,AE30&gt;'NILAI CPL'!$B$6,1),0),"")</f>
        <v/>
      </c>
      <c r="BC30" s="2" t="str" cm="1">
        <f t="array" ref="BC30">IF('NILAI CPL'!$B30&lt;&gt;"",IFERROR(_xlfn.IFS(AF30&gt;='NILAI CPL'!$B$3,4,AF30&gt;='NILAI CPL'!$B$4,3,AF30&gt;='NILAI CPL'!$B$5,2,AF30&gt;'NILAI CPL'!$B$6,1),0),"")</f>
        <v/>
      </c>
      <c r="BD30" s="2" t="str" cm="1">
        <f t="array" ref="BD30">IF('NILAI CPL'!$B30&lt;&gt;"",IFERROR(_xlfn.IFS(AG30&gt;='NILAI CPL'!$B$3,4,AG30&gt;='NILAI CPL'!$B$4,3,AG30&gt;='NILAI CPL'!$B$5,2,AG30&gt;'NILAI CPL'!$B$6,1),0),"")</f>
        <v/>
      </c>
      <c r="BE30" s="2" t="str" cm="1">
        <f t="array" ref="BE30">IF('NILAI CPL'!$B30&lt;&gt;"",IFERROR(_xlfn.IFS(AH30&gt;='NILAI CPL'!$B$3,4,AH30&gt;='NILAI CPL'!$B$4,3,AH30&gt;='NILAI CPL'!$B$5,2,AH30&gt;'NILAI CPL'!$B$6,1),0),"")</f>
        <v/>
      </c>
      <c r="BF30" s="2" t="str" cm="1">
        <f t="array" ref="BF30">IF('NILAI CPL'!$B30&lt;&gt;"",IFERROR(_xlfn.IFS(AI30&gt;='NILAI CPL'!$B$3,4,AI30&gt;='NILAI CPL'!$B$4,3,AI30&gt;='NILAI CPL'!$B$5,2,AI30&gt;'NILAI CPL'!$B$6,1),0),"")</f>
        <v/>
      </c>
      <c r="BG30" s="2" t="str" cm="1">
        <f t="array" ref="BG30">IF('NILAI CPL'!$B30&lt;&gt;"",IFERROR(_xlfn.IFS(AJ30&gt;='NILAI CPL'!$B$3,4,AJ30&gt;='NILAI CPL'!$B$4,3,AJ30&gt;='NILAI CPL'!$B$5,2,AJ30&gt;'NILAI CPL'!$B$6,1),0),"")</f>
        <v/>
      </c>
      <c r="BH30" s="2" t="str" cm="1">
        <f t="array" ref="BH30">IF('NILAI CPL'!$B30&lt;&gt;"",IFERROR(_xlfn.IFS(AK30&gt;='NILAI CPL'!$B$3,4,AK30&gt;='NILAI CPL'!$B$4,3,AK30&gt;='NILAI CPL'!$B$5,2,AK30&gt;'NILAI CPL'!$B$6,1),0),"")</f>
        <v/>
      </c>
      <c r="BI30" s="2" t="str" cm="1">
        <f t="array" ref="BI30">IF('NILAI CPL'!$B30&lt;&gt;"",IFERROR(_xlfn.IFS(AL30&gt;='NILAI CPL'!$B$3,4,AL30&gt;='NILAI CPL'!$B$4,3,AL30&gt;='NILAI CPL'!$B$5,2,AL30&gt;'NILAI CPL'!$B$6,1),0),"")</f>
        <v/>
      </c>
      <c r="BJ30" s="2" t="str" cm="1">
        <f t="array" ref="BJ30">IF('NILAI CPL'!$B30&lt;&gt;"",IFERROR(_xlfn.IFS(AM30&gt;='NILAI CPL'!$B$3,4,AM30&gt;='NILAI CPL'!$B$4,3,AM30&gt;='NILAI CPL'!$B$5,2,AM30&gt;'NILAI CPL'!$B$6,1),0),"")</f>
        <v/>
      </c>
      <c r="BK30" s="2" t="str" cm="1">
        <f t="array" ref="BK30">IF('NILAI CPL'!$B30&lt;&gt;"",IFERROR(_xlfn.IFS(AN30&gt;='NILAI CPL'!$B$3,4,AN30&gt;='NILAI CPL'!$B$4,3,AN30&gt;='NILAI CPL'!$B$5,2,AN30&gt;'NILAI CPL'!$B$6,1),0),"")</f>
        <v/>
      </c>
    </row>
    <row r="31" spans="1:63" x14ac:dyDescent="0.2">
      <c r="A31" s="2">
        <v>21</v>
      </c>
      <c r="B31" s="2" t="str">
        <f>IF(LEN(SUMMARY!B31)&gt;0, SUMMARY!B31, "")</f>
        <v/>
      </c>
      <c r="C31" s="2" t="str">
        <f>IF(LEN(SUMMARY!C31)&gt;0, SUMMARY!C31, "")</f>
        <v/>
      </c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" t="str">
        <f t="shared" si="2"/>
        <v/>
      </c>
      <c r="S31" s="2" t="str">
        <f t="shared" si="3"/>
        <v/>
      </c>
      <c r="T31" s="2" t="str">
        <f t="shared" si="4"/>
        <v/>
      </c>
      <c r="U31" s="2" t="str">
        <f t="shared" si="5"/>
        <v/>
      </c>
      <c r="V31" s="2" t="str">
        <f t="shared" si="6"/>
        <v/>
      </c>
      <c r="W31" s="2" t="str">
        <f t="shared" si="7"/>
        <v/>
      </c>
      <c r="X31" s="2" t="str">
        <f t="shared" si="8"/>
        <v/>
      </c>
      <c r="Y31" s="2" t="str">
        <f t="shared" si="9"/>
        <v/>
      </c>
      <c r="Z31" s="2" t="str">
        <f t="shared" si="10"/>
        <v/>
      </c>
      <c r="AA31" s="2" t="str">
        <f t="shared" si="11"/>
        <v/>
      </c>
      <c r="AB31" s="2" t="str">
        <f t="shared" si="12"/>
        <v/>
      </c>
      <c r="AC31" s="2" t="str">
        <f t="shared" si="13"/>
        <v/>
      </c>
      <c r="AD31" s="2" t="str">
        <f t="shared" si="14"/>
        <v/>
      </c>
      <c r="AE31" s="2" t="str">
        <f t="shared" si="15"/>
        <v/>
      </c>
      <c r="AF31" s="2" t="str">
        <f t="shared" si="16"/>
        <v/>
      </c>
      <c r="AG31" s="2" t="str">
        <f t="shared" si="17"/>
        <v/>
      </c>
      <c r="AH31" s="2" t="str">
        <f t="shared" si="18"/>
        <v/>
      </c>
      <c r="AI31" s="2" t="str">
        <f t="shared" si="19"/>
        <v/>
      </c>
      <c r="AJ31" s="2" t="str">
        <f t="shared" si="20"/>
        <v/>
      </c>
      <c r="AK31" s="2" t="str">
        <f t="shared" si="21"/>
        <v/>
      </c>
      <c r="AL31" s="2" t="str">
        <f t="shared" si="22"/>
        <v/>
      </c>
      <c r="AM31" s="2" t="str">
        <f t="shared" si="23"/>
        <v/>
      </c>
      <c r="AN31" s="2" t="str">
        <f t="shared" si="24"/>
        <v/>
      </c>
      <c r="AP31" s="2" t="str" cm="1">
        <f t="array" ref="AP31">IF('NILAI CPL'!$B31&lt;&gt;"",IFERROR(_xlfn.IFS(S31&gt;='NILAI CPL'!$B$3,4,S31&gt;='NILAI CPL'!$B$4,3,S31&gt;='NILAI CPL'!$B$5,2,S31&gt;'NILAI CPL'!$B$6,1),0),"")</f>
        <v/>
      </c>
      <c r="AQ31" s="2" t="str" cm="1">
        <f t="array" ref="AQ31">IF('NILAI CPL'!$B31&lt;&gt;"",IFERROR(_xlfn.IFS(T31&gt;='NILAI CPL'!$B$3,4,T31&gt;='NILAI CPL'!$B$4,3,T31&gt;='NILAI CPL'!$B$5,2,T31&gt;'NILAI CPL'!$B$6,1),0),"")</f>
        <v/>
      </c>
      <c r="AR31" s="2" t="str" cm="1">
        <f t="array" ref="AR31">IF('NILAI CPL'!$B31&lt;&gt;"",IFERROR(_xlfn.IFS(U31&gt;='NILAI CPL'!$B$3,4,U31&gt;='NILAI CPL'!$B$4,3,U31&gt;='NILAI CPL'!$B$5,2,U31&gt;'NILAI CPL'!$B$6,1),0),"")</f>
        <v/>
      </c>
      <c r="AS31" s="2" t="str" cm="1">
        <f t="array" ref="AS31">IF('NILAI CPL'!$B31&lt;&gt;"",IFERROR(_xlfn.IFS(V31&gt;='NILAI CPL'!$B$3,4,V31&gt;='NILAI CPL'!$B$4,3,V31&gt;='NILAI CPL'!$B$5,2,V31&gt;'NILAI CPL'!$B$6,1),0),"")</f>
        <v/>
      </c>
      <c r="AT31" s="2" t="str" cm="1">
        <f t="array" ref="AT31">IF('NILAI CPL'!$B31&lt;&gt;"",IFERROR(_xlfn.IFS(W31&gt;='NILAI CPL'!$B$3,4,W31&gt;='NILAI CPL'!$B$4,3,W31&gt;='NILAI CPL'!$B$5,2,W31&gt;'NILAI CPL'!$B$6,1),0),"")</f>
        <v/>
      </c>
      <c r="AU31" s="2" t="str" cm="1">
        <f t="array" ref="AU31">IF('NILAI CPL'!$B31&lt;&gt;"",IFERROR(_xlfn.IFS(X31&gt;='NILAI CPL'!$B$3,4,X31&gt;='NILAI CPL'!$B$4,3,X31&gt;='NILAI CPL'!$B$5,2,X31&gt;'NILAI CPL'!$B$6,1),0),"")</f>
        <v/>
      </c>
      <c r="AV31" s="2" t="str" cm="1">
        <f t="array" ref="AV31">IF('NILAI CPL'!$B31&lt;&gt;"",IFERROR(_xlfn.IFS(Y31&gt;='NILAI CPL'!$B$3,4,Y31&gt;='NILAI CPL'!$B$4,3,Y31&gt;='NILAI CPL'!$B$5,2,Y31&gt;'NILAI CPL'!$B$6,1),0),"")</f>
        <v/>
      </c>
      <c r="AW31" s="2" t="str" cm="1">
        <f t="array" ref="AW31">IF('NILAI CPL'!$B31&lt;&gt;"",IFERROR(_xlfn.IFS(Z31&gt;='NILAI CPL'!$B$3,4,Z31&gt;='NILAI CPL'!$B$4,3,Z31&gt;='NILAI CPL'!$B$5,2,Z31&gt;'NILAI CPL'!$B$6,1),0),"")</f>
        <v/>
      </c>
      <c r="AX31" s="2" t="str" cm="1">
        <f t="array" ref="AX31">IF('NILAI CPL'!$B31&lt;&gt;"",IFERROR(_xlfn.IFS(AA31&gt;='NILAI CPL'!$B$3,4,AA31&gt;='NILAI CPL'!$B$4,3,AA31&gt;='NILAI CPL'!$B$5,2,AA31&gt;'NILAI CPL'!$B$6,1),0),"")</f>
        <v/>
      </c>
      <c r="AY31" s="2" t="str" cm="1">
        <f t="array" ref="AY31">IF('NILAI CPL'!$B31&lt;&gt;"",IFERROR(_xlfn.IFS(AB31&gt;='NILAI CPL'!$B$3,4,AB31&gt;='NILAI CPL'!$B$4,3,AB31&gt;='NILAI CPL'!$B$5,2,AB31&gt;'NILAI CPL'!$B$6,1),0),"")</f>
        <v/>
      </c>
      <c r="AZ31" s="2" t="str" cm="1">
        <f t="array" ref="AZ31">IF('NILAI CPL'!$B31&lt;&gt;"",IFERROR(_xlfn.IFS(AC31&gt;='NILAI CPL'!$B$3,4,AC31&gt;='NILAI CPL'!$B$4,3,AC31&gt;='NILAI CPL'!$B$5,2,AC31&gt;'NILAI CPL'!$B$6,1),0),"")</f>
        <v/>
      </c>
      <c r="BA31" s="2" t="str" cm="1">
        <f t="array" ref="BA31">IF('NILAI CPL'!$B31&lt;&gt;"",IFERROR(_xlfn.IFS(AD31&gt;='NILAI CPL'!$B$3,4,AD31&gt;='NILAI CPL'!$B$4,3,AD31&gt;='NILAI CPL'!$B$5,2,AD31&gt;'NILAI CPL'!$B$6,1),0),"")</f>
        <v/>
      </c>
      <c r="BB31" s="2" t="str" cm="1">
        <f t="array" ref="BB31">IF('NILAI CPL'!$B31&lt;&gt;"",IFERROR(_xlfn.IFS(AE31&gt;='NILAI CPL'!$B$3,4,AE31&gt;='NILAI CPL'!$B$4,3,AE31&gt;='NILAI CPL'!$B$5,2,AE31&gt;'NILAI CPL'!$B$6,1),0),"")</f>
        <v/>
      </c>
      <c r="BC31" s="2" t="str" cm="1">
        <f t="array" ref="BC31">IF('NILAI CPL'!$B31&lt;&gt;"",IFERROR(_xlfn.IFS(AF31&gt;='NILAI CPL'!$B$3,4,AF31&gt;='NILAI CPL'!$B$4,3,AF31&gt;='NILAI CPL'!$B$5,2,AF31&gt;'NILAI CPL'!$B$6,1),0),"")</f>
        <v/>
      </c>
      <c r="BD31" s="2" t="str" cm="1">
        <f t="array" ref="BD31">IF('NILAI CPL'!$B31&lt;&gt;"",IFERROR(_xlfn.IFS(AG31&gt;='NILAI CPL'!$B$3,4,AG31&gt;='NILAI CPL'!$B$4,3,AG31&gt;='NILAI CPL'!$B$5,2,AG31&gt;'NILAI CPL'!$B$6,1),0),"")</f>
        <v/>
      </c>
      <c r="BE31" s="2" t="str" cm="1">
        <f t="array" ref="BE31">IF('NILAI CPL'!$B31&lt;&gt;"",IFERROR(_xlfn.IFS(AH31&gt;='NILAI CPL'!$B$3,4,AH31&gt;='NILAI CPL'!$B$4,3,AH31&gt;='NILAI CPL'!$B$5,2,AH31&gt;'NILAI CPL'!$B$6,1),0),"")</f>
        <v/>
      </c>
      <c r="BF31" s="2" t="str" cm="1">
        <f t="array" ref="BF31">IF('NILAI CPL'!$B31&lt;&gt;"",IFERROR(_xlfn.IFS(AI31&gt;='NILAI CPL'!$B$3,4,AI31&gt;='NILAI CPL'!$B$4,3,AI31&gt;='NILAI CPL'!$B$5,2,AI31&gt;'NILAI CPL'!$B$6,1),0),"")</f>
        <v/>
      </c>
      <c r="BG31" s="2" t="str" cm="1">
        <f t="array" ref="BG31">IF('NILAI CPL'!$B31&lt;&gt;"",IFERROR(_xlfn.IFS(AJ31&gt;='NILAI CPL'!$B$3,4,AJ31&gt;='NILAI CPL'!$B$4,3,AJ31&gt;='NILAI CPL'!$B$5,2,AJ31&gt;'NILAI CPL'!$B$6,1),0),"")</f>
        <v/>
      </c>
      <c r="BH31" s="2" t="str" cm="1">
        <f t="array" ref="BH31">IF('NILAI CPL'!$B31&lt;&gt;"",IFERROR(_xlfn.IFS(AK31&gt;='NILAI CPL'!$B$3,4,AK31&gt;='NILAI CPL'!$B$4,3,AK31&gt;='NILAI CPL'!$B$5,2,AK31&gt;'NILAI CPL'!$B$6,1),0),"")</f>
        <v/>
      </c>
      <c r="BI31" s="2" t="str" cm="1">
        <f t="array" ref="BI31">IF('NILAI CPL'!$B31&lt;&gt;"",IFERROR(_xlfn.IFS(AL31&gt;='NILAI CPL'!$B$3,4,AL31&gt;='NILAI CPL'!$B$4,3,AL31&gt;='NILAI CPL'!$B$5,2,AL31&gt;'NILAI CPL'!$B$6,1),0),"")</f>
        <v/>
      </c>
      <c r="BJ31" s="2" t="str" cm="1">
        <f t="array" ref="BJ31">IF('NILAI CPL'!$B31&lt;&gt;"",IFERROR(_xlfn.IFS(AM31&gt;='NILAI CPL'!$B$3,4,AM31&gt;='NILAI CPL'!$B$4,3,AM31&gt;='NILAI CPL'!$B$5,2,AM31&gt;'NILAI CPL'!$B$6,1),0),"")</f>
        <v/>
      </c>
      <c r="BK31" s="2" t="str" cm="1">
        <f t="array" ref="BK31">IF('NILAI CPL'!$B31&lt;&gt;"",IFERROR(_xlfn.IFS(AN31&gt;='NILAI CPL'!$B$3,4,AN31&gt;='NILAI CPL'!$B$4,3,AN31&gt;='NILAI CPL'!$B$5,2,AN31&gt;'NILAI CPL'!$B$6,1),0),"")</f>
        <v/>
      </c>
    </row>
    <row r="32" spans="1:63" x14ac:dyDescent="0.2">
      <c r="A32" s="2">
        <v>22</v>
      </c>
      <c r="B32" s="2" t="str">
        <f>IF(LEN(SUMMARY!B32)&gt;0, SUMMARY!B32, "")</f>
        <v/>
      </c>
      <c r="C32" s="2" t="str">
        <f>IF(LEN(SUMMARY!C32)&gt;0, SUMMARY!C32, "")</f>
        <v/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" t="str">
        <f t="shared" si="2"/>
        <v/>
      </c>
      <c r="S32" s="2" t="str">
        <f t="shared" si="3"/>
        <v/>
      </c>
      <c r="T32" s="2" t="str">
        <f t="shared" si="4"/>
        <v/>
      </c>
      <c r="U32" s="2" t="str">
        <f t="shared" si="5"/>
        <v/>
      </c>
      <c r="V32" s="2" t="str">
        <f t="shared" si="6"/>
        <v/>
      </c>
      <c r="W32" s="2" t="str">
        <f t="shared" si="7"/>
        <v/>
      </c>
      <c r="X32" s="2" t="str">
        <f t="shared" si="8"/>
        <v/>
      </c>
      <c r="Y32" s="2" t="str">
        <f t="shared" si="9"/>
        <v/>
      </c>
      <c r="Z32" s="2" t="str">
        <f t="shared" si="10"/>
        <v/>
      </c>
      <c r="AA32" s="2" t="str">
        <f t="shared" si="11"/>
        <v/>
      </c>
      <c r="AB32" s="2" t="str">
        <f t="shared" si="12"/>
        <v/>
      </c>
      <c r="AC32" s="2" t="str">
        <f t="shared" si="13"/>
        <v/>
      </c>
      <c r="AD32" s="2" t="str">
        <f t="shared" si="14"/>
        <v/>
      </c>
      <c r="AE32" s="2" t="str">
        <f t="shared" si="15"/>
        <v/>
      </c>
      <c r="AF32" s="2" t="str">
        <f t="shared" si="16"/>
        <v/>
      </c>
      <c r="AG32" s="2" t="str">
        <f t="shared" si="17"/>
        <v/>
      </c>
      <c r="AH32" s="2" t="str">
        <f t="shared" si="18"/>
        <v/>
      </c>
      <c r="AI32" s="2" t="str">
        <f t="shared" si="19"/>
        <v/>
      </c>
      <c r="AJ32" s="2" t="str">
        <f t="shared" si="20"/>
        <v/>
      </c>
      <c r="AK32" s="2" t="str">
        <f t="shared" si="21"/>
        <v/>
      </c>
      <c r="AL32" s="2" t="str">
        <f t="shared" si="22"/>
        <v/>
      </c>
      <c r="AM32" s="2" t="str">
        <f t="shared" si="23"/>
        <v/>
      </c>
      <c r="AN32" s="2" t="str">
        <f t="shared" si="24"/>
        <v/>
      </c>
      <c r="AP32" s="2" t="str" cm="1">
        <f t="array" ref="AP32">IF('NILAI CPL'!$B32&lt;&gt;"",IFERROR(_xlfn.IFS(S32&gt;='NILAI CPL'!$B$3,4,S32&gt;='NILAI CPL'!$B$4,3,S32&gt;='NILAI CPL'!$B$5,2,S32&gt;'NILAI CPL'!$B$6,1),0),"")</f>
        <v/>
      </c>
      <c r="AQ32" s="2" t="str" cm="1">
        <f t="array" ref="AQ32">IF('NILAI CPL'!$B32&lt;&gt;"",IFERROR(_xlfn.IFS(T32&gt;='NILAI CPL'!$B$3,4,T32&gt;='NILAI CPL'!$B$4,3,T32&gt;='NILAI CPL'!$B$5,2,T32&gt;'NILAI CPL'!$B$6,1),0),"")</f>
        <v/>
      </c>
      <c r="AR32" s="2" t="str" cm="1">
        <f t="array" ref="AR32">IF('NILAI CPL'!$B32&lt;&gt;"",IFERROR(_xlfn.IFS(U32&gt;='NILAI CPL'!$B$3,4,U32&gt;='NILAI CPL'!$B$4,3,U32&gt;='NILAI CPL'!$B$5,2,U32&gt;'NILAI CPL'!$B$6,1),0),"")</f>
        <v/>
      </c>
      <c r="AS32" s="2" t="str" cm="1">
        <f t="array" ref="AS32">IF('NILAI CPL'!$B32&lt;&gt;"",IFERROR(_xlfn.IFS(V32&gt;='NILAI CPL'!$B$3,4,V32&gt;='NILAI CPL'!$B$4,3,V32&gt;='NILAI CPL'!$B$5,2,V32&gt;'NILAI CPL'!$B$6,1),0),"")</f>
        <v/>
      </c>
      <c r="AT32" s="2" t="str" cm="1">
        <f t="array" ref="AT32">IF('NILAI CPL'!$B32&lt;&gt;"",IFERROR(_xlfn.IFS(W32&gt;='NILAI CPL'!$B$3,4,W32&gt;='NILAI CPL'!$B$4,3,W32&gt;='NILAI CPL'!$B$5,2,W32&gt;'NILAI CPL'!$B$6,1),0),"")</f>
        <v/>
      </c>
      <c r="AU32" s="2" t="str" cm="1">
        <f t="array" ref="AU32">IF('NILAI CPL'!$B32&lt;&gt;"",IFERROR(_xlfn.IFS(X32&gt;='NILAI CPL'!$B$3,4,X32&gt;='NILAI CPL'!$B$4,3,X32&gt;='NILAI CPL'!$B$5,2,X32&gt;'NILAI CPL'!$B$6,1),0),"")</f>
        <v/>
      </c>
      <c r="AV32" s="2" t="str" cm="1">
        <f t="array" ref="AV32">IF('NILAI CPL'!$B32&lt;&gt;"",IFERROR(_xlfn.IFS(Y32&gt;='NILAI CPL'!$B$3,4,Y32&gt;='NILAI CPL'!$B$4,3,Y32&gt;='NILAI CPL'!$B$5,2,Y32&gt;'NILAI CPL'!$B$6,1),0),"")</f>
        <v/>
      </c>
      <c r="AW32" s="2" t="str" cm="1">
        <f t="array" ref="AW32">IF('NILAI CPL'!$B32&lt;&gt;"",IFERROR(_xlfn.IFS(Z32&gt;='NILAI CPL'!$B$3,4,Z32&gt;='NILAI CPL'!$B$4,3,Z32&gt;='NILAI CPL'!$B$5,2,Z32&gt;'NILAI CPL'!$B$6,1),0),"")</f>
        <v/>
      </c>
      <c r="AX32" s="2" t="str" cm="1">
        <f t="array" ref="AX32">IF('NILAI CPL'!$B32&lt;&gt;"",IFERROR(_xlfn.IFS(AA32&gt;='NILAI CPL'!$B$3,4,AA32&gt;='NILAI CPL'!$B$4,3,AA32&gt;='NILAI CPL'!$B$5,2,AA32&gt;'NILAI CPL'!$B$6,1),0),"")</f>
        <v/>
      </c>
      <c r="AY32" s="2" t="str" cm="1">
        <f t="array" ref="AY32">IF('NILAI CPL'!$B32&lt;&gt;"",IFERROR(_xlfn.IFS(AB32&gt;='NILAI CPL'!$B$3,4,AB32&gt;='NILAI CPL'!$B$4,3,AB32&gt;='NILAI CPL'!$B$5,2,AB32&gt;'NILAI CPL'!$B$6,1),0),"")</f>
        <v/>
      </c>
      <c r="AZ32" s="2" t="str" cm="1">
        <f t="array" ref="AZ32">IF('NILAI CPL'!$B32&lt;&gt;"",IFERROR(_xlfn.IFS(AC32&gt;='NILAI CPL'!$B$3,4,AC32&gt;='NILAI CPL'!$B$4,3,AC32&gt;='NILAI CPL'!$B$5,2,AC32&gt;'NILAI CPL'!$B$6,1),0),"")</f>
        <v/>
      </c>
      <c r="BA32" s="2" t="str" cm="1">
        <f t="array" ref="BA32">IF('NILAI CPL'!$B32&lt;&gt;"",IFERROR(_xlfn.IFS(AD32&gt;='NILAI CPL'!$B$3,4,AD32&gt;='NILAI CPL'!$B$4,3,AD32&gt;='NILAI CPL'!$B$5,2,AD32&gt;'NILAI CPL'!$B$6,1),0),"")</f>
        <v/>
      </c>
      <c r="BB32" s="2" t="str" cm="1">
        <f t="array" ref="BB32">IF('NILAI CPL'!$B32&lt;&gt;"",IFERROR(_xlfn.IFS(AE32&gt;='NILAI CPL'!$B$3,4,AE32&gt;='NILAI CPL'!$B$4,3,AE32&gt;='NILAI CPL'!$B$5,2,AE32&gt;'NILAI CPL'!$B$6,1),0),"")</f>
        <v/>
      </c>
      <c r="BC32" s="2" t="str" cm="1">
        <f t="array" ref="BC32">IF('NILAI CPL'!$B32&lt;&gt;"",IFERROR(_xlfn.IFS(AF32&gt;='NILAI CPL'!$B$3,4,AF32&gt;='NILAI CPL'!$B$4,3,AF32&gt;='NILAI CPL'!$B$5,2,AF32&gt;'NILAI CPL'!$B$6,1),0),"")</f>
        <v/>
      </c>
      <c r="BD32" s="2" t="str" cm="1">
        <f t="array" ref="BD32">IF('NILAI CPL'!$B32&lt;&gt;"",IFERROR(_xlfn.IFS(AG32&gt;='NILAI CPL'!$B$3,4,AG32&gt;='NILAI CPL'!$B$4,3,AG32&gt;='NILAI CPL'!$B$5,2,AG32&gt;'NILAI CPL'!$B$6,1),0),"")</f>
        <v/>
      </c>
      <c r="BE32" s="2" t="str" cm="1">
        <f t="array" ref="BE32">IF('NILAI CPL'!$B32&lt;&gt;"",IFERROR(_xlfn.IFS(AH32&gt;='NILAI CPL'!$B$3,4,AH32&gt;='NILAI CPL'!$B$4,3,AH32&gt;='NILAI CPL'!$B$5,2,AH32&gt;'NILAI CPL'!$B$6,1),0),"")</f>
        <v/>
      </c>
      <c r="BF32" s="2" t="str" cm="1">
        <f t="array" ref="BF32">IF('NILAI CPL'!$B32&lt;&gt;"",IFERROR(_xlfn.IFS(AI32&gt;='NILAI CPL'!$B$3,4,AI32&gt;='NILAI CPL'!$B$4,3,AI32&gt;='NILAI CPL'!$B$5,2,AI32&gt;'NILAI CPL'!$B$6,1),0),"")</f>
        <v/>
      </c>
      <c r="BG32" s="2" t="str" cm="1">
        <f t="array" ref="BG32">IF('NILAI CPL'!$B32&lt;&gt;"",IFERROR(_xlfn.IFS(AJ32&gt;='NILAI CPL'!$B$3,4,AJ32&gt;='NILAI CPL'!$B$4,3,AJ32&gt;='NILAI CPL'!$B$5,2,AJ32&gt;'NILAI CPL'!$B$6,1),0),"")</f>
        <v/>
      </c>
      <c r="BH32" s="2" t="str" cm="1">
        <f t="array" ref="BH32">IF('NILAI CPL'!$B32&lt;&gt;"",IFERROR(_xlfn.IFS(AK32&gt;='NILAI CPL'!$B$3,4,AK32&gt;='NILAI CPL'!$B$4,3,AK32&gt;='NILAI CPL'!$B$5,2,AK32&gt;'NILAI CPL'!$B$6,1),0),"")</f>
        <v/>
      </c>
      <c r="BI32" s="2" t="str" cm="1">
        <f t="array" ref="BI32">IF('NILAI CPL'!$B32&lt;&gt;"",IFERROR(_xlfn.IFS(AL32&gt;='NILAI CPL'!$B$3,4,AL32&gt;='NILAI CPL'!$B$4,3,AL32&gt;='NILAI CPL'!$B$5,2,AL32&gt;'NILAI CPL'!$B$6,1),0),"")</f>
        <v/>
      </c>
      <c r="BJ32" s="2" t="str" cm="1">
        <f t="array" ref="BJ32">IF('NILAI CPL'!$B32&lt;&gt;"",IFERROR(_xlfn.IFS(AM32&gt;='NILAI CPL'!$B$3,4,AM32&gt;='NILAI CPL'!$B$4,3,AM32&gt;='NILAI CPL'!$B$5,2,AM32&gt;'NILAI CPL'!$B$6,1),0),"")</f>
        <v/>
      </c>
      <c r="BK32" s="2" t="str" cm="1">
        <f t="array" ref="BK32">IF('NILAI CPL'!$B32&lt;&gt;"",IFERROR(_xlfn.IFS(AN32&gt;='NILAI CPL'!$B$3,4,AN32&gt;='NILAI CPL'!$B$4,3,AN32&gt;='NILAI CPL'!$B$5,2,AN32&gt;'NILAI CPL'!$B$6,1),0),"")</f>
        <v/>
      </c>
    </row>
    <row r="33" spans="1:63" x14ac:dyDescent="0.2">
      <c r="A33" s="2">
        <v>23</v>
      </c>
      <c r="B33" s="2" t="str">
        <f>IF(LEN(SUMMARY!B33)&gt;0, SUMMARY!B33, "")</f>
        <v/>
      </c>
      <c r="C33" s="2" t="str">
        <f>IF(LEN(SUMMARY!C33)&gt;0, SUMMARY!C33, "")</f>
        <v/>
      </c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" t="str">
        <f t="shared" si="2"/>
        <v/>
      </c>
      <c r="S33" s="2" t="str">
        <f t="shared" si="3"/>
        <v/>
      </c>
      <c r="T33" s="2" t="str">
        <f t="shared" si="4"/>
        <v/>
      </c>
      <c r="U33" s="2" t="str">
        <f t="shared" si="5"/>
        <v/>
      </c>
      <c r="V33" s="2" t="str">
        <f t="shared" si="6"/>
        <v/>
      </c>
      <c r="W33" s="2" t="str">
        <f t="shared" si="7"/>
        <v/>
      </c>
      <c r="X33" s="2" t="str">
        <f t="shared" si="8"/>
        <v/>
      </c>
      <c r="Y33" s="2" t="str">
        <f t="shared" si="9"/>
        <v/>
      </c>
      <c r="Z33" s="2" t="str">
        <f t="shared" si="10"/>
        <v/>
      </c>
      <c r="AA33" s="2" t="str">
        <f t="shared" si="11"/>
        <v/>
      </c>
      <c r="AB33" s="2" t="str">
        <f t="shared" si="12"/>
        <v/>
      </c>
      <c r="AC33" s="2" t="str">
        <f t="shared" si="13"/>
        <v/>
      </c>
      <c r="AD33" s="2" t="str">
        <f t="shared" si="14"/>
        <v/>
      </c>
      <c r="AE33" s="2" t="str">
        <f t="shared" si="15"/>
        <v/>
      </c>
      <c r="AF33" s="2" t="str">
        <f t="shared" si="16"/>
        <v/>
      </c>
      <c r="AG33" s="2" t="str">
        <f t="shared" si="17"/>
        <v/>
      </c>
      <c r="AH33" s="2" t="str">
        <f t="shared" si="18"/>
        <v/>
      </c>
      <c r="AI33" s="2" t="str">
        <f t="shared" si="19"/>
        <v/>
      </c>
      <c r="AJ33" s="2" t="str">
        <f t="shared" si="20"/>
        <v/>
      </c>
      <c r="AK33" s="2" t="str">
        <f t="shared" si="21"/>
        <v/>
      </c>
      <c r="AL33" s="2" t="str">
        <f t="shared" si="22"/>
        <v/>
      </c>
      <c r="AM33" s="2" t="str">
        <f t="shared" si="23"/>
        <v/>
      </c>
      <c r="AN33" s="2" t="str">
        <f t="shared" si="24"/>
        <v/>
      </c>
      <c r="AP33" s="2" t="str" cm="1">
        <f t="array" ref="AP33">IF('NILAI CPL'!$B33&lt;&gt;"",IFERROR(_xlfn.IFS(S33&gt;='NILAI CPL'!$B$3,4,S33&gt;='NILAI CPL'!$B$4,3,S33&gt;='NILAI CPL'!$B$5,2,S33&gt;'NILAI CPL'!$B$6,1),0),"")</f>
        <v/>
      </c>
      <c r="AQ33" s="2" t="str" cm="1">
        <f t="array" ref="AQ33">IF('NILAI CPL'!$B33&lt;&gt;"",IFERROR(_xlfn.IFS(T33&gt;='NILAI CPL'!$B$3,4,T33&gt;='NILAI CPL'!$B$4,3,T33&gt;='NILAI CPL'!$B$5,2,T33&gt;'NILAI CPL'!$B$6,1),0),"")</f>
        <v/>
      </c>
      <c r="AR33" s="2" t="str" cm="1">
        <f t="array" ref="AR33">IF('NILAI CPL'!$B33&lt;&gt;"",IFERROR(_xlfn.IFS(U33&gt;='NILAI CPL'!$B$3,4,U33&gt;='NILAI CPL'!$B$4,3,U33&gt;='NILAI CPL'!$B$5,2,U33&gt;'NILAI CPL'!$B$6,1),0),"")</f>
        <v/>
      </c>
      <c r="AS33" s="2" t="str" cm="1">
        <f t="array" ref="AS33">IF('NILAI CPL'!$B33&lt;&gt;"",IFERROR(_xlfn.IFS(V33&gt;='NILAI CPL'!$B$3,4,V33&gt;='NILAI CPL'!$B$4,3,V33&gt;='NILAI CPL'!$B$5,2,V33&gt;'NILAI CPL'!$B$6,1),0),"")</f>
        <v/>
      </c>
      <c r="AT33" s="2" t="str" cm="1">
        <f t="array" ref="AT33">IF('NILAI CPL'!$B33&lt;&gt;"",IFERROR(_xlfn.IFS(W33&gt;='NILAI CPL'!$B$3,4,W33&gt;='NILAI CPL'!$B$4,3,W33&gt;='NILAI CPL'!$B$5,2,W33&gt;'NILAI CPL'!$B$6,1),0),"")</f>
        <v/>
      </c>
      <c r="AU33" s="2" t="str" cm="1">
        <f t="array" ref="AU33">IF('NILAI CPL'!$B33&lt;&gt;"",IFERROR(_xlfn.IFS(X33&gt;='NILAI CPL'!$B$3,4,X33&gt;='NILAI CPL'!$B$4,3,X33&gt;='NILAI CPL'!$B$5,2,X33&gt;'NILAI CPL'!$B$6,1),0),"")</f>
        <v/>
      </c>
      <c r="AV33" s="2" t="str" cm="1">
        <f t="array" ref="AV33">IF('NILAI CPL'!$B33&lt;&gt;"",IFERROR(_xlfn.IFS(Y33&gt;='NILAI CPL'!$B$3,4,Y33&gt;='NILAI CPL'!$B$4,3,Y33&gt;='NILAI CPL'!$B$5,2,Y33&gt;'NILAI CPL'!$B$6,1),0),"")</f>
        <v/>
      </c>
      <c r="AW33" s="2" t="str" cm="1">
        <f t="array" ref="AW33">IF('NILAI CPL'!$B33&lt;&gt;"",IFERROR(_xlfn.IFS(Z33&gt;='NILAI CPL'!$B$3,4,Z33&gt;='NILAI CPL'!$B$4,3,Z33&gt;='NILAI CPL'!$B$5,2,Z33&gt;'NILAI CPL'!$B$6,1),0),"")</f>
        <v/>
      </c>
      <c r="AX33" s="2" t="str" cm="1">
        <f t="array" ref="AX33">IF('NILAI CPL'!$B33&lt;&gt;"",IFERROR(_xlfn.IFS(AA33&gt;='NILAI CPL'!$B$3,4,AA33&gt;='NILAI CPL'!$B$4,3,AA33&gt;='NILAI CPL'!$B$5,2,AA33&gt;'NILAI CPL'!$B$6,1),0),"")</f>
        <v/>
      </c>
      <c r="AY33" s="2" t="str" cm="1">
        <f t="array" ref="AY33">IF('NILAI CPL'!$B33&lt;&gt;"",IFERROR(_xlfn.IFS(AB33&gt;='NILAI CPL'!$B$3,4,AB33&gt;='NILAI CPL'!$B$4,3,AB33&gt;='NILAI CPL'!$B$5,2,AB33&gt;'NILAI CPL'!$B$6,1),0),"")</f>
        <v/>
      </c>
      <c r="AZ33" s="2" t="str" cm="1">
        <f t="array" ref="AZ33">IF('NILAI CPL'!$B33&lt;&gt;"",IFERROR(_xlfn.IFS(AC33&gt;='NILAI CPL'!$B$3,4,AC33&gt;='NILAI CPL'!$B$4,3,AC33&gt;='NILAI CPL'!$B$5,2,AC33&gt;'NILAI CPL'!$B$6,1),0),"")</f>
        <v/>
      </c>
      <c r="BA33" s="2" t="str" cm="1">
        <f t="array" ref="BA33">IF('NILAI CPL'!$B33&lt;&gt;"",IFERROR(_xlfn.IFS(AD33&gt;='NILAI CPL'!$B$3,4,AD33&gt;='NILAI CPL'!$B$4,3,AD33&gt;='NILAI CPL'!$B$5,2,AD33&gt;'NILAI CPL'!$B$6,1),0),"")</f>
        <v/>
      </c>
      <c r="BB33" s="2" t="str" cm="1">
        <f t="array" ref="BB33">IF('NILAI CPL'!$B33&lt;&gt;"",IFERROR(_xlfn.IFS(AE33&gt;='NILAI CPL'!$B$3,4,AE33&gt;='NILAI CPL'!$B$4,3,AE33&gt;='NILAI CPL'!$B$5,2,AE33&gt;'NILAI CPL'!$B$6,1),0),"")</f>
        <v/>
      </c>
      <c r="BC33" s="2" t="str" cm="1">
        <f t="array" ref="BC33">IF('NILAI CPL'!$B33&lt;&gt;"",IFERROR(_xlfn.IFS(AF33&gt;='NILAI CPL'!$B$3,4,AF33&gt;='NILAI CPL'!$B$4,3,AF33&gt;='NILAI CPL'!$B$5,2,AF33&gt;'NILAI CPL'!$B$6,1),0),"")</f>
        <v/>
      </c>
      <c r="BD33" s="2" t="str" cm="1">
        <f t="array" ref="BD33">IF('NILAI CPL'!$B33&lt;&gt;"",IFERROR(_xlfn.IFS(AG33&gt;='NILAI CPL'!$B$3,4,AG33&gt;='NILAI CPL'!$B$4,3,AG33&gt;='NILAI CPL'!$B$5,2,AG33&gt;'NILAI CPL'!$B$6,1),0),"")</f>
        <v/>
      </c>
      <c r="BE33" s="2" t="str" cm="1">
        <f t="array" ref="BE33">IF('NILAI CPL'!$B33&lt;&gt;"",IFERROR(_xlfn.IFS(AH33&gt;='NILAI CPL'!$B$3,4,AH33&gt;='NILAI CPL'!$B$4,3,AH33&gt;='NILAI CPL'!$B$5,2,AH33&gt;'NILAI CPL'!$B$6,1),0),"")</f>
        <v/>
      </c>
      <c r="BF33" s="2" t="str" cm="1">
        <f t="array" ref="BF33">IF('NILAI CPL'!$B33&lt;&gt;"",IFERROR(_xlfn.IFS(AI33&gt;='NILAI CPL'!$B$3,4,AI33&gt;='NILAI CPL'!$B$4,3,AI33&gt;='NILAI CPL'!$B$5,2,AI33&gt;'NILAI CPL'!$B$6,1),0),"")</f>
        <v/>
      </c>
      <c r="BG33" s="2" t="str" cm="1">
        <f t="array" ref="BG33">IF('NILAI CPL'!$B33&lt;&gt;"",IFERROR(_xlfn.IFS(AJ33&gt;='NILAI CPL'!$B$3,4,AJ33&gt;='NILAI CPL'!$B$4,3,AJ33&gt;='NILAI CPL'!$B$5,2,AJ33&gt;'NILAI CPL'!$B$6,1),0),"")</f>
        <v/>
      </c>
      <c r="BH33" s="2" t="str" cm="1">
        <f t="array" ref="BH33">IF('NILAI CPL'!$B33&lt;&gt;"",IFERROR(_xlfn.IFS(AK33&gt;='NILAI CPL'!$B$3,4,AK33&gt;='NILAI CPL'!$B$4,3,AK33&gt;='NILAI CPL'!$B$5,2,AK33&gt;'NILAI CPL'!$B$6,1),0),"")</f>
        <v/>
      </c>
      <c r="BI33" s="2" t="str" cm="1">
        <f t="array" ref="BI33">IF('NILAI CPL'!$B33&lt;&gt;"",IFERROR(_xlfn.IFS(AL33&gt;='NILAI CPL'!$B$3,4,AL33&gt;='NILAI CPL'!$B$4,3,AL33&gt;='NILAI CPL'!$B$5,2,AL33&gt;'NILAI CPL'!$B$6,1),0),"")</f>
        <v/>
      </c>
      <c r="BJ33" s="2" t="str" cm="1">
        <f t="array" ref="BJ33">IF('NILAI CPL'!$B33&lt;&gt;"",IFERROR(_xlfn.IFS(AM33&gt;='NILAI CPL'!$B$3,4,AM33&gt;='NILAI CPL'!$B$4,3,AM33&gt;='NILAI CPL'!$B$5,2,AM33&gt;'NILAI CPL'!$B$6,1),0),"")</f>
        <v/>
      </c>
      <c r="BK33" s="2" t="str" cm="1">
        <f t="array" ref="BK33">IF('NILAI CPL'!$B33&lt;&gt;"",IFERROR(_xlfn.IFS(AN33&gt;='NILAI CPL'!$B$3,4,AN33&gt;='NILAI CPL'!$B$4,3,AN33&gt;='NILAI CPL'!$B$5,2,AN33&gt;'NILAI CPL'!$B$6,1),0),"")</f>
        <v/>
      </c>
    </row>
    <row r="34" spans="1:63" x14ac:dyDescent="0.2">
      <c r="A34" s="2">
        <v>24</v>
      </c>
      <c r="B34" s="2" t="str">
        <f>IF(LEN(SUMMARY!B34)&gt;0, SUMMARY!B34, "")</f>
        <v/>
      </c>
      <c r="C34" s="2" t="str">
        <f>IF(LEN(SUMMARY!C34)&gt;0, SUMMARY!C34, "")</f>
        <v/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" t="str">
        <f t="shared" si="2"/>
        <v/>
      </c>
      <c r="S34" s="2" t="str">
        <f t="shared" si="3"/>
        <v/>
      </c>
      <c r="T34" s="2" t="str">
        <f t="shared" si="4"/>
        <v/>
      </c>
      <c r="U34" s="2" t="str">
        <f t="shared" si="5"/>
        <v/>
      </c>
      <c r="V34" s="2" t="str">
        <f t="shared" si="6"/>
        <v/>
      </c>
      <c r="W34" s="2" t="str">
        <f t="shared" si="7"/>
        <v/>
      </c>
      <c r="X34" s="2" t="str">
        <f t="shared" si="8"/>
        <v/>
      </c>
      <c r="Y34" s="2" t="str">
        <f t="shared" si="9"/>
        <v/>
      </c>
      <c r="Z34" s="2" t="str">
        <f t="shared" si="10"/>
        <v/>
      </c>
      <c r="AA34" s="2" t="str">
        <f t="shared" si="11"/>
        <v/>
      </c>
      <c r="AB34" s="2" t="str">
        <f t="shared" si="12"/>
        <v/>
      </c>
      <c r="AC34" s="2" t="str">
        <f t="shared" si="13"/>
        <v/>
      </c>
      <c r="AD34" s="2" t="str">
        <f t="shared" si="14"/>
        <v/>
      </c>
      <c r="AE34" s="2" t="str">
        <f t="shared" si="15"/>
        <v/>
      </c>
      <c r="AF34" s="2" t="str">
        <f t="shared" si="16"/>
        <v/>
      </c>
      <c r="AG34" s="2" t="str">
        <f t="shared" si="17"/>
        <v/>
      </c>
      <c r="AH34" s="2" t="str">
        <f t="shared" si="18"/>
        <v/>
      </c>
      <c r="AI34" s="2" t="str">
        <f t="shared" si="19"/>
        <v/>
      </c>
      <c r="AJ34" s="2" t="str">
        <f t="shared" si="20"/>
        <v/>
      </c>
      <c r="AK34" s="2" t="str">
        <f t="shared" si="21"/>
        <v/>
      </c>
      <c r="AL34" s="2" t="str">
        <f t="shared" si="22"/>
        <v/>
      </c>
      <c r="AM34" s="2" t="str">
        <f t="shared" si="23"/>
        <v/>
      </c>
      <c r="AN34" s="2" t="str">
        <f t="shared" si="24"/>
        <v/>
      </c>
      <c r="AP34" s="2" t="str" cm="1">
        <f t="array" ref="AP34">IF('NILAI CPL'!$B34&lt;&gt;"",IFERROR(_xlfn.IFS(S34&gt;='NILAI CPL'!$B$3,4,S34&gt;='NILAI CPL'!$B$4,3,S34&gt;='NILAI CPL'!$B$5,2,S34&gt;'NILAI CPL'!$B$6,1),0),"")</f>
        <v/>
      </c>
      <c r="AQ34" s="2" t="str" cm="1">
        <f t="array" ref="AQ34">IF('NILAI CPL'!$B34&lt;&gt;"",IFERROR(_xlfn.IFS(T34&gt;='NILAI CPL'!$B$3,4,T34&gt;='NILAI CPL'!$B$4,3,T34&gt;='NILAI CPL'!$B$5,2,T34&gt;'NILAI CPL'!$B$6,1),0),"")</f>
        <v/>
      </c>
      <c r="AR34" s="2" t="str" cm="1">
        <f t="array" ref="AR34">IF('NILAI CPL'!$B34&lt;&gt;"",IFERROR(_xlfn.IFS(U34&gt;='NILAI CPL'!$B$3,4,U34&gt;='NILAI CPL'!$B$4,3,U34&gt;='NILAI CPL'!$B$5,2,U34&gt;'NILAI CPL'!$B$6,1),0),"")</f>
        <v/>
      </c>
      <c r="AS34" s="2" t="str" cm="1">
        <f t="array" ref="AS34">IF('NILAI CPL'!$B34&lt;&gt;"",IFERROR(_xlfn.IFS(V34&gt;='NILAI CPL'!$B$3,4,V34&gt;='NILAI CPL'!$B$4,3,V34&gt;='NILAI CPL'!$B$5,2,V34&gt;'NILAI CPL'!$B$6,1),0),"")</f>
        <v/>
      </c>
      <c r="AT34" s="2" t="str" cm="1">
        <f t="array" ref="AT34">IF('NILAI CPL'!$B34&lt;&gt;"",IFERROR(_xlfn.IFS(W34&gt;='NILAI CPL'!$B$3,4,W34&gt;='NILAI CPL'!$B$4,3,W34&gt;='NILAI CPL'!$B$5,2,W34&gt;'NILAI CPL'!$B$6,1),0),"")</f>
        <v/>
      </c>
      <c r="AU34" s="2" t="str" cm="1">
        <f t="array" ref="AU34">IF('NILAI CPL'!$B34&lt;&gt;"",IFERROR(_xlfn.IFS(X34&gt;='NILAI CPL'!$B$3,4,X34&gt;='NILAI CPL'!$B$4,3,X34&gt;='NILAI CPL'!$B$5,2,X34&gt;'NILAI CPL'!$B$6,1),0),"")</f>
        <v/>
      </c>
      <c r="AV34" s="2" t="str" cm="1">
        <f t="array" ref="AV34">IF('NILAI CPL'!$B34&lt;&gt;"",IFERROR(_xlfn.IFS(Y34&gt;='NILAI CPL'!$B$3,4,Y34&gt;='NILAI CPL'!$B$4,3,Y34&gt;='NILAI CPL'!$B$5,2,Y34&gt;'NILAI CPL'!$B$6,1),0),"")</f>
        <v/>
      </c>
      <c r="AW34" s="2" t="str" cm="1">
        <f t="array" ref="AW34">IF('NILAI CPL'!$B34&lt;&gt;"",IFERROR(_xlfn.IFS(Z34&gt;='NILAI CPL'!$B$3,4,Z34&gt;='NILAI CPL'!$B$4,3,Z34&gt;='NILAI CPL'!$B$5,2,Z34&gt;'NILAI CPL'!$B$6,1),0),"")</f>
        <v/>
      </c>
      <c r="AX34" s="2" t="str" cm="1">
        <f t="array" ref="AX34">IF('NILAI CPL'!$B34&lt;&gt;"",IFERROR(_xlfn.IFS(AA34&gt;='NILAI CPL'!$B$3,4,AA34&gt;='NILAI CPL'!$B$4,3,AA34&gt;='NILAI CPL'!$B$5,2,AA34&gt;'NILAI CPL'!$B$6,1),0),"")</f>
        <v/>
      </c>
      <c r="AY34" s="2" t="str" cm="1">
        <f t="array" ref="AY34">IF('NILAI CPL'!$B34&lt;&gt;"",IFERROR(_xlfn.IFS(AB34&gt;='NILAI CPL'!$B$3,4,AB34&gt;='NILAI CPL'!$B$4,3,AB34&gt;='NILAI CPL'!$B$5,2,AB34&gt;'NILAI CPL'!$B$6,1),0),"")</f>
        <v/>
      </c>
      <c r="AZ34" s="2" t="str" cm="1">
        <f t="array" ref="AZ34">IF('NILAI CPL'!$B34&lt;&gt;"",IFERROR(_xlfn.IFS(AC34&gt;='NILAI CPL'!$B$3,4,AC34&gt;='NILAI CPL'!$B$4,3,AC34&gt;='NILAI CPL'!$B$5,2,AC34&gt;'NILAI CPL'!$B$6,1),0),"")</f>
        <v/>
      </c>
      <c r="BA34" s="2" t="str" cm="1">
        <f t="array" ref="BA34">IF('NILAI CPL'!$B34&lt;&gt;"",IFERROR(_xlfn.IFS(AD34&gt;='NILAI CPL'!$B$3,4,AD34&gt;='NILAI CPL'!$B$4,3,AD34&gt;='NILAI CPL'!$B$5,2,AD34&gt;'NILAI CPL'!$B$6,1),0),"")</f>
        <v/>
      </c>
      <c r="BB34" s="2" t="str" cm="1">
        <f t="array" ref="BB34">IF('NILAI CPL'!$B34&lt;&gt;"",IFERROR(_xlfn.IFS(AE34&gt;='NILAI CPL'!$B$3,4,AE34&gt;='NILAI CPL'!$B$4,3,AE34&gt;='NILAI CPL'!$B$5,2,AE34&gt;'NILAI CPL'!$B$6,1),0),"")</f>
        <v/>
      </c>
      <c r="BC34" s="2" t="str" cm="1">
        <f t="array" ref="BC34">IF('NILAI CPL'!$B34&lt;&gt;"",IFERROR(_xlfn.IFS(AF34&gt;='NILAI CPL'!$B$3,4,AF34&gt;='NILAI CPL'!$B$4,3,AF34&gt;='NILAI CPL'!$B$5,2,AF34&gt;'NILAI CPL'!$B$6,1),0),"")</f>
        <v/>
      </c>
      <c r="BD34" s="2" t="str" cm="1">
        <f t="array" ref="BD34">IF('NILAI CPL'!$B34&lt;&gt;"",IFERROR(_xlfn.IFS(AG34&gt;='NILAI CPL'!$B$3,4,AG34&gt;='NILAI CPL'!$B$4,3,AG34&gt;='NILAI CPL'!$B$5,2,AG34&gt;'NILAI CPL'!$B$6,1),0),"")</f>
        <v/>
      </c>
      <c r="BE34" s="2" t="str" cm="1">
        <f t="array" ref="BE34">IF('NILAI CPL'!$B34&lt;&gt;"",IFERROR(_xlfn.IFS(AH34&gt;='NILAI CPL'!$B$3,4,AH34&gt;='NILAI CPL'!$B$4,3,AH34&gt;='NILAI CPL'!$B$5,2,AH34&gt;'NILAI CPL'!$B$6,1),0),"")</f>
        <v/>
      </c>
      <c r="BF34" s="2" t="str" cm="1">
        <f t="array" ref="BF34">IF('NILAI CPL'!$B34&lt;&gt;"",IFERROR(_xlfn.IFS(AI34&gt;='NILAI CPL'!$B$3,4,AI34&gt;='NILAI CPL'!$B$4,3,AI34&gt;='NILAI CPL'!$B$5,2,AI34&gt;'NILAI CPL'!$B$6,1),0),"")</f>
        <v/>
      </c>
      <c r="BG34" s="2" t="str" cm="1">
        <f t="array" ref="BG34">IF('NILAI CPL'!$B34&lt;&gt;"",IFERROR(_xlfn.IFS(AJ34&gt;='NILAI CPL'!$B$3,4,AJ34&gt;='NILAI CPL'!$B$4,3,AJ34&gt;='NILAI CPL'!$B$5,2,AJ34&gt;'NILAI CPL'!$B$6,1),0),"")</f>
        <v/>
      </c>
      <c r="BH34" s="2" t="str" cm="1">
        <f t="array" ref="BH34">IF('NILAI CPL'!$B34&lt;&gt;"",IFERROR(_xlfn.IFS(AK34&gt;='NILAI CPL'!$B$3,4,AK34&gt;='NILAI CPL'!$B$4,3,AK34&gt;='NILAI CPL'!$B$5,2,AK34&gt;'NILAI CPL'!$B$6,1),0),"")</f>
        <v/>
      </c>
      <c r="BI34" s="2" t="str" cm="1">
        <f t="array" ref="BI34">IF('NILAI CPL'!$B34&lt;&gt;"",IFERROR(_xlfn.IFS(AL34&gt;='NILAI CPL'!$B$3,4,AL34&gt;='NILAI CPL'!$B$4,3,AL34&gt;='NILAI CPL'!$B$5,2,AL34&gt;'NILAI CPL'!$B$6,1),0),"")</f>
        <v/>
      </c>
      <c r="BJ34" s="2" t="str" cm="1">
        <f t="array" ref="BJ34">IF('NILAI CPL'!$B34&lt;&gt;"",IFERROR(_xlfn.IFS(AM34&gt;='NILAI CPL'!$B$3,4,AM34&gt;='NILAI CPL'!$B$4,3,AM34&gt;='NILAI CPL'!$B$5,2,AM34&gt;'NILAI CPL'!$B$6,1),0),"")</f>
        <v/>
      </c>
      <c r="BK34" s="2" t="str" cm="1">
        <f t="array" ref="BK34">IF('NILAI CPL'!$B34&lt;&gt;"",IFERROR(_xlfn.IFS(AN34&gt;='NILAI CPL'!$B$3,4,AN34&gt;='NILAI CPL'!$B$4,3,AN34&gt;='NILAI CPL'!$B$5,2,AN34&gt;'NILAI CPL'!$B$6,1),0),"")</f>
        <v/>
      </c>
    </row>
    <row r="35" spans="1:63" x14ac:dyDescent="0.2">
      <c r="A35" s="2">
        <v>25</v>
      </c>
      <c r="B35" s="2" t="str">
        <f>IF(LEN(SUMMARY!B35)&gt;0, SUMMARY!B35, "")</f>
        <v/>
      </c>
      <c r="C35" s="2" t="str">
        <f>IF(LEN(SUMMARY!C35)&gt;0, SUMMARY!C35, "")</f>
        <v/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" t="str">
        <f t="shared" si="2"/>
        <v/>
      </c>
      <c r="S35" s="2" t="str">
        <f t="shared" si="3"/>
        <v/>
      </c>
      <c r="T35" s="2" t="str">
        <f t="shared" si="4"/>
        <v/>
      </c>
      <c r="U35" s="2" t="str">
        <f t="shared" si="5"/>
        <v/>
      </c>
      <c r="V35" s="2" t="str">
        <f t="shared" si="6"/>
        <v/>
      </c>
      <c r="W35" s="2" t="str">
        <f t="shared" si="7"/>
        <v/>
      </c>
      <c r="X35" s="2" t="str">
        <f t="shared" si="8"/>
        <v/>
      </c>
      <c r="Y35" s="2" t="str">
        <f t="shared" si="9"/>
        <v/>
      </c>
      <c r="Z35" s="2" t="str">
        <f t="shared" si="10"/>
        <v/>
      </c>
      <c r="AA35" s="2" t="str">
        <f t="shared" si="11"/>
        <v/>
      </c>
      <c r="AB35" s="2" t="str">
        <f t="shared" si="12"/>
        <v/>
      </c>
      <c r="AC35" s="2" t="str">
        <f t="shared" si="13"/>
        <v/>
      </c>
      <c r="AD35" s="2" t="str">
        <f t="shared" si="14"/>
        <v/>
      </c>
      <c r="AE35" s="2" t="str">
        <f t="shared" si="15"/>
        <v/>
      </c>
      <c r="AF35" s="2" t="str">
        <f t="shared" si="16"/>
        <v/>
      </c>
      <c r="AG35" s="2" t="str">
        <f t="shared" si="17"/>
        <v/>
      </c>
      <c r="AH35" s="2" t="str">
        <f t="shared" si="18"/>
        <v/>
      </c>
      <c r="AI35" s="2" t="str">
        <f t="shared" si="19"/>
        <v/>
      </c>
      <c r="AJ35" s="2" t="str">
        <f t="shared" si="20"/>
        <v/>
      </c>
      <c r="AK35" s="2" t="str">
        <f t="shared" si="21"/>
        <v/>
      </c>
      <c r="AL35" s="2" t="str">
        <f t="shared" si="22"/>
        <v/>
      </c>
      <c r="AM35" s="2" t="str">
        <f t="shared" si="23"/>
        <v/>
      </c>
      <c r="AN35" s="2" t="str">
        <f t="shared" si="24"/>
        <v/>
      </c>
      <c r="AP35" s="2" t="str" cm="1">
        <f t="array" ref="AP35">IF('NILAI CPL'!$B35&lt;&gt;"",IFERROR(_xlfn.IFS(S35&gt;='NILAI CPL'!$B$3,4,S35&gt;='NILAI CPL'!$B$4,3,S35&gt;='NILAI CPL'!$B$5,2,S35&gt;'NILAI CPL'!$B$6,1),0),"")</f>
        <v/>
      </c>
      <c r="AQ35" s="2" t="str" cm="1">
        <f t="array" ref="AQ35">IF('NILAI CPL'!$B35&lt;&gt;"",IFERROR(_xlfn.IFS(T35&gt;='NILAI CPL'!$B$3,4,T35&gt;='NILAI CPL'!$B$4,3,T35&gt;='NILAI CPL'!$B$5,2,T35&gt;'NILAI CPL'!$B$6,1),0),"")</f>
        <v/>
      </c>
      <c r="AR35" s="2" t="str" cm="1">
        <f t="array" ref="AR35">IF('NILAI CPL'!$B35&lt;&gt;"",IFERROR(_xlfn.IFS(U35&gt;='NILAI CPL'!$B$3,4,U35&gt;='NILAI CPL'!$B$4,3,U35&gt;='NILAI CPL'!$B$5,2,U35&gt;'NILAI CPL'!$B$6,1),0),"")</f>
        <v/>
      </c>
      <c r="AS35" s="2" t="str" cm="1">
        <f t="array" ref="AS35">IF('NILAI CPL'!$B35&lt;&gt;"",IFERROR(_xlfn.IFS(V35&gt;='NILAI CPL'!$B$3,4,V35&gt;='NILAI CPL'!$B$4,3,V35&gt;='NILAI CPL'!$B$5,2,V35&gt;'NILAI CPL'!$B$6,1),0),"")</f>
        <v/>
      </c>
      <c r="AT35" s="2" t="str" cm="1">
        <f t="array" ref="AT35">IF('NILAI CPL'!$B35&lt;&gt;"",IFERROR(_xlfn.IFS(W35&gt;='NILAI CPL'!$B$3,4,W35&gt;='NILAI CPL'!$B$4,3,W35&gt;='NILAI CPL'!$B$5,2,W35&gt;'NILAI CPL'!$B$6,1),0),"")</f>
        <v/>
      </c>
      <c r="AU35" s="2" t="str" cm="1">
        <f t="array" ref="AU35">IF('NILAI CPL'!$B35&lt;&gt;"",IFERROR(_xlfn.IFS(X35&gt;='NILAI CPL'!$B$3,4,X35&gt;='NILAI CPL'!$B$4,3,X35&gt;='NILAI CPL'!$B$5,2,X35&gt;'NILAI CPL'!$B$6,1),0),"")</f>
        <v/>
      </c>
      <c r="AV35" s="2" t="str" cm="1">
        <f t="array" ref="AV35">IF('NILAI CPL'!$B35&lt;&gt;"",IFERROR(_xlfn.IFS(Y35&gt;='NILAI CPL'!$B$3,4,Y35&gt;='NILAI CPL'!$B$4,3,Y35&gt;='NILAI CPL'!$B$5,2,Y35&gt;'NILAI CPL'!$B$6,1),0),"")</f>
        <v/>
      </c>
      <c r="AW35" s="2" t="str" cm="1">
        <f t="array" ref="AW35">IF('NILAI CPL'!$B35&lt;&gt;"",IFERROR(_xlfn.IFS(Z35&gt;='NILAI CPL'!$B$3,4,Z35&gt;='NILAI CPL'!$B$4,3,Z35&gt;='NILAI CPL'!$B$5,2,Z35&gt;'NILAI CPL'!$B$6,1),0),"")</f>
        <v/>
      </c>
      <c r="AX35" s="2" t="str" cm="1">
        <f t="array" ref="AX35">IF('NILAI CPL'!$B35&lt;&gt;"",IFERROR(_xlfn.IFS(AA35&gt;='NILAI CPL'!$B$3,4,AA35&gt;='NILAI CPL'!$B$4,3,AA35&gt;='NILAI CPL'!$B$5,2,AA35&gt;'NILAI CPL'!$B$6,1),0),"")</f>
        <v/>
      </c>
      <c r="AY35" s="2" t="str" cm="1">
        <f t="array" ref="AY35">IF('NILAI CPL'!$B35&lt;&gt;"",IFERROR(_xlfn.IFS(AB35&gt;='NILAI CPL'!$B$3,4,AB35&gt;='NILAI CPL'!$B$4,3,AB35&gt;='NILAI CPL'!$B$5,2,AB35&gt;'NILAI CPL'!$B$6,1),0),"")</f>
        <v/>
      </c>
      <c r="AZ35" s="2" t="str" cm="1">
        <f t="array" ref="AZ35">IF('NILAI CPL'!$B35&lt;&gt;"",IFERROR(_xlfn.IFS(AC35&gt;='NILAI CPL'!$B$3,4,AC35&gt;='NILAI CPL'!$B$4,3,AC35&gt;='NILAI CPL'!$B$5,2,AC35&gt;'NILAI CPL'!$B$6,1),0),"")</f>
        <v/>
      </c>
      <c r="BA35" s="2" t="str" cm="1">
        <f t="array" ref="BA35">IF('NILAI CPL'!$B35&lt;&gt;"",IFERROR(_xlfn.IFS(AD35&gt;='NILAI CPL'!$B$3,4,AD35&gt;='NILAI CPL'!$B$4,3,AD35&gt;='NILAI CPL'!$B$5,2,AD35&gt;'NILAI CPL'!$B$6,1),0),"")</f>
        <v/>
      </c>
      <c r="BB35" s="2" t="str" cm="1">
        <f t="array" ref="BB35">IF('NILAI CPL'!$B35&lt;&gt;"",IFERROR(_xlfn.IFS(AE35&gt;='NILAI CPL'!$B$3,4,AE35&gt;='NILAI CPL'!$B$4,3,AE35&gt;='NILAI CPL'!$B$5,2,AE35&gt;'NILAI CPL'!$B$6,1),0),"")</f>
        <v/>
      </c>
      <c r="BC35" s="2" t="str" cm="1">
        <f t="array" ref="BC35">IF('NILAI CPL'!$B35&lt;&gt;"",IFERROR(_xlfn.IFS(AF35&gt;='NILAI CPL'!$B$3,4,AF35&gt;='NILAI CPL'!$B$4,3,AF35&gt;='NILAI CPL'!$B$5,2,AF35&gt;'NILAI CPL'!$B$6,1),0),"")</f>
        <v/>
      </c>
      <c r="BD35" s="2" t="str" cm="1">
        <f t="array" ref="BD35">IF('NILAI CPL'!$B35&lt;&gt;"",IFERROR(_xlfn.IFS(AG35&gt;='NILAI CPL'!$B$3,4,AG35&gt;='NILAI CPL'!$B$4,3,AG35&gt;='NILAI CPL'!$B$5,2,AG35&gt;'NILAI CPL'!$B$6,1),0),"")</f>
        <v/>
      </c>
      <c r="BE35" s="2" t="str" cm="1">
        <f t="array" ref="BE35">IF('NILAI CPL'!$B35&lt;&gt;"",IFERROR(_xlfn.IFS(AH35&gt;='NILAI CPL'!$B$3,4,AH35&gt;='NILAI CPL'!$B$4,3,AH35&gt;='NILAI CPL'!$B$5,2,AH35&gt;'NILAI CPL'!$B$6,1),0),"")</f>
        <v/>
      </c>
      <c r="BF35" s="2" t="str" cm="1">
        <f t="array" ref="BF35">IF('NILAI CPL'!$B35&lt;&gt;"",IFERROR(_xlfn.IFS(AI35&gt;='NILAI CPL'!$B$3,4,AI35&gt;='NILAI CPL'!$B$4,3,AI35&gt;='NILAI CPL'!$B$5,2,AI35&gt;'NILAI CPL'!$B$6,1),0),"")</f>
        <v/>
      </c>
      <c r="BG35" s="2" t="str" cm="1">
        <f t="array" ref="BG35">IF('NILAI CPL'!$B35&lt;&gt;"",IFERROR(_xlfn.IFS(AJ35&gt;='NILAI CPL'!$B$3,4,AJ35&gt;='NILAI CPL'!$B$4,3,AJ35&gt;='NILAI CPL'!$B$5,2,AJ35&gt;'NILAI CPL'!$B$6,1),0),"")</f>
        <v/>
      </c>
      <c r="BH35" s="2" t="str" cm="1">
        <f t="array" ref="BH35">IF('NILAI CPL'!$B35&lt;&gt;"",IFERROR(_xlfn.IFS(AK35&gt;='NILAI CPL'!$B$3,4,AK35&gt;='NILAI CPL'!$B$4,3,AK35&gt;='NILAI CPL'!$B$5,2,AK35&gt;'NILAI CPL'!$B$6,1),0),"")</f>
        <v/>
      </c>
      <c r="BI35" s="2" t="str" cm="1">
        <f t="array" ref="BI35">IF('NILAI CPL'!$B35&lt;&gt;"",IFERROR(_xlfn.IFS(AL35&gt;='NILAI CPL'!$B$3,4,AL35&gt;='NILAI CPL'!$B$4,3,AL35&gt;='NILAI CPL'!$B$5,2,AL35&gt;'NILAI CPL'!$B$6,1),0),"")</f>
        <v/>
      </c>
      <c r="BJ35" s="2" t="str" cm="1">
        <f t="array" ref="BJ35">IF('NILAI CPL'!$B35&lt;&gt;"",IFERROR(_xlfn.IFS(AM35&gt;='NILAI CPL'!$B$3,4,AM35&gt;='NILAI CPL'!$B$4,3,AM35&gt;='NILAI CPL'!$B$5,2,AM35&gt;'NILAI CPL'!$B$6,1),0),"")</f>
        <v/>
      </c>
      <c r="BK35" s="2" t="str" cm="1">
        <f t="array" ref="BK35">IF('NILAI CPL'!$B35&lt;&gt;"",IFERROR(_xlfn.IFS(AN35&gt;='NILAI CPL'!$B$3,4,AN35&gt;='NILAI CPL'!$B$4,3,AN35&gt;='NILAI CPL'!$B$5,2,AN35&gt;'NILAI CPL'!$B$6,1),0),"")</f>
        <v/>
      </c>
    </row>
    <row r="36" spans="1:63" x14ac:dyDescent="0.2">
      <c r="A36" s="2">
        <v>26</v>
      </c>
      <c r="B36" s="2" t="str">
        <f>IF(LEN(SUMMARY!B36)&gt;0, SUMMARY!B36, "")</f>
        <v/>
      </c>
      <c r="C36" s="2" t="str">
        <f>IF(LEN(SUMMARY!C36)&gt;0, SUMMARY!C36, "")</f>
        <v/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" t="str">
        <f t="shared" si="2"/>
        <v/>
      </c>
      <c r="S36" s="2" t="str">
        <f t="shared" si="3"/>
        <v/>
      </c>
      <c r="T36" s="2" t="str">
        <f t="shared" si="4"/>
        <v/>
      </c>
      <c r="U36" s="2" t="str">
        <f t="shared" si="5"/>
        <v/>
      </c>
      <c r="V36" s="2" t="str">
        <f t="shared" si="6"/>
        <v/>
      </c>
      <c r="W36" s="2" t="str">
        <f t="shared" si="7"/>
        <v/>
      </c>
      <c r="X36" s="2" t="str">
        <f t="shared" si="8"/>
        <v/>
      </c>
      <c r="Y36" s="2" t="str">
        <f t="shared" si="9"/>
        <v/>
      </c>
      <c r="Z36" s="2" t="str">
        <f t="shared" si="10"/>
        <v/>
      </c>
      <c r="AA36" s="2" t="str">
        <f t="shared" si="11"/>
        <v/>
      </c>
      <c r="AB36" s="2" t="str">
        <f t="shared" si="12"/>
        <v/>
      </c>
      <c r="AC36" s="2" t="str">
        <f t="shared" si="13"/>
        <v/>
      </c>
      <c r="AD36" s="2" t="str">
        <f t="shared" si="14"/>
        <v/>
      </c>
      <c r="AE36" s="2" t="str">
        <f t="shared" si="15"/>
        <v/>
      </c>
      <c r="AF36" s="2" t="str">
        <f t="shared" si="16"/>
        <v/>
      </c>
      <c r="AG36" s="2" t="str">
        <f t="shared" si="17"/>
        <v/>
      </c>
      <c r="AH36" s="2" t="str">
        <f t="shared" si="18"/>
        <v/>
      </c>
      <c r="AI36" s="2" t="str">
        <f t="shared" si="19"/>
        <v/>
      </c>
      <c r="AJ36" s="2" t="str">
        <f t="shared" si="20"/>
        <v/>
      </c>
      <c r="AK36" s="2" t="str">
        <f t="shared" si="21"/>
        <v/>
      </c>
      <c r="AL36" s="2" t="str">
        <f t="shared" si="22"/>
        <v/>
      </c>
      <c r="AM36" s="2" t="str">
        <f t="shared" si="23"/>
        <v/>
      </c>
      <c r="AN36" s="2" t="str">
        <f t="shared" si="24"/>
        <v/>
      </c>
      <c r="AP36" s="2" t="str" cm="1">
        <f t="array" ref="AP36">IF('NILAI CPL'!$B36&lt;&gt;"",IFERROR(_xlfn.IFS(S36&gt;='NILAI CPL'!$B$3,4,S36&gt;='NILAI CPL'!$B$4,3,S36&gt;='NILAI CPL'!$B$5,2,S36&gt;'NILAI CPL'!$B$6,1),0),"")</f>
        <v/>
      </c>
      <c r="AQ36" s="2" t="str" cm="1">
        <f t="array" ref="AQ36">IF('NILAI CPL'!$B36&lt;&gt;"",IFERROR(_xlfn.IFS(T36&gt;='NILAI CPL'!$B$3,4,T36&gt;='NILAI CPL'!$B$4,3,T36&gt;='NILAI CPL'!$B$5,2,T36&gt;'NILAI CPL'!$B$6,1),0),"")</f>
        <v/>
      </c>
      <c r="AR36" s="2" t="str" cm="1">
        <f t="array" ref="AR36">IF('NILAI CPL'!$B36&lt;&gt;"",IFERROR(_xlfn.IFS(U36&gt;='NILAI CPL'!$B$3,4,U36&gt;='NILAI CPL'!$B$4,3,U36&gt;='NILAI CPL'!$B$5,2,U36&gt;'NILAI CPL'!$B$6,1),0),"")</f>
        <v/>
      </c>
      <c r="AS36" s="2" t="str" cm="1">
        <f t="array" ref="AS36">IF('NILAI CPL'!$B36&lt;&gt;"",IFERROR(_xlfn.IFS(V36&gt;='NILAI CPL'!$B$3,4,V36&gt;='NILAI CPL'!$B$4,3,V36&gt;='NILAI CPL'!$B$5,2,V36&gt;'NILAI CPL'!$B$6,1),0),"")</f>
        <v/>
      </c>
      <c r="AT36" s="2" t="str" cm="1">
        <f t="array" ref="AT36">IF('NILAI CPL'!$B36&lt;&gt;"",IFERROR(_xlfn.IFS(W36&gt;='NILAI CPL'!$B$3,4,W36&gt;='NILAI CPL'!$B$4,3,W36&gt;='NILAI CPL'!$B$5,2,W36&gt;'NILAI CPL'!$B$6,1),0),"")</f>
        <v/>
      </c>
      <c r="AU36" s="2" t="str" cm="1">
        <f t="array" ref="AU36">IF('NILAI CPL'!$B36&lt;&gt;"",IFERROR(_xlfn.IFS(X36&gt;='NILAI CPL'!$B$3,4,X36&gt;='NILAI CPL'!$B$4,3,X36&gt;='NILAI CPL'!$B$5,2,X36&gt;'NILAI CPL'!$B$6,1),0),"")</f>
        <v/>
      </c>
      <c r="AV36" s="2" t="str" cm="1">
        <f t="array" ref="AV36">IF('NILAI CPL'!$B36&lt;&gt;"",IFERROR(_xlfn.IFS(Y36&gt;='NILAI CPL'!$B$3,4,Y36&gt;='NILAI CPL'!$B$4,3,Y36&gt;='NILAI CPL'!$B$5,2,Y36&gt;'NILAI CPL'!$B$6,1),0),"")</f>
        <v/>
      </c>
      <c r="AW36" s="2" t="str" cm="1">
        <f t="array" ref="AW36">IF('NILAI CPL'!$B36&lt;&gt;"",IFERROR(_xlfn.IFS(Z36&gt;='NILAI CPL'!$B$3,4,Z36&gt;='NILAI CPL'!$B$4,3,Z36&gt;='NILAI CPL'!$B$5,2,Z36&gt;'NILAI CPL'!$B$6,1),0),"")</f>
        <v/>
      </c>
      <c r="AX36" s="2" t="str" cm="1">
        <f t="array" ref="AX36">IF('NILAI CPL'!$B36&lt;&gt;"",IFERROR(_xlfn.IFS(AA36&gt;='NILAI CPL'!$B$3,4,AA36&gt;='NILAI CPL'!$B$4,3,AA36&gt;='NILAI CPL'!$B$5,2,AA36&gt;'NILAI CPL'!$B$6,1),0),"")</f>
        <v/>
      </c>
      <c r="AY36" s="2" t="str" cm="1">
        <f t="array" ref="AY36">IF('NILAI CPL'!$B36&lt;&gt;"",IFERROR(_xlfn.IFS(AB36&gt;='NILAI CPL'!$B$3,4,AB36&gt;='NILAI CPL'!$B$4,3,AB36&gt;='NILAI CPL'!$B$5,2,AB36&gt;'NILAI CPL'!$B$6,1),0),"")</f>
        <v/>
      </c>
      <c r="AZ36" s="2" t="str" cm="1">
        <f t="array" ref="AZ36">IF('NILAI CPL'!$B36&lt;&gt;"",IFERROR(_xlfn.IFS(AC36&gt;='NILAI CPL'!$B$3,4,AC36&gt;='NILAI CPL'!$B$4,3,AC36&gt;='NILAI CPL'!$B$5,2,AC36&gt;'NILAI CPL'!$B$6,1),0),"")</f>
        <v/>
      </c>
      <c r="BA36" s="2" t="str" cm="1">
        <f t="array" ref="BA36">IF('NILAI CPL'!$B36&lt;&gt;"",IFERROR(_xlfn.IFS(AD36&gt;='NILAI CPL'!$B$3,4,AD36&gt;='NILAI CPL'!$B$4,3,AD36&gt;='NILAI CPL'!$B$5,2,AD36&gt;'NILAI CPL'!$B$6,1),0),"")</f>
        <v/>
      </c>
      <c r="BB36" s="2" t="str" cm="1">
        <f t="array" ref="BB36">IF('NILAI CPL'!$B36&lt;&gt;"",IFERROR(_xlfn.IFS(AE36&gt;='NILAI CPL'!$B$3,4,AE36&gt;='NILAI CPL'!$B$4,3,AE36&gt;='NILAI CPL'!$B$5,2,AE36&gt;'NILAI CPL'!$B$6,1),0),"")</f>
        <v/>
      </c>
      <c r="BC36" s="2" t="str" cm="1">
        <f t="array" ref="BC36">IF('NILAI CPL'!$B36&lt;&gt;"",IFERROR(_xlfn.IFS(AF36&gt;='NILAI CPL'!$B$3,4,AF36&gt;='NILAI CPL'!$B$4,3,AF36&gt;='NILAI CPL'!$B$5,2,AF36&gt;'NILAI CPL'!$B$6,1),0),"")</f>
        <v/>
      </c>
      <c r="BD36" s="2" t="str" cm="1">
        <f t="array" ref="BD36">IF('NILAI CPL'!$B36&lt;&gt;"",IFERROR(_xlfn.IFS(AG36&gt;='NILAI CPL'!$B$3,4,AG36&gt;='NILAI CPL'!$B$4,3,AG36&gt;='NILAI CPL'!$B$5,2,AG36&gt;'NILAI CPL'!$B$6,1),0),"")</f>
        <v/>
      </c>
      <c r="BE36" s="2" t="str" cm="1">
        <f t="array" ref="BE36">IF('NILAI CPL'!$B36&lt;&gt;"",IFERROR(_xlfn.IFS(AH36&gt;='NILAI CPL'!$B$3,4,AH36&gt;='NILAI CPL'!$B$4,3,AH36&gt;='NILAI CPL'!$B$5,2,AH36&gt;'NILAI CPL'!$B$6,1),0),"")</f>
        <v/>
      </c>
      <c r="BF36" s="2" t="str" cm="1">
        <f t="array" ref="BF36">IF('NILAI CPL'!$B36&lt;&gt;"",IFERROR(_xlfn.IFS(AI36&gt;='NILAI CPL'!$B$3,4,AI36&gt;='NILAI CPL'!$B$4,3,AI36&gt;='NILAI CPL'!$B$5,2,AI36&gt;'NILAI CPL'!$B$6,1),0),"")</f>
        <v/>
      </c>
      <c r="BG36" s="2" t="str" cm="1">
        <f t="array" ref="BG36">IF('NILAI CPL'!$B36&lt;&gt;"",IFERROR(_xlfn.IFS(AJ36&gt;='NILAI CPL'!$B$3,4,AJ36&gt;='NILAI CPL'!$B$4,3,AJ36&gt;='NILAI CPL'!$B$5,2,AJ36&gt;'NILAI CPL'!$B$6,1),0),"")</f>
        <v/>
      </c>
      <c r="BH36" s="2" t="str" cm="1">
        <f t="array" ref="BH36">IF('NILAI CPL'!$B36&lt;&gt;"",IFERROR(_xlfn.IFS(AK36&gt;='NILAI CPL'!$B$3,4,AK36&gt;='NILAI CPL'!$B$4,3,AK36&gt;='NILAI CPL'!$B$5,2,AK36&gt;'NILAI CPL'!$B$6,1),0),"")</f>
        <v/>
      </c>
      <c r="BI36" s="2" t="str" cm="1">
        <f t="array" ref="BI36">IF('NILAI CPL'!$B36&lt;&gt;"",IFERROR(_xlfn.IFS(AL36&gt;='NILAI CPL'!$B$3,4,AL36&gt;='NILAI CPL'!$B$4,3,AL36&gt;='NILAI CPL'!$B$5,2,AL36&gt;'NILAI CPL'!$B$6,1),0),"")</f>
        <v/>
      </c>
      <c r="BJ36" s="2" t="str" cm="1">
        <f t="array" ref="BJ36">IF('NILAI CPL'!$B36&lt;&gt;"",IFERROR(_xlfn.IFS(AM36&gt;='NILAI CPL'!$B$3,4,AM36&gt;='NILAI CPL'!$B$4,3,AM36&gt;='NILAI CPL'!$B$5,2,AM36&gt;'NILAI CPL'!$B$6,1),0),"")</f>
        <v/>
      </c>
      <c r="BK36" s="2" t="str" cm="1">
        <f t="array" ref="BK36">IF('NILAI CPL'!$B36&lt;&gt;"",IFERROR(_xlfn.IFS(AN36&gt;='NILAI CPL'!$B$3,4,AN36&gt;='NILAI CPL'!$B$4,3,AN36&gt;='NILAI CPL'!$B$5,2,AN36&gt;'NILAI CPL'!$B$6,1),0),"")</f>
        <v/>
      </c>
    </row>
    <row r="37" spans="1:63" x14ac:dyDescent="0.2">
      <c r="A37" s="2">
        <v>27</v>
      </c>
      <c r="B37" s="2" t="str">
        <f>IF(LEN(SUMMARY!B37)&gt;0, SUMMARY!B37, "")</f>
        <v/>
      </c>
      <c r="C37" s="2" t="str">
        <f>IF(LEN(SUMMARY!C37)&gt;0, SUMMARY!C37, "")</f>
        <v/>
      </c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" t="str">
        <f t="shared" si="2"/>
        <v/>
      </c>
      <c r="S37" s="2" t="str">
        <f t="shared" si="3"/>
        <v/>
      </c>
      <c r="T37" s="2" t="str">
        <f t="shared" si="4"/>
        <v/>
      </c>
      <c r="U37" s="2" t="str">
        <f t="shared" si="5"/>
        <v/>
      </c>
      <c r="V37" s="2" t="str">
        <f t="shared" si="6"/>
        <v/>
      </c>
      <c r="W37" s="2" t="str">
        <f t="shared" si="7"/>
        <v/>
      </c>
      <c r="X37" s="2" t="str">
        <f t="shared" si="8"/>
        <v/>
      </c>
      <c r="Y37" s="2" t="str">
        <f t="shared" si="9"/>
        <v/>
      </c>
      <c r="Z37" s="2" t="str">
        <f t="shared" si="10"/>
        <v/>
      </c>
      <c r="AA37" s="2" t="str">
        <f t="shared" si="11"/>
        <v/>
      </c>
      <c r="AB37" s="2" t="str">
        <f t="shared" si="12"/>
        <v/>
      </c>
      <c r="AC37" s="2" t="str">
        <f t="shared" si="13"/>
        <v/>
      </c>
      <c r="AD37" s="2" t="str">
        <f t="shared" si="14"/>
        <v/>
      </c>
      <c r="AE37" s="2" t="str">
        <f t="shared" si="15"/>
        <v/>
      </c>
      <c r="AF37" s="2" t="str">
        <f t="shared" si="16"/>
        <v/>
      </c>
      <c r="AG37" s="2" t="str">
        <f t="shared" si="17"/>
        <v/>
      </c>
      <c r="AH37" s="2" t="str">
        <f t="shared" si="18"/>
        <v/>
      </c>
      <c r="AI37" s="2" t="str">
        <f t="shared" si="19"/>
        <v/>
      </c>
      <c r="AJ37" s="2" t="str">
        <f t="shared" si="20"/>
        <v/>
      </c>
      <c r="AK37" s="2" t="str">
        <f t="shared" si="21"/>
        <v/>
      </c>
      <c r="AL37" s="2" t="str">
        <f t="shared" si="22"/>
        <v/>
      </c>
      <c r="AM37" s="2" t="str">
        <f t="shared" si="23"/>
        <v/>
      </c>
      <c r="AN37" s="2" t="str">
        <f t="shared" si="24"/>
        <v/>
      </c>
      <c r="AP37" s="2" t="str" cm="1">
        <f t="array" ref="AP37">IF('NILAI CPL'!$B37&lt;&gt;"",IFERROR(_xlfn.IFS(S37&gt;='NILAI CPL'!$B$3,4,S37&gt;='NILAI CPL'!$B$4,3,S37&gt;='NILAI CPL'!$B$5,2,S37&gt;'NILAI CPL'!$B$6,1),0),"")</f>
        <v/>
      </c>
      <c r="AQ37" s="2" t="str" cm="1">
        <f t="array" ref="AQ37">IF('NILAI CPL'!$B37&lt;&gt;"",IFERROR(_xlfn.IFS(T37&gt;='NILAI CPL'!$B$3,4,T37&gt;='NILAI CPL'!$B$4,3,T37&gt;='NILAI CPL'!$B$5,2,T37&gt;'NILAI CPL'!$B$6,1),0),"")</f>
        <v/>
      </c>
      <c r="AR37" s="2" t="str" cm="1">
        <f t="array" ref="AR37">IF('NILAI CPL'!$B37&lt;&gt;"",IFERROR(_xlfn.IFS(U37&gt;='NILAI CPL'!$B$3,4,U37&gt;='NILAI CPL'!$B$4,3,U37&gt;='NILAI CPL'!$B$5,2,U37&gt;'NILAI CPL'!$B$6,1),0),"")</f>
        <v/>
      </c>
      <c r="AS37" s="2" t="str" cm="1">
        <f t="array" ref="AS37">IF('NILAI CPL'!$B37&lt;&gt;"",IFERROR(_xlfn.IFS(V37&gt;='NILAI CPL'!$B$3,4,V37&gt;='NILAI CPL'!$B$4,3,V37&gt;='NILAI CPL'!$B$5,2,V37&gt;'NILAI CPL'!$B$6,1),0),"")</f>
        <v/>
      </c>
      <c r="AT37" s="2" t="str" cm="1">
        <f t="array" ref="AT37">IF('NILAI CPL'!$B37&lt;&gt;"",IFERROR(_xlfn.IFS(W37&gt;='NILAI CPL'!$B$3,4,W37&gt;='NILAI CPL'!$B$4,3,W37&gt;='NILAI CPL'!$B$5,2,W37&gt;'NILAI CPL'!$B$6,1),0),"")</f>
        <v/>
      </c>
      <c r="AU37" s="2" t="str" cm="1">
        <f t="array" ref="AU37">IF('NILAI CPL'!$B37&lt;&gt;"",IFERROR(_xlfn.IFS(X37&gt;='NILAI CPL'!$B$3,4,X37&gt;='NILAI CPL'!$B$4,3,X37&gt;='NILAI CPL'!$B$5,2,X37&gt;'NILAI CPL'!$B$6,1),0),"")</f>
        <v/>
      </c>
      <c r="AV37" s="2" t="str" cm="1">
        <f t="array" ref="AV37">IF('NILAI CPL'!$B37&lt;&gt;"",IFERROR(_xlfn.IFS(Y37&gt;='NILAI CPL'!$B$3,4,Y37&gt;='NILAI CPL'!$B$4,3,Y37&gt;='NILAI CPL'!$B$5,2,Y37&gt;'NILAI CPL'!$B$6,1),0),"")</f>
        <v/>
      </c>
      <c r="AW37" s="2" t="str" cm="1">
        <f t="array" ref="AW37">IF('NILAI CPL'!$B37&lt;&gt;"",IFERROR(_xlfn.IFS(Z37&gt;='NILAI CPL'!$B$3,4,Z37&gt;='NILAI CPL'!$B$4,3,Z37&gt;='NILAI CPL'!$B$5,2,Z37&gt;'NILAI CPL'!$B$6,1),0),"")</f>
        <v/>
      </c>
      <c r="AX37" s="2" t="str" cm="1">
        <f t="array" ref="AX37">IF('NILAI CPL'!$B37&lt;&gt;"",IFERROR(_xlfn.IFS(AA37&gt;='NILAI CPL'!$B$3,4,AA37&gt;='NILAI CPL'!$B$4,3,AA37&gt;='NILAI CPL'!$B$5,2,AA37&gt;'NILAI CPL'!$B$6,1),0),"")</f>
        <v/>
      </c>
      <c r="AY37" s="2" t="str" cm="1">
        <f t="array" ref="AY37">IF('NILAI CPL'!$B37&lt;&gt;"",IFERROR(_xlfn.IFS(AB37&gt;='NILAI CPL'!$B$3,4,AB37&gt;='NILAI CPL'!$B$4,3,AB37&gt;='NILAI CPL'!$B$5,2,AB37&gt;'NILAI CPL'!$B$6,1),0),"")</f>
        <v/>
      </c>
      <c r="AZ37" s="2" t="str" cm="1">
        <f t="array" ref="AZ37">IF('NILAI CPL'!$B37&lt;&gt;"",IFERROR(_xlfn.IFS(AC37&gt;='NILAI CPL'!$B$3,4,AC37&gt;='NILAI CPL'!$B$4,3,AC37&gt;='NILAI CPL'!$B$5,2,AC37&gt;'NILAI CPL'!$B$6,1),0),"")</f>
        <v/>
      </c>
      <c r="BA37" s="2" t="str" cm="1">
        <f t="array" ref="BA37">IF('NILAI CPL'!$B37&lt;&gt;"",IFERROR(_xlfn.IFS(AD37&gt;='NILAI CPL'!$B$3,4,AD37&gt;='NILAI CPL'!$B$4,3,AD37&gt;='NILAI CPL'!$B$5,2,AD37&gt;'NILAI CPL'!$B$6,1),0),"")</f>
        <v/>
      </c>
      <c r="BB37" s="2" t="str" cm="1">
        <f t="array" ref="BB37">IF('NILAI CPL'!$B37&lt;&gt;"",IFERROR(_xlfn.IFS(AE37&gt;='NILAI CPL'!$B$3,4,AE37&gt;='NILAI CPL'!$B$4,3,AE37&gt;='NILAI CPL'!$B$5,2,AE37&gt;'NILAI CPL'!$B$6,1),0),"")</f>
        <v/>
      </c>
      <c r="BC37" s="2" t="str" cm="1">
        <f t="array" ref="BC37">IF('NILAI CPL'!$B37&lt;&gt;"",IFERROR(_xlfn.IFS(AF37&gt;='NILAI CPL'!$B$3,4,AF37&gt;='NILAI CPL'!$B$4,3,AF37&gt;='NILAI CPL'!$B$5,2,AF37&gt;'NILAI CPL'!$B$6,1),0),"")</f>
        <v/>
      </c>
      <c r="BD37" s="2" t="str" cm="1">
        <f t="array" ref="BD37">IF('NILAI CPL'!$B37&lt;&gt;"",IFERROR(_xlfn.IFS(AG37&gt;='NILAI CPL'!$B$3,4,AG37&gt;='NILAI CPL'!$B$4,3,AG37&gt;='NILAI CPL'!$B$5,2,AG37&gt;'NILAI CPL'!$B$6,1),0),"")</f>
        <v/>
      </c>
      <c r="BE37" s="2" t="str" cm="1">
        <f t="array" ref="BE37">IF('NILAI CPL'!$B37&lt;&gt;"",IFERROR(_xlfn.IFS(AH37&gt;='NILAI CPL'!$B$3,4,AH37&gt;='NILAI CPL'!$B$4,3,AH37&gt;='NILAI CPL'!$B$5,2,AH37&gt;'NILAI CPL'!$B$6,1),0),"")</f>
        <v/>
      </c>
      <c r="BF37" s="2" t="str" cm="1">
        <f t="array" ref="BF37">IF('NILAI CPL'!$B37&lt;&gt;"",IFERROR(_xlfn.IFS(AI37&gt;='NILAI CPL'!$B$3,4,AI37&gt;='NILAI CPL'!$B$4,3,AI37&gt;='NILAI CPL'!$B$5,2,AI37&gt;'NILAI CPL'!$B$6,1),0),"")</f>
        <v/>
      </c>
      <c r="BG37" s="2" t="str" cm="1">
        <f t="array" ref="BG37">IF('NILAI CPL'!$B37&lt;&gt;"",IFERROR(_xlfn.IFS(AJ37&gt;='NILAI CPL'!$B$3,4,AJ37&gt;='NILAI CPL'!$B$4,3,AJ37&gt;='NILAI CPL'!$B$5,2,AJ37&gt;'NILAI CPL'!$B$6,1),0),"")</f>
        <v/>
      </c>
      <c r="BH37" s="2" t="str" cm="1">
        <f t="array" ref="BH37">IF('NILAI CPL'!$B37&lt;&gt;"",IFERROR(_xlfn.IFS(AK37&gt;='NILAI CPL'!$B$3,4,AK37&gt;='NILAI CPL'!$B$4,3,AK37&gt;='NILAI CPL'!$B$5,2,AK37&gt;'NILAI CPL'!$B$6,1),0),"")</f>
        <v/>
      </c>
      <c r="BI37" s="2" t="str" cm="1">
        <f t="array" ref="BI37">IF('NILAI CPL'!$B37&lt;&gt;"",IFERROR(_xlfn.IFS(AL37&gt;='NILAI CPL'!$B$3,4,AL37&gt;='NILAI CPL'!$B$4,3,AL37&gt;='NILAI CPL'!$B$5,2,AL37&gt;'NILAI CPL'!$B$6,1),0),"")</f>
        <v/>
      </c>
      <c r="BJ37" s="2" t="str" cm="1">
        <f t="array" ref="BJ37">IF('NILAI CPL'!$B37&lt;&gt;"",IFERROR(_xlfn.IFS(AM37&gt;='NILAI CPL'!$B$3,4,AM37&gt;='NILAI CPL'!$B$4,3,AM37&gt;='NILAI CPL'!$B$5,2,AM37&gt;'NILAI CPL'!$B$6,1),0),"")</f>
        <v/>
      </c>
      <c r="BK37" s="2" t="str" cm="1">
        <f t="array" ref="BK37">IF('NILAI CPL'!$B37&lt;&gt;"",IFERROR(_xlfn.IFS(AN37&gt;='NILAI CPL'!$B$3,4,AN37&gt;='NILAI CPL'!$B$4,3,AN37&gt;='NILAI CPL'!$B$5,2,AN37&gt;'NILAI CPL'!$B$6,1),0),"")</f>
        <v/>
      </c>
    </row>
    <row r="38" spans="1:63" x14ac:dyDescent="0.2">
      <c r="A38" s="2">
        <v>28</v>
      </c>
      <c r="B38" s="2" t="str">
        <f>IF(LEN(SUMMARY!B38)&gt;0, SUMMARY!B38, "")</f>
        <v/>
      </c>
      <c r="C38" s="2" t="str">
        <f>IF(LEN(SUMMARY!C38)&gt;0, SUMMARY!C38, "")</f>
        <v/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" t="str">
        <f t="shared" si="2"/>
        <v/>
      </c>
      <c r="S38" s="2" t="str">
        <f t="shared" si="3"/>
        <v/>
      </c>
      <c r="T38" s="2" t="str">
        <f t="shared" si="4"/>
        <v/>
      </c>
      <c r="U38" s="2" t="str">
        <f t="shared" si="5"/>
        <v/>
      </c>
      <c r="V38" s="2" t="str">
        <f t="shared" si="6"/>
        <v/>
      </c>
      <c r="W38" s="2" t="str">
        <f t="shared" si="7"/>
        <v/>
      </c>
      <c r="X38" s="2" t="str">
        <f t="shared" si="8"/>
        <v/>
      </c>
      <c r="Y38" s="2" t="str">
        <f t="shared" si="9"/>
        <v/>
      </c>
      <c r="Z38" s="2" t="str">
        <f t="shared" si="10"/>
        <v/>
      </c>
      <c r="AA38" s="2" t="str">
        <f t="shared" si="11"/>
        <v/>
      </c>
      <c r="AB38" s="2" t="str">
        <f t="shared" si="12"/>
        <v/>
      </c>
      <c r="AC38" s="2" t="str">
        <f t="shared" si="13"/>
        <v/>
      </c>
      <c r="AD38" s="2" t="str">
        <f t="shared" si="14"/>
        <v/>
      </c>
      <c r="AE38" s="2" t="str">
        <f t="shared" si="15"/>
        <v/>
      </c>
      <c r="AF38" s="2" t="str">
        <f t="shared" si="16"/>
        <v/>
      </c>
      <c r="AG38" s="2" t="str">
        <f t="shared" si="17"/>
        <v/>
      </c>
      <c r="AH38" s="2" t="str">
        <f t="shared" si="18"/>
        <v/>
      </c>
      <c r="AI38" s="2" t="str">
        <f t="shared" si="19"/>
        <v/>
      </c>
      <c r="AJ38" s="2" t="str">
        <f t="shared" si="20"/>
        <v/>
      </c>
      <c r="AK38" s="2" t="str">
        <f t="shared" si="21"/>
        <v/>
      </c>
      <c r="AL38" s="2" t="str">
        <f t="shared" si="22"/>
        <v/>
      </c>
      <c r="AM38" s="2" t="str">
        <f t="shared" si="23"/>
        <v/>
      </c>
      <c r="AN38" s="2" t="str">
        <f t="shared" si="24"/>
        <v/>
      </c>
      <c r="AP38" s="2" t="str" cm="1">
        <f t="array" ref="AP38">IF('NILAI CPL'!$B38&lt;&gt;"",IFERROR(_xlfn.IFS(S38&gt;='NILAI CPL'!$B$3,4,S38&gt;='NILAI CPL'!$B$4,3,S38&gt;='NILAI CPL'!$B$5,2,S38&gt;'NILAI CPL'!$B$6,1),0),"")</f>
        <v/>
      </c>
      <c r="AQ38" s="2" t="str" cm="1">
        <f t="array" ref="AQ38">IF('NILAI CPL'!$B38&lt;&gt;"",IFERROR(_xlfn.IFS(T38&gt;='NILAI CPL'!$B$3,4,T38&gt;='NILAI CPL'!$B$4,3,T38&gt;='NILAI CPL'!$B$5,2,T38&gt;'NILAI CPL'!$B$6,1),0),"")</f>
        <v/>
      </c>
      <c r="AR38" s="2" t="str" cm="1">
        <f t="array" ref="AR38">IF('NILAI CPL'!$B38&lt;&gt;"",IFERROR(_xlfn.IFS(U38&gt;='NILAI CPL'!$B$3,4,U38&gt;='NILAI CPL'!$B$4,3,U38&gt;='NILAI CPL'!$B$5,2,U38&gt;'NILAI CPL'!$B$6,1),0),"")</f>
        <v/>
      </c>
      <c r="AS38" s="2" t="str" cm="1">
        <f t="array" ref="AS38">IF('NILAI CPL'!$B38&lt;&gt;"",IFERROR(_xlfn.IFS(V38&gt;='NILAI CPL'!$B$3,4,V38&gt;='NILAI CPL'!$B$4,3,V38&gt;='NILAI CPL'!$B$5,2,V38&gt;'NILAI CPL'!$B$6,1),0),"")</f>
        <v/>
      </c>
      <c r="AT38" s="2" t="str" cm="1">
        <f t="array" ref="AT38">IF('NILAI CPL'!$B38&lt;&gt;"",IFERROR(_xlfn.IFS(W38&gt;='NILAI CPL'!$B$3,4,W38&gt;='NILAI CPL'!$B$4,3,W38&gt;='NILAI CPL'!$B$5,2,W38&gt;'NILAI CPL'!$B$6,1),0),"")</f>
        <v/>
      </c>
      <c r="AU38" s="2" t="str" cm="1">
        <f t="array" ref="AU38">IF('NILAI CPL'!$B38&lt;&gt;"",IFERROR(_xlfn.IFS(X38&gt;='NILAI CPL'!$B$3,4,X38&gt;='NILAI CPL'!$B$4,3,X38&gt;='NILAI CPL'!$B$5,2,X38&gt;'NILAI CPL'!$B$6,1),0),"")</f>
        <v/>
      </c>
      <c r="AV38" s="2" t="str" cm="1">
        <f t="array" ref="AV38">IF('NILAI CPL'!$B38&lt;&gt;"",IFERROR(_xlfn.IFS(Y38&gt;='NILAI CPL'!$B$3,4,Y38&gt;='NILAI CPL'!$B$4,3,Y38&gt;='NILAI CPL'!$B$5,2,Y38&gt;'NILAI CPL'!$B$6,1),0),"")</f>
        <v/>
      </c>
      <c r="AW38" s="2" t="str" cm="1">
        <f t="array" ref="AW38">IF('NILAI CPL'!$B38&lt;&gt;"",IFERROR(_xlfn.IFS(Z38&gt;='NILAI CPL'!$B$3,4,Z38&gt;='NILAI CPL'!$B$4,3,Z38&gt;='NILAI CPL'!$B$5,2,Z38&gt;'NILAI CPL'!$B$6,1),0),"")</f>
        <v/>
      </c>
      <c r="AX38" s="2" t="str" cm="1">
        <f t="array" ref="AX38">IF('NILAI CPL'!$B38&lt;&gt;"",IFERROR(_xlfn.IFS(AA38&gt;='NILAI CPL'!$B$3,4,AA38&gt;='NILAI CPL'!$B$4,3,AA38&gt;='NILAI CPL'!$B$5,2,AA38&gt;'NILAI CPL'!$B$6,1),0),"")</f>
        <v/>
      </c>
      <c r="AY38" s="2" t="str" cm="1">
        <f t="array" ref="AY38">IF('NILAI CPL'!$B38&lt;&gt;"",IFERROR(_xlfn.IFS(AB38&gt;='NILAI CPL'!$B$3,4,AB38&gt;='NILAI CPL'!$B$4,3,AB38&gt;='NILAI CPL'!$B$5,2,AB38&gt;'NILAI CPL'!$B$6,1),0),"")</f>
        <v/>
      </c>
      <c r="AZ38" s="2" t="str" cm="1">
        <f t="array" ref="AZ38">IF('NILAI CPL'!$B38&lt;&gt;"",IFERROR(_xlfn.IFS(AC38&gt;='NILAI CPL'!$B$3,4,AC38&gt;='NILAI CPL'!$B$4,3,AC38&gt;='NILAI CPL'!$B$5,2,AC38&gt;'NILAI CPL'!$B$6,1),0),"")</f>
        <v/>
      </c>
      <c r="BA38" s="2" t="str" cm="1">
        <f t="array" ref="BA38">IF('NILAI CPL'!$B38&lt;&gt;"",IFERROR(_xlfn.IFS(AD38&gt;='NILAI CPL'!$B$3,4,AD38&gt;='NILAI CPL'!$B$4,3,AD38&gt;='NILAI CPL'!$B$5,2,AD38&gt;'NILAI CPL'!$B$6,1),0),"")</f>
        <v/>
      </c>
      <c r="BB38" s="2" t="str" cm="1">
        <f t="array" ref="BB38">IF('NILAI CPL'!$B38&lt;&gt;"",IFERROR(_xlfn.IFS(AE38&gt;='NILAI CPL'!$B$3,4,AE38&gt;='NILAI CPL'!$B$4,3,AE38&gt;='NILAI CPL'!$B$5,2,AE38&gt;'NILAI CPL'!$B$6,1),0),"")</f>
        <v/>
      </c>
      <c r="BC38" s="2" t="str" cm="1">
        <f t="array" ref="BC38">IF('NILAI CPL'!$B38&lt;&gt;"",IFERROR(_xlfn.IFS(AF38&gt;='NILAI CPL'!$B$3,4,AF38&gt;='NILAI CPL'!$B$4,3,AF38&gt;='NILAI CPL'!$B$5,2,AF38&gt;'NILAI CPL'!$B$6,1),0),"")</f>
        <v/>
      </c>
      <c r="BD38" s="2" t="str" cm="1">
        <f t="array" ref="BD38">IF('NILAI CPL'!$B38&lt;&gt;"",IFERROR(_xlfn.IFS(AG38&gt;='NILAI CPL'!$B$3,4,AG38&gt;='NILAI CPL'!$B$4,3,AG38&gt;='NILAI CPL'!$B$5,2,AG38&gt;'NILAI CPL'!$B$6,1),0),"")</f>
        <v/>
      </c>
      <c r="BE38" s="2" t="str" cm="1">
        <f t="array" ref="BE38">IF('NILAI CPL'!$B38&lt;&gt;"",IFERROR(_xlfn.IFS(AH38&gt;='NILAI CPL'!$B$3,4,AH38&gt;='NILAI CPL'!$B$4,3,AH38&gt;='NILAI CPL'!$B$5,2,AH38&gt;'NILAI CPL'!$B$6,1),0),"")</f>
        <v/>
      </c>
      <c r="BF38" s="2" t="str" cm="1">
        <f t="array" ref="BF38">IF('NILAI CPL'!$B38&lt;&gt;"",IFERROR(_xlfn.IFS(AI38&gt;='NILAI CPL'!$B$3,4,AI38&gt;='NILAI CPL'!$B$4,3,AI38&gt;='NILAI CPL'!$B$5,2,AI38&gt;'NILAI CPL'!$B$6,1),0),"")</f>
        <v/>
      </c>
      <c r="BG38" s="2" t="str" cm="1">
        <f t="array" ref="BG38">IF('NILAI CPL'!$B38&lt;&gt;"",IFERROR(_xlfn.IFS(AJ38&gt;='NILAI CPL'!$B$3,4,AJ38&gt;='NILAI CPL'!$B$4,3,AJ38&gt;='NILAI CPL'!$B$5,2,AJ38&gt;'NILAI CPL'!$B$6,1),0),"")</f>
        <v/>
      </c>
      <c r="BH38" s="2" t="str" cm="1">
        <f t="array" ref="BH38">IF('NILAI CPL'!$B38&lt;&gt;"",IFERROR(_xlfn.IFS(AK38&gt;='NILAI CPL'!$B$3,4,AK38&gt;='NILAI CPL'!$B$4,3,AK38&gt;='NILAI CPL'!$B$5,2,AK38&gt;'NILAI CPL'!$B$6,1),0),"")</f>
        <v/>
      </c>
      <c r="BI38" s="2" t="str" cm="1">
        <f t="array" ref="BI38">IF('NILAI CPL'!$B38&lt;&gt;"",IFERROR(_xlfn.IFS(AL38&gt;='NILAI CPL'!$B$3,4,AL38&gt;='NILAI CPL'!$B$4,3,AL38&gt;='NILAI CPL'!$B$5,2,AL38&gt;'NILAI CPL'!$B$6,1),0),"")</f>
        <v/>
      </c>
      <c r="BJ38" s="2" t="str" cm="1">
        <f t="array" ref="BJ38">IF('NILAI CPL'!$B38&lt;&gt;"",IFERROR(_xlfn.IFS(AM38&gt;='NILAI CPL'!$B$3,4,AM38&gt;='NILAI CPL'!$B$4,3,AM38&gt;='NILAI CPL'!$B$5,2,AM38&gt;'NILAI CPL'!$B$6,1),0),"")</f>
        <v/>
      </c>
      <c r="BK38" s="2" t="str" cm="1">
        <f t="array" ref="BK38">IF('NILAI CPL'!$B38&lt;&gt;"",IFERROR(_xlfn.IFS(AN38&gt;='NILAI CPL'!$B$3,4,AN38&gt;='NILAI CPL'!$B$4,3,AN38&gt;='NILAI CPL'!$B$5,2,AN38&gt;'NILAI CPL'!$B$6,1),0),"")</f>
        <v/>
      </c>
    </row>
    <row r="39" spans="1:63" x14ac:dyDescent="0.2">
      <c r="A39" s="2">
        <v>29</v>
      </c>
      <c r="B39" s="2" t="str">
        <f>IF(LEN(SUMMARY!B39)&gt;0, SUMMARY!B39, "")</f>
        <v/>
      </c>
      <c r="C39" s="2" t="str">
        <f>IF(LEN(SUMMARY!C39)&gt;0, SUMMARY!C39, "")</f>
        <v/>
      </c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" t="str">
        <f t="shared" si="2"/>
        <v/>
      </c>
      <c r="S39" s="2" t="str">
        <f t="shared" si="3"/>
        <v/>
      </c>
      <c r="T39" s="2" t="str">
        <f t="shared" si="4"/>
        <v/>
      </c>
      <c r="U39" s="2" t="str">
        <f t="shared" si="5"/>
        <v/>
      </c>
      <c r="V39" s="2" t="str">
        <f t="shared" si="6"/>
        <v/>
      </c>
      <c r="W39" s="2" t="str">
        <f t="shared" si="7"/>
        <v/>
      </c>
      <c r="X39" s="2" t="str">
        <f t="shared" si="8"/>
        <v/>
      </c>
      <c r="Y39" s="2" t="str">
        <f t="shared" si="9"/>
        <v/>
      </c>
      <c r="Z39" s="2" t="str">
        <f t="shared" si="10"/>
        <v/>
      </c>
      <c r="AA39" s="2" t="str">
        <f t="shared" si="11"/>
        <v/>
      </c>
      <c r="AB39" s="2" t="str">
        <f t="shared" si="12"/>
        <v/>
      </c>
      <c r="AC39" s="2" t="str">
        <f t="shared" si="13"/>
        <v/>
      </c>
      <c r="AD39" s="2" t="str">
        <f t="shared" si="14"/>
        <v/>
      </c>
      <c r="AE39" s="2" t="str">
        <f t="shared" si="15"/>
        <v/>
      </c>
      <c r="AF39" s="2" t="str">
        <f t="shared" si="16"/>
        <v/>
      </c>
      <c r="AG39" s="2" t="str">
        <f t="shared" si="17"/>
        <v/>
      </c>
      <c r="AH39" s="2" t="str">
        <f t="shared" si="18"/>
        <v/>
      </c>
      <c r="AI39" s="2" t="str">
        <f t="shared" si="19"/>
        <v/>
      </c>
      <c r="AJ39" s="2" t="str">
        <f t="shared" si="20"/>
        <v/>
      </c>
      <c r="AK39" s="2" t="str">
        <f t="shared" si="21"/>
        <v/>
      </c>
      <c r="AL39" s="2" t="str">
        <f t="shared" si="22"/>
        <v/>
      </c>
      <c r="AM39" s="2" t="str">
        <f t="shared" si="23"/>
        <v/>
      </c>
      <c r="AN39" s="2" t="str">
        <f t="shared" si="24"/>
        <v/>
      </c>
      <c r="AP39" s="2" t="str" cm="1">
        <f t="array" ref="AP39">IF('NILAI CPL'!$B39&lt;&gt;"",IFERROR(_xlfn.IFS(S39&gt;='NILAI CPL'!$B$3,4,S39&gt;='NILAI CPL'!$B$4,3,S39&gt;='NILAI CPL'!$B$5,2,S39&gt;'NILAI CPL'!$B$6,1),0),"")</f>
        <v/>
      </c>
      <c r="AQ39" s="2" t="str" cm="1">
        <f t="array" ref="AQ39">IF('NILAI CPL'!$B39&lt;&gt;"",IFERROR(_xlfn.IFS(T39&gt;='NILAI CPL'!$B$3,4,T39&gt;='NILAI CPL'!$B$4,3,T39&gt;='NILAI CPL'!$B$5,2,T39&gt;'NILAI CPL'!$B$6,1),0),"")</f>
        <v/>
      </c>
      <c r="AR39" s="2" t="str" cm="1">
        <f t="array" ref="AR39">IF('NILAI CPL'!$B39&lt;&gt;"",IFERROR(_xlfn.IFS(U39&gt;='NILAI CPL'!$B$3,4,U39&gt;='NILAI CPL'!$B$4,3,U39&gt;='NILAI CPL'!$B$5,2,U39&gt;'NILAI CPL'!$B$6,1),0),"")</f>
        <v/>
      </c>
      <c r="AS39" s="2" t="str" cm="1">
        <f t="array" ref="AS39">IF('NILAI CPL'!$B39&lt;&gt;"",IFERROR(_xlfn.IFS(V39&gt;='NILAI CPL'!$B$3,4,V39&gt;='NILAI CPL'!$B$4,3,V39&gt;='NILAI CPL'!$B$5,2,V39&gt;'NILAI CPL'!$B$6,1),0),"")</f>
        <v/>
      </c>
      <c r="AT39" s="2" t="str" cm="1">
        <f t="array" ref="AT39">IF('NILAI CPL'!$B39&lt;&gt;"",IFERROR(_xlfn.IFS(W39&gt;='NILAI CPL'!$B$3,4,W39&gt;='NILAI CPL'!$B$4,3,W39&gt;='NILAI CPL'!$B$5,2,W39&gt;'NILAI CPL'!$B$6,1),0),"")</f>
        <v/>
      </c>
      <c r="AU39" s="2" t="str" cm="1">
        <f t="array" ref="AU39">IF('NILAI CPL'!$B39&lt;&gt;"",IFERROR(_xlfn.IFS(X39&gt;='NILAI CPL'!$B$3,4,X39&gt;='NILAI CPL'!$B$4,3,X39&gt;='NILAI CPL'!$B$5,2,X39&gt;'NILAI CPL'!$B$6,1),0),"")</f>
        <v/>
      </c>
      <c r="AV39" s="2" t="str" cm="1">
        <f t="array" ref="AV39">IF('NILAI CPL'!$B39&lt;&gt;"",IFERROR(_xlfn.IFS(Y39&gt;='NILAI CPL'!$B$3,4,Y39&gt;='NILAI CPL'!$B$4,3,Y39&gt;='NILAI CPL'!$B$5,2,Y39&gt;'NILAI CPL'!$B$6,1),0),"")</f>
        <v/>
      </c>
      <c r="AW39" s="2" t="str" cm="1">
        <f t="array" ref="AW39">IF('NILAI CPL'!$B39&lt;&gt;"",IFERROR(_xlfn.IFS(Z39&gt;='NILAI CPL'!$B$3,4,Z39&gt;='NILAI CPL'!$B$4,3,Z39&gt;='NILAI CPL'!$B$5,2,Z39&gt;'NILAI CPL'!$B$6,1),0),"")</f>
        <v/>
      </c>
      <c r="AX39" s="2" t="str" cm="1">
        <f t="array" ref="AX39">IF('NILAI CPL'!$B39&lt;&gt;"",IFERROR(_xlfn.IFS(AA39&gt;='NILAI CPL'!$B$3,4,AA39&gt;='NILAI CPL'!$B$4,3,AA39&gt;='NILAI CPL'!$B$5,2,AA39&gt;'NILAI CPL'!$B$6,1),0),"")</f>
        <v/>
      </c>
      <c r="AY39" s="2" t="str" cm="1">
        <f t="array" ref="AY39">IF('NILAI CPL'!$B39&lt;&gt;"",IFERROR(_xlfn.IFS(AB39&gt;='NILAI CPL'!$B$3,4,AB39&gt;='NILAI CPL'!$B$4,3,AB39&gt;='NILAI CPL'!$B$5,2,AB39&gt;'NILAI CPL'!$B$6,1),0),"")</f>
        <v/>
      </c>
      <c r="AZ39" s="2" t="str" cm="1">
        <f t="array" ref="AZ39">IF('NILAI CPL'!$B39&lt;&gt;"",IFERROR(_xlfn.IFS(AC39&gt;='NILAI CPL'!$B$3,4,AC39&gt;='NILAI CPL'!$B$4,3,AC39&gt;='NILAI CPL'!$B$5,2,AC39&gt;'NILAI CPL'!$B$6,1),0),"")</f>
        <v/>
      </c>
      <c r="BA39" s="2" t="str" cm="1">
        <f t="array" ref="BA39">IF('NILAI CPL'!$B39&lt;&gt;"",IFERROR(_xlfn.IFS(AD39&gt;='NILAI CPL'!$B$3,4,AD39&gt;='NILAI CPL'!$B$4,3,AD39&gt;='NILAI CPL'!$B$5,2,AD39&gt;'NILAI CPL'!$B$6,1),0),"")</f>
        <v/>
      </c>
      <c r="BB39" s="2" t="str" cm="1">
        <f t="array" ref="BB39">IF('NILAI CPL'!$B39&lt;&gt;"",IFERROR(_xlfn.IFS(AE39&gt;='NILAI CPL'!$B$3,4,AE39&gt;='NILAI CPL'!$B$4,3,AE39&gt;='NILAI CPL'!$B$5,2,AE39&gt;'NILAI CPL'!$B$6,1),0),"")</f>
        <v/>
      </c>
      <c r="BC39" s="2" t="str" cm="1">
        <f t="array" ref="BC39">IF('NILAI CPL'!$B39&lt;&gt;"",IFERROR(_xlfn.IFS(AF39&gt;='NILAI CPL'!$B$3,4,AF39&gt;='NILAI CPL'!$B$4,3,AF39&gt;='NILAI CPL'!$B$5,2,AF39&gt;'NILAI CPL'!$B$6,1),0),"")</f>
        <v/>
      </c>
      <c r="BD39" s="2" t="str" cm="1">
        <f t="array" ref="BD39">IF('NILAI CPL'!$B39&lt;&gt;"",IFERROR(_xlfn.IFS(AG39&gt;='NILAI CPL'!$B$3,4,AG39&gt;='NILAI CPL'!$B$4,3,AG39&gt;='NILAI CPL'!$B$5,2,AG39&gt;'NILAI CPL'!$B$6,1),0),"")</f>
        <v/>
      </c>
      <c r="BE39" s="2" t="str" cm="1">
        <f t="array" ref="BE39">IF('NILAI CPL'!$B39&lt;&gt;"",IFERROR(_xlfn.IFS(AH39&gt;='NILAI CPL'!$B$3,4,AH39&gt;='NILAI CPL'!$B$4,3,AH39&gt;='NILAI CPL'!$B$5,2,AH39&gt;'NILAI CPL'!$B$6,1),0),"")</f>
        <v/>
      </c>
      <c r="BF39" s="2" t="str" cm="1">
        <f t="array" ref="BF39">IF('NILAI CPL'!$B39&lt;&gt;"",IFERROR(_xlfn.IFS(AI39&gt;='NILAI CPL'!$B$3,4,AI39&gt;='NILAI CPL'!$B$4,3,AI39&gt;='NILAI CPL'!$B$5,2,AI39&gt;'NILAI CPL'!$B$6,1),0),"")</f>
        <v/>
      </c>
      <c r="BG39" s="2" t="str" cm="1">
        <f t="array" ref="BG39">IF('NILAI CPL'!$B39&lt;&gt;"",IFERROR(_xlfn.IFS(AJ39&gt;='NILAI CPL'!$B$3,4,AJ39&gt;='NILAI CPL'!$B$4,3,AJ39&gt;='NILAI CPL'!$B$5,2,AJ39&gt;'NILAI CPL'!$B$6,1),0),"")</f>
        <v/>
      </c>
      <c r="BH39" s="2" t="str" cm="1">
        <f t="array" ref="BH39">IF('NILAI CPL'!$B39&lt;&gt;"",IFERROR(_xlfn.IFS(AK39&gt;='NILAI CPL'!$B$3,4,AK39&gt;='NILAI CPL'!$B$4,3,AK39&gt;='NILAI CPL'!$B$5,2,AK39&gt;'NILAI CPL'!$B$6,1),0),"")</f>
        <v/>
      </c>
      <c r="BI39" s="2" t="str" cm="1">
        <f t="array" ref="BI39">IF('NILAI CPL'!$B39&lt;&gt;"",IFERROR(_xlfn.IFS(AL39&gt;='NILAI CPL'!$B$3,4,AL39&gt;='NILAI CPL'!$B$4,3,AL39&gt;='NILAI CPL'!$B$5,2,AL39&gt;'NILAI CPL'!$B$6,1),0),"")</f>
        <v/>
      </c>
      <c r="BJ39" s="2" t="str" cm="1">
        <f t="array" ref="BJ39">IF('NILAI CPL'!$B39&lt;&gt;"",IFERROR(_xlfn.IFS(AM39&gt;='NILAI CPL'!$B$3,4,AM39&gt;='NILAI CPL'!$B$4,3,AM39&gt;='NILAI CPL'!$B$5,2,AM39&gt;'NILAI CPL'!$B$6,1),0),"")</f>
        <v/>
      </c>
      <c r="BK39" s="2" t="str" cm="1">
        <f t="array" ref="BK39">IF('NILAI CPL'!$B39&lt;&gt;"",IFERROR(_xlfn.IFS(AN39&gt;='NILAI CPL'!$B$3,4,AN39&gt;='NILAI CPL'!$B$4,3,AN39&gt;='NILAI CPL'!$B$5,2,AN39&gt;'NILAI CPL'!$B$6,1),0),"")</f>
        <v/>
      </c>
    </row>
    <row r="40" spans="1:63" x14ac:dyDescent="0.2">
      <c r="A40" s="2">
        <v>30</v>
      </c>
      <c r="B40" s="2" t="str">
        <f>IF(LEN(SUMMARY!B40)&gt;0, SUMMARY!B40, "")</f>
        <v/>
      </c>
      <c r="C40" s="2" t="str">
        <f>IF(LEN(SUMMARY!C40)&gt;0, SUMMARY!C40, "")</f>
        <v/>
      </c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" t="str">
        <f t="shared" si="2"/>
        <v/>
      </c>
      <c r="S40" s="2" t="str">
        <f t="shared" si="3"/>
        <v/>
      </c>
      <c r="T40" s="2" t="str">
        <f t="shared" si="4"/>
        <v/>
      </c>
      <c r="U40" s="2" t="str">
        <f t="shared" si="5"/>
        <v/>
      </c>
      <c r="V40" s="2" t="str">
        <f t="shared" si="6"/>
        <v/>
      </c>
      <c r="W40" s="2" t="str">
        <f t="shared" si="7"/>
        <v/>
      </c>
      <c r="X40" s="2" t="str">
        <f t="shared" si="8"/>
        <v/>
      </c>
      <c r="Y40" s="2" t="str">
        <f t="shared" si="9"/>
        <v/>
      </c>
      <c r="Z40" s="2" t="str">
        <f t="shared" si="10"/>
        <v/>
      </c>
      <c r="AA40" s="2" t="str">
        <f t="shared" si="11"/>
        <v/>
      </c>
      <c r="AB40" s="2" t="str">
        <f t="shared" si="12"/>
        <v/>
      </c>
      <c r="AC40" s="2" t="str">
        <f t="shared" si="13"/>
        <v/>
      </c>
      <c r="AD40" s="2" t="str">
        <f t="shared" si="14"/>
        <v/>
      </c>
      <c r="AE40" s="2" t="str">
        <f t="shared" si="15"/>
        <v/>
      </c>
      <c r="AF40" s="2" t="str">
        <f t="shared" si="16"/>
        <v/>
      </c>
      <c r="AG40" s="2" t="str">
        <f t="shared" si="17"/>
        <v/>
      </c>
      <c r="AH40" s="2" t="str">
        <f t="shared" si="18"/>
        <v/>
      </c>
      <c r="AI40" s="2" t="str">
        <f t="shared" si="19"/>
        <v/>
      </c>
      <c r="AJ40" s="2" t="str">
        <f t="shared" si="20"/>
        <v/>
      </c>
      <c r="AK40" s="2" t="str">
        <f t="shared" si="21"/>
        <v/>
      </c>
      <c r="AL40" s="2" t="str">
        <f t="shared" si="22"/>
        <v/>
      </c>
      <c r="AM40" s="2" t="str">
        <f t="shared" si="23"/>
        <v/>
      </c>
      <c r="AN40" s="2" t="str">
        <f t="shared" si="24"/>
        <v/>
      </c>
      <c r="AP40" s="2" t="str" cm="1">
        <f t="array" ref="AP40">IF('NILAI CPL'!$B40&lt;&gt;"",IFERROR(_xlfn.IFS(S40&gt;='NILAI CPL'!$B$3,4,S40&gt;='NILAI CPL'!$B$4,3,S40&gt;='NILAI CPL'!$B$5,2,S40&gt;'NILAI CPL'!$B$6,1),0),"")</f>
        <v/>
      </c>
      <c r="AQ40" s="2" t="str" cm="1">
        <f t="array" ref="AQ40">IF('NILAI CPL'!$B40&lt;&gt;"",IFERROR(_xlfn.IFS(T40&gt;='NILAI CPL'!$B$3,4,T40&gt;='NILAI CPL'!$B$4,3,T40&gt;='NILAI CPL'!$B$5,2,T40&gt;'NILAI CPL'!$B$6,1),0),"")</f>
        <v/>
      </c>
      <c r="AR40" s="2" t="str" cm="1">
        <f t="array" ref="AR40">IF('NILAI CPL'!$B40&lt;&gt;"",IFERROR(_xlfn.IFS(U40&gt;='NILAI CPL'!$B$3,4,U40&gt;='NILAI CPL'!$B$4,3,U40&gt;='NILAI CPL'!$B$5,2,U40&gt;'NILAI CPL'!$B$6,1),0),"")</f>
        <v/>
      </c>
      <c r="AS40" s="2" t="str" cm="1">
        <f t="array" ref="AS40">IF('NILAI CPL'!$B40&lt;&gt;"",IFERROR(_xlfn.IFS(V40&gt;='NILAI CPL'!$B$3,4,V40&gt;='NILAI CPL'!$B$4,3,V40&gt;='NILAI CPL'!$B$5,2,V40&gt;'NILAI CPL'!$B$6,1),0),"")</f>
        <v/>
      </c>
      <c r="AT40" s="2" t="str" cm="1">
        <f t="array" ref="AT40">IF('NILAI CPL'!$B40&lt;&gt;"",IFERROR(_xlfn.IFS(W40&gt;='NILAI CPL'!$B$3,4,W40&gt;='NILAI CPL'!$B$4,3,W40&gt;='NILAI CPL'!$B$5,2,W40&gt;'NILAI CPL'!$B$6,1),0),"")</f>
        <v/>
      </c>
      <c r="AU40" s="2" t="str" cm="1">
        <f t="array" ref="AU40">IF('NILAI CPL'!$B40&lt;&gt;"",IFERROR(_xlfn.IFS(X40&gt;='NILAI CPL'!$B$3,4,X40&gt;='NILAI CPL'!$B$4,3,X40&gt;='NILAI CPL'!$B$5,2,X40&gt;'NILAI CPL'!$B$6,1),0),"")</f>
        <v/>
      </c>
      <c r="AV40" s="2" t="str" cm="1">
        <f t="array" ref="AV40">IF('NILAI CPL'!$B40&lt;&gt;"",IFERROR(_xlfn.IFS(Y40&gt;='NILAI CPL'!$B$3,4,Y40&gt;='NILAI CPL'!$B$4,3,Y40&gt;='NILAI CPL'!$B$5,2,Y40&gt;'NILAI CPL'!$B$6,1),0),"")</f>
        <v/>
      </c>
      <c r="AW40" s="2" t="str" cm="1">
        <f t="array" ref="AW40">IF('NILAI CPL'!$B40&lt;&gt;"",IFERROR(_xlfn.IFS(Z40&gt;='NILAI CPL'!$B$3,4,Z40&gt;='NILAI CPL'!$B$4,3,Z40&gt;='NILAI CPL'!$B$5,2,Z40&gt;'NILAI CPL'!$B$6,1),0),"")</f>
        <v/>
      </c>
      <c r="AX40" s="2" t="str" cm="1">
        <f t="array" ref="AX40">IF('NILAI CPL'!$B40&lt;&gt;"",IFERROR(_xlfn.IFS(AA40&gt;='NILAI CPL'!$B$3,4,AA40&gt;='NILAI CPL'!$B$4,3,AA40&gt;='NILAI CPL'!$B$5,2,AA40&gt;'NILAI CPL'!$B$6,1),0),"")</f>
        <v/>
      </c>
      <c r="AY40" s="2" t="str" cm="1">
        <f t="array" ref="AY40">IF('NILAI CPL'!$B40&lt;&gt;"",IFERROR(_xlfn.IFS(AB40&gt;='NILAI CPL'!$B$3,4,AB40&gt;='NILAI CPL'!$B$4,3,AB40&gt;='NILAI CPL'!$B$5,2,AB40&gt;'NILAI CPL'!$B$6,1),0),"")</f>
        <v/>
      </c>
      <c r="AZ40" s="2" t="str" cm="1">
        <f t="array" ref="AZ40">IF('NILAI CPL'!$B40&lt;&gt;"",IFERROR(_xlfn.IFS(AC40&gt;='NILAI CPL'!$B$3,4,AC40&gt;='NILAI CPL'!$B$4,3,AC40&gt;='NILAI CPL'!$B$5,2,AC40&gt;'NILAI CPL'!$B$6,1),0),"")</f>
        <v/>
      </c>
      <c r="BA40" s="2" t="str" cm="1">
        <f t="array" ref="BA40">IF('NILAI CPL'!$B40&lt;&gt;"",IFERROR(_xlfn.IFS(AD40&gt;='NILAI CPL'!$B$3,4,AD40&gt;='NILAI CPL'!$B$4,3,AD40&gt;='NILAI CPL'!$B$5,2,AD40&gt;'NILAI CPL'!$B$6,1),0),"")</f>
        <v/>
      </c>
      <c r="BB40" s="2" t="str" cm="1">
        <f t="array" ref="BB40">IF('NILAI CPL'!$B40&lt;&gt;"",IFERROR(_xlfn.IFS(AE40&gt;='NILAI CPL'!$B$3,4,AE40&gt;='NILAI CPL'!$B$4,3,AE40&gt;='NILAI CPL'!$B$5,2,AE40&gt;'NILAI CPL'!$B$6,1),0),"")</f>
        <v/>
      </c>
      <c r="BC40" s="2" t="str" cm="1">
        <f t="array" ref="BC40">IF('NILAI CPL'!$B40&lt;&gt;"",IFERROR(_xlfn.IFS(AF40&gt;='NILAI CPL'!$B$3,4,AF40&gt;='NILAI CPL'!$B$4,3,AF40&gt;='NILAI CPL'!$B$5,2,AF40&gt;'NILAI CPL'!$B$6,1),0),"")</f>
        <v/>
      </c>
      <c r="BD40" s="2" t="str" cm="1">
        <f t="array" ref="BD40">IF('NILAI CPL'!$B40&lt;&gt;"",IFERROR(_xlfn.IFS(AG40&gt;='NILAI CPL'!$B$3,4,AG40&gt;='NILAI CPL'!$B$4,3,AG40&gt;='NILAI CPL'!$B$5,2,AG40&gt;'NILAI CPL'!$B$6,1),0),"")</f>
        <v/>
      </c>
      <c r="BE40" s="2" t="str" cm="1">
        <f t="array" ref="BE40">IF('NILAI CPL'!$B40&lt;&gt;"",IFERROR(_xlfn.IFS(AH40&gt;='NILAI CPL'!$B$3,4,AH40&gt;='NILAI CPL'!$B$4,3,AH40&gt;='NILAI CPL'!$B$5,2,AH40&gt;'NILAI CPL'!$B$6,1),0),"")</f>
        <v/>
      </c>
      <c r="BF40" s="2" t="str" cm="1">
        <f t="array" ref="BF40">IF('NILAI CPL'!$B40&lt;&gt;"",IFERROR(_xlfn.IFS(AI40&gt;='NILAI CPL'!$B$3,4,AI40&gt;='NILAI CPL'!$B$4,3,AI40&gt;='NILAI CPL'!$B$5,2,AI40&gt;'NILAI CPL'!$B$6,1),0),"")</f>
        <v/>
      </c>
      <c r="BG40" s="2" t="str" cm="1">
        <f t="array" ref="BG40">IF('NILAI CPL'!$B40&lt;&gt;"",IFERROR(_xlfn.IFS(AJ40&gt;='NILAI CPL'!$B$3,4,AJ40&gt;='NILAI CPL'!$B$4,3,AJ40&gt;='NILAI CPL'!$B$5,2,AJ40&gt;'NILAI CPL'!$B$6,1),0),"")</f>
        <v/>
      </c>
      <c r="BH40" s="2" t="str" cm="1">
        <f t="array" ref="BH40">IF('NILAI CPL'!$B40&lt;&gt;"",IFERROR(_xlfn.IFS(AK40&gt;='NILAI CPL'!$B$3,4,AK40&gt;='NILAI CPL'!$B$4,3,AK40&gt;='NILAI CPL'!$B$5,2,AK40&gt;'NILAI CPL'!$B$6,1),0),"")</f>
        <v/>
      </c>
      <c r="BI40" s="2" t="str" cm="1">
        <f t="array" ref="BI40">IF('NILAI CPL'!$B40&lt;&gt;"",IFERROR(_xlfn.IFS(AL40&gt;='NILAI CPL'!$B$3,4,AL40&gt;='NILAI CPL'!$B$4,3,AL40&gt;='NILAI CPL'!$B$5,2,AL40&gt;'NILAI CPL'!$B$6,1),0),"")</f>
        <v/>
      </c>
      <c r="BJ40" s="2" t="str" cm="1">
        <f t="array" ref="BJ40">IF('NILAI CPL'!$B40&lt;&gt;"",IFERROR(_xlfn.IFS(AM40&gt;='NILAI CPL'!$B$3,4,AM40&gt;='NILAI CPL'!$B$4,3,AM40&gt;='NILAI CPL'!$B$5,2,AM40&gt;'NILAI CPL'!$B$6,1),0),"")</f>
        <v/>
      </c>
      <c r="BK40" s="2" t="str" cm="1">
        <f t="array" ref="BK40">IF('NILAI CPL'!$B40&lt;&gt;"",IFERROR(_xlfn.IFS(AN40&gt;='NILAI CPL'!$B$3,4,AN40&gt;='NILAI CPL'!$B$4,3,AN40&gt;='NILAI CPL'!$B$5,2,AN40&gt;'NILAI CPL'!$B$6,1),0),"")</f>
        <v/>
      </c>
    </row>
    <row r="41" spans="1:63" x14ac:dyDescent="0.2">
      <c r="A41" s="2">
        <v>31</v>
      </c>
      <c r="B41" s="2" t="str">
        <f>IF(LEN(SUMMARY!B41)&gt;0, SUMMARY!B41, "")</f>
        <v/>
      </c>
      <c r="C41" s="2" t="str">
        <f>IF(LEN(SUMMARY!C41)&gt;0, SUMMARY!C41, "")</f>
        <v/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" t="str">
        <f t="shared" si="2"/>
        <v/>
      </c>
      <c r="S41" s="2" t="str">
        <f t="shared" si="3"/>
        <v/>
      </c>
      <c r="T41" s="2" t="str">
        <f t="shared" si="4"/>
        <v/>
      </c>
      <c r="U41" s="2" t="str">
        <f t="shared" si="5"/>
        <v/>
      </c>
      <c r="V41" s="2" t="str">
        <f t="shared" si="6"/>
        <v/>
      </c>
      <c r="W41" s="2" t="str">
        <f t="shared" si="7"/>
        <v/>
      </c>
      <c r="X41" s="2" t="str">
        <f t="shared" si="8"/>
        <v/>
      </c>
      <c r="Y41" s="2" t="str">
        <f t="shared" si="9"/>
        <v/>
      </c>
      <c r="Z41" s="2" t="str">
        <f t="shared" si="10"/>
        <v/>
      </c>
      <c r="AA41" s="2" t="str">
        <f t="shared" si="11"/>
        <v/>
      </c>
      <c r="AB41" s="2" t="str">
        <f t="shared" si="12"/>
        <v/>
      </c>
      <c r="AC41" s="2" t="str">
        <f t="shared" si="13"/>
        <v/>
      </c>
      <c r="AD41" s="2" t="str">
        <f t="shared" si="14"/>
        <v/>
      </c>
      <c r="AE41" s="2" t="str">
        <f t="shared" si="15"/>
        <v/>
      </c>
      <c r="AF41" s="2" t="str">
        <f t="shared" si="16"/>
        <v/>
      </c>
      <c r="AG41" s="2" t="str">
        <f t="shared" si="17"/>
        <v/>
      </c>
      <c r="AH41" s="2" t="str">
        <f t="shared" si="18"/>
        <v/>
      </c>
      <c r="AI41" s="2" t="str">
        <f t="shared" si="19"/>
        <v/>
      </c>
      <c r="AJ41" s="2" t="str">
        <f t="shared" si="20"/>
        <v/>
      </c>
      <c r="AK41" s="2" t="str">
        <f t="shared" si="21"/>
        <v/>
      </c>
      <c r="AL41" s="2" t="str">
        <f t="shared" si="22"/>
        <v/>
      </c>
      <c r="AM41" s="2" t="str">
        <f t="shared" si="23"/>
        <v/>
      </c>
      <c r="AN41" s="2" t="str">
        <f t="shared" si="24"/>
        <v/>
      </c>
      <c r="AP41" s="2" t="str" cm="1">
        <f t="array" ref="AP41">IF('NILAI CPL'!$B41&lt;&gt;"",IFERROR(_xlfn.IFS(S41&gt;='NILAI CPL'!$B$3,4,S41&gt;='NILAI CPL'!$B$4,3,S41&gt;='NILAI CPL'!$B$5,2,S41&gt;'NILAI CPL'!$B$6,1),0),"")</f>
        <v/>
      </c>
      <c r="AQ41" s="2" t="str" cm="1">
        <f t="array" ref="AQ41">IF('NILAI CPL'!$B41&lt;&gt;"",IFERROR(_xlfn.IFS(T41&gt;='NILAI CPL'!$B$3,4,T41&gt;='NILAI CPL'!$B$4,3,T41&gt;='NILAI CPL'!$B$5,2,T41&gt;'NILAI CPL'!$B$6,1),0),"")</f>
        <v/>
      </c>
      <c r="AR41" s="2" t="str" cm="1">
        <f t="array" ref="AR41">IF('NILAI CPL'!$B41&lt;&gt;"",IFERROR(_xlfn.IFS(U41&gt;='NILAI CPL'!$B$3,4,U41&gt;='NILAI CPL'!$B$4,3,U41&gt;='NILAI CPL'!$B$5,2,U41&gt;'NILAI CPL'!$B$6,1),0),"")</f>
        <v/>
      </c>
      <c r="AS41" s="2" t="str" cm="1">
        <f t="array" ref="AS41">IF('NILAI CPL'!$B41&lt;&gt;"",IFERROR(_xlfn.IFS(V41&gt;='NILAI CPL'!$B$3,4,V41&gt;='NILAI CPL'!$B$4,3,V41&gt;='NILAI CPL'!$B$5,2,V41&gt;'NILAI CPL'!$B$6,1),0),"")</f>
        <v/>
      </c>
      <c r="AT41" s="2" t="str" cm="1">
        <f t="array" ref="AT41">IF('NILAI CPL'!$B41&lt;&gt;"",IFERROR(_xlfn.IFS(W41&gt;='NILAI CPL'!$B$3,4,W41&gt;='NILAI CPL'!$B$4,3,W41&gt;='NILAI CPL'!$B$5,2,W41&gt;'NILAI CPL'!$B$6,1),0),"")</f>
        <v/>
      </c>
      <c r="AU41" s="2" t="str" cm="1">
        <f t="array" ref="AU41">IF('NILAI CPL'!$B41&lt;&gt;"",IFERROR(_xlfn.IFS(X41&gt;='NILAI CPL'!$B$3,4,X41&gt;='NILAI CPL'!$B$4,3,X41&gt;='NILAI CPL'!$B$5,2,X41&gt;'NILAI CPL'!$B$6,1),0),"")</f>
        <v/>
      </c>
      <c r="AV41" s="2" t="str" cm="1">
        <f t="array" ref="AV41">IF('NILAI CPL'!$B41&lt;&gt;"",IFERROR(_xlfn.IFS(Y41&gt;='NILAI CPL'!$B$3,4,Y41&gt;='NILAI CPL'!$B$4,3,Y41&gt;='NILAI CPL'!$B$5,2,Y41&gt;'NILAI CPL'!$B$6,1),0),"")</f>
        <v/>
      </c>
      <c r="AW41" s="2" t="str" cm="1">
        <f t="array" ref="AW41">IF('NILAI CPL'!$B41&lt;&gt;"",IFERROR(_xlfn.IFS(Z41&gt;='NILAI CPL'!$B$3,4,Z41&gt;='NILAI CPL'!$B$4,3,Z41&gt;='NILAI CPL'!$B$5,2,Z41&gt;'NILAI CPL'!$B$6,1),0),"")</f>
        <v/>
      </c>
      <c r="AX41" s="2" t="str" cm="1">
        <f t="array" ref="AX41">IF('NILAI CPL'!$B41&lt;&gt;"",IFERROR(_xlfn.IFS(AA41&gt;='NILAI CPL'!$B$3,4,AA41&gt;='NILAI CPL'!$B$4,3,AA41&gt;='NILAI CPL'!$B$5,2,AA41&gt;'NILAI CPL'!$B$6,1),0),"")</f>
        <v/>
      </c>
      <c r="AY41" s="2" t="str" cm="1">
        <f t="array" ref="AY41">IF('NILAI CPL'!$B41&lt;&gt;"",IFERROR(_xlfn.IFS(AB41&gt;='NILAI CPL'!$B$3,4,AB41&gt;='NILAI CPL'!$B$4,3,AB41&gt;='NILAI CPL'!$B$5,2,AB41&gt;'NILAI CPL'!$B$6,1),0),"")</f>
        <v/>
      </c>
      <c r="AZ41" s="2" t="str" cm="1">
        <f t="array" ref="AZ41">IF('NILAI CPL'!$B41&lt;&gt;"",IFERROR(_xlfn.IFS(AC41&gt;='NILAI CPL'!$B$3,4,AC41&gt;='NILAI CPL'!$B$4,3,AC41&gt;='NILAI CPL'!$B$5,2,AC41&gt;'NILAI CPL'!$B$6,1),0),"")</f>
        <v/>
      </c>
      <c r="BA41" s="2" t="str" cm="1">
        <f t="array" ref="BA41">IF('NILAI CPL'!$B41&lt;&gt;"",IFERROR(_xlfn.IFS(AD41&gt;='NILAI CPL'!$B$3,4,AD41&gt;='NILAI CPL'!$B$4,3,AD41&gt;='NILAI CPL'!$B$5,2,AD41&gt;'NILAI CPL'!$B$6,1),0),"")</f>
        <v/>
      </c>
      <c r="BB41" s="2" t="str" cm="1">
        <f t="array" ref="BB41">IF('NILAI CPL'!$B41&lt;&gt;"",IFERROR(_xlfn.IFS(AE41&gt;='NILAI CPL'!$B$3,4,AE41&gt;='NILAI CPL'!$B$4,3,AE41&gt;='NILAI CPL'!$B$5,2,AE41&gt;'NILAI CPL'!$B$6,1),0),"")</f>
        <v/>
      </c>
      <c r="BC41" s="2" t="str" cm="1">
        <f t="array" ref="BC41">IF('NILAI CPL'!$B41&lt;&gt;"",IFERROR(_xlfn.IFS(AF41&gt;='NILAI CPL'!$B$3,4,AF41&gt;='NILAI CPL'!$B$4,3,AF41&gt;='NILAI CPL'!$B$5,2,AF41&gt;'NILAI CPL'!$B$6,1),0),"")</f>
        <v/>
      </c>
      <c r="BD41" s="2" t="str" cm="1">
        <f t="array" ref="BD41">IF('NILAI CPL'!$B41&lt;&gt;"",IFERROR(_xlfn.IFS(AG41&gt;='NILAI CPL'!$B$3,4,AG41&gt;='NILAI CPL'!$B$4,3,AG41&gt;='NILAI CPL'!$B$5,2,AG41&gt;'NILAI CPL'!$B$6,1),0),"")</f>
        <v/>
      </c>
      <c r="BE41" s="2" t="str" cm="1">
        <f t="array" ref="BE41">IF('NILAI CPL'!$B41&lt;&gt;"",IFERROR(_xlfn.IFS(AH41&gt;='NILAI CPL'!$B$3,4,AH41&gt;='NILAI CPL'!$B$4,3,AH41&gt;='NILAI CPL'!$B$5,2,AH41&gt;'NILAI CPL'!$B$6,1),0),"")</f>
        <v/>
      </c>
      <c r="BF41" s="2" t="str" cm="1">
        <f t="array" ref="BF41">IF('NILAI CPL'!$B41&lt;&gt;"",IFERROR(_xlfn.IFS(AI41&gt;='NILAI CPL'!$B$3,4,AI41&gt;='NILAI CPL'!$B$4,3,AI41&gt;='NILAI CPL'!$B$5,2,AI41&gt;'NILAI CPL'!$B$6,1),0),"")</f>
        <v/>
      </c>
      <c r="BG41" s="2" t="str" cm="1">
        <f t="array" ref="BG41">IF('NILAI CPL'!$B41&lt;&gt;"",IFERROR(_xlfn.IFS(AJ41&gt;='NILAI CPL'!$B$3,4,AJ41&gt;='NILAI CPL'!$B$4,3,AJ41&gt;='NILAI CPL'!$B$5,2,AJ41&gt;'NILAI CPL'!$B$6,1),0),"")</f>
        <v/>
      </c>
      <c r="BH41" s="2" t="str" cm="1">
        <f t="array" ref="BH41">IF('NILAI CPL'!$B41&lt;&gt;"",IFERROR(_xlfn.IFS(AK41&gt;='NILAI CPL'!$B$3,4,AK41&gt;='NILAI CPL'!$B$4,3,AK41&gt;='NILAI CPL'!$B$5,2,AK41&gt;'NILAI CPL'!$B$6,1),0),"")</f>
        <v/>
      </c>
      <c r="BI41" s="2" t="str" cm="1">
        <f t="array" ref="BI41">IF('NILAI CPL'!$B41&lt;&gt;"",IFERROR(_xlfn.IFS(AL41&gt;='NILAI CPL'!$B$3,4,AL41&gt;='NILAI CPL'!$B$4,3,AL41&gt;='NILAI CPL'!$B$5,2,AL41&gt;'NILAI CPL'!$B$6,1),0),"")</f>
        <v/>
      </c>
      <c r="BJ41" s="2" t="str" cm="1">
        <f t="array" ref="BJ41">IF('NILAI CPL'!$B41&lt;&gt;"",IFERROR(_xlfn.IFS(AM41&gt;='NILAI CPL'!$B$3,4,AM41&gt;='NILAI CPL'!$B$4,3,AM41&gt;='NILAI CPL'!$B$5,2,AM41&gt;'NILAI CPL'!$B$6,1),0),"")</f>
        <v/>
      </c>
      <c r="BK41" s="2" t="str" cm="1">
        <f t="array" ref="BK41">IF('NILAI CPL'!$B41&lt;&gt;"",IFERROR(_xlfn.IFS(AN41&gt;='NILAI CPL'!$B$3,4,AN41&gt;='NILAI CPL'!$B$4,3,AN41&gt;='NILAI CPL'!$B$5,2,AN41&gt;'NILAI CPL'!$B$6,1),0),"")</f>
        <v/>
      </c>
    </row>
    <row r="42" spans="1:63" x14ac:dyDescent="0.2">
      <c r="A42" s="2">
        <v>32</v>
      </c>
      <c r="B42" s="2" t="str">
        <f>IF(LEN(SUMMARY!B42)&gt;0, SUMMARY!B42, "")</f>
        <v/>
      </c>
      <c r="C42" s="2" t="str">
        <f>IF(LEN(SUMMARY!C42)&gt;0, SUMMARY!C42, "")</f>
        <v/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" t="str">
        <f t="shared" si="2"/>
        <v/>
      </c>
      <c r="S42" s="2" t="str">
        <f t="shared" si="3"/>
        <v/>
      </c>
      <c r="T42" s="2" t="str">
        <f t="shared" si="4"/>
        <v/>
      </c>
      <c r="U42" s="2" t="str">
        <f t="shared" si="5"/>
        <v/>
      </c>
      <c r="V42" s="2" t="str">
        <f t="shared" si="6"/>
        <v/>
      </c>
      <c r="W42" s="2" t="str">
        <f t="shared" si="7"/>
        <v/>
      </c>
      <c r="X42" s="2" t="str">
        <f t="shared" si="8"/>
        <v/>
      </c>
      <c r="Y42" s="2" t="str">
        <f t="shared" si="9"/>
        <v/>
      </c>
      <c r="Z42" s="2" t="str">
        <f t="shared" si="10"/>
        <v/>
      </c>
      <c r="AA42" s="2" t="str">
        <f t="shared" si="11"/>
        <v/>
      </c>
      <c r="AB42" s="2" t="str">
        <f t="shared" si="12"/>
        <v/>
      </c>
      <c r="AC42" s="2" t="str">
        <f t="shared" si="13"/>
        <v/>
      </c>
      <c r="AD42" s="2" t="str">
        <f t="shared" si="14"/>
        <v/>
      </c>
      <c r="AE42" s="2" t="str">
        <f t="shared" si="15"/>
        <v/>
      </c>
      <c r="AF42" s="2" t="str">
        <f t="shared" si="16"/>
        <v/>
      </c>
      <c r="AG42" s="2" t="str">
        <f t="shared" si="17"/>
        <v/>
      </c>
      <c r="AH42" s="2" t="str">
        <f t="shared" si="18"/>
        <v/>
      </c>
      <c r="AI42" s="2" t="str">
        <f t="shared" si="19"/>
        <v/>
      </c>
      <c r="AJ42" s="2" t="str">
        <f t="shared" si="20"/>
        <v/>
      </c>
      <c r="AK42" s="2" t="str">
        <f t="shared" si="21"/>
        <v/>
      </c>
      <c r="AL42" s="2" t="str">
        <f t="shared" si="22"/>
        <v/>
      </c>
      <c r="AM42" s="2" t="str">
        <f t="shared" si="23"/>
        <v/>
      </c>
      <c r="AN42" s="2" t="str">
        <f t="shared" si="24"/>
        <v/>
      </c>
      <c r="AP42" s="2" t="str" cm="1">
        <f t="array" ref="AP42">IF('NILAI CPL'!$B42&lt;&gt;"",IFERROR(_xlfn.IFS(S42&gt;='NILAI CPL'!$B$3,4,S42&gt;='NILAI CPL'!$B$4,3,S42&gt;='NILAI CPL'!$B$5,2,S42&gt;'NILAI CPL'!$B$6,1),0),"")</f>
        <v/>
      </c>
      <c r="AQ42" s="2" t="str" cm="1">
        <f t="array" ref="AQ42">IF('NILAI CPL'!$B42&lt;&gt;"",IFERROR(_xlfn.IFS(T42&gt;='NILAI CPL'!$B$3,4,T42&gt;='NILAI CPL'!$B$4,3,T42&gt;='NILAI CPL'!$B$5,2,T42&gt;'NILAI CPL'!$B$6,1),0),"")</f>
        <v/>
      </c>
      <c r="AR42" s="2" t="str" cm="1">
        <f t="array" ref="AR42">IF('NILAI CPL'!$B42&lt;&gt;"",IFERROR(_xlfn.IFS(U42&gt;='NILAI CPL'!$B$3,4,U42&gt;='NILAI CPL'!$B$4,3,U42&gt;='NILAI CPL'!$B$5,2,U42&gt;'NILAI CPL'!$B$6,1),0),"")</f>
        <v/>
      </c>
      <c r="AS42" s="2" t="str" cm="1">
        <f t="array" ref="AS42">IF('NILAI CPL'!$B42&lt;&gt;"",IFERROR(_xlfn.IFS(V42&gt;='NILAI CPL'!$B$3,4,V42&gt;='NILAI CPL'!$B$4,3,V42&gt;='NILAI CPL'!$B$5,2,V42&gt;'NILAI CPL'!$B$6,1),0),"")</f>
        <v/>
      </c>
      <c r="AT42" s="2" t="str" cm="1">
        <f t="array" ref="AT42">IF('NILAI CPL'!$B42&lt;&gt;"",IFERROR(_xlfn.IFS(W42&gt;='NILAI CPL'!$B$3,4,W42&gt;='NILAI CPL'!$B$4,3,W42&gt;='NILAI CPL'!$B$5,2,W42&gt;'NILAI CPL'!$B$6,1),0),"")</f>
        <v/>
      </c>
      <c r="AU42" s="2" t="str" cm="1">
        <f t="array" ref="AU42">IF('NILAI CPL'!$B42&lt;&gt;"",IFERROR(_xlfn.IFS(X42&gt;='NILAI CPL'!$B$3,4,X42&gt;='NILAI CPL'!$B$4,3,X42&gt;='NILAI CPL'!$B$5,2,X42&gt;'NILAI CPL'!$B$6,1),0),"")</f>
        <v/>
      </c>
      <c r="AV42" s="2" t="str" cm="1">
        <f t="array" ref="AV42">IF('NILAI CPL'!$B42&lt;&gt;"",IFERROR(_xlfn.IFS(Y42&gt;='NILAI CPL'!$B$3,4,Y42&gt;='NILAI CPL'!$B$4,3,Y42&gt;='NILAI CPL'!$B$5,2,Y42&gt;'NILAI CPL'!$B$6,1),0),"")</f>
        <v/>
      </c>
      <c r="AW42" s="2" t="str" cm="1">
        <f t="array" ref="AW42">IF('NILAI CPL'!$B42&lt;&gt;"",IFERROR(_xlfn.IFS(Z42&gt;='NILAI CPL'!$B$3,4,Z42&gt;='NILAI CPL'!$B$4,3,Z42&gt;='NILAI CPL'!$B$5,2,Z42&gt;'NILAI CPL'!$B$6,1),0),"")</f>
        <v/>
      </c>
      <c r="AX42" s="2" t="str" cm="1">
        <f t="array" ref="AX42">IF('NILAI CPL'!$B42&lt;&gt;"",IFERROR(_xlfn.IFS(AA42&gt;='NILAI CPL'!$B$3,4,AA42&gt;='NILAI CPL'!$B$4,3,AA42&gt;='NILAI CPL'!$B$5,2,AA42&gt;'NILAI CPL'!$B$6,1),0),"")</f>
        <v/>
      </c>
      <c r="AY42" s="2" t="str" cm="1">
        <f t="array" ref="AY42">IF('NILAI CPL'!$B42&lt;&gt;"",IFERROR(_xlfn.IFS(AB42&gt;='NILAI CPL'!$B$3,4,AB42&gt;='NILAI CPL'!$B$4,3,AB42&gt;='NILAI CPL'!$B$5,2,AB42&gt;'NILAI CPL'!$B$6,1),0),"")</f>
        <v/>
      </c>
      <c r="AZ42" s="2" t="str" cm="1">
        <f t="array" ref="AZ42">IF('NILAI CPL'!$B42&lt;&gt;"",IFERROR(_xlfn.IFS(AC42&gt;='NILAI CPL'!$B$3,4,AC42&gt;='NILAI CPL'!$B$4,3,AC42&gt;='NILAI CPL'!$B$5,2,AC42&gt;'NILAI CPL'!$B$6,1),0),"")</f>
        <v/>
      </c>
      <c r="BA42" s="2" t="str" cm="1">
        <f t="array" ref="BA42">IF('NILAI CPL'!$B42&lt;&gt;"",IFERROR(_xlfn.IFS(AD42&gt;='NILAI CPL'!$B$3,4,AD42&gt;='NILAI CPL'!$B$4,3,AD42&gt;='NILAI CPL'!$B$5,2,AD42&gt;'NILAI CPL'!$B$6,1),0),"")</f>
        <v/>
      </c>
      <c r="BB42" s="2" t="str" cm="1">
        <f t="array" ref="BB42">IF('NILAI CPL'!$B42&lt;&gt;"",IFERROR(_xlfn.IFS(AE42&gt;='NILAI CPL'!$B$3,4,AE42&gt;='NILAI CPL'!$B$4,3,AE42&gt;='NILAI CPL'!$B$5,2,AE42&gt;'NILAI CPL'!$B$6,1),0),"")</f>
        <v/>
      </c>
      <c r="BC42" s="2" t="str" cm="1">
        <f t="array" ref="BC42">IF('NILAI CPL'!$B42&lt;&gt;"",IFERROR(_xlfn.IFS(AF42&gt;='NILAI CPL'!$B$3,4,AF42&gt;='NILAI CPL'!$B$4,3,AF42&gt;='NILAI CPL'!$B$5,2,AF42&gt;'NILAI CPL'!$B$6,1),0),"")</f>
        <v/>
      </c>
      <c r="BD42" s="2" t="str" cm="1">
        <f t="array" ref="BD42">IF('NILAI CPL'!$B42&lt;&gt;"",IFERROR(_xlfn.IFS(AG42&gt;='NILAI CPL'!$B$3,4,AG42&gt;='NILAI CPL'!$B$4,3,AG42&gt;='NILAI CPL'!$B$5,2,AG42&gt;'NILAI CPL'!$B$6,1),0),"")</f>
        <v/>
      </c>
      <c r="BE42" s="2" t="str" cm="1">
        <f t="array" ref="BE42">IF('NILAI CPL'!$B42&lt;&gt;"",IFERROR(_xlfn.IFS(AH42&gt;='NILAI CPL'!$B$3,4,AH42&gt;='NILAI CPL'!$B$4,3,AH42&gt;='NILAI CPL'!$B$5,2,AH42&gt;'NILAI CPL'!$B$6,1),0),"")</f>
        <v/>
      </c>
      <c r="BF42" s="2" t="str" cm="1">
        <f t="array" ref="BF42">IF('NILAI CPL'!$B42&lt;&gt;"",IFERROR(_xlfn.IFS(AI42&gt;='NILAI CPL'!$B$3,4,AI42&gt;='NILAI CPL'!$B$4,3,AI42&gt;='NILAI CPL'!$B$5,2,AI42&gt;'NILAI CPL'!$B$6,1),0),"")</f>
        <v/>
      </c>
      <c r="BG42" s="2" t="str" cm="1">
        <f t="array" ref="BG42">IF('NILAI CPL'!$B42&lt;&gt;"",IFERROR(_xlfn.IFS(AJ42&gt;='NILAI CPL'!$B$3,4,AJ42&gt;='NILAI CPL'!$B$4,3,AJ42&gt;='NILAI CPL'!$B$5,2,AJ42&gt;'NILAI CPL'!$B$6,1),0),"")</f>
        <v/>
      </c>
      <c r="BH42" s="2" t="str" cm="1">
        <f t="array" ref="BH42">IF('NILAI CPL'!$B42&lt;&gt;"",IFERROR(_xlfn.IFS(AK42&gt;='NILAI CPL'!$B$3,4,AK42&gt;='NILAI CPL'!$B$4,3,AK42&gt;='NILAI CPL'!$B$5,2,AK42&gt;'NILAI CPL'!$B$6,1),0),"")</f>
        <v/>
      </c>
      <c r="BI42" s="2" t="str" cm="1">
        <f t="array" ref="BI42">IF('NILAI CPL'!$B42&lt;&gt;"",IFERROR(_xlfn.IFS(AL42&gt;='NILAI CPL'!$B$3,4,AL42&gt;='NILAI CPL'!$B$4,3,AL42&gt;='NILAI CPL'!$B$5,2,AL42&gt;'NILAI CPL'!$B$6,1),0),"")</f>
        <v/>
      </c>
      <c r="BJ42" s="2" t="str" cm="1">
        <f t="array" ref="BJ42">IF('NILAI CPL'!$B42&lt;&gt;"",IFERROR(_xlfn.IFS(AM42&gt;='NILAI CPL'!$B$3,4,AM42&gt;='NILAI CPL'!$B$4,3,AM42&gt;='NILAI CPL'!$B$5,2,AM42&gt;'NILAI CPL'!$B$6,1),0),"")</f>
        <v/>
      </c>
      <c r="BK42" s="2" t="str" cm="1">
        <f t="array" ref="BK42">IF('NILAI CPL'!$B42&lt;&gt;"",IFERROR(_xlfn.IFS(AN42&gt;='NILAI CPL'!$B$3,4,AN42&gt;='NILAI CPL'!$B$4,3,AN42&gt;='NILAI CPL'!$B$5,2,AN42&gt;'NILAI CPL'!$B$6,1),0),"")</f>
        <v/>
      </c>
    </row>
    <row r="43" spans="1:63" x14ac:dyDescent="0.2">
      <c r="A43" s="2">
        <v>33</v>
      </c>
      <c r="B43" s="2" t="str">
        <f>IF(LEN(SUMMARY!B43)&gt;0, SUMMARY!B43, "")</f>
        <v/>
      </c>
      <c r="C43" s="2" t="str">
        <f>IF(LEN(SUMMARY!C43)&gt;0, SUMMARY!C43, "")</f>
        <v/>
      </c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" t="str">
        <f t="shared" si="2"/>
        <v/>
      </c>
      <c r="S43" s="2" t="str">
        <f t="shared" si="3"/>
        <v/>
      </c>
      <c r="T43" s="2" t="str">
        <f t="shared" si="4"/>
        <v/>
      </c>
      <c r="U43" s="2" t="str">
        <f t="shared" si="5"/>
        <v/>
      </c>
      <c r="V43" s="2" t="str">
        <f t="shared" si="6"/>
        <v/>
      </c>
      <c r="W43" s="2" t="str">
        <f t="shared" si="7"/>
        <v/>
      </c>
      <c r="X43" s="2" t="str">
        <f t="shared" si="8"/>
        <v/>
      </c>
      <c r="Y43" s="2" t="str">
        <f t="shared" si="9"/>
        <v/>
      </c>
      <c r="Z43" s="2" t="str">
        <f t="shared" si="10"/>
        <v/>
      </c>
      <c r="AA43" s="2" t="str">
        <f t="shared" si="11"/>
        <v/>
      </c>
      <c r="AB43" s="2" t="str">
        <f t="shared" si="12"/>
        <v/>
      </c>
      <c r="AC43" s="2" t="str">
        <f t="shared" si="13"/>
        <v/>
      </c>
      <c r="AD43" s="2" t="str">
        <f t="shared" si="14"/>
        <v/>
      </c>
      <c r="AE43" s="2" t="str">
        <f t="shared" si="15"/>
        <v/>
      </c>
      <c r="AF43" s="2" t="str">
        <f t="shared" si="16"/>
        <v/>
      </c>
      <c r="AG43" s="2" t="str">
        <f t="shared" si="17"/>
        <v/>
      </c>
      <c r="AH43" s="2" t="str">
        <f t="shared" si="18"/>
        <v/>
      </c>
      <c r="AI43" s="2" t="str">
        <f t="shared" si="19"/>
        <v/>
      </c>
      <c r="AJ43" s="2" t="str">
        <f t="shared" si="20"/>
        <v/>
      </c>
      <c r="AK43" s="2" t="str">
        <f t="shared" si="21"/>
        <v/>
      </c>
      <c r="AL43" s="2" t="str">
        <f t="shared" si="22"/>
        <v/>
      </c>
      <c r="AM43" s="2" t="str">
        <f t="shared" si="23"/>
        <v/>
      </c>
      <c r="AN43" s="2" t="str">
        <f t="shared" si="24"/>
        <v/>
      </c>
      <c r="AP43" s="2" t="str" cm="1">
        <f t="array" ref="AP43">IF('NILAI CPL'!$B43&lt;&gt;"",IFERROR(_xlfn.IFS(S43&gt;='NILAI CPL'!$B$3,4,S43&gt;='NILAI CPL'!$B$4,3,S43&gt;='NILAI CPL'!$B$5,2,S43&gt;'NILAI CPL'!$B$6,1),0),"")</f>
        <v/>
      </c>
      <c r="AQ43" s="2" t="str" cm="1">
        <f t="array" ref="AQ43">IF('NILAI CPL'!$B43&lt;&gt;"",IFERROR(_xlfn.IFS(T43&gt;='NILAI CPL'!$B$3,4,T43&gt;='NILAI CPL'!$B$4,3,T43&gt;='NILAI CPL'!$B$5,2,T43&gt;'NILAI CPL'!$B$6,1),0),"")</f>
        <v/>
      </c>
      <c r="AR43" s="2" t="str" cm="1">
        <f t="array" ref="AR43">IF('NILAI CPL'!$B43&lt;&gt;"",IFERROR(_xlfn.IFS(U43&gt;='NILAI CPL'!$B$3,4,U43&gt;='NILAI CPL'!$B$4,3,U43&gt;='NILAI CPL'!$B$5,2,U43&gt;'NILAI CPL'!$B$6,1),0),"")</f>
        <v/>
      </c>
      <c r="AS43" s="2" t="str" cm="1">
        <f t="array" ref="AS43">IF('NILAI CPL'!$B43&lt;&gt;"",IFERROR(_xlfn.IFS(V43&gt;='NILAI CPL'!$B$3,4,V43&gt;='NILAI CPL'!$B$4,3,V43&gt;='NILAI CPL'!$B$5,2,V43&gt;'NILAI CPL'!$B$6,1),0),"")</f>
        <v/>
      </c>
      <c r="AT43" s="2" t="str" cm="1">
        <f t="array" ref="AT43">IF('NILAI CPL'!$B43&lt;&gt;"",IFERROR(_xlfn.IFS(W43&gt;='NILAI CPL'!$B$3,4,W43&gt;='NILAI CPL'!$B$4,3,W43&gt;='NILAI CPL'!$B$5,2,W43&gt;'NILAI CPL'!$B$6,1),0),"")</f>
        <v/>
      </c>
      <c r="AU43" s="2" t="str" cm="1">
        <f t="array" ref="AU43">IF('NILAI CPL'!$B43&lt;&gt;"",IFERROR(_xlfn.IFS(X43&gt;='NILAI CPL'!$B$3,4,X43&gt;='NILAI CPL'!$B$4,3,X43&gt;='NILAI CPL'!$B$5,2,X43&gt;'NILAI CPL'!$B$6,1),0),"")</f>
        <v/>
      </c>
      <c r="AV43" s="2" t="str" cm="1">
        <f t="array" ref="AV43">IF('NILAI CPL'!$B43&lt;&gt;"",IFERROR(_xlfn.IFS(Y43&gt;='NILAI CPL'!$B$3,4,Y43&gt;='NILAI CPL'!$B$4,3,Y43&gt;='NILAI CPL'!$B$5,2,Y43&gt;'NILAI CPL'!$B$6,1),0),"")</f>
        <v/>
      </c>
      <c r="AW43" s="2" t="str" cm="1">
        <f t="array" ref="AW43">IF('NILAI CPL'!$B43&lt;&gt;"",IFERROR(_xlfn.IFS(Z43&gt;='NILAI CPL'!$B$3,4,Z43&gt;='NILAI CPL'!$B$4,3,Z43&gt;='NILAI CPL'!$B$5,2,Z43&gt;'NILAI CPL'!$B$6,1),0),"")</f>
        <v/>
      </c>
      <c r="AX43" s="2" t="str" cm="1">
        <f t="array" ref="AX43">IF('NILAI CPL'!$B43&lt;&gt;"",IFERROR(_xlfn.IFS(AA43&gt;='NILAI CPL'!$B$3,4,AA43&gt;='NILAI CPL'!$B$4,3,AA43&gt;='NILAI CPL'!$B$5,2,AA43&gt;'NILAI CPL'!$B$6,1),0),"")</f>
        <v/>
      </c>
      <c r="AY43" s="2" t="str" cm="1">
        <f t="array" ref="AY43">IF('NILAI CPL'!$B43&lt;&gt;"",IFERROR(_xlfn.IFS(AB43&gt;='NILAI CPL'!$B$3,4,AB43&gt;='NILAI CPL'!$B$4,3,AB43&gt;='NILAI CPL'!$B$5,2,AB43&gt;'NILAI CPL'!$B$6,1),0),"")</f>
        <v/>
      </c>
      <c r="AZ43" s="2" t="str" cm="1">
        <f t="array" ref="AZ43">IF('NILAI CPL'!$B43&lt;&gt;"",IFERROR(_xlfn.IFS(AC43&gt;='NILAI CPL'!$B$3,4,AC43&gt;='NILAI CPL'!$B$4,3,AC43&gt;='NILAI CPL'!$B$5,2,AC43&gt;'NILAI CPL'!$B$6,1),0),"")</f>
        <v/>
      </c>
      <c r="BA43" s="2" t="str" cm="1">
        <f t="array" ref="BA43">IF('NILAI CPL'!$B43&lt;&gt;"",IFERROR(_xlfn.IFS(AD43&gt;='NILAI CPL'!$B$3,4,AD43&gt;='NILAI CPL'!$B$4,3,AD43&gt;='NILAI CPL'!$B$5,2,AD43&gt;'NILAI CPL'!$B$6,1),0),"")</f>
        <v/>
      </c>
      <c r="BB43" s="2" t="str" cm="1">
        <f t="array" ref="BB43">IF('NILAI CPL'!$B43&lt;&gt;"",IFERROR(_xlfn.IFS(AE43&gt;='NILAI CPL'!$B$3,4,AE43&gt;='NILAI CPL'!$B$4,3,AE43&gt;='NILAI CPL'!$B$5,2,AE43&gt;'NILAI CPL'!$B$6,1),0),"")</f>
        <v/>
      </c>
      <c r="BC43" s="2" t="str" cm="1">
        <f t="array" ref="BC43">IF('NILAI CPL'!$B43&lt;&gt;"",IFERROR(_xlfn.IFS(AF43&gt;='NILAI CPL'!$B$3,4,AF43&gt;='NILAI CPL'!$B$4,3,AF43&gt;='NILAI CPL'!$B$5,2,AF43&gt;'NILAI CPL'!$B$6,1),0),"")</f>
        <v/>
      </c>
      <c r="BD43" s="2" t="str" cm="1">
        <f t="array" ref="BD43">IF('NILAI CPL'!$B43&lt;&gt;"",IFERROR(_xlfn.IFS(AG43&gt;='NILAI CPL'!$B$3,4,AG43&gt;='NILAI CPL'!$B$4,3,AG43&gt;='NILAI CPL'!$B$5,2,AG43&gt;'NILAI CPL'!$B$6,1),0),"")</f>
        <v/>
      </c>
      <c r="BE43" s="2" t="str" cm="1">
        <f t="array" ref="BE43">IF('NILAI CPL'!$B43&lt;&gt;"",IFERROR(_xlfn.IFS(AH43&gt;='NILAI CPL'!$B$3,4,AH43&gt;='NILAI CPL'!$B$4,3,AH43&gt;='NILAI CPL'!$B$5,2,AH43&gt;'NILAI CPL'!$B$6,1),0),"")</f>
        <v/>
      </c>
      <c r="BF43" s="2" t="str" cm="1">
        <f t="array" ref="BF43">IF('NILAI CPL'!$B43&lt;&gt;"",IFERROR(_xlfn.IFS(AI43&gt;='NILAI CPL'!$B$3,4,AI43&gt;='NILAI CPL'!$B$4,3,AI43&gt;='NILAI CPL'!$B$5,2,AI43&gt;'NILAI CPL'!$B$6,1),0),"")</f>
        <v/>
      </c>
      <c r="BG43" s="2" t="str" cm="1">
        <f t="array" ref="BG43">IF('NILAI CPL'!$B43&lt;&gt;"",IFERROR(_xlfn.IFS(AJ43&gt;='NILAI CPL'!$B$3,4,AJ43&gt;='NILAI CPL'!$B$4,3,AJ43&gt;='NILAI CPL'!$B$5,2,AJ43&gt;'NILAI CPL'!$B$6,1),0),"")</f>
        <v/>
      </c>
      <c r="BH43" s="2" t="str" cm="1">
        <f t="array" ref="BH43">IF('NILAI CPL'!$B43&lt;&gt;"",IFERROR(_xlfn.IFS(AK43&gt;='NILAI CPL'!$B$3,4,AK43&gt;='NILAI CPL'!$B$4,3,AK43&gt;='NILAI CPL'!$B$5,2,AK43&gt;'NILAI CPL'!$B$6,1),0),"")</f>
        <v/>
      </c>
      <c r="BI43" s="2" t="str" cm="1">
        <f t="array" ref="BI43">IF('NILAI CPL'!$B43&lt;&gt;"",IFERROR(_xlfn.IFS(AL43&gt;='NILAI CPL'!$B$3,4,AL43&gt;='NILAI CPL'!$B$4,3,AL43&gt;='NILAI CPL'!$B$5,2,AL43&gt;'NILAI CPL'!$B$6,1),0),"")</f>
        <v/>
      </c>
      <c r="BJ43" s="2" t="str" cm="1">
        <f t="array" ref="BJ43">IF('NILAI CPL'!$B43&lt;&gt;"",IFERROR(_xlfn.IFS(AM43&gt;='NILAI CPL'!$B$3,4,AM43&gt;='NILAI CPL'!$B$4,3,AM43&gt;='NILAI CPL'!$B$5,2,AM43&gt;'NILAI CPL'!$B$6,1),0),"")</f>
        <v/>
      </c>
      <c r="BK43" s="2" t="str" cm="1">
        <f t="array" ref="BK43">IF('NILAI CPL'!$B43&lt;&gt;"",IFERROR(_xlfn.IFS(AN43&gt;='NILAI CPL'!$B$3,4,AN43&gt;='NILAI CPL'!$B$4,3,AN43&gt;='NILAI CPL'!$B$5,2,AN43&gt;'NILAI CPL'!$B$6,1),0),"")</f>
        <v/>
      </c>
    </row>
    <row r="44" spans="1:63" x14ac:dyDescent="0.2">
      <c r="A44" s="2">
        <v>34</v>
      </c>
      <c r="B44" s="2" t="str">
        <f>IF(LEN(SUMMARY!B44)&gt;0, SUMMARY!B44, "")</f>
        <v/>
      </c>
      <c r="C44" s="2" t="str">
        <f>IF(LEN(SUMMARY!C44)&gt;0, SUMMARY!C44, "")</f>
        <v/>
      </c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" t="str">
        <f t="shared" si="2"/>
        <v/>
      </c>
      <c r="S44" s="2" t="str">
        <f t="shared" si="3"/>
        <v/>
      </c>
      <c r="T44" s="2" t="str">
        <f t="shared" si="4"/>
        <v/>
      </c>
      <c r="U44" s="2" t="str">
        <f t="shared" si="5"/>
        <v/>
      </c>
      <c r="V44" s="2" t="str">
        <f t="shared" si="6"/>
        <v/>
      </c>
      <c r="W44" s="2" t="str">
        <f t="shared" si="7"/>
        <v/>
      </c>
      <c r="X44" s="2" t="str">
        <f t="shared" si="8"/>
        <v/>
      </c>
      <c r="Y44" s="2" t="str">
        <f t="shared" si="9"/>
        <v/>
      </c>
      <c r="Z44" s="2" t="str">
        <f t="shared" si="10"/>
        <v/>
      </c>
      <c r="AA44" s="2" t="str">
        <f t="shared" si="11"/>
        <v/>
      </c>
      <c r="AB44" s="2" t="str">
        <f t="shared" si="12"/>
        <v/>
      </c>
      <c r="AC44" s="2" t="str">
        <f t="shared" si="13"/>
        <v/>
      </c>
      <c r="AD44" s="2" t="str">
        <f t="shared" si="14"/>
        <v/>
      </c>
      <c r="AE44" s="2" t="str">
        <f t="shared" si="15"/>
        <v/>
      </c>
      <c r="AF44" s="2" t="str">
        <f t="shared" si="16"/>
        <v/>
      </c>
      <c r="AG44" s="2" t="str">
        <f t="shared" si="17"/>
        <v/>
      </c>
      <c r="AH44" s="2" t="str">
        <f t="shared" si="18"/>
        <v/>
      </c>
      <c r="AI44" s="2" t="str">
        <f t="shared" si="19"/>
        <v/>
      </c>
      <c r="AJ44" s="2" t="str">
        <f t="shared" si="20"/>
        <v/>
      </c>
      <c r="AK44" s="2" t="str">
        <f t="shared" si="21"/>
        <v/>
      </c>
      <c r="AL44" s="2" t="str">
        <f t="shared" si="22"/>
        <v/>
      </c>
      <c r="AM44" s="2" t="str">
        <f t="shared" si="23"/>
        <v/>
      </c>
      <c r="AN44" s="2" t="str">
        <f t="shared" si="24"/>
        <v/>
      </c>
      <c r="AP44" s="2" t="str" cm="1">
        <f t="array" ref="AP44">IF('NILAI CPL'!$B44&lt;&gt;"",IFERROR(_xlfn.IFS(S44&gt;='NILAI CPL'!$B$3,4,S44&gt;='NILAI CPL'!$B$4,3,S44&gt;='NILAI CPL'!$B$5,2,S44&gt;'NILAI CPL'!$B$6,1),0),"")</f>
        <v/>
      </c>
      <c r="AQ44" s="2" t="str" cm="1">
        <f t="array" ref="AQ44">IF('NILAI CPL'!$B44&lt;&gt;"",IFERROR(_xlfn.IFS(T44&gt;='NILAI CPL'!$B$3,4,T44&gt;='NILAI CPL'!$B$4,3,T44&gt;='NILAI CPL'!$B$5,2,T44&gt;'NILAI CPL'!$B$6,1),0),"")</f>
        <v/>
      </c>
      <c r="AR44" s="2" t="str" cm="1">
        <f t="array" ref="AR44">IF('NILAI CPL'!$B44&lt;&gt;"",IFERROR(_xlfn.IFS(U44&gt;='NILAI CPL'!$B$3,4,U44&gt;='NILAI CPL'!$B$4,3,U44&gt;='NILAI CPL'!$B$5,2,U44&gt;'NILAI CPL'!$B$6,1),0),"")</f>
        <v/>
      </c>
      <c r="AS44" s="2" t="str" cm="1">
        <f t="array" ref="AS44">IF('NILAI CPL'!$B44&lt;&gt;"",IFERROR(_xlfn.IFS(V44&gt;='NILAI CPL'!$B$3,4,V44&gt;='NILAI CPL'!$B$4,3,V44&gt;='NILAI CPL'!$B$5,2,V44&gt;'NILAI CPL'!$B$6,1),0),"")</f>
        <v/>
      </c>
      <c r="AT44" s="2" t="str" cm="1">
        <f t="array" ref="AT44">IF('NILAI CPL'!$B44&lt;&gt;"",IFERROR(_xlfn.IFS(W44&gt;='NILAI CPL'!$B$3,4,W44&gt;='NILAI CPL'!$B$4,3,W44&gt;='NILAI CPL'!$B$5,2,W44&gt;'NILAI CPL'!$B$6,1),0),"")</f>
        <v/>
      </c>
      <c r="AU44" s="2" t="str" cm="1">
        <f t="array" ref="AU44">IF('NILAI CPL'!$B44&lt;&gt;"",IFERROR(_xlfn.IFS(X44&gt;='NILAI CPL'!$B$3,4,X44&gt;='NILAI CPL'!$B$4,3,X44&gt;='NILAI CPL'!$B$5,2,X44&gt;'NILAI CPL'!$B$6,1),0),"")</f>
        <v/>
      </c>
      <c r="AV44" s="2" t="str" cm="1">
        <f t="array" ref="AV44">IF('NILAI CPL'!$B44&lt;&gt;"",IFERROR(_xlfn.IFS(Y44&gt;='NILAI CPL'!$B$3,4,Y44&gt;='NILAI CPL'!$B$4,3,Y44&gt;='NILAI CPL'!$B$5,2,Y44&gt;'NILAI CPL'!$B$6,1),0),"")</f>
        <v/>
      </c>
      <c r="AW44" s="2" t="str" cm="1">
        <f t="array" ref="AW44">IF('NILAI CPL'!$B44&lt;&gt;"",IFERROR(_xlfn.IFS(Z44&gt;='NILAI CPL'!$B$3,4,Z44&gt;='NILAI CPL'!$B$4,3,Z44&gt;='NILAI CPL'!$B$5,2,Z44&gt;'NILAI CPL'!$B$6,1),0),"")</f>
        <v/>
      </c>
      <c r="AX44" s="2" t="str" cm="1">
        <f t="array" ref="AX44">IF('NILAI CPL'!$B44&lt;&gt;"",IFERROR(_xlfn.IFS(AA44&gt;='NILAI CPL'!$B$3,4,AA44&gt;='NILAI CPL'!$B$4,3,AA44&gt;='NILAI CPL'!$B$5,2,AA44&gt;'NILAI CPL'!$B$6,1),0),"")</f>
        <v/>
      </c>
      <c r="AY44" s="2" t="str" cm="1">
        <f t="array" ref="AY44">IF('NILAI CPL'!$B44&lt;&gt;"",IFERROR(_xlfn.IFS(AB44&gt;='NILAI CPL'!$B$3,4,AB44&gt;='NILAI CPL'!$B$4,3,AB44&gt;='NILAI CPL'!$B$5,2,AB44&gt;'NILAI CPL'!$B$6,1),0),"")</f>
        <v/>
      </c>
      <c r="AZ44" s="2" t="str" cm="1">
        <f t="array" ref="AZ44">IF('NILAI CPL'!$B44&lt;&gt;"",IFERROR(_xlfn.IFS(AC44&gt;='NILAI CPL'!$B$3,4,AC44&gt;='NILAI CPL'!$B$4,3,AC44&gt;='NILAI CPL'!$B$5,2,AC44&gt;'NILAI CPL'!$B$6,1),0),"")</f>
        <v/>
      </c>
      <c r="BA44" s="2" t="str" cm="1">
        <f t="array" ref="BA44">IF('NILAI CPL'!$B44&lt;&gt;"",IFERROR(_xlfn.IFS(AD44&gt;='NILAI CPL'!$B$3,4,AD44&gt;='NILAI CPL'!$B$4,3,AD44&gt;='NILAI CPL'!$B$5,2,AD44&gt;'NILAI CPL'!$B$6,1),0),"")</f>
        <v/>
      </c>
      <c r="BB44" s="2" t="str" cm="1">
        <f t="array" ref="BB44">IF('NILAI CPL'!$B44&lt;&gt;"",IFERROR(_xlfn.IFS(AE44&gt;='NILAI CPL'!$B$3,4,AE44&gt;='NILAI CPL'!$B$4,3,AE44&gt;='NILAI CPL'!$B$5,2,AE44&gt;'NILAI CPL'!$B$6,1),0),"")</f>
        <v/>
      </c>
      <c r="BC44" s="2" t="str" cm="1">
        <f t="array" ref="BC44">IF('NILAI CPL'!$B44&lt;&gt;"",IFERROR(_xlfn.IFS(AF44&gt;='NILAI CPL'!$B$3,4,AF44&gt;='NILAI CPL'!$B$4,3,AF44&gt;='NILAI CPL'!$B$5,2,AF44&gt;'NILAI CPL'!$B$6,1),0),"")</f>
        <v/>
      </c>
      <c r="BD44" s="2" t="str" cm="1">
        <f t="array" ref="BD44">IF('NILAI CPL'!$B44&lt;&gt;"",IFERROR(_xlfn.IFS(AG44&gt;='NILAI CPL'!$B$3,4,AG44&gt;='NILAI CPL'!$B$4,3,AG44&gt;='NILAI CPL'!$B$5,2,AG44&gt;'NILAI CPL'!$B$6,1),0),"")</f>
        <v/>
      </c>
      <c r="BE44" s="2" t="str" cm="1">
        <f t="array" ref="BE44">IF('NILAI CPL'!$B44&lt;&gt;"",IFERROR(_xlfn.IFS(AH44&gt;='NILAI CPL'!$B$3,4,AH44&gt;='NILAI CPL'!$B$4,3,AH44&gt;='NILAI CPL'!$B$5,2,AH44&gt;'NILAI CPL'!$B$6,1),0),"")</f>
        <v/>
      </c>
      <c r="BF44" s="2" t="str" cm="1">
        <f t="array" ref="BF44">IF('NILAI CPL'!$B44&lt;&gt;"",IFERROR(_xlfn.IFS(AI44&gt;='NILAI CPL'!$B$3,4,AI44&gt;='NILAI CPL'!$B$4,3,AI44&gt;='NILAI CPL'!$B$5,2,AI44&gt;'NILAI CPL'!$B$6,1),0),"")</f>
        <v/>
      </c>
      <c r="BG44" s="2" t="str" cm="1">
        <f t="array" ref="BG44">IF('NILAI CPL'!$B44&lt;&gt;"",IFERROR(_xlfn.IFS(AJ44&gt;='NILAI CPL'!$B$3,4,AJ44&gt;='NILAI CPL'!$B$4,3,AJ44&gt;='NILAI CPL'!$B$5,2,AJ44&gt;'NILAI CPL'!$B$6,1),0),"")</f>
        <v/>
      </c>
      <c r="BH44" s="2" t="str" cm="1">
        <f t="array" ref="BH44">IF('NILAI CPL'!$B44&lt;&gt;"",IFERROR(_xlfn.IFS(AK44&gt;='NILAI CPL'!$B$3,4,AK44&gt;='NILAI CPL'!$B$4,3,AK44&gt;='NILAI CPL'!$B$5,2,AK44&gt;'NILAI CPL'!$B$6,1),0),"")</f>
        <v/>
      </c>
      <c r="BI44" s="2" t="str" cm="1">
        <f t="array" ref="BI44">IF('NILAI CPL'!$B44&lt;&gt;"",IFERROR(_xlfn.IFS(AL44&gt;='NILAI CPL'!$B$3,4,AL44&gt;='NILAI CPL'!$B$4,3,AL44&gt;='NILAI CPL'!$B$5,2,AL44&gt;'NILAI CPL'!$B$6,1),0),"")</f>
        <v/>
      </c>
      <c r="BJ44" s="2" t="str" cm="1">
        <f t="array" ref="BJ44">IF('NILAI CPL'!$B44&lt;&gt;"",IFERROR(_xlfn.IFS(AM44&gt;='NILAI CPL'!$B$3,4,AM44&gt;='NILAI CPL'!$B$4,3,AM44&gt;='NILAI CPL'!$B$5,2,AM44&gt;'NILAI CPL'!$B$6,1),0),"")</f>
        <v/>
      </c>
      <c r="BK44" s="2" t="str" cm="1">
        <f t="array" ref="BK44">IF('NILAI CPL'!$B44&lt;&gt;"",IFERROR(_xlfn.IFS(AN44&gt;='NILAI CPL'!$B$3,4,AN44&gt;='NILAI CPL'!$B$4,3,AN44&gt;='NILAI CPL'!$B$5,2,AN44&gt;'NILAI CPL'!$B$6,1),0),"")</f>
        <v/>
      </c>
    </row>
    <row r="45" spans="1:63" x14ac:dyDescent="0.2">
      <c r="A45" s="2">
        <v>35</v>
      </c>
      <c r="B45" s="2" t="str">
        <f>IF(LEN(SUMMARY!B45)&gt;0, SUMMARY!B45, "")</f>
        <v/>
      </c>
      <c r="C45" s="2" t="str">
        <f>IF(LEN(SUMMARY!C45)&gt;0, SUMMARY!C45, "")</f>
        <v/>
      </c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" t="str">
        <f t="shared" si="2"/>
        <v/>
      </c>
      <c r="S45" s="2" t="str">
        <f t="shared" si="3"/>
        <v/>
      </c>
      <c r="T45" s="2" t="str">
        <f t="shared" si="4"/>
        <v/>
      </c>
      <c r="U45" s="2" t="str">
        <f t="shared" si="5"/>
        <v/>
      </c>
      <c r="V45" s="2" t="str">
        <f t="shared" si="6"/>
        <v/>
      </c>
      <c r="W45" s="2" t="str">
        <f t="shared" si="7"/>
        <v/>
      </c>
      <c r="X45" s="2" t="str">
        <f t="shared" si="8"/>
        <v/>
      </c>
      <c r="Y45" s="2" t="str">
        <f t="shared" si="9"/>
        <v/>
      </c>
      <c r="Z45" s="2" t="str">
        <f t="shared" si="10"/>
        <v/>
      </c>
      <c r="AA45" s="2" t="str">
        <f t="shared" si="11"/>
        <v/>
      </c>
      <c r="AB45" s="2" t="str">
        <f t="shared" si="12"/>
        <v/>
      </c>
      <c r="AC45" s="2" t="str">
        <f t="shared" si="13"/>
        <v/>
      </c>
      <c r="AD45" s="2" t="str">
        <f t="shared" si="14"/>
        <v/>
      </c>
      <c r="AE45" s="2" t="str">
        <f t="shared" si="15"/>
        <v/>
      </c>
      <c r="AF45" s="2" t="str">
        <f t="shared" si="16"/>
        <v/>
      </c>
      <c r="AG45" s="2" t="str">
        <f t="shared" si="17"/>
        <v/>
      </c>
      <c r="AH45" s="2" t="str">
        <f t="shared" si="18"/>
        <v/>
      </c>
      <c r="AI45" s="2" t="str">
        <f t="shared" si="19"/>
        <v/>
      </c>
      <c r="AJ45" s="2" t="str">
        <f t="shared" si="20"/>
        <v/>
      </c>
      <c r="AK45" s="2" t="str">
        <f t="shared" si="21"/>
        <v/>
      </c>
      <c r="AL45" s="2" t="str">
        <f t="shared" si="22"/>
        <v/>
      </c>
      <c r="AM45" s="2" t="str">
        <f t="shared" si="23"/>
        <v/>
      </c>
      <c r="AN45" s="2" t="str">
        <f t="shared" si="24"/>
        <v/>
      </c>
      <c r="AP45" s="2" t="str" cm="1">
        <f t="array" ref="AP45">IF('NILAI CPL'!$B45&lt;&gt;"",IFERROR(_xlfn.IFS(S45&gt;='NILAI CPL'!$B$3,4,S45&gt;='NILAI CPL'!$B$4,3,S45&gt;='NILAI CPL'!$B$5,2,S45&gt;'NILAI CPL'!$B$6,1),0),"")</f>
        <v/>
      </c>
      <c r="AQ45" s="2" t="str" cm="1">
        <f t="array" ref="AQ45">IF('NILAI CPL'!$B45&lt;&gt;"",IFERROR(_xlfn.IFS(T45&gt;='NILAI CPL'!$B$3,4,T45&gt;='NILAI CPL'!$B$4,3,T45&gt;='NILAI CPL'!$B$5,2,T45&gt;'NILAI CPL'!$B$6,1),0),"")</f>
        <v/>
      </c>
      <c r="AR45" s="2" t="str" cm="1">
        <f t="array" ref="AR45">IF('NILAI CPL'!$B45&lt;&gt;"",IFERROR(_xlfn.IFS(U45&gt;='NILAI CPL'!$B$3,4,U45&gt;='NILAI CPL'!$B$4,3,U45&gt;='NILAI CPL'!$B$5,2,U45&gt;'NILAI CPL'!$B$6,1),0),"")</f>
        <v/>
      </c>
      <c r="AS45" s="2" t="str" cm="1">
        <f t="array" ref="AS45">IF('NILAI CPL'!$B45&lt;&gt;"",IFERROR(_xlfn.IFS(V45&gt;='NILAI CPL'!$B$3,4,V45&gt;='NILAI CPL'!$B$4,3,V45&gt;='NILAI CPL'!$B$5,2,V45&gt;'NILAI CPL'!$B$6,1),0),"")</f>
        <v/>
      </c>
      <c r="AT45" s="2" t="str" cm="1">
        <f t="array" ref="AT45">IF('NILAI CPL'!$B45&lt;&gt;"",IFERROR(_xlfn.IFS(W45&gt;='NILAI CPL'!$B$3,4,W45&gt;='NILAI CPL'!$B$4,3,W45&gt;='NILAI CPL'!$B$5,2,W45&gt;'NILAI CPL'!$B$6,1),0),"")</f>
        <v/>
      </c>
      <c r="AU45" s="2" t="str" cm="1">
        <f t="array" ref="AU45">IF('NILAI CPL'!$B45&lt;&gt;"",IFERROR(_xlfn.IFS(X45&gt;='NILAI CPL'!$B$3,4,X45&gt;='NILAI CPL'!$B$4,3,X45&gt;='NILAI CPL'!$B$5,2,X45&gt;'NILAI CPL'!$B$6,1),0),"")</f>
        <v/>
      </c>
      <c r="AV45" s="2" t="str" cm="1">
        <f t="array" ref="AV45">IF('NILAI CPL'!$B45&lt;&gt;"",IFERROR(_xlfn.IFS(Y45&gt;='NILAI CPL'!$B$3,4,Y45&gt;='NILAI CPL'!$B$4,3,Y45&gt;='NILAI CPL'!$B$5,2,Y45&gt;'NILAI CPL'!$B$6,1),0),"")</f>
        <v/>
      </c>
      <c r="AW45" s="2" t="str" cm="1">
        <f t="array" ref="AW45">IF('NILAI CPL'!$B45&lt;&gt;"",IFERROR(_xlfn.IFS(Z45&gt;='NILAI CPL'!$B$3,4,Z45&gt;='NILAI CPL'!$B$4,3,Z45&gt;='NILAI CPL'!$B$5,2,Z45&gt;'NILAI CPL'!$B$6,1),0),"")</f>
        <v/>
      </c>
      <c r="AX45" s="2" t="str" cm="1">
        <f t="array" ref="AX45">IF('NILAI CPL'!$B45&lt;&gt;"",IFERROR(_xlfn.IFS(AA45&gt;='NILAI CPL'!$B$3,4,AA45&gt;='NILAI CPL'!$B$4,3,AA45&gt;='NILAI CPL'!$B$5,2,AA45&gt;'NILAI CPL'!$B$6,1),0),"")</f>
        <v/>
      </c>
      <c r="AY45" s="2" t="str" cm="1">
        <f t="array" ref="AY45">IF('NILAI CPL'!$B45&lt;&gt;"",IFERROR(_xlfn.IFS(AB45&gt;='NILAI CPL'!$B$3,4,AB45&gt;='NILAI CPL'!$B$4,3,AB45&gt;='NILAI CPL'!$B$5,2,AB45&gt;'NILAI CPL'!$B$6,1),0),"")</f>
        <v/>
      </c>
      <c r="AZ45" s="2" t="str" cm="1">
        <f t="array" ref="AZ45">IF('NILAI CPL'!$B45&lt;&gt;"",IFERROR(_xlfn.IFS(AC45&gt;='NILAI CPL'!$B$3,4,AC45&gt;='NILAI CPL'!$B$4,3,AC45&gt;='NILAI CPL'!$B$5,2,AC45&gt;'NILAI CPL'!$B$6,1),0),"")</f>
        <v/>
      </c>
      <c r="BA45" s="2" t="str" cm="1">
        <f t="array" ref="BA45">IF('NILAI CPL'!$B45&lt;&gt;"",IFERROR(_xlfn.IFS(AD45&gt;='NILAI CPL'!$B$3,4,AD45&gt;='NILAI CPL'!$B$4,3,AD45&gt;='NILAI CPL'!$B$5,2,AD45&gt;'NILAI CPL'!$B$6,1),0),"")</f>
        <v/>
      </c>
      <c r="BB45" s="2" t="str" cm="1">
        <f t="array" ref="BB45">IF('NILAI CPL'!$B45&lt;&gt;"",IFERROR(_xlfn.IFS(AE45&gt;='NILAI CPL'!$B$3,4,AE45&gt;='NILAI CPL'!$B$4,3,AE45&gt;='NILAI CPL'!$B$5,2,AE45&gt;'NILAI CPL'!$B$6,1),0),"")</f>
        <v/>
      </c>
      <c r="BC45" s="2" t="str" cm="1">
        <f t="array" ref="BC45">IF('NILAI CPL'!$B45&lt;&gt;"",IFERROR(_xlfn.IFS(AF45&gt;='NILAI CPL'!$B$3,4,AF45&gt;='NILAI CPL'!$B$4,3,AF45&gt;='NILAI CPL'!$B$5,2,AF45&gt;'NILAI CPL'!$B$6,1),0),"")</f>
        <v/>
      </c>
      <c r="BD45" s="2" t="str" cm="1">
        <f t="array" ref="BD45">IF('NILAI CPL'!$B45&lt;&gt;"",IFERROR(_xlfn.IFS(AG45&gt;='NILAI CPL'!$B$3,4,AG45&gt;='NILAI CPL'!$B$4,3,AG45&gt;='NILAI CPL'!$B$5,2,AG45&gt;'NILAI CPL'!$B$6,1),0),"")</f>
        <v/>
      </c>
      <c r="BE45" s="2" t="str" cm="1">
        <f t="array" ref="BE45">IF('NILAI CPL'!$B45&lt;&gt;"",IFERROR(_xlfn.IFS(AH45&gt;='NILAI CPL'!$B$3,4,AH45&gt;='NILAI CPL'!$B$4,3,AH45&gt;='NILAI CPL'!$B$5,2,AH45&gt;'NILAI CPL'!$B$6,1),0),"")</f>
        <v/>
      </c>
      <c r="BF45" s="2" t="str" cm="1">
        <f t="array" ref="BF45">IF('NILAI CPL'!$B45&lt;&gt;"",IFERROR(_xlfn.IFS(AI45&gt;='NILAI CPL'!$B$3,4,AI45&gt;='NILAI CPL'!$B$4,3,AI45&gt;='NILAI CPL'!$B$5,2,AI45&gt;'NILAI CPL'!$B$6,1),0),"")</f>
        <v/>
      </c>
      <c r="BG45" s="2" t="str" cm="1">
        <f t="array" ref="BG45">IF('NILAI CPL'!$B45&lt;&gt;"",IFERROR(_xlfn.IFS(AJ45&gt;='NILAI CPL'!$B$3,4,AJ45&gt;='NILAI CPL'!$B$4,3,AJ45&gt;='NILAI CPL'!$B$5,2,AJ45&gt;'NILAI CPL'!$B$6,1),0),"")</f>
        <v/>
      </c>
      <c r="BH45" s="2" t="str" cm="1">
        <f t="array" ref="BH45">IF('NILAI CPL'!$B45&lt;&gt;"",IFERROR(_xlfn.IFS(AK45&gt;='NILAI CPL'!$B$3,4,AK45&gt;='NILAI CPL'!$B$4,3,AK45&gt;='NILAI CPL'!$B$5,2,AK45&gt;'NILAI CPL'!$B$6,1),0),"")</f>
        <v/>
      </c>
      <c r="BI45" s="2" t="str" cm="1">
        <f t="array" ref="BI45">IF('NILAI CPL'!$B45&lt;&gt;"",IFERROR(_xlfn.IFS(AL45&gt;='NILAI CPL'!$B$3,4,AL45&gt;='NILAI CPL'!$B$4,3,AL45&gt;='NILAI CPL'!$B$5,2,AL45&gt;'NILAI CPL'!$B$6,1),0),"")</f>
        <v/>
      </c>
      <c r="BJ45" s="2" t="str" cm="1">
        <f t="array" ref="BJ45">IF('NILAI CPL'!$B45&lt;&gt;"",IFERROR(_xlfn.IFS(AM45&gt;='NILAI CPL'!$B$3,4,AM45&gt;='NILAI CPL'!$B$4,3,AM45&gt;='NILAI CPL'!$B$5,2,AM45&gt;'NILAI CPL'!$B$6,1),0),"")</f>
        <v/>
      </c>
      <c r="BK45" s="2" t="str" cm="1">
        <f t="array" ref="BK45">IF('NILAI CPL'!$B45&lt;&gt;"",IFERROR(_xlfn.IFS(AN45&gt;='NILAI CPL'!$B$3,4,AN45&gt;='NILAI CPL'!$B$4,3,AN45&gt;='NILAI CPL'!$B$5,2,AN45&gt;'NILAI CPL'!$B$6,1),0),"")</f>
        <v/>
      </c>
    </row>
    <row r="46" spans="1:63" x14ac:dyDescent="0.2">
      <c r="A46" s="2">
        <v>36</v>
      </c>
      <c r="B46" s="2" t="str">
        <f>IF(LEN(SUMMARY!B46)&gt;0, SUMMARY!B46, "")</f>
        <v/>
      </c>
      <c r="C46" s="2" t="str">
        <f>IF(LEN(SUMMARY!C46)&gt;0, SUMMARY!C46, "")</f>
        <v/>
      </c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" t="str">
        <f t="shared" si="2"/>
        <v/>
      </c>
      <c r="S46" s="2" t="str">
        <f t="shared" si="3"/>
        <v/>
      </c>
      <c r="T46" s="2" t="str">
        <f t="shared" si="4"/>
        <v/>
      </c>
      <c r="U46" s="2" t="str">
        <f t="shared" si="5"/>
        <v/>
      </c>
      <c r="V46" s="2" t="str">
        <f t="shared" si="6"/>
        <v/>
      </c>
      <c r="W46" s="2" t="str">
        <f t="shared" si="7"/>
        <v/>
      </c>
      <c r="X46" s="2" t="str">
        <f t="shared" si="8"/>
        <v/>
      </c>
      <c r="Y46" s="2" t="str">
        <f t="shared" si="9"/>
        <v/>
      </c>
      <c r="Z46" s="2" t="str">
        <f t="shared" si="10"/>
        <v/>
      </c>
      <c r="AA46" s="2" t="str">
        <f t="shared" si="11"/>
        <v/>
      </c>
      <c r="AB46" s="2" t="str">
        <f t="shared" si="12"/>
        <v/>
      </c>
      <c r="AC46" s="2" t="str">
        <f t="shared" si="13"/>
        <v/>
      </c>
      <c r="AD46" s="2" t="str">
        <f t="shared" si="14"/>
        <v/>
      </c>
      <c r="AE46" s="2" t="str">
        <f t="shared" si="15"/>
        <v/>
      </c>
      <c r="AF46" s="2" t="str">
        <f t="shared" si="16"/>
        <v/>
      </c>
      <c r="AG46" s="2" t="str">
        <f t="shared" si="17"/>
        <v/>
      </c>
      <c r="AH46" s="2" t="str">
        <f t="shared" si="18"/>
        <v/>
      </c>
      <c r="AI46" s="2" t="str">
        <f t="shared" si="19"/>
        <v/>
      </c>
      <c r="AJ46" s="2" t="str">
        <f t="shared" si="20"/>
        <v/>
      </c>
      <c r="AK46" s="2" t="str">
        <f t="shared" si="21"/>
        <v/>
      </c>
      <c r="AL46" s="2" t="str">
        <f t="shared" si="22"/>
        <v/>
      </c>
      <c r="AM46" s="2" t="str">
        <f t="shared" si="23"/>
        <v/>
      </c>
      <c r="AN46" s="2" t="str">
        <f t="shared" si="24"/>
        <v/>
      </c>
      <c r="AP46" s="2" t="str" cm="1">
        <f t="array" ref="AP46">IF('NILAI CPL'!$B46&lt;&gt;"",IFERROR(_xlfn.IFS(S46&gt;='NILAI CPL'!$B$3,4,S46&gt;='NILAI CPL'!$B$4,3,S46&gt;='NILAI CPL'!$B$5,2,S46&gt;'NILAI CPL'!$B$6,1),0),"")</f>
        <v/>
      </c>
      <c r="AQ46" s="2" t="str" cm="1">
        <f t="array" ref="AQ46">IF('NILAI CPL'!$B46&lt;&gt;"",IFERROR(_xlfn.IFS(T46&gt;='NILAI CPL'!$B$3,4,T46&gt;='NILAI CPL'!$B$4,3,T46&gt;='NILAI CPL'!$B$5,2,T46&gt;'NILAI CPL'!$B$6,1),0),"")</f>
        <v/>
      </c>
      <c r="AR46" s="2" t="str" cm="1">
        <f t="array" ref="AR46">IF('NILAI CPL'!$B46&lt;&gt;"",IFERROR(_xlfn.IFS(U46&gt;='NILAI CPL'!$B$3,4,U46&gt;='NILAI CPL'!$B$4,3,U46&gt;='NILAI CPL'!$B$5,2,U46&gt;'NILAI CPL'!$B$6,1),0),"")</f>
        <v/>
      </c>
      <c r="AS46" s="2" t="str" cm="1">
        <f t="array" ref="AS46">IF('NILAI CPL'!$B46&lt;&gt;"",IFERROR(_xlfn.IFS(V46&gt;='NILAI CPL'!$B$3,4,V46&gt;='NILAI CPL'!$B$4,3,V46&gt;='NILAI CPL'!$B$5,2,V46&gt;'NILAI CPL'!$B$6,1),0),"")</f>
        <v/>
      </c>
      <c r="AT46" s="2" t="str" cm="1">
        <f t="array" ref="AT46">IF('NILAI CPL'!$B46&lt;&gt;"",IFERROR(_xlfn.IFS(W46&gt;='NILAI CPL'!$B$3,4,W46&gt;='NILAI CPL'!$B$4,3,W46&gt;='NILAI CPL'!$B$5,2,W46&gt;'NILAI CPL'!$B$6,1),0),"")</f>
        <v/>
      </c>
      <c r="AU46" s="2" t="str" cm="1">
        <f t="array" ref="AU46">IF('NILAI CPL'!$B46&lt;&gt;"",IFERROR(_xlfn.IFS(X46&gt;='NILAI CPL'!$B$3,4,X46&gt;='NILAI CPL'!$B$4,3,X46&gt;='NILAI CPL'!$B$5,2,X46&gt;'NILAI CPL'!$B$6,1),0),"")</f>
        <v/>
      </c>
      <c r="AV46" s="2" t="str" cm="1">
        <f t="array" ref="AV46">IF('NILAI CPL'!$B46&lt;&gt;"",IFERROR(_xlfn.IFS(Y46&gt;='NILAI CPL'!$B$3,4,Y46&gt;='NILAI CPL'!$B$4,3,Y46&gt;='NILAI CPL'!$B$5,2,Y46&gt;'NILAI CPL'!$B$6,1),0),"")</f>
        <v/>
      </c>
      <c r="AW46" s="2" t="str" cm="1">
        <f t="array" ref="AW46">IF('NILAI CPL'!$B46&lt;&gt;"",IFERROR(_xlfn.IFS(Z46&gt;='NILAI CPL'!$B$3,4,Z46&gt;='NILAI CPL'!$B$4,3,Z46&gt;='NILAI CPL'!$B$5,2,Z46&gt;'NILAI CPL'!$B$6,1),0),"")</f>
        <v/>
      </c>
      <c r="AX46" s="2" t="str" cm="1">
        <f t="array" ref="AX46">IF('NILAI CPL'!$B46&lt;&gt;"",IFERROR(_xlfn.IFS(AA46&gt;='NILAI CPL'!$B$3,4,AA46&gt;='NILAI CPL'!$B$4,3,AA46&gt;='NILAI CPL'!$B$5,2,AA46&gt;'NILAI CPL'!$B$6,1),0),"")</f>
        <v/>
      </c>
      <c r="AY46" s="2" t="str" cm="1">
        <f t="array" ref="AY46">IF('NILAI CPL'!$B46&lt;&gt;"",IFERROR(_xlfn.IFS(AB46&gt;='NILAI CPL'!$B$3,4,AB46&gt;='NILAI CPL'!$B$4,3,AB46&gt;='NILAI CPL'!$B$5,2,AB46&gt;'NILAI CPL'!$B$6,1),0),"")</f>
        <v/>
      </c>
      <c r="AZ46" s="2" t="str" cm="1">
        <f t="array" ref="AZ46">IF('NILAI CPL'!$B46&lt;&gt;"",IFERROR(_xlfn.IFS(AC46&gt;='NILAI CPL'!$B$3,4,AC46&gt;='NILAI CPL'!$B$4,3,AC46&gt;='NILAI CPL'!$B$5,2,AC46&gt;'NILAI CPL'!$B$6,1),0),"")</f>
        <v/>
      </c>
      <c r="BA46" s="2" t="str" cm="1">
        <f t="array" ref="BA46">IF('NILAI CPL'!$B46&lt;&gt;"",IFERROR(_xlfn.IFS(AD46&gt;='NILAI CPL'!$B$3,4,AD46&gt;='NILAI CPL'!$B$4,3,AD46&gt;='NILAI CPL'!$B$5,2,AD46&gt;'NILAI CPL'!$B$6,1),0),"")</f>
        <v/>
      </c>
      <c r="BB46" s="2" t="str" cm="1">
        <f t="array" ref="BB46">IF('NILAI CPL'!$B46&lt;&gt;"",IFERROR(_xlfn.IFS(AE46&gt;='NILAI CPL'!$B$3,4,AE46&gt;='NILAI CPL'!$B$4,3,AE46&gt;='NILAI CPL'!$B$5,2,AE46&gt;'NILAI CPL'!$B$6,1),0),"")</f>
        <v/>
      </c>
      <c r="BC46" s="2" t="str" cm="1">
        <f t="array" ref="BC46">IF('NILAI CPL'!$B46&lt;&gt;"",IFERROR(_xlfn.IFS(AF46&gt;='NILAI CPL'!$B$3,4,AF46&gt;='NILAI CPL'!$B$4,3,AF46&gt;='NILAI CPL'!$B$5,2,AF46&gt;'NILAI CPL'!$B$6,1),0),"")</f>
        <v/>
      </c>
      <c r="BD46" s="2" t="str" cm="1">
        <f t="array" ref="BD46">IF('NILAI CPL'!$B46&lt;&gt;"",IFERROR(_xlfn.IFS(AG46&gt;='NILAI CPL'!$B$3,4,AG46&gt;='NILAI CPL'!$B$4,3,AG46&gt;='NILAI CPL'!$B$5,2,AG46&gt;'NILAI CPL'!$B$6,1),0),"")</f>
        <v/>
      </c>
      <c r="BE46" s="2" t="str" cm="1">
        <f t="array" ref="BE46">IF('NILAI CPL'!$B46&lt;&gt;"",IFERROR(_xlfn.IFS(AH46&gt;='NILAI CPL'!$B$3,4,AH46&gt;='NILAI CPL'!$B$4,3,AH46&gt;='NILAI CPL'!$B$5,2,AH46&gt;'NILAI CPL'!$B$6,1),0),"")</f>
        <v/>
      </c>
      <c r="BF46" s="2" t="str" cm="1">
        <f t="array" ref="BF46">IF('NILAI CPL'!$B46&lt;&gt;"",IFERROR(_xlfn.IFS(AI46&gt;='NILAI CPL'!$B$3,4,AI46&gt;='NILAI CPL'!$B$4,3,AI46&gt;='NILAI CPL'!$B$5,2,AI46&gt;'NILAI CPL'!$B$6,1),0),"")</f>
        <v/>
      </c>
      <c r="BG46" s="2" t="str" cm="1">
        <f t="array" ref="BG46">IF('NILAI CPL'!$B46&lt;&gt;"",IFERROR(_xlfn.IFS(AJ46&gt;='NILAI CPL'!$B$3,4,AJ46&gt;='NILAI CPL'!$B$4,3,AJ46&gt;='NILAI CPL'!$B$5,2,AJ46&gt;'NILAI CPL'!$B$6,1),0),"")</f>
        <v/>
      </c>
      <c r="BH46" s="2" t="str" cm="1">
        <f t="array" ref="BH46">IF('NILAI CPL'!$B46&lt;&gt;"",IFERROR(_xlfn.IFS(AK46&gt;='NILAI CPL'!$B$3,4,AK46&gt;='NILAI CPL'!$B$4,3,AK46&gt;='NILAI CPL'!$B$5,2,AK46&gt;'NILAI CPL'!$B$6,1),0),"")</f>
        <v/>
      </c>
      <c r="BI46" s="2" t="str" cm="1">
        <f t="array" ref="BI46">IF('NILAI CPL'!$B46&lt;&gt;"",IFERROR(_xlfn.IFS(AL46&gt;='NILAI CPL'!$B$3,4,AL46&gt;='NILAI CPL'!$B$4,3,AL46&gt;='NILAI CPL'!$B$5,2,AL46&gt;'NILAI CPL'!$B$6,1),0),"")</f>
        <v/>
      </c>
      <c r="BJ46" s="2" t="str" cm="1">
        <f t="array" ref="BJ46">IF('NILAI CPL'!$B46&lt;&gt;"",IFERROR(_xlfn.IFS(AM46&gt;='NILAI CPL'!$B$3,4,AM46&gt;='NILAI CPL'!$B$4,3,AM46&gt;='NILAI CPL'!$B$5,2,AM46&gt;'NILAI CPL'!$B$6,1),0),"")</f>
        <v/>
      </c>
      <c r="BK46" s="2" t="str" cm="1">
        <f t="array" ref="BK46">IF('NILAI CPL'!$B46&lt;&gt;"",IFERROR(_xlfn.IFS(AN46&gt;='NILAI CPL'!$B$3,4,AN46&gt;='NILAI CPL'!$B$4,3,AN46&gt;='NILAI CPL'!$B$5,2,AN46&gt;'NILAI CPL'!$B$6,1),0),"")</f>
        <v/>
      </c>
    </row>
    <row r="47" spans="1:63" x14ac:dyDescent="0.2">
      <c r="A47" s="2">
        <v>37</v>
      </c>
      <c r="B47" s="2" t="str">
        <f>IF(LEN(SUMMARY!B47)&gt;0, SUMMARY!B47, "")</f>
        <v/>
      </c>
      <c r="C47" s="2" t="str">
        <f>IF(LEN(SUMMARY!C47)&gt;0, SUMMARY!C47, "")</f>
        <v/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" t="str">
        <f t="shared" si="2"/>
        <v/>
      </c>
      <c r="S47" s="2" t="str">
        <f t="shared" si="3"/>
        <v/>
      </c>
      <c r="T47" s="2" t="str">
        <f t="shared" si="4"/>
        <v/>
      </c>
      <c r="U47" s="2" t="str">
        <f t="shared" si="5"/>
        <v/>
      </c>
      <c r="V47" s="2" t="str">
        <f t="shared" si="6"/>
        <v/>
      </c>
      <c r="W47" s="2" t="str">
        <f t="shared" si="7"/>
        <v/>
      </c>
      <c r="X47" s="2" t="str">
        <f t="shared" si="8"/>
        <v/>
      </c>
      <c r="Y47" s="2" t="str">
        <f t="shared" si="9"/>
        <v/>
      </c>
      <c r="Z47" s="2" t="str">
        <f t="shared" si="10"/>
        <v/>
      </c>
      <c r="AA47" s="2" t="str">
        <f t="shared" si="11"/>
        <v/>
      </c>
      <c r="AB47" s="2" t="str">
        <f t="shared" si="12"/>
        <v/>
      </c>
      <c r="AC47" s="2" t="str">
        <f t="shared" si="13"/>
        <v/>
      </c>
      <c r="AD47" s="2" t="str">
        <f t="shared" si="14"/>
        <v/>
      </c>
      <c r="AE47" s="2" t="str">
        <f t="shared" si="15"/>
        <v/>
      </c>
      <c r="AF47" s="2" t="str">
        <f t="shared" si="16"/>
        <v/>
      </c>
      <c r="AG47" s="2" t="str">
        <f t="shared" si="17"/>
        <v/>
      </c>
      <c r="AH47" s="2" t="str">
        <f t="shared" si="18"/>
        <v/>
      </c>
      <c r="AI47" s="2" t="str">
        <f t="shared" si="19"/>
        <v/>
      </c>
      <c r="AJ47" s="2" t="str">
        <f t="shared" si="20"/>
        <v/>
      </c>
      <c r="AK47" s="2" t="str">
        <f t="shared" si="21"/>
        <v/>
      </c>
      <c r="AL47" s="2" t="str">
        <f t="shared" si="22"/>
        <v/>
      </c>
      <c r="AM47" s="2" t="str">
        <f t="shared" si="23"/>
        <v/>
      </c>
      <c r="AN47" s="2" t="str">
        <f t="shared" si="24"/>
        <v/>
      </c>
      <c r="AP47" s="2" t="str" cm="1">
        <f t="array" ref="AP47">IF('NILAI CPL'!$B47&lt;&gt;"",IFERROR(_xlfn.IFS(S47&gt;='NILAI CPL'!$B$3,4,S47&gt;='NILAI CPL'!$B$4,3,S47&gt;='NILAI CPL'!$B$5,2,S47&gt;'NILAI CPL'!$B$6,1),0),"")</f>
        <v/>
      </c>
      <c r="AQ47" s="2" t="str" cm="1">
        <f t="array" ref="AQ47">IF('NILAI CPL'!$B47&lt;&gt;"",IFERROR(_xlfn.IFS(T47&gt;='NILAI CPL'!$B$3,4,T47&gt;='NILAI CPL'!$B$4,3,T47&gt;='NILAI CPL'!$B$5,2,T47&gt;'NILAI CPL'!$B$6,1),0),"")</f>
        <v/>
      </c>
      <c r="AR47" s="2" t="str" cm="1">
        <f t="array" ref="AR47">IF('NILAI CPL'!$B47&lt;&gt;"",IFERROR(_xlfn.IFS(U47&gt;='NILAI CPL'!$B$3,4,U47&gt;='NILAI CPL'!$B$4,3,U47&gt;='NILAI CPL'!$B$5,2,U47&gt;'NILAI CPL'!$B$6,1),0),"")</f>
        <v/>
      </c>
      <c r="AS47" s="2" t="str" cm="1">
        <f t="array" ref="AS47">IF('NILAI CPL'!$B47&lt;&gt;"",IFERROR(_xlfn.IFS(V47&gt;='NILAI CPL'!$B$3,4,V47&gt;='NILAI CPL'!$B$4,3,V47&gt;='NILAI CPL'!$B$5,2,V47&gt;'NILAI CPL'!$B$6,1),0),"")</f>
        <v/>
      </c>
      <c r="AT47" s="2" t="str" cm="1">
        <f t="array" ref="AT47">IF('NILAI CPL'!$B47&lt;&gt;"",IFERROR(_xlfn.IFS(W47&gt;='NILAI CPL'!$B$3,4,W47&gt;='NILAI CPL'!$B$4,3,W47&gt;='NILAI CPL'!$B$5,2,W47&gt;'NILAI CPL'!$B$6,1),0),"")</f>
        <v/>
      </c>
      <c r="AU47" s="2" t="str" cm="1">
        <f t="array" ref="AU47">IF('NILAI CPL'!$B47&lt;&gt;"",IFERROR(_xlfn.IFS(X47&gt;='NILAI CPL'!$B$3,4,X47&gt;='NILAI CPL'!$B$4,3,X47&gt;='NILAI CPL'!$B$5,2,X47&gt;'NILAI CPL'!$B$6,1),0),"")</f>
        <v/>
      </c>
      <c r="AV47" s="2" t="str" cm="1">
        <f t="array" ref="AV47">IF('NILAI CPL'!$B47&lt;&gt;"",IFERROR(_xlfn.IFS(Y47&gt;='NILAI CPL'!$B$3,4,Y47&gt;='NILAI CPL'!$B$4,3,Y47&gt;='NILAI CPL'!$B$5,2,Y47&gt;'NILAI CPL'!$B$6,1),0),"")</f>
        <v/>
      </c>
      <c r="AW47" s="2" t="str" cm="1">
        <f t="array" ref="AW47">IF('NILAI CPL'!$B47&lt;&gt;"",IFERROR(_xlfn.IFS(Z47&gt;='NILAI CPL'!$B$3,4,Z47&gt;='NILAI CPL'!$B$4,3,Z47&gt;='NILAI CPL'!$B$5,2,Z47&gt;'NILAI CPL'!$B$6,1),0),"")</f>
        <v/>
      </c>
      <c r="AX47" s="2" t="str" cm="1">
        <f t="array" ref="AX47">IF('NILAI CPL'!$B47&lt;&gt;"",IFERROR(_xlfn.IFS(AA47&gt;='NILAI CPL'!$B$3,4,AA47&gt;='NILAI CPL'!$B$4,3,AA47&gt;='NILAI CPL'!$B$5,2,AA47&gt;'NILAI CPL'!$B$6,1),0),"")</f>
        <v/>
      </c>
      <c r="AY47" s="2" t="str" cm="1">
        <f t="array" ref="AY47">IF('NILAI CPL'!$B47&lt;&gt;"",IFERROR(_xlfn.IFS(AB47&gt;='NILAI CPL'!$B$3,4,AB47&gt;='NILAI CPL'!$B$4,3,AB47&gt;='NILAI CPL'!$B$5,2,AB47&gt;'NILAI CPL'!$B$6,1),0),"")</f>
        <v/>
      </c>
      <c r="AZ47" s="2" t="str" cm="1">
        <f t="array" ref="AZ47">IF('NILAI CPL'!$B47&lt;&gt;"",IFERROR(_xlfn.IFS(AC47&gt;='NILAI CPL'!$B$3,4,AC47&gt;='NILAI CPL'!$B$4,3,AC47&gt;='NILAI CPL'!$B$5,2,AC47&gt;'NILAI CPL'!$B$6,1),0),"")</f>
        <v/>
      </c>
      <c r="BA47" s="2" t="str" cm="1">
        <f t="array" ref="BA47">IF('NILAI CPL'!$B47&lt;&gt;"",IFERROR(_xlfn.IFS(AD47&gt;='NILAI CPL'!$B$3,4,AD47&gt;='NILAI CPL'!$B$4,3,AD47&gt;='NILAI CPL'!$B$5,2,AD47&gt;'NILAI CPL'!$B$6,1),0),"")</f>
        <v/>
      </c>
      <c r="BB47" s="2" t="str" cm="1">
        <f t="array" ref="BB47">IF('NILAI CPL'!$B47&lt;&gt;"",IFERROR(_xlfn.IFS(AE47&gt;='NILAI CPL'!$B$3,4,AE47&gt;='NILAI CPL'!$B$4,3,AE47&gt;='NILAI CPL'!$B$5,2,AE47&gt;'NILAI CPL'!$B$6,1),0),"")</f>
        <v/>
      </c>
      <c r="BC47" s="2" t="str" cm="1">
        <f t="array" ref="BC47">IF('NILAI CPL'!$B47&lt;&gt;"",IFERROR(_xlfn.IFS(AF47&gt;='NILAI CPL'!$B$3,4,AF47&gt;='NILAI CPL'!$B$4,3,AF47&gt;='NILAI CPL'!$B$5,2,AF47&gt;'NILAI CPL'!$B$6,1),0),"")</f>
        <v/>
      </c>
      <c r="BD47" s="2" t="str" cm="1">
        <f t="array" ref="BD47">IF('NILAI CPL'!$B47&lt;&gt;"",IFERROR(_xlfn.IFS(AG47&gt;='NILAI CPL'!$B$3,4,AG47&gt;='NILAI CPL'!$B$4,3,AG47&gt;='NILAI CPL'!$B$5,2,AG47&gt;'NILAI CPL'!$B$6,1),0),"")</f>
        <v/>
      </c>
      <c r="BE47" s="2" t="str" cm="1">
        <f t="array" ref="BE47">IF('NILAI CPL'!$B47&lt;&gt;"",IFERROR(_xlfn.IFS(AH47&gt;='NILAI CPL'!$B$3,4,AH47&gt;='NILAI CPL'!$B$4,3,AH47&gt;='NILAI CPL'!$B$5,2,AH47&gt;'NILAI CPL'!$B$6,1),0),"")</f>
        <v/>
      </c>
      <c r="BF47" s="2" t="str" cm="1">
        <f t="array" ref="BF47">IF('NILAI CPL'!$B47&lt;&gt;"",IFERROR(_xlfn.IFS(AI47&gt;='NILAI CPL'!$B$3,4,AI47&gt;='NILAI CPL'!$B$4,3,AI47&gt;='NILAI CPL'!$B$5,2,AI47&gt;'NILAI CPL'!$B$6,1),0),"")</f>
        <v/>
      </c>
      <c r="BG47" s="2" t="str" cm="1">
        <f t="array" ref="BG47">IF('NILAI CPL'!$B47&lt;&gt;"",IFERROR(_xlfn.IFS(AJ47&gt;='NILAI CPL'!$B$3,4,AJ47&gt;='NILAI CPL'!$B$4,3,AJ47&gt;='NILAI CPL'!$B$5,2,AJ47&gt;'NILAI CPL'!$B$6,1),0),"")</f>
        <v/>
      </c>
      <c r="BH47" s="2" t="str" cm="1">
        <f t="array" ref="BH47">IF('NILAI CPL'!$B47&lt;&gt;"",IFERROR(_xlfn.IFS(AK47&gt;='NILAI CPL'!$B$3,4,AK47&gt;='NILAI CPL'!$B$4,3,AK47&gt;='NILAI CPL'!$B$5,2,AK47&gt;'NILAI CPL'!$B$6,1),0),"")</f>
        <v/>
      </c>
      <c r="BI47" s="2" t="str" cm="1">
        <f t="array" ref="BI47">IF('NILAI CPL'!$B47&lt;&gt;"",IFERROR(_xlfn.IFS(AL47&gt;='NILAI CPL'!$B$3,4,AL47&gt;='NILAI CPL'!$B$4,3,AL47&gt;='NILAI CPL'!$B$5,2,AL47&gt;'NILAI CPL'!$B$6,1),0),"")</f>
        <v/>
      </c>
      <c r="BJ47" s="2" t="str" cm="1">
        <f t="array" ref="BJ47">IF('NILAI CPL'!$B47&lt;&gt;"",IFERROR(_xlfn.IFS(AM47&gt;='NILAI CPL'!$B$3,4,AM47&gt;='NILAI CPL'!$B$4,3,AM47&gt;='NILAI CPL'!$B$5,2,AM47&gt;'NILAI CPL'!$B$6,1),0),"")</f>
        <v/>
      </c>
      <c r="BK47" s="2" t="str" cm="1">
        <f t="array" ref="BK47">IF('NILAI CPL'!$B47&lt;&gt;"",IFERROR(_xlfn.IFS(AN47&gt;='NILAI CPL'!$B$3,4,AN47&gt;='NILAI CPL'!$B$4,3,AN47&gt;='NILAI CPL'!$B$5,2,AN47&gt;'NILAI CPL'!$B$6,1),0),"")</f>
        <v/>
      </c>
    </row>
    <row r="48" spans="1:63" x14ac:dyDescent="0.2">
      <c r="A48" s="2">
        <v>38</v>
      </c>
      <c r="B48" s="2" t="str">
        <f>IF(LEN(SUMMARY!B48)&gt;0, SUMMARY!B48, "")</f>
        <v/>
      </c>
      <c r="C48" s="2" t="str">
        <f>IF(LEN(SUMMARY!C48)&gt;0, SUMMARY!C48, "")</f>
        <v/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" t="str">
        <f t="shared" si="2"/>
        <v/>
      </c>
      <c r="S48" s="2" t="str">
        <f t="shared" si="3"/>
        <v/>
      </c>
      <c r="T48" s="2" t="str">
        <f t="shared" si="4"/>
        <v/>
      </c>
      <c r="U48" s="2" t="str">
        <f t="shared" si="5"/>
        <v/>
      </c>
      <c r="V48" s="2" t="str">
        <f t="shared" si="6"/>
        <v/>
      </c>
      <c r="W48" s="2" t="str">
        <f t="shared" si="7"/>
        <v/>
      </c>
      <c r="X48" s="2" t="str">
        <f t="shared" si="8"/>
        <v/>
      </c>
      <c r="Y48" s="2" t="str">
        <f t="shared" si="9"/>
        <v/>
      </c>
      <c r="Z48" s="2" t="str">
        <f t="shared" si="10"/>
        <v/>
      </c>
      <c r="AA48" s="2" t="str">
        <f t="shared" si="11"/>
        <v/>
      </c>
      <c r="AB48" s="2" t="str">
        <f t="shared" si="12"/>
        <v/>
      </c>
      <c r="AC48" s="2" t="str">
        <f t="shared" si="13"/>
        <v/>
      </c>
      <c r="AD48" s="2" t="str">
        <f t="shared" si="14"/>
        <v/>
      </c>
      <c r="AE48" s="2" t="str">
        <f t="shared" si="15"/>
        <v/>
      </c>
      <c r="AF48" s="2" t="str">
        <f t="shared" si="16"/>
        <v/>
      </c>
      <c r="AG48" s="2" t="str">
        <f t="shared" si="17"/>
        <v/>
      </c>
      <c r="AH48" s="2" t="str">
        <f t="shared" si="18"/>
        <v/>
      </c>
      <c r="AI48" s="2" t="str">
        <f t="shared" si="19"/>
        <v/>
      </c>
      <c r="AJ48" s="2" t="str">
        <f t="shared" si="20"/>
        <v/>
      </c>
      <c r="AK48" s="2" t="str">
        <f t="shared" si="21"/>
        <v/>
      </c>
      <c r="AL48" s="2" t="str">
        <f t="shared" si="22"/>
        <v/>
      </c>
      <c r="AM48" s="2" t="str">
        <f t="shared" si="23"/>
        <v/>
      </c>
      <c r="AN48" s="2" t="str">
        <f t="shared" si="24"/>
        <v/>
      </c>
      <c r="AP48" s="2" t="str" cm="1">
        <f t="array" ref="AP48">IF('NILAI CPL'!$B48&lt;&gt;"",IFERROR(_xlfn.IFS(S48&gt;='NILAI CPL'!$B$3,4,S48&gt;='NILAI CPL'!$B$4,3,S48&gt;='NILAI CPL'!$B$5,2,S48&gt;'NILAI CPL'!$B$6,1),0),"")</f>
        <v/>
      </c>
      <c r="AQ48" s="2" t="str" cm="1">
        <f t="array" ref="AQ48">IF('NILAI CPL'!$B48&lt;&gt;"",IFERROR(_xlfn.IFS(T48&gt;='NILAI CPL'!$B$3,4,T48&gt;='NILAI CPL'!$B$4,3,T48&gt;='NILAI CPL'!$B$5,2,T48&gt;'NILAI CPL'!$B$6,1),0),"")</f>
        <v/>
      </c>
      <c r="AR48" s="2" t="str" cm="1">
        <f t="array" ref="AR48">IF('NILAI CPL'!$B48&lt;&gt;"",IFERROR(_xlfn.IFS(U48&gt;='NILAI CPL'!$B$3,4,U48&gt;='NILAI CPL'!$B$4,3,U48&gt;='NILAI CPL'!$B$5,2,U48&gt;'NILAI CPL'!$B$6,1),0),"")</f>
        <v/>
      </c>
      <c r="AS48" s="2" t="str" cm="1">
        <f t="array" ref="AS48">IF('NILAI CPL'!$B48&lt;&gt;"",IFERROR(_xlfn.IFS(V48&gt;='NILAI CPL'!$B$3,4,V48&gt;='NILAI CPL'!$B$4,3,V48&gt;='NILAI CPL'!$B$5,2,V48&gt;'NILAI CPL'!$B$6,1),0),"")</f>
        <v/>
      </c>
      <c r="AT48" s="2" t="str" cm="1">
        <f t="array" ref="AT48">IF('NILAI CPL'!$B48&lt;&gt;"",IFERROR(_xlfn.IFS(W48&gt;='NILAI CPL'!$B$3,4,W48&gt;='NILAI CPL'!$B$4,3,W48&gt;='NILAI CPL'!$B$5,2,W48&gt;'NILAI CPL'!$B$6,1),0),"")</f>
        <v/>
      </c>
      <c r="AU48" s="2" t="str" cm="1">
        <f t="array" ref="AU48">IF('NILAI CPL'!$B48&lt;&gt;"",IFERROR(_xlfn.IFS(X48&gt;='NILAI CPL'!$B$3,4,X48&gt;='NILAI CPL'!$B$4,3,X48&gt;='NILAI CPL'!$B$5,2,X48&gt;'NILAI CPL'!$B$6,1),0),"")</f>
        <v/>
      </c>
      <c r="AV48" s="2" t="str" cm="1">
        <f t="array" ref="AV48">IF('NILAI CPL'!$B48&lt;&gt;"",IFERROR(_xlfn.IFS(Y48&gt;='NILAI CPL'!$B$3,4,Y48&gt;='NILAI CPL'!$B$4,3,Y48&gt;='NILAI CPL'!$B$5,2,Y48&gt;'NILAI CPL'!$B$6,1),0),"")</f>
        <v/>
      </c>
      <c r="AW48" s="2" t="str" cm="1">
        <f t="array" ref="AW48">IF('NILAI CPL'!$B48&lt;&gt;"",IFERROR(_xlfn.IFS(Z48&gt;='NILAI CPL'!$B$3,4,Z48&gt;='NILAI CPL'!$B$4,3,Z48&gt;='NILAI CPL'!$B$5,2,Z48&gt;'NILAI CPL'!$B$6,1),0),"")</f>
        <v/>
      </c>
      <c r="AX48" s="2" t="str" cm="1">
        <f t="array" ref="AX48">IF('NILAI CPL'!$B48&lt;&gt;"",IFERROR(_xlfn.IFS(AA48&gt;='NILAI CPL'!$B$3,4,AA48&gt;='NILAI CPL'!$B$4,3,AA48&gt;='NILAI CPL'!$B$5,2,AA48&gt;'NILAI CPL'!$B$6,1),0),"")</f>
        <v/>
      </c>
      <c r="AY48" s="2" t="str" cm="1">
        <f t="array" ref="AY48">IF('NILAI CPL'!$B48&lt;&gt;"",IFERROR(_xlfn.IFS(AB48&gt;='NILAI CPL'!$B$3,4,AB48&gt;='NILAI CPL'!$B$4,3,AB48&gt;='NILAI CPL'!$B$5,2,AB48&gt;'NILAI CPL'!$B$6,1),0),"")</f>
        <v/>
      </c>
      <c r="AZ48" s="2" t="str" cm="1">
        <f t="array" ref="AZ48">IF('NILAI CPL'!$B48&lt;&gt;"",IFERROR(_xlfn.IFS(AC48&gt;='NILAI CPL'!$B$3,4,AC48&gt;='NILAI CPL'!$B$4,3,AC48&gt;='NILAI CPL'!$B$5,2,AC48&gt;'NILAI CPL'!$B$6,1),0),"")</f>
        <v/>
      </c>
      <c r="BA48" s="2" t="str" cm="1">
        <f t="array" ref="BA48">IF('NILAI CPL'!$B48&lt;&gt;"",IFERROR(_xlfn.IFS(AD48&gt;='NILAI CPL'!$B$3,4,AD48&gt;='NILAI CPL'!$B$4,3,AD48&gt;='NILAI CPL'!$B$5,2,AD48&gt;'NILAI CPL'!$B$6,1),0),"")</f>
        <v/>
      </c>
      <c r="BB48" s="2" t="str" cm="1">
        <f t="array" ref="BB48">IF('NILAI CPL'!$B48&lt;&gt;"",IFERROR(_xlfn.IFS(AE48&gt;='NILAI CPL'!$B$3,4,AE48&gt;='NILAI CPL'!$B$4,3,AE48&gt;='NILAI CPL'!$B$5,2,AE48&gt;'NILAI CPL'!$B$6,1),0),"")</f>
        <v/>
      </c>
      <c r="BC48" s="2" t="str" cm="1">
        <f t="array" ref="BC48">IF('NILAI CPL'!$B48&lt;&gt;"",IFERROR(_xlfn.IFS(AF48&gt;='NILAI CPL'!$B$3,4,AF48&gt;='NILAI CPL'!$B$4,3,AF48&gt;='NILAI CPL'!$B$5,2,AF48&gt;'NILAI CPL'!$B$6,1),0),"")</f>
        <v/>
      </c>
      <c r="BD48" s="2" t="str" cm="1">
        <f t="array" ref="BD48">IF('NILAI CPL'!$B48&lt;&gt;"",IFERROR(_xlfn.IFS(AG48&gt;='NILAI CPL'!$B$3,4,AG48&gt;='NILAI CPL'!$B$4,3,AG48&gt;='NILAI CPL'!$B$5,2,AG48&gt;'NILAI CPL'!$B$6,1),0),"")</f>
        <v/>
      </c>
      <c r="BE48" s="2" t="str" cm="1">
        <f t="array" ref="BE48">IF('NILAI CPL'!$B48&lt;&gt;"",IFERROR(_xlfn.IFS(AH48&gt;='NILAI CPL'!$B$3,4,AH48&gt;='NILAI CPL'!$B$4,3,AH48&gt;='NILAI CPL'!$B$5,2,AH48&gt;'NILAI CPL'!$B$6,1),0),"")</f>
        <v/>
      </c>
      <c r="BF48" s="2" t="str" cm="1">
        <f t="array" ref="BF48">IF('NILAI CPL'!$B48&lt;&gt;"",IFERROR(_xlfn.IFS(AI48&gt;='NILAI CPL'!$B$3,4,AI48&gt;='NILAI CPL'!$B$4,3,AI48&gt;='NILAI CPL'!$B$5,2,AI48&gt;'NILAI CPL'!$B$6,1),0),"")</f>
        <v/>
      </c>
      <c r="BG48" s="2" t="str" cm="1">
        <f t="array" ref="BG48">IF('NILAI CPL'!$B48&lt;&gt;"",IFERROR(_xlfn.IFS(AJ48&gt;='NILAI CPL'!$B$3,4,AJ48&gt;='NILAI CPL'!$B$4,3,AJ48&gt;='NILAI CPL'!$B$5,2,AJ48&gt;'NILAI CPL'!$B$6,1),0),"")</f>
        <v/>
      </c>
      <c r="BH48" s="2" t="str" cm="1">
        <f t="array" ref="BH48">IF('NILAI CPL'!$B48&lt;&gt;"",IFERROR(_xlfn.IFS(AK48&gt;='NILAI CPL'!$B$3,4,AK48&gt;='NILAI CPL'!$B$4,3,AK48&gt;='NILAI CPL'!$B$5,2,AK48&gt;'NILAI CPL'!$B$6,1),0),"")</f>
        <v/>
      </c>
      <c r="BI48" s="2" t="str" cm="1">
        <f t="array" ref="BI48">IF('NILAI CPL'!$B48&lt;&gt;"",IFERROR(_xlfn.IFS(AL48&gt;='NILAI CPL'!$B$3,4,AL48&gt;='NILAI CPL'!$B$4,3,AL48&gt;='NILAI CPL'!$B$5,2,AL48&gt;'NILAI CPL'!$B$6,1),0),"")</f>
        <v/>
      </c>
      <c r="BJ48" s="2" t="str" cm="1">
        <f t="array" ref="BJ48">IF('NILAI CPL'!$B48&lt;&gt;"",IFERROR(_xlfn.IFS(AM48&gt;='NILAI CPL'!$B$3,4,AM48&gt;='NILAI CPL'!$B$4,3,AM48&gt;='NILAI CPL'!$B$5,2,AM48&gt;'NILAI CPL'!$B$6,1),0),"")</f>
        <v/>
      </c>
      <c r="BK48" s="2" t="str" cm="1">
        <f t="array" ref="BK48">IF('NILAI CPL'!$B48&lt;&gt;"",IFERROR(_xlfn.IFS(AN48&gt;='NILAI CPL'!$B$3,4,AN48&gt;='NILAI CPL'!$B$4,3,AN48&gt;='NILAI CPL'!$B$5,2,AN48&gt;'NILAI CPL'!$B$6,1),0),"")</f>
        <v/>
      </c>
    </row>
    <row r="49" spans="1:63" x14ac:dyDescent="0.2">
      <c r="A49" s="2">
        <v>39</v>
      </c>
      <c r="B49" s="2" t="str">
        <f>IF(LEN(SUMMARY!B49)&gt;0, SUMMARY!B49, "")</f>
        <v/>
      </c>
      <c r="C49" s="2" t="str">
        <f>IF(LEN(SUMMARY!C49)&gt;0, SUMMARY!C49, "")</f>
        <v/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" t="str">
        <f t="shared" si="2"/>
        <v/>
      </c>
      <c r="S49" s="2" t="str">
        <f t="shared" si="3"/>
        <v/>
      </c>
      <c r="T49" s="2" t="str">
        <f t="shared" si="4"/>
        <v/>
      </c>
      <c r="U49" s="2" t="str">
        <f t="shared" si="5"/>
        <v/>
      </c>
      <c r="V49" s="2" t="str">
        <f t="shared" si="6"/>
        <v/>
      </c>
      <c r="W49" s="2" t="str">
        <f t="shared" si="7"/>
        <v/>
      </c>
      <c r="X49" s="2" t="str">
        <f t="shared" si="8"/>
        <v/>
      </c>
      <c r="Y49" s="2" t="str">
        <f t="shared" si="9"/>
        <v/>
      </c>
      <c r="Z49" s="2" t="str">
        <f t="shared" si="10"/>
        <v/>
      </c>
      <c r="AA49" s="2" t="str">
        <f t="shared" si="11"/>
        <v/>
      </c>
      <c r="AB49" s="2" t="str">
        <f t="shared" si="12"/>
        <v/>
      </c>
      <c r="AC49" s="2" t="str">
        <f t="shared" si="13"/>
        <v/>
      </c>
      <c r="AD49" s="2" t="str">
        <f t="shared" si="14"/>
        <v/>
      </c>
      <c r="AE49" s="2" t="str">
        <f t="shared" si="15"/>
        <v/>
      </c>
      <c r="AF49" s="2" t="str">
        <f t="shared" si="16"/>
        <v/>
      </c>
      <c r="AG49" s="2" t="str">
        <f t="shared" si="17"/>
        <v/>
      </c>
      <c r="AH49" s="2" t="str">
        <f t="shared" si="18"/>
        <v/>
      </c>
      <c r="AI49" s="2" t="str">
        <f t="shared" si="19"/>
        <v/>
      </c>
      <c r="AJ49" s="2" t="str">
        <f t="shared" si="20"/>
        <v/>
      </c>
      <c r="AK49" s="2" t="str">
        <f t="shared" si="21"/>
        <v/>
      </c>
      <c r="AL49" s="2" t="str">
        <f t="shared" si="22"/>
        <v/>
      </c>
      <c r="AM49" s="2" t="str">
        <f t="shared" si="23"/>
        <v/>
      </c>
      <c r="AN49" s="2" t="str">
        <f t="shared" si="24"/>
        <v/>
      </c>
      <c r="AP49" s="2" t="str" cm="1">
        <f t="array" ref="AP49">IF('NILAI CPL'!$B49&lt;&gt;"",IFERROR(_xlfn.IFS(S49&gt;='NILAI CPL'!$B$3,4,S49&gt;='NILAI CPL'!$B$4,3,S49&gt;='NILAI CPL'!$B$5,2,S49&gt;'NILAI CPL'!$B$6,1),0),"")</f>
        <v/>
      </c>
      <c r="AQ49" s="2" t="str" cm="1">
        <f t="array" ref="AQ49">IF('NILAI CPL'!$B49&lt;&gt;"",IFERROR(_xlfn.IFS(T49&gt;='NILAI CPL'!$B$3,4,T49&gt;='NILAI CPL'!$B$4,3,T49&gt;='NILAI CPL'!$B$5,2,T49&gt;'NILAI CPL'!$B$6,1),0),"")</f>
        <v/>
      </c>
      <c r="AR49" s="2" t="str" cm="1">
        <f t="array" ref="AR49">IF('NILAI CPL'!$B49&lt;&gt;"",IFERROR(_xlfn.IFS(U49&gt;='NILAI CPL'!$B$3,4,U49&gt;='NILAI CPL'!$B$4,3,U49&gt;='NILAI CPL'!$B$5,2,U49&gt;'NILAI CPL'!$B$6,1),0),"")</f>
        <v/>
      </c>
      <c r="AS49" s="2" t="str" cm="1">
        <f t="array" ref="AS49">IF('NILAI CPL'!$B49&lt;&gt;"",IFERROR(_xlfn.IFS(V49&gt;='NILAI CPL'!$B$3,4,V49&gt;='NILAI CPL'!$B$4,3,V49&gt;='NILAI CPL'!$B$5,2,V49&gt;'NILAI CPL'!$B$6,1),0),"")</f>
        <v/>
      </c>
      <c r="AT49" s="2" t="str" cm="1">
        <f t="array" ref="AT49">IF('NILAI CPL'!$B49&lt;&gt;"",IFERROR(_xlfn.IFS(W49&gt;='NILAI CPL'!$B$3,4,W49&gt;='NILAI CPL'!$B$4,3,W49&gt;='NILAI CPL'!$B$5,2,W49&gt;'NILAI CPL'!$B$6,1),0),"")</f>
        <v/>
      </c>
      <c r="AU49" s="2" t="str" cm="1">
        <f t="array" ref="AU49">IF('NILAI CPL'!$B49&lt;&gt;"",IFERROR(_xlfn.IFS(X49&gt;='NILAI CPL'!$B$3,4,X49&gt;='NILAI CPL'!$B$4,3,X49&gt;='NILAI CPL'!$B$5,2,X49&gt;'NILAI CPL'!$B$6,1),0),"")</f>
        <v/>
      </c>
      <c r="AV49" s="2" t="str" cm="1">
        <f t="array" ref="AV49">IF('NILAI CPL'!$B49&lt;&gt;"",IFERROR(_xlfn.IFS(Y49&gt;='NILAI CPL'!$B$3,4,Y49&gt;='NILAI CPL'!$B$4,3,Y49&gt;='NILAI CPL'!$B$5,2,Y49&gt;'NILAI CPL'!$B$6,1),0),"")</f>
        <v/>
      </c>
      <c r="AW49" s="2" t="str" cm="1">
        <f t="array" ref="AW49">IF('NILAI CPL'!$B49&lt;&gt;"",IFERROR(_xlfn.IFS(Z49&gt;='NILAI CPL'!$B$3,4,Z49&gt;='NILAI CPL'!$B$4,3,Z49&gt;='NILAI CPL'!$B$5,2,Z49&gt;'NILAI CPL'!$B$6,1),0),"")</f>
        <v/>
      </c>
      <c r="AX49" s="2" t="str" cm="1">
        <f t="array" ref="AX49">IF('NILAI CPL'!$B49&lt;&gt;"",IFERROR(_xlfn.IFS(AA49&gt;='NILAI CPL'!$B$3,4,AA49&gt;='NILAI CPL'!$B$4,3,AA49&gt;='NILAI CPL'!$B$5,2,AA49&gt;'NILAI CPL'!$B$6,1),0),"")</f>
        <v/>
      </c>
      <c r="AY49" s="2" t="str" cm="1">
        <f t="array" ref="AY49">IF('NILAI CPL'!$B49&lt;&gt;"",IFERROR(_xlfn.IFS(AB49&gt;='NILAI CPL'!$B$3,4,AB49&gt;='NILAI CPL'!$B$4,3,AB49&gt;='NILAI CPL'!$B$5,2,AB49&gt;'NILAI CPL'!$B$6,1),0),"")</f>
        <v/>
      </c>
      <c r="AZ49" s="2" t="str" cm="1">
        <f t="array" ref="AZ49">IF('NILAI CPL'!$B49&lt;&gt;"",IFERROR(_xlfn.IFS(AC49&gt;='NILAI CPL'!$B$3,4,AC49&gt;='NILAI CPL'!$B$4,3,AC49&gt;='NILAI CPL'!$B$5,2,AC49&gt;'NILAI CPL'!$B$6,1),0),"")</f>
        <v/>
      </c>
      <c r="BA49" s="2" t="str" cm="1">
        <f t="array" ref="BA49">IF('NILAI CPL'!$B49&lt;&gt;"",IFERROR(_xlfn.IFS(AD49&gt;='NILAI CPL'!$B$3,4,AD49&gt;='NILAI CPL'!$B$4,3,AD49&gt;='NILAI CPL'!$B$5,2,AD49&gt;'NILAI CPL'!$B$6,1),0),"")</f>
        <v/>
      </c>
      <c r="BB49" s="2" t="str" cm="1">
        <f t="array" ref="BB49">IF('NILAI CPL'!$B49&lt;&gt;"",IFERROR(_xlfn.IFS(AE49&gt;='NILAI CPL'!$B$3,4,AE49&gt;='NILAI CPL'!$B$4,3,AE49&gt;='NILAI CPL'!$B$5,2,AE49&gt;'NILAI CPL'!$B$6,1),0),"")</f>
        <v/>
      </c>
      <c r="BC49" s="2" t="str" cm="1">
        <f t="array" ref="BC49">IF('NILAI CPL'!$B49&lt;&gt;"",IFERROR(_xlfn.IFS(AF49&gt;='NILAI CPL'!$B$3,4,AF49&gt;='NILAI CPL'!$B$4,3,AF49&gt;='NILAI CPL'!$B$5,2,AF49&gt;'NILAI CPL'!$B$6,1),0),"")</f>
        <v/>
      </c>
      <c r="BD49" s="2" t="str" cm="1">
        <f t="array" ref="BD49">IF('NILAI CPL'!$B49&lt;&gt;"",IFERROR(_xlfn.IFS(AG49&gt;='NILAI CPL'!$B$3,4,AG49&gt;='NILAI CPL'!$B$4,3,AG49&gt;='NILAI CPL'!$B$5,2,AG49&gt;'NILAI CPL'!$B$6,1),0),"")</f>
        <v/>
      </c>
      <c r="BE49" s="2" t="str" cm="1">
        <f t="array" ref="BE49">IF('NILAI CPL'!$B49&lt;&gt;"",IFERROR(_xlfn.IFS(AH49&gt;='NILAI CPL'!$B$3,4,AH49&gt;='NILAI CPL'!$B$4,3,AH49&gt;='NILAI CPL'!$B$5,2,AH49&gt;'NILAI CPL'!$B$6,1),0),"")</f>
        <v/>
      </c>
      <c r="BF49" s="2" t="str" cm="1">
        <f t="array" ref="BF49">IF('NILAI CPL'!$B49&lt;&gt;"",IFERROR(_xlfn.IFS(AI49&gt;='NILAI CPL'!$B$3,4,AI49&gt;='NILAI CPL'!$B$4,3,AI49&gt;='NILAI CPL'!$B$5,2,AI49&gt;'NILAI CPL'!$B$6,1),0),"")</f>
        <v/>
      </c>
      <c r="BG49" s="2" t="str" cm="1">
        <f t="array" ref="BG49">IF('NILAI CPL'!$B49&lt;&gt;"",IFERROR(_xlfn.IFS(AJ49&gt;='NILAI CPL'!$B$3,4,AJ49&gt;='NILAI CPL'!$B$4,3,AJ49&gt;='NILAI CPL'!$B$5,2,AJ49&gt;'NILAI CPL'!$B$6,1),0),"")</f>
        <v/>
      </c>
      <c r="BH49" s="2" t="str" cm="1">
        <f t="array" ref="BH49">IF('NILAI CPL'!$B49&lt;&gt;"",IFERROR(_xlfn.IFS(AK49&gt;='NILAI CPL'!$B$3,4,AK49&gt;='NILAI CPL'!$B$4,3,AK49&gt;='NILAI CPL'!$B$5,2,AK49&gt;'NILAI CPL'!$B$6,1),0),"")</f>
        <v/>
      </c>
      <c r="BI49" s="2" t="str" cm="1">
        <f t="array" ref="BI49">IF('NILAI CPL'!$B49&lt;&gt;"",IFERROR(_xlfn.IFS(AL49&gt;='NILAI CPL'!$B$3,4,AL49&gt;='NILAI CPL'!$B$4,3,AL49&gt;='NILAI CPL'!$B$5,2,AL49&gt;'NILAI CPL'!$B$6,1),0),"")</f>
        <v/>
      </c>
      <c r="BJ49" s="2" t="str" cm="1">
        <f t="array" ref="BJ49">IF('NILAI CPL'!$B49&lt;&gt;"",IFERROR(_xlfn.IFS(AM49&gt;='NILAI CPL'!$B$3,4,AM49&gt;='NILAI CPL'!$B$4,3,AM49&gt;='NILAI CPL'!$B$5,2,AM49&gt;'NILAI CPL'!$B$6,1),0),"")</f>
        <v/>
      </c>
      <c r="BK49" s="2" t="str" cm="1">
        <f t="array" ref="BK49">IF('NILAI CPL'!$B49&lt;&gt;"",IFERROR(_xlfn.IFS(AN49&gt;='NILAI CPL'!$B$3,4,AN49&gt;='NILAI CPL'!$B$4,3,AN49&gt;='NILAI CPL'!$B$5,2,AN49&gt;'NILAI CPL'!$B$6,1),0),"")</f>
        <v/>
      </c>
    </row>
    <row r="50" spans="1:63" x14ac:dyDescent="0.2">
      <c r="A50" s="2">
        <v>40</v>
      </c>
      <c r="B50" s="2" t="str">
        <f>IF(LEN(SUMMARY!B50)&gt;0, SUMMARY!B50, "")</f>
        <v/>
      </c>
      <c r="C50" s="2" t="str">
        <f>IF(LEN(SUMMARY!C50)&gt;0, SUMMARY!C50, "")</f>
        <v/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" t="str">
        <f t="shared" si="2"/>
        <v/>
      </c>
      <c r="S50" s="2" t="str">
        <f t="shared" si="3"/>
        <v/>
      </c>
      <c r="T50" s="2" t="str">
        <f t="shared" si="4"/>
        <v/>
      </c>
      <c r="U50" s="2" t="str">
        <f t="shared" si="5"/>
        <v/>
      </c>
      <c r="V50" s="2" t="str">
        <f t="shared" si="6"/>
        <v/>
      </c>
      <c r="W50" s="2" t="str">
        <f t="shared" si="7"/>
        <v/>
      </c>
      <c r="X50" s="2" t="str">
        <f t="shared" si="8"/>
        <v/>
      </c>
      <c r="Y50" s="2" t="str">
        <f t="shared" si="9"/>
        <v/>
      </c>
      <c r="Z50" s="2" t="str">
        <f t="shared" si="10"/>
        <v/>
      </c>
      <c r="AA50" s="2" t="str">
        <f t="shared" si="11"/>
        <v/>
      </c>
      <c r="AB50" s="2" t="str">
        <f t="shared" si="12"/>
        <v/>
      </c>
      <c r="AC50" s="2" t="str">
        <f t="shared" si="13"/>
        <v/>
      </c>
      <c r="AD50" s="2" t="str">
        <f t="shared" si="14"/>
        <v/>
      </c>
      <c r="AE50" s="2" t="str">
        <f t="shared" si="15"/>
        <v/>
      </c>
      <c r="AF50" s="2" t="str">
        <f t="shared" si="16"/>
        <v/>
      </c>
      <c r="AG50" s="2" t="str">
        <f t="shared" si="17"/>
        <v/>
      </c>
      <c r="AH50" s="2" t="str">
        <f t="shared" si="18"/>
        <v/>
      </c>
      <c r="AI50" s="2" t="str">
        <f t="shared" si="19"/>
        <v/>
      </c>
      <c r="AJ50" s="2" t="str">
        <f t="shared" si="20"/>
        <v/>
      </c>
      <c r="AK50" s="2" t="str">
        <f t="shared" si="21"/>
        <v/>
      </c>
      <c r="AL50" s="2" t="str">
        <f t="shared" si="22"/>
        <v/>
      </c>
      <c r="AM50" s="2" t="str">
        <f t="shared" si="23"/>
        <v/>
      </c>
      <c r="AN50" s="2" t="str">
        <f t="shared" si="24"/>
        <v/>
      </c>
      <c r="AP50" s="2" t="str" cm="1">
        <f t="array" ref="AP50">IF('NILAI CPL'!$B50&lt;&gt;"",IFERROR(_xlfn.IFS(S50&gt;='NILAI CPL'!$B$3,4,S50&gt;='NILAI CPL'!$B$4,3,S50&gt;='NILAI CPL'!$B$5,2,S50&gt;'NILAI CPL'!$B$6,1),0),"")</f>
        <v/>
      </c>
      <c r="AQ50" s="2" t="str" cm="1">
        <f t="array" ref="AQ50">IF('NILAI CPL'!$B50&lt;&gt;"",IFERROR(_xlfn.IFS(T50&gt;='NILAI CPL'!$B$3,4,T50&gt;='NILAI CPL'!$B$4,3,T50&gt;='NILAI CPL'!$B$5,2,T50&gt;'NILAI CPL'!$B$6,1),0),"")</f>
        <v/>
      </c>
      <c r="AR50" s="2" t="str" cm="1">
        <f t="array" ref="AR50">IF('NILAI CPL'!$B50&lt;&gt;"",IFERROR(_xlfn.IFS(U50&gt;='NILAI CPL'!$B$3,4,U50&gt;='NILAI CPL'!$B$4,3,U50&gt;='NILAI CPL'!$B$5,2,U50&gt;'NILAI CPL'!$B$6,1),0),"")</f>
        <v/>
      </c>
      <c r="AS50" s="2" t="str" cm="1">
        <f t="array" ref="AS50">IF('NILAI CPL'!$B50&lt;&gt;"",IFERROR(_xlfn.IFS(V50&gt;='NILAI CPL'!$B$3,4,V50&gt;='NILAI CPL'!$B$4,3,V50&gt;='NILAI CPL'!$B$5,2,V50&gt;'NILAI CPL'!$B$6,1),0),"")</f>
        <v/>
      </c>
      <c r="AT50" s="2" t="str" cm="1">
        <f t="array" ref="AT50">IF('NILAI CPL'!$B50&lt;&gt;"",IFERROR(_xlfn.IFS(W50&gt;='NILAI CPL'!$B$3,4,W50&gt;='NILAI CPL'!$B$4,3,W50&gt;='NILAI CPL'!$B$5,2,W50&gt;'NILAI CPL'!$B$6,1),0),"")</f>
        <v/>
      </c>
      <c r="AU50" s="2" t="str" cm="1">
        <f t="array" ref="AU50">IF('NILAI CPL'!$B50&lt;&gt;"",IFERROR(_xlfn.IFS(X50&gt;='NILAI CPL'!$B$3,4,X50&gt;='NILAI CPL'!$B$4,3,X50&gt;='NILAI CPL'!$B$5,2,X50&gt;'NILAI CPL'!$B$6,1),0),"")</f>
        <v/>
      </c>
      <c r="AV50" s="2" t="str" cm="1">
        <f t="array" ref="AV50">IF('NILAI CPL'!$B50&lt;&gt;"",IFERROR(_xlfn.IFS(Y50&gt;='NILAI CPL'!$B$3,4,Y50&gt;='NILAI CPL'!$B$4,3,Y50&gt;='NILAI CPL'!$B$5,2,Y50&gt;'NILAI CPL'!$B$6,1),0),"")</f>
        <v/>
      </c>
      <c r="AW50" s="2" t="str" cm="1">
        <f t="array" ref="AW50">IF('NILAI CPL'!$B50&lt;&gt;"",IFERROR(_xlfn.IFS(Z50&gt;='NILAI CPL'!$B$3,4,Z50&gt;='NILAI CPL'!$B$4,3,Z50&gt;='NILAI CPL'!$B$5,2,Z50&gt;'NILAI CPL'!$B$6,1),0),"")</f>
        <v/>
      </c>
      <c r="AX50" s="2" t="str" cm="1">
        <f t="array" ref="AX50">IF('NILAI CPL'!$B50&lt;&gt;"",IFERROR(_xlfn.IFS(AA50&gt;='NILAI CPL'!$B$3,4,AA50&gt;='NILAI CPL'!$B$4,3,AA50&gt;='NILAI CPL'!$B$5,2,AA50&gt;'NILAI CPL'!$B$6,1),0),"")</f>
        <v/>
      </c>
      <c r="AY50" s="2" t="str" cm="1">
        <f t="array" ref="AY50">IF('NILAI CPL'!$B50&lt;&gt;"",IFERROR(_xlfn.IFS(AB50&gt;='NILAI CPL'!$B$3,4,AB50&gt;='NILAI CPL'!$B$4,3,AB50&gt;='NILAI CPL'!$B$5,2,AB50&gt;'NILAI CPL'!$B$6,1),0),"")</f>
        <v/>
      </c>
      <c r="AZ50" s="2" t="str" cm="1">
        <f t="array" ref="AZ50">IF('NILAI CPL'!$B50&lt;&gt;"",IFERROR(_xlfn.IFS(AC50&gt;='NILAI CPL'!$B$3,4,AC50&gt;='NILAI CPL'!$B$4,3,AC50&gt;='NILAI CPL'!$B$5,2,AC50&gt;'NILAI CPL'!$B$6,1),0),"")</f>
        <v/>
      </c>
      <c r="BA50" s="2" t="str" cm="1">
        <f t="array" ref="BA50">IF('NILAI CPL'!$B50&lt;&gt;"",IFERROR(_xlfn.IFS(AD50&gt;='NILAI CPL'!$B$3,4,AD50&gt;='NILAI CPL'!$B$4,3,AD50&gt;='NILAI CPL'!$B$5,2,AD50&gt;'NILAI CPL'!$B$6,1),0),"")</f>
        <v/>
      </c>
      <c r="BB50" s="2" t="str" cm="1">
        <f t="array" ref="BB50">IF('NILAI CPL'!$B50&lt;&gt;"",IFERROR(_xlfn.IFS(AE50&gt;='NILAI CPL'!$B$3,4,AE50&gt;='NILAI CPL'!$B$4,3,AE50&gt;='NILAI CPL'!$B$5,2,AE50&gt;'NILAI CPL'!$B$6,1),0),"")</f>
        <v/>
      </c>
      <c r="BC50" s="2" t="str" cm="1">
        <f t="array" ref="BC50">IF('NILAI CPL'!$B50&lt;&gt;"",IFERROR(_xlfn.IFS(AF50&gt;='NILAI CPL'!$B$3,4,AF50&gt;='NILAI CPL'!$B$4,3,AF50&gt;='NILAI CPL'!$B$5,2,AF50&gt;'NILAI CPL'!$B$6,1),0),"")</f>
        <v/>
      </c>
      <c r="BD50" s="2" t="str" cm="1">
        <f t="array" ref="BD50">IF('NILAI CPL'!$B50&lt;&gt;"",IFERROR(_xlfn.IFS(AG50&gt;='NILAI CPL'!$B$3,4,AG50&gt;='NILAI CPL'!$B$4,3,AG50&gt;='NILAI CPL'!$B$5,2,AG50&gt;'NILAI CPL'!$B$6,1),0),"")</f>
        <v/>
      </c>
      <c r="BE50" s="2" t="str" cm="1">
        <f t="array" ref="BE50">IF('NILAI CPL'!$B50&lt;&gt;"",IFERROR(_xlfn.IFS(AH50&gt;='NILAI CPL'!$B$3,4,AH50&gt;='NILAI CPL'!$B$4,3,AH50&gt;='NILAI CPL'!$B$5,2,AH50&gt;'NILAI CPL'!$B$6,1),0),"")</f>
        <v/>
      </c>
      <c r="BF50" s="2" t="str" cm="1">
        <f t="array" ref="BF50">IF('NILAI CPL'!$B50&lt;&gt;"",IFERROR(_xlfn.IFS(AI50&gt;='NILAI CPL'!$B$3,4,AI50&gt;='NILAI CPL'!$B$4,3,AI50&gt;='NILAI CPL'!$B$5,2,AI50&gt;'NILAI CPL'!$B$6,1),0),"")</f>
        <v/>
      </c>
      <c r="BG50" s="2" t="str" cm="1">
        <f t="array" ref="BG50">IF('NILAI CPL'!$B50&lt;&gt;"",IFERROR(_xlfn.IFS(AJ50&gt;='NILAI CPL'!$B$3,4,AJ50&gt;='NILAI CPL'!$B$4,3,AJ50&gt;='NILAI CPL'!$B$5,2,AJ50&gt;'NILAI CPL'!$B$6,1),0),"")</f>
        <v/>
      </c>
      <c r="BH50" s="2" t="str" cm="1">
        <f t="array" ref="BH50">IF('NILAI CPL'!$B50&lt;&gt;"",IFERROR(_xlfn.IFS(AK50&gt;='NILAI CPL'!$B$3,4,AK50&gt;='NILAI CPL'!$B$4,3,AK50&gt;='NILAI CPL'!$B$5,2,AK50&gt;'NILAI CPL'!$B$6,1),0),"")</f>
        <v/>
      </c>
      <c r="BI50" s="2" t="str" cm="1">
        <f t="array" ref="BI50">IF('NILAI CPL'!$B50&lt;&gt;"",IFERROR(_xlfn.IFS(AL50&gt;='NILAI CPL'!$B$3,4,AL50&gt;='NILAI CPL'!$B$4,3,AL50&gt;='NILAI CPL'!$B$5,2,AL50&gt;'NILAI CPL'!$B$6,1),0),"")</f>
        <v/>
      </c>
      <c r="BJ50" s="2" t="str" cm="1">
        <f t="array" ref="BJ50">IF('NILAI CPL'!$B50&lt;&gt;"",IFERROR(_xlfn.IFS(AM50&gt;='NILAI CPL'!$B$3,4,AM50&gt;='NILAI CPL'!$B$4,3,AM50&gt;='NILAI CPL'!$B$5,2,AM50&gt;'NILAI CPL'!$B$6,1),0),"")</f>
        <v/>
      </c>
      <c r="BK50" s="2" t="str" cm="1">
        <f t="array" ref="BK50">IF('NILAI CPL'!$B50&lt;&gt;"",IFERROR(_xlfn.IFS(AN50&gt;='NILAI CPL'!$B$3,4,AN50&gt;='NILAI CPL'!$B$4,3,AN50&gt;='NILAI CPL'!$B$5,2,AN50&gt;'NILAI CPL'!$B$6,1),0),"")</f>
        <v/>
      </c>
    </row>
    <row r="51" spans="1:63" x14ac:dyDescent="0.2">
      <c r="A51" s="2">
        <v>41</v>
      </c>
      <c r="B51" s="2" t="str">
        <f>IF(LEN(SUMMARY!B51)&gt;0, SUMMARY!B51, "")</f>
        <v/>
      </c>
      <c r="C51" s="2" t="str">
        <f>IF(LEN(SUMMARY!C51)&gt;0, SUMMARY!C51, "")</f>
        <v/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" t="str">
        <f t="shared" si="2"/>
        <v/>
      </c>
      <c r="S51" s="2" t="str">
        <f t="shared" si="3"/>
        <v/>
      </c>
      <c r="T51" s="2" t="str">
        <f t="shared" si="4"/>
        <v/>
      </c>
      <c r="U51" s="2" t="str">
        <f t="shared" si="5"/>
        <v/>
      </c>
      <c r="V51" s="2" t="str">
        <f t="shared" si="6"/>
        <v/>
      </c>
      <c r="W51" s="2" t="str">
        <f t="shared" si="7"/>
        <v/>
      </c>
      <c r="X51" s="2" t="str">
        <f t="shared" si="8"/>
        <v/>
      </c>
      <c r="Y51" s="2" t="str">
        <f t="shared" si="9"/>
        <v/>
      </c>
      <c r="Z51" s="2" t="str">
        <f t="shared" si="10"/>
        <v/>
      </c>
      <c r="AA51" s="2" t="str">
        <f t="shared" si="11"/>
        <v/>
      </c>
      <c r="AB51" s="2" t="str">
        <f t="shared" si="12"/>
        <v/>
      </c>
      <c r="AC51" s="2" t="str">
        <f t="shared" si="13"/>
        <v/>
      </c>
      <c r="AD51" s="2" t="str">
        <f t="shared" si="14"/>
        <v/>
      </c>
      <c r="AE51" s="2" t="str">
        <f t="shared" si="15"/>
        <v/>
      </c>
      <c r="AF51" s="2" t="str">
        <f t="shared" si="16"/>
        <v/>
      </c>
      <c r="AG51" s="2" t="str">
        <f t="shared" si="17"/>
        <v/>
      </c>
      <c r="AH51" s="2" t="str">
        <f t="shared" si="18"/>
        <v/>
      </c>
      <c r="AI51" s="2" t="str">
        <f t="shared" si="19"/>
        <v/>
      </c>
      <c r="AJ51" s="2" t="str">
        <f t="shared" si="20"/>
        <v/>
      </c>
      <c r="AK51" s="2" t="str">
        <f t="shared" si="21"/>
        <v/>
      </c>
      <c r="AL51" s="2" t="str">
        <f t="shared" si="22"/>
        <v/>
      </c>
      <c r="AM51" s="2" t="str">
        <f t="shared" si="23"/>
        <v/>
      </c>
      <c r="AN51" s="2" t="str">
        <f t="shared" si="24"/>
        <v/>
      </c>
      <c r="AP51" s="2" t="str" cm="1">
        <f t="array" ref="AP51">IF('NILAI CPL'!$B51&lt;&gt;"",IFERROR(_xlfn.IFS(S51&gt;='NILAI CPL'!$B$3,4,S51&gt;='NILAI CPL'!$B$4,3,S51&gt;='NILAI CPL'!$B$5,2,S51&gt;'NILAI CPL'!$B$6,1),0),"")</f>
        <v/>
      </c>
      <c r="AQ51" s="2" t="str" cm="1">
        <f t="array" ref="AQ51">IF('NILAI CPL'!$B51&lt;&gt;"",IFERROR(_xlfn.IFS(T51&gt;='NILAI CPL'!$B$3,4,T51&gt;='NILAI CPL'!$B$4,3,T51&gt;='NILAI CPL'!$B$5,2,T51&gt;'NILAI CPL'!$B$6,1),0),"")</f>
        <v/>
      </c>
      <c r="AR51" s="2" t="str" cm="1">
        <f t="array" ref="AR51">IF('NILAI CPL'!$B51&lt;&gt;"",IFERROR(_xlfn.IFS(U51&gt;='NILAI CPL'!$B$3,4,U51&gt;='NILAI CPL'!$B$4,3,U51&gt;='NILAI CPL'!$B$5,2,U51&gt;'NILAI CPL'!$B$6,1),0),"")</f>
        <v/>
      </c>
      <c r="AS51" s="2" t="str" cm="1">
        <f t="array" ref="AS51">IF('NILAI CPL'!$B51&lt;&gt;"",IFERROR(_xlfn.IFS(V51&gt;='NILAI CPL'!$B$3,4,V51&gt;='NILAI CPL'!$B$4,3,V51&gt;='NILAI CPL'!$B$5,2,V51&gt;'NILAI CPL'!$B$6,1),0),"")</f>
        <v/>
      </c>
      <c r="AT51" s="2" t="str" cm="1">
        <f t="array" ref="AT51">IF('NILAI CPL'!$B51&lt;&gt;"",IFERROR(_xlfn.IFS(W51&gt;='NILAI CPL'!$B$3,4,W51&gt;='NILAI CPL'!$B$4,3,W51&gt;='NILAI CPL'!$B$5,2,W51&gt;'NILAI CPL'!$B$6,1),0),"")</f>
        <v/>
      </c>
      <c r="AU51" s="2" t="str" cm="1">
        <f t="array" ref="AU51">IF('NILAI CPL'!$B51&lt;&gt;"",IFERROR(_xlfn.IFS(X51&gt;='NILAI CPL'!$B$3,4,X51&gt;='NILAI CPL'!$B$4,3,X51&gt;='NILAI CPL'!$B$5,2,X51&gt;'NILAI CPL'!$B$6,1),0),"")</f>
        <v/>
      </c>
      <c r="AV51" s="2" t="str" cm="1">
        <f t="array" ref="AV51">IF('NILAI CPL'!$B51&lt;&gt;"",IFERROR(_xlfn.IFS(Y51&gt;='NILAI CPL'!$B$3,4,Y51&gt;='NILAI CPL'!$B$4,3,Y51&gt;='NILAI CPL'!$B$5,2,Y51&gt;'NILAI CPL'!$B$6,1),0),"")</f>
        <v/>
      </c>
      <c r="AW51" s="2" t="str" cm="1">
        <f t="array" ref="AW51">IF('NILAI CPL'!$B51&lt;&gt;"",IFERROR(_xlfn.IFS(Z51&gt;='NILAI CPL'!$B$3,4,Z51&gt;='NILAI CPL'!$B$4,3,Z51&gt;='NILAI CPL'!$B$5,2,Z51&gt;'NILAI CPL'!$B$6,1),0),"")</f>
        <v/>
      </c>
      <c r="AX51" s="2" t="str" cm="1">
        <f t="array" ref="AX51">IF('NILAI CPL'!$B51&lt;&gt;"",IFERROR(_xlfn.IFS(AA51&gt;='NILAI CPL'!$B$3,4,AA51&gt;='NILAI CPL'!$B$4,3,AA51&gt;='NILAI CPL'!$B$5,2,AA51&gt;'NILAI CPL'!$B$6,1),0),"")</f>
        <v/>
      </c>
      <c r="AY51" s="2" t="str" cm="1">
        <f t="array" ref="AY51">IF('NILAI CPL'!$B51&lt;&gt;"",IFERROR(_xlfn.IFS(AB51&gt;='NILAI CPL'!$B$3,4,AB51&gt;='NILAI CPL'!$B$4,3,AB51&gt;='NILAI CPL'!$B$5,2,AB51&gt;'NILAI CPL'!$B$6,1),0),"")</f>
        <v/>
      </c>
      <c r="AZ51" s="2" t="str" cm="1">
        <f t="array" ref="AZ51">IF('NILAI CPL'!$B51&lt;&gt;"",IFERROR(_xlfn.IFS(AC51&gt;='NILAI CPL'!$B$3,4,AC51&gt;='NILAI CPL'!$B$4,3,AC51&gt;='NILAI CPL'!$B$5,2,AC51&gt;'NILAI CPL'!$B$6,1),0),"")</f>
        <v/>
      </c>
      <c r="BA51" s="2" t="str" cm="1">
        <f t="array" ref="BA51">IF('NILAI CPL'!$B51&lt;&gt;"",IFERROR(_xlfn.IFS(AD51&gt;='NILAI CPL'!$B$3,4,AD51&gt;='NILAI CPL'!$B$4,3,AD51&gt;='NILAI CPL'!$B$5,2,AD51&gt;'NILAI CPL'!$B$6,1),0),"")</f>
        <v/>
      </c>
      <c r="BB51" s="2" t="str" cm="1">
        <f t="array" ref="BB51">IF('NILAI CPL'!$B51&lt;&gt;"",IFERROR(_xlfn.IFS(AE51&gt;='NILAI CPL'!$B$3,4,AE51&gt;='NILAI CPL'!$B$4,3,AE51&gt;='NILAI CPL'!$B$5,2,AE51&gt;'NILAI CPL'!$B$6,1),0),"")</f>
        <v/>
      </c>
      <c r="BC51" s="2" t="str" cm="1">
        <f t="array" ref="BC51">IF('NILAI CPL'!$B51&lt;&gt;"",IFERROR(_xlfn.IFS(AF51&gt;='NILAI CPL'!$B$3,4,AF51&gt;='NILAI CPL'!$B$4,3,AF51&gt;='NILAI CPL'!$B$5,2,AF51&gt;'NILAI CPL'!$B$6,1),0),"")</f>
        <v/>
      </c>
      <c r="BD51" s="2" t="str" cm="1">
        <f t="array" ref="BD51">IF('NILAI CPL'!$B51&lt;&gt;"",IFERROR(_xlfn.IFS(AG51&gt;='NILAI CPL'!$B$3,4,AG51&gt;='NILAI CPL'!$B$4,3,AG51&gt;='NILAI CPL'!$B$5,2,AG51&gt;'NILAI CPL'!$B$6,1),0),"")</f>
        <v/>
      </c>
      <c r="BE51" s="2" t="str" cm="1">
        <f t="array" ref="BE51">IF('NILAI CPL'!$B51&lt;&gt;"",IFERROR(_xlfn.IFS(AH51&gt;='NILAI CPL'!$B$3,4,AH51&gt;='NILAI CPL'!$B$4,3,AH51&gt;='NILAI CPL'!$B$5,2,AH51&gt;'NILAI CPL'!$B$6,1),0),"")</f>
        <v/>
      </c>
      <c r="BF51" s="2" t="str" cm="1">
        <f t="array" ref="BF51">IF('NILAI CPL'!$B51&lt;&gt;"",IFERROR(_xlfn.IFS(AI51&gt;='NILAI CPL'!$B$3,4,AI51&gt;='NILAI CPL'!$B$4,3,AI51&gt;='NILAI CPL'!$B$5,2,AI51&gt;'NILAI CPL'!$B$6,1),0),"")</f>
        <v/>
      </c>
      <c r="BG51" s="2" t="str" cm="1">
        <f t="array" ref="BG51">IF('NILAI CPL'!$B51&lt;&gt;"",IFERROR(_xlfn.IFS(AJ51&gt;='NILAI CPL'!$B$3,4,AJ51&gt;='NILAI CPL'!$B$4,3,AJ51&gt;='NILAI CPL'!$B$5,2,AJ51&gt;'NILAI CPL'!$B$6,1),0),"")</f>
        <v/>
      </c>
      <c r="BH51" s="2" t="str" cm="1">
        <f t="array" ref="BH51">IF('NILAI CPL'!$B51&lt;&gt;"",IFERROR(_xlfn.IFS(AK51&gt;='NILAI CPL'!$B$3,4,AK51&gt;='NILAI CPL'!$B$4,3,AK51&gt;='NILAI CPL'!$B$5,2,AK51&gt;'NILAI CPL'!$B$6,1),0),"")</f>
        <v/>
      </c>
      <c r="BI51" s="2" t="str" cm="1">
        <f t="array" ref="BI51">IF('NILAI CPL'!$B51&lt;&gt;"",IFERROR(_xlfn.IFS(AL51&gt;='NILAI CPL'!$B$3,4,AL51&gt;='NILAI CPL'!$B$4,3,AL51&gt;='NILAI CPL'!$B$5,2,AL51&gt;'NILAI CPL'!$B$6,1),0),"")</f>
        <v/>
      </c>
      <c r="BJ51" s="2" t="str" cm="1">
        <f t="array" ref="BJ51">IF('NILAI CPL'!$B51&lt;&gt;"",IFERROR(_xlfn.IFS(AM51&gt;='NILAI CPL'!$B$3,4,AM51&gt;='NILAI CPL'!$B$4,3,AM51&gt;='NILAI CPL'!$B$5,2,AM51&gt;'NILAI CPL'!$B$6,1),0),"")</f>
        <v/>
      </c>
      <c r="BK51" s="2" t="str" cm="1">
        <f t="array" ref="BK51">IF('NILAI CPL'!$B51&lt;&gt;"",IFERROR(_xlfn.IFS(AN51&gt;='NILAI CPL'!$B$3,4,AN51&gt;='NILAI CPL'!$B$4,3,AN51&gt;='NILAI CPL'!$B$5,2,AN51&gt;'NILAI CPL'!$B$6,1),0),"")</f>
        <v/>
      </c>
    </row>
    <row r="52" spans="1:63" x14ac:dyDescent="0.2">
      <c r="A52" s="2">
        <v>42</v>
      </c>
      <c r="B52" s="2" t="str">
        <f>IF(LEN(SUMMARY!B52)&gt;0, SUMMARY!B52, "")</f>
        <v/>
      </c>
      <c r="C52" s="2" t="str">
        <f>IF(LEN(SUMMARY!C52)&gt;0, SUMMARY!C52, "")</f>
        <v/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" t="str">
        <f t="shared" si="2"/>
        <v/>
      </c>
      <c r="S52" s="2" t="str">
        <f t="shared" si="3"/>
        <v/>
      </c>
      <c r="T52" s="2" t="str">
        <f t="shared" si="4"/>
        <v/>
      </c>
      <c r="U52" s="2" t="str">
        <f t="shared" si="5"/>
        <v/>
      </c>
      <c r="V52" s="2" t="str">
        <f t="shared" si="6"/>
        <v/>
      </c>
      <c r="W52" s="2" t="str">
        <f t="shared" si="7"/>
        <v/>
      </c>
      <c r="X52" s="2" t="str">
        <f t="shared" si="8"/>
        <v/>
      </c>
      <c r="Y52" s="2" t="str">
        <f t="shared" si="9"/>
        <v/>
      </c>
      <c r="Z52" s="2" t="str">
        <f t="shared" si="10"/>
        <v/>
      </c>
      <c r="AA52" s="2" t="str">
        <f t="shared" si="11"/>
        <v/>
      </c>
      <c r="AB52" s="2" t="str">
        <f t="shared" si="12"/>
        <v/>
      </c>
      <c r="AC52" s="2" t="str">
        <f t="shared" si="13"/>
        <v/>
      </c>
      <c r="AD52" s="2" t="str">
        <f t="shared" si="14"/>
        <v/>
      </c>
      <c r="AE52" s="2" t="str">
        <f t="shared" si="15"/>
        <v/>
      </c>
      <c r="AF52" s="2" t="str">
        <f t="shared" si="16"/>
        <v/>
      </c>
      <c r="AG52" s="2" t="str">
        <f t="shared" si="17"/>
        <v/>
      </c>
      <c r="AH52" s="2" t="str">
        <f t="shared" si="18"/>
        <v/>
      </c>
      <c r="AI52" s="2" t="str">
        <f t="shared" si="19"/>
        <v/>
      </c>
      <c r="AJ52" s="2" t="str">
        <f t="shared" si="20"/>
        <v/>
      </c>
      <c r="AK52" s="2" t="str">
        <f t="shared" si="21"/>
        <v/>
      </c>
      <c r="AL52" s="2" t="str">
        <f t="shared" si="22"/>
        <v/>
      </c>
      <c r="AM52" s="2" t="str">
        <f t="shared" si="23"/>
        <v/>
      </c>
      <c r="AN52" s="2" t="str">
        <f t="shared" si="24"/>
        <v/>
      </c>
      <c r="AP52" s="2" t="str" cm="1">
        <f t="array" ref="AP52">IF('NILAI CPL'!$B52&lt;&gt;"",IFERROR(_xlfn.IFS(S52&gt;='NILAI CPL'!$B$3,4,S52&gt;='NILAI CPL'!$B$4,3,S52&gt;='NILAI CPL'!$B$5,2,S52&gt;'NILAI CPL'!$B$6,1),0),"")</f>
        <v/>
      </c>
      <c r="AQ52" s="2" t="str" cm="1">
        <f t="array" ref="AQ52">IF('NILAI CPL'!$B52&lt;&gt;"",IFERROR(_xlfn.IFS(T52&gt;='NILAI CPL'!$B$3,4,T52&gt;='NILAI CPL'!$B$4,3,T52&gt;='NILAI CPL'!$B$5,2,T52&gt;'NILAI CPL'!$B$6,1),0),"")</f>
        <v/>
      </c>
      <c r="AR52" s="2" t="str" cm="1">
        <f t="array" ref="AR52">IF('NILAI CPL'!$B52&lt;&gt;"",IFERROR(_xlfn.IFS(U52&gt;='NILAI CPL'!$B$3,4,U52&gt;='NILAI CPL'!$B$4,3,U52&gt;='NILAI CPL'!$B$5,2,U52&gt;'NILAI CPL'!$B$6,1),0),"")</f>
        <v/>
      </c>
      <c r="AS52" s="2" t="str" cm="1">
        <f t="array" ref="AS52">IF('NILAI CPL'!$B52&lt;&gt;"",IFERROR(_xlfn.IFS(V52&gt;='NILAI CPL'!$B$3,4,V52&gt;='NILAI CPL'!$B$4,3,V52&gt;='NILAI CPL'!$B$5,2,V52&gt;'NILAI CPL'!$B$6,1),0),"")</f>
        <v/>
      </c>
      <c r="AT52" s="2" t="str" cm="1">
        <f t="array" ref="AT52">IF('NILAI CPL'!$B52&lt;&gt;"",IFERROR(_xlfn.IFS(W52&gt;='NILAI CPL'!$B$3,4,W52&gt;='NILAI CPL'!$B$4,3,W52&gt;='NILAI CPL'!$B$5,2,W52&gt;'NILAI CPL'!$B$6,1),0),"")</f>
        <v/>
      </c>
      <c r="AU52" s="2" t="str" cm="1">
        <f t="array" ref="AU52">IF('NILAI CPL'!$B52&lt;&gt;"",IFERROR(_xlfn.IFS(X52&gt;='NILAI CPL'!$B$3,4,X52&gt;='NILAI CPL'!$B$4,3,X52&gt;='NILAI CPL'!$B$5,2,X52&gt;'NILAI CPL'!$B$6,1),0),"")</f>
        <v/>
      </c>
      <c r="AV52" s="2" t="str" cm="1">
        <f t="array" ref="AV52">IF('NILAI CPL'!$B52&lt;&gt;"",IFERROR(_xlfn.IFS(Y52&gt;='NILAI CPL'!$B$3,4,Y52&gt;='NILAI CPL'!$B$4,3,Y52&gt;='NILAI CPL'!$B$5,2,Y52&gt;'NILAI CPL'!$B$6,1),0),"")</f>
        <v/>
      </c>
      <c r="AW52" s="2" t="str" cm="1">
        <f t="array" ref="AW52">IF('NILAI CPL'!$B52&lt;&gt;"",IFERROR(_xlfn.IFS(Z52&gt;='NILAI CPL'!$B$3,4,Z52&gt;='NILAI CPL'!$B$4,3,Z52&gt;='NILAI CPL'!$B$5,2,Z52&gt;'NILAI CPL'!$B$6,1),0),"")</f>
        <v/>
      </c>
      <c r="AX52" s="2" t="str" cm="1">
        <f t="array" ref="AX52">IF('NILAI CPL'!$B52&lt;&gt;"",IFERROR(_xlfn.IFS(AA52&gt;='NILAI CPL'!$B$3,4,AA52&gt;='NILAI CPL'!$B$4,3,AA52&gt;='NILAI CPL'!$B$5,2,AA52&gt;'NILAI CPL'!$B$6,1),0),"")</f>
        <v/>
      </c>
      <c r="AY52" s="2" t="str" cm="1">
        <f t="array" ref="AY52">IF('NILAI CPL'!$B52&lt;&gt;"",IFERROR(_xlfn.IFS(AB52&gt;='NILAI CPL'!$B$3,4,AB52&gt;='NILAI CPL'!$B$4,3,AB52&gt;='NILAI CPL'!$B$5,2,AB52&gt;'NILAI CPL'!$B$6,1),0),"")</f>
        <v/>
      </c>
      <c r="AZ52" s="2" t="str" cm="1">
        <f t="array" ref="AZ52">IF('NILAI CPL'!$B52&lt;&gt;"",IFERROR(_xlfn.IFS(AC52&gt;='NILAI CPL'!$B$3,4,AC52&gt;='NILAI CPL'!$B$4,3,AC52&gt;='NILAI CPL'!$B$5,2,AC52&gt;'NILAI CPL'!$B$6,1),0),"")</f>
        <v/>
      </c>
      <c r="BA52" s="2" t="str" cm="1">
        <f t="array" ref="BA52">IF('NILAI CPL'!$B52&lt;&gt;"",IFERROR(_xlfn.IFS(AD52&gt;='NILAI CPL'!$B$3,4,AD52&gt;='NILAI CPL'!$B$4,3,AD52&gt;='NILAI CPL'!$B$5,2,AD52&gt;'NILAI CPL'!$B$6,1),0),"")</f>
        <v/>
      </c>
      <c r="BB52" s="2" t="str" cm="1">
        <f t="array" ref="BB52">IF('NILAI CPL'!$B52&lt;&gt;"",IFERROR(_xlfn.IFS(AE52&gt;='NILAI CPL'!$B$3,4,AE52&gt;='NILAI CPL'!$B$4,3,AE52&gt;='NILAI CPL'!$B$5,2,AE52&gt;'NILAI CPL'!$B$6,1),0),"")</f>
        <v/>
      </c>
      <c r="BC52" s="2" t="str" cm="1">
        <f t="array" ref="BC52">IF('NILAI CPL'!$B52&lt;&gt;"",IFERROR(_xlfn.IFS(AF52&gt;='NILAI CPL'!$B$3,4,AF52&gt;='NILAI CPL'!$B$4,3,AF52&gt;='NILAI CPL'!$B$5,2,AF52&gt;'NILAI CPL'!$B$6,1),0),"")</f>
        <v/>
      </c>
      <c r="BD52" s="2" t="str" cm="1">
        <f t="array" ref="BD52">IF('NILAI CPL'!$B52&lt;&gt;"",IFERROR(_xlfn.IFS(AG52&gt;='NILAI CPL'!$B$3,4,AG52&gt;='NILAI CPL'!$B$4,3,AG52&gt;='NILAI CPL'!$B$5,2,AG52&gt;'NILAI CPL'!$B$6,1),0),"")</f>
        <v/>
      </c>
      <c r="BE52" s="2" t="str" cm="1">
        <f t="array" ref="BE52">IF('NILAI CPL'!$B52&lt;&gt;"",IFERROR(_xlfn.IFS(AH52&gt;='NILAI CPL'!$B$3,4,AH52&gt;='NILAI CPL'!$B$4,3,AH52&gt;='NILAI CPL'!$B$5,2,AH52&gt;'NILAI CPL'!$B$6,1),0),"")</f>
        <v/>
      </c>
      <c r="BF52" s="2" t="str" cm="1">
        <f t="array" ref="BF52">IF('NILAI CPL'!$B52&lt;&gt;"",IFERROR(_xlfn.IFS(AI52&gt;='NILAI CPL'!$B$3,4,AI52&gt;='NILAI CPL'!$B$4,3,AI52&gt;='NILAI CPL'!$B$5,2,AI52&gt;'NILAI CPL'!$B$6,1),0),"")</f>
        <v/>
      </c>
      <c r="BG52" s="2" t="str" cm="1">
        <f t="array" ref="BG52">IF('NILAI CPL'!$B52&lt;&gt;"",IFERROR(_xlfn.IFS(AJ52&gt;='NILAI CPL'!$B$3,4,AJ52&gt;='NILAI CPL'!$B$4,3,AJ52&gt;='NILAI CPL'!$B$5,2,AJ52&gt;'NILAI CPL'!$B$6,1),0),"")</f>
        <v/>
      </c>
      <c r="BH52" s="2" t="str" cm="1">
        <f t="array" ref="BH52">IF('NILAI CPL'!$B52&lt;&gt;"",IFERROR(_xlfn.IFS(AK52&gt;='NILAI CPL'!$B$3,4,AK52&gt;='NILAI CPL'!$B$4,3,AK52&gt;='NILAI CPL'!$B$5,2,AK52&gt;'NILAI CPL'!$B$6,1),0),"")</f>
        <v/>
      </c>
      <c r="BI52" s="2" t="str" cm="1">
        <f t="array" ref="BI52">IF('NILAI CPL'!$B52&lt;&gt;"",IFERROR(_xlfn.IFS(AL52&gt;='NILAI CPL'!$B$3,4,AL52&gt;='NILAI CPL'!$B$4,3,AL52&gt;='NILAI CPL'!$B$5,2,AL52&gt;'NILAI CPL'!$B$6,1),0),"")</f>
        <v/>
      </c>
      <c r="BJ52" s="2" t="str" cm="1">
        <f t="array" ref="BJ52">IF('NILAI CPL'!$B52&lt;&gt;"",IFERROR(_xlfn.IFS(AM52&gt;='NILAI CPL'!$B$3,4,AM52&gt;='NILAI CPL'!$B$4,3,AM52&gt;='NILAI CPL'!$B$5,2,AM52&gt;'NILAI CPL'!$B$6,1),0),"")</f>
        <v/>
      </c>
      <c r="BK52" s="2" t="str" cm="1">
        <f t="array" ref="BK52">IF('NILAI CPL'!$B52&lt;&gt;"",IFERROR(_xlfn.IFS(AN52&gt;='NILAI CPL'!$B$3,4,AN52&gt;='NILAI CPL'!$B$4,3,AN52&gt;='NILAI CPL'!$B$5,2,AN52&gt;'NILAI CPL'!$B$6,1),0),"")</f>
        <v/>
      </c>
    </row>
    <row r="53" spans="1:63" x14ac:dyDescent="0.2">
      <c r="A53" s="2">
        <v>43</v>
      </c>
      <c r="B53" s="2" t="str">
        <f>IF(LEN(SUMMARY!B53)&gt;0, SUMMARY!B53, "")</f>
        <v/>
      </c>
      <c r="C53" s="2" t="str">
        <f>IF(LEN(SUMMARY!C53)&gt;0, SUMMARY!C53, "")</f>
        <v/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" t="str">
        <f t="shared" si="2"/>
        <v/>
      </c>
      <c r="S53" s="2" t="str">
        <f t="shared" si="3"/>
        <v/>
      </c>
      <c r="T53" s="2" t="str">
        <f t="shared" si="4"/>
        <v/>
      </c>
      <c r="U53" s="2" t="str">
        <f t="shared" si="5"/>
        <v/>
      </c>
      <c r="V53" s="2" t="str">
        <f t="shared" si="6"/>
        <v/>
      </c>
      <c r="W53" s="2" t="str">
        <f t="shared" si="7"/>
        <v/>
      </c>
      <c r="X53" s="2" t="str">
        <f t="shared" si="8"/>
        <v/>
      </c>
      <c r="Y53" s="2" t="str">
        <f t="shared" si="9"/>
        <v/>
      </c>
      <c r="Z53" s="2" t="str">
        <f t="shared" si="10"/>
        <v/>
      </c>
      <c r="AA53" s="2" t="str">
        <f t="shared" si="11"/>
        <v/>
      </c>
      <c r="AB53" s="2" t="str">
        <f t="shared" si="12"/>
        <v/>
      </c>
      <c r="AC53" s="2" t="str">
        <f t="shared" si="13"/>
        <v/>
      </c>
      <c r="AD53" s="2" t="str">
        <f t="shared" si="14"/>
        <v/>
      </c>
      <c r="AE53" s="2" t="str">
        <f t="shared" si="15"/>
        <v/>
      </c>
      <c r="AF53" s="2" t="str">
        <f t="shared" si="16"/>
        <v/>
      </c>
      <c r="AG53" s="2" t="str">
        <f t="shared" si="17"/>
        <v/>
      </c>
      <c r="AH53" s="2" t="str">
        <f t="shared" si="18"/>
        <v/>
      </c>
      <c r="AI53" s="2" t="str">
        <f t="shared" si="19"/>
        <v/>
      </c>
      <c r="AJ53" s="2" t="str">
        <f t="shared" si="20"/>
        <v/>
      </c>
      <c r="AK53" s="2" t="str">
        <f t="shared" si="21"/>
        <v/>
      </c>
      <c r="AL53" s="2" t="str">
        <f t="shared" si="22"/>
        <v/>
      </c>
      <c r="AM53" s="2" t="str">
        <f t="shared" si="23"/>
        <v/>
      </c>
      <c r="AN53" s="2" t="str">
        <f t="shared" si="24"/>
        <v/>
      </c>
      <c r="AP53" s="2" t="str" cm="1">
        <f t="array" ref="AP53">IF('NILAI CPL'!$B53&lt;&gt;"",IFERROR(_xlfn.IFS(S53&gt;='NILAI CPL'!$B$3,4,S53&gt;='NILAI CPL'!$B$4,3,S53&gt;='NILAI CPL'!$B$5,2,S53&gt;'NILAI CPL'!$B$6,1),0),"")</f>
        <v/>
      </c>
      <c r="AQ53" s="2" t="str" cm="1">
        <f t="array" ref="AQ53">IF('NILAI CPL'!$B53&lt;&gt;"",IFERROR(_xlfn.IFS(T53&gt;='NILAI CPL'!$B$3,4,T53&gt;='NILAI CPL'!$B$4,3,T53&gt;='NILAI CPL'!$B$5,2,T53&gt;'NILAI CPL'!$B$6,1),0),"")</f>
        <v/>
      </c>
      <c r="AR53" s="2" t="str" cm="1">
        <f t="array" ref="AR53">IF('NILAI CPL'!$B53&lt;&gt;"",IFERROR(_xlfn.IFS(U53&gt;='NILAI CPL'!$B$3,4,U53&gt;='NILAI CPL'!$B$4,3,U53&gt;='NILAI CPL'!$B$5,2,U53&gt;'NILAI CPL'!$B$6,1),0),"")</f>
        <v/>
      </c>
      <c r="AS53" s="2" t="str" cm="1">
        <f t="array" ref="AS53">IF('NILAI CPL'!$B53&lt;&gt;"",IFERROR(_xlfn.IFS(V53&gt;='NILAI CPL'!$B$3,4,V53&gt;='NILAI CPL'!$B$4,3,V53&gt;='NILAI CPL'!$B$5,2,V53&gt;'NILAI CPL'!$B$6,1),0),"")</f>
        <v/>
      </c>
      <c r="AT53" s="2" t="str" cm="1">
        <f t="array" ref="AT53">IF('NILAI CPL'!$B53&lt;&gt;"",IFERROR(_xlfn.IFS(W53&gt;='NILAI CPL'!$B$3,4,W53&gt;='NILAI CPL'!$B$4,3,W53&gt;='NILAI CPL'!$B$5,2,W53&gt;'NILAI CPL'!$B$6,1),0),"")</f>
        <v/>
      </c>
      <c r="AU53" s="2" t="str" cm="1">
        <f t="array" ref="AU53">IF('NILAI CPL'!$B53&lt;&gt;"",IFERROR(_xlfn.IFS(X53&gt;='NILAI CPL'!$B$3,4,X53&gt;='NILAI CPL'!$B$4,3,X53&gt;='NILAI CPL'!$B$5,2,X53&gt;'NILAI CPL'!$B$6,1),0),"")</f>
        <v/>
      </c>
      <c r="AV53" s="2" t="str" cm="1">
        <f t="array" ref="AV53">IF('NILAI CPL'!$B53&lt;&gt;"",IFERROR(_xlfn.IFS(Y53&gt;='NILAI CPL'!$B$3,4,Y53&gt;='NILAI CPL'!$B$4,3,Y53&gt;='NILAI CPL'!$B$5,2,Y53&gt;'NILAI CPL'!$B$6,1),0),"")</f>
        <v/>
      </c>
      <c r="AW53" s="2" t="str" cm="1">
        <f t="array" ref="AW53">IF('NILAI CPL'!$B53&lt;&gt;"",IFERROR(_xlfn.IFS(Z53&gt;='NILAI CPL'!$B$3,4,Z53&gt;='NILAI CPL'!$B$4,3,Z53&gt;='NILAI CPL'!$B$5,2,Z53&gt;'NILAI CPL'!$B$6,1),0),"")</f>
        <v/>
      </c>
      <c r="AX53" s="2" t="str" cm="1">
        <f t="array" ref="AX53">IF('NILAI CPL'!$B53&lt;&gt;"",IFERROR(_xlfn.IFS(AA53&gt;='NILAI CPL'!$B$3,4,AA53&gt;='NILAI CPL'!$B$4,3,AA53&gt;='NILAI CPL'!$B$5,2,AA53&gt;'NILAI CPL'!$B$6,1),0),"")</f>
        <v/>
      </c>
      <c r="AY53" s="2" t="str" cm="1">
        <f t="array" ref="AY53">IF('NILAI CPL'!$B53&lt;&gt;"",IFERROR(_xlfn.IFS(AB53&gt;='NILAI CPL'!$B$3,4,AB53&gt;='NILAI CPL'!$B$4,3,AB53&gt;='NILAI CPL'!$B$5,2,AB53&gt;'NILAI CPL'!$B$6,1),0),"")</f>
        <v/>
      </c>
      <c r="AZ53" s="2" t="str" cm="1">
        <f t="array" ref="AZ53">IF('NILAI CPL'!$B53&lt;&gt;"",IFERROR(_xlfn.IFS(AC53&gt;='NILAI CPL'!$B$3,4,AC53&gt;='NILAI CPL'!$B$4,3,AC53&gt;='NILAI CPL'!$B$5,2,AC53&gt;'NILAI CPL'!$B$6,1),0),"")</f>
        <v/>
      </c>
      <c r="BA53" s="2" t="str" cm="1">
        <f t="array" ref="BA53">IF('NILAI CPL'!$B53&lt;&gt;"",IFERROR(_xlfn.IFS(AD53&gt;='NILAI CPL'!$B$3,4,AD53&gt;='NILAI CPL'!$B$4,3,AD53&gt;='NILAI CPL'!$B$5,2,AD53&gt;'NILAI CPL'!$B$6,1),0),"")</f>
        <v/>
      </c>
      <c r="BB53" s="2" t="str" cm="1">
        <f t="array" ref="BB53">IF('NILAI CPL'!$B53&lt;&gt;"",IFERROR(_xlfn.IFS(AE53&gt;='NILAI CPL'!$B$3,4,AE53&gt;='NILAI CPL'!$B$4,3,AE53&gt;='NILAI CPL'!$B$5,2,AE53&gt;'NILAI CPL'!$B$6,1),0),"")</f>
        <v/>
      </c>
      <c r="BC53" s="2" t="str" cm="1">
        <f t="array" ref="BC53">IF('NILAI CPL'!$B53&lt;&gt;"",IFERROR(_xlfn.IFS(AF53&gt;='NILAI CPL'!$B$3,4,AF53&gt;='NILAI CPL'!$B$4,3,AF53&gt;='NILAI CPL'!$B$5,2,AF53&gt;'NILAI CPL'!$B$6,1),0),"")</f>
        <v/>
      </c>
      <c r="BD53" s="2" t="str" cm="1">
        <f t="array" ref="BD53">IF('NILAI CPL'!$B53&lt;&gt;"",IFERROR(_xlfn.IFS(AG53&gt;='NILAI CPL'!$B$3,4,AG53&gt;='NILAI CPL'!$B$4,3,AG53&gt;='NILAI CPL'!$B$5,2,AG53&gt;'NILAI CPL'!$B$6,1),0),"")</f>
        <v/>
      </c>
      <c r="BE53" s="2" t="str" cm="1">
        <f t="array" ref="BE53">IF('NILAI CPL'!$B53&lt;&gt;"",IFERROR(_xlfn.IFS(AH53&gt;='NILAI CPL'!$B$3,4,AH53&gt;='NILAI CPL'!$B$4,3,AH53&gt;='NILAI CPL'!$B$5,2,AH53&gt;'NILAI CPL'!$B$6,1),0),"")</f>
        <v/>
      </c>
      <c r="BF53" s="2" t="str" cm="1">
        <f t="array" ref="BF53">IF('NILAI CPL'!$B53&lt;&gt;"",IFERROR(_xlfn.IFS(AI53&gt;='NILAI CPL'!$B$3,4,AI53&gt;='NILAI CPL'!$B$4,3,AI53&gt;='NILAI CPL'!$B$5,2,AI53&gt;'NILAI CPL'!$B$6,1),0),"")</f>
        <v/>
      </c>
      <c r="BG53" s="2" t="str" cm="1">
        <f t="array" ref="BG53">IF('NILAI CPL'!$B53&lt;&gt;"",IFERROR(_xlfn.IFS(AJ53&gt;='NILAI CPL'!$B$3,4,AJ53&gt;='NILAI CPL'!$B$4,3,AJ53&gt;='NILAI CPL'!$B$5,2,AJ53&gt;'NILAI CPL'!$B$6,1),0),"")</f>
        <v/>
      </c>
      <c r="BH53" s="2" t="str" cm="1">
        <f t="array" ref="BH53">IF('NILAI CPL'!$B53&lt;&gt;"",IFERROR(_xlfn.IFS(AK53&gt;='NILAI CPL'!$B$3,4,AK53&gt;='NILAI CPL'!$B$4,3,AK53&gt;='NILAI CPL'!$B$5,2,AK53&gt;'NILAI CPL'!$B$6,1),0),"")</f>
        <v/>
      </c>
      <c r="BI53" s="2" t="str" cm="1">
        <f t="array" ref="BI53">IF('NILAI CPL'!$B53&lt;&gt;"",IFERROR(_xlfn.IFS(AL53&gt;='NILAI CPL'!$B$3,4,AL53&gt;='NILAI CPL'!$B$4,3,AL53&gt;='NILAI CPL'!$B$5,2,AL53&gt;'NILAI CPL'!$B$6,1),0),"")</f>
        <v/>
      </c>
      <c r="BJ53" s="2" t="str" cm="1">
        <f t="array" ref="BJ53">IF('NILAI CPL'!$B53&lt;&gt;"",IFERROR(_xlfn.IFS(AM53&gt;='NILAI CPL'!$B$3,4,AM53&gt;='NILAI CPL'!$B$4,3,AM53&gt;='NILAI CPL'!$B$5,2,AM53&gt;'NILAI CPL'!$B$6,1),0),"")</f>
        <v/>
      </c>
      <c r="BK53" s="2" t="str" cm="1">
        <f t="array" ref="BK53">IF('NILAI CPL'!$B53&lt;&gt;"",IFERROR(_xlfn.IFS(AN53&gt;='NILAI CPL'!$B$3,4,AN53&gt;='NILAI CPL'!$B$4,3,AN53&gt;='NILAI CPL'!$B$5,2,AN53&gt;'NILAI CPL'!$B$6,1),0),"")</f>
        <v/>
      </c>
    </row>
    <row r="54" spans="1:63" x14ac:dyDescent="0.2">
      <c r="A54" s="2">
        <v>44</v>
      </c>
      <c r="B54" s="2" t="str">
        <f>IF(LEN(SUMMARY!B54)&gt;0, SUMMARY!B54, "")</f>
        <v/>
      </c>
      <c r="C54" s="2" t="str">
        <f>IF(LEN(SUMMARY!C54)&gt;0, SUMMARY!C54, "")</f>
        <v/>
      </c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" t="str">
        <f t="shared" si="2"/>
        <v/>
      </c>
      <c r="S54" s="2" t="str">
        <f t="shared" si="3"/>
        <v/>
      </c>
      <c r="T54" s="2" t="str">
        <f t="shared" si="4"/>
        <v/>
      </c>
      <c r="U54" s="2" t="str">
        <f t="shared" si="5"/>
        <v/>
      </c>
      <c r="V54" s="2" t="str">
        <f t="shared" si="6"/>
        <v/>
      </c>
      <c r="W54" s="2" t="str">
        <f t="shared" si="7"/>
        <v/>
      </c>
      <c r="X54" s="2" t="str">
        <f t="shared" si="8"/>
        <v/>
      </c>
      <c r="Y54" s="2" t="str">
        <f t="shared" si="9"/>
        <v/>
      </c>
      <c r="Z54" s="2" t="str">
        <f t="shared" si="10"/>
        <v/>
      </c>
      <c r="AA54" s="2" t="str">
        <f t="shared" si="11"/>
        <v/>
      </c>
      <c r="AB54" s="2" t="str">
        <f t="shared" si="12"/>
        <v/>
      </c>
      <c r="AC54" s="2" t="str">
        <f t="shared" si="13"/>
        <v/>
      </c>
      <c r="AD54" s="2" t="str">
        <f t="shared" si="14"/>
        <v/>
      </c>
      <c r="AE54" s="2" t="str">
        <f t="shared" si="15"/>
        <v/>
      </c>
      <c r="AF54" s="2" t="str">
        <f t="shared" si="16"/>
        <v/>
      </c>
      <c r="AG54" s="2" t="str">
        <f t="shared" si="17"/>
        <v/>
      </c>
      <c r="AH54" s="2" t="str">
        <f t="shared" si="18"/>
        <v/>
      </c>
      <c r="AI54" s="2" t="str">
        <f t="shared" si="19"/>
        <v/>
      </c>
      <c r="AJ54" s="2" t="str">
        <f t="shared" si="20"/>
        <v/>
      </c>
      <c r="AK54" s="2" t="str">
        <f t="shared" si="21"/>
        <v/>
      </c>
      <c r="AL54" s="2" t="str">
        <f t="shared" si="22"/>
        <v/>
      </c>
      <c r="AM54" s="2" t="str">
        <f t="shared" si="23"/>
        <v/>
      </c>
      <c r="AN54" s="2" t="str">
        <f t="shared" si="24"/>
        <v/>
      </c>
      <c r="AP54" s="2" t="str" cm="1">
        <f t="array" ref="AP54">IF('NILAI CPL'!$B54&lt;&gt;"",IFERROR(_xlfn.IFS(S54&gt;='NILAI CPL'!$B$3,4,S54&gt;='NILAI CPL'!$B$4,3,S54&gt;='NILAI CPL'!$B$5,2,S54&gt;'NILAI CPL'!$B$6,1),0),"")</f>
        <v/>
      </c>
      <c r="AQ54" s="2" t="str" cm="1">
        <f t="array" ref="AQ54">IF('NILAI CPL'!$B54&lt;&gt;"",IFERROR(_xlfn.IFS(T54&gt;='NILAI CPL'!$B$3,4,T54&gt;='NILAI CPL'!$B$4,3,T54&gt;='NILAI CPL'!$B$5,2,T54&gt;'NILAI CPL'!$B$6,1),0),"")</f>
        <v/>
      </c>
      <c r="AR54" s="2" t="str" cm="1">
        <f t="array" ref="AR54">IF('NILAI CPL'!$B54&lt;&gt;"",IFERROR(_xlfn.IFS(U54&gt;='NILAI CPL'!$B$3,4,U54&gt;='NILAI CPL'!$B$4,3,U54&gt;='NILAI CPL'!$B$5,2,U54&gt;'NILAI CPL'!$B$6,1),0),"")</f>
        <v/>
      </c>
      <c r="AS54" s="2" t="str" cm="1">
        <f t="array" ref="AS54">IF('NILAI CPL'!$B54&lt;&gt;"",IFERROR(_xlfn.IFS(V54&gt;='NILAI CPL'!$B$3,4,V54&gt;='NILAI CPL'!$B$4,3,V54&gt;='NILAI CPL'!$B$5,2,V54&gt;'NILAI CPL'!$B$6,1),0),"")</f>
        <v/>
      </c>
      <c r="AT54" s="2" t="str" cm="1">
        <f t="array" ref="AT54">IF('NILAI CPL'!$B54&lt;&gt;"",IFERROR(_xlfn.IFS(W54&gt;='NILAI CPL'!$B$3,4,W54&gt;='NILAI CPL'!$B$4,3,W54&gt;='NILAI CPL'!$B$5,2,W54&gt;'NILAI CPL'!$B$6,1),0),"")</f>
        <v/>
      </c>
      <c r="AU54" s="2" t="str" cm="1">
        <f t="array" ref="AU54">IF('NILAI CPL'!$B54&lt;&gt;"",IFERROR(_xlfn.IFS(X54&gt;='NILAI CPL'!$B$3,4,X54&gt;='NILAI CPL'!$B$4,3,X54&gt;='NILAI CPL'!$B$5,2,X54&gt;'NILAI CPL'!$B$6,1),0),"")</f>
        <v/>
      </c>
      <c r="AV54" s="2" t="str" cm="1">
        <f t="array" ref="AV54">IF('NILAI CPL'!$B54&lt;&gt;"",IFERROR(_xlfn.IFS(Y54&gt;='NILAI CPL'!$B$3,4,Y54&gt;='NILAI CPL'!$B$4,3,Y54&gt;='NILAI CPL'!$B$5,2,Y54&gt;'NILAI CPL'!$B$6,1),0),"")</f>
        <v/>
      </c>
      <c r="AW54" s="2" t="str" cm="1">
        <f t="array" ref="AW54">IF('NILAI CPL'!$B54&lt;&gt;"",IFERROR(_xlfn.IFS(Z54&gt;='NILAI CPL'!$B$3,4,Z54&gt;='NILAI CPL'!$B$4,3,Z54&gt;='NILAI CPL'!$B$5,2,Z54&gt;'NILAI CPL'!$B$6,1),0),"")</f>
        <v/>
      </c>
      <c r="AX54" s="2" t="str" cm="1">
        <f t="array" ref="AX54">IF('NILAI CPL'!$B54&lt;&gt;"",IFERROR(_xlfn.IFS(AA54&gt;='NILAI CPL'!$B$3,4,AA54&gt;='NILAI CPL'!$B$4,3,AA54&gt;='NILAI CPL'!$B$5,2,AA54&gt;'NILAI CPL'!$B$6,1),0),"")</f>
        <v/>
      </c>
      <c r="AY54" s="2" t="str" cm="1">
        <f t="array" ref="AY54">IF('NILAI CPL'!$B54&lt;&gt;"",IFERROR(_xlfn.IFS(AB54&gt;='NILAI CPL'!$B$3,4,AB54&gt;='NILAI CPL'!$B$4,3,AB54&gt;='NILAI CPL'!$B$5,2,AB54&gt;'NILAI CPL'!$B$6,1),0),"")</f>
        <v/>
      </c>
      <c r="AZ54" s="2" t="str" cm="1">
        <f t="array" ref="AZ54">IF('NILAI CPL'!$B54&lt;&gt;"",IFERROR(_xlfn.IFS(AC54&gt;='NILAI CPL'!$B$3,4,AC54&gt;='NILAI CPL'!$B$4,3,AC54&gt;='NILAI CPL'!$B$5,2,AC54&gt;'NILAI CPL'!$B$6,1),0),"")</f>
        <v/>
      </c>
      <c r="BA54" s="2" t="str" cm="1">
        <f t="array" ref="BA54">IF('NILAI CPL'!$B54&lt;&gt;"",IFERROR(_xlfn.IFS(AD54&gt;='NILAI CPL'!$B$3,4,AD54&gt;='NILAI CPL'!$B$4,3,AD54&gt;='NILAI CPL'!$B$5,2,AD54&gt;'NILAI CPL'!$B$6,1),0),"")</f>
        <v/>
      </c>
      <c r="BB54" s="2" t="str" cm="1">
        <f t="array" ref="BB54">IF('NILAI CPL'!$B54&lt;&gt;"",IFERROR(_xlfn.IFS(AE54&gt;='NILAI CPL'!$B$3,4,AE54&gt;='NILAI CPL'!$B$4,3,AE54&gt;='NILAI CPL'!$B$5,2,AE54&gt;'NILAI CPL'!$B$6,1),0),"")</f>
        <v/>
      </c>
      <c r="BC54" s="2" t="str" cm="1">
        <f t="array" ref="BC54">IF('NILAI CPL'!$B54&lt;&gt;"",IFERROR(_xlfn.IFS(AF54&gt;='NILAI CPL'!$B$3,4,AF54&gt;='NILAI CPL'!$B$4,3,AF54&gt;='NILAI CPL'!$B$5,2,AF54&gt;'NILAI CPL'!$B$6,1),0),"")</f>
        <v/>
      </c>
      <c r="BD54" s="2" t="str" cm="1">
        <f t="array" ref="BD54">IF('NILAI CPL'!$B54&lt;&gt;"",IFERROR(_xlfn.IFS(AG54&gt;='NILAI CPL'!$B$3,4,AG54&gt;='NILAI CPL'!$B$4,3,AG54&gt;='NILAI CPL'!$B$5,2,AG54&gt;'NILAI CPL'!$B$6,1),0),"")</f>
        <v/>
      </c>
      <c r="BE54" s="2" t="str" cm="1">
        <f t="array" ref="BE54">IF('NILAI CPL'!$B54&lt;&gt;"",IFERROR(_xlfn.IFS(AH54&gt;='NILAI CPL'!$B$3,4,AH54&gt;='NILAI CPL'!$B$4,3,AH54&gt;='NILAI CPL'!$B$5,2,AH54&gt;'NILAI CPL'!$B$6,1),0),"")</f>
        <v/>
      </c>
      <c r="BF54" s="2" t="str" cm="1">
        <f t="array" ref="BF54">IF('NILAI CPL'!$B54&lt;&gt;"",IFERROR(_xlfn.IFS(AI54&gt;='NILAI CPL'!$B$3,4,AI54&gt;='NILAI CPL'!$B$4,3,AI54&gt;='NILAI CPL'!$B$5,2,AI54&gt;'NILAI CPL'!$B$6,1),0),"")</f>
        <v/>
      </c>
      <c r="BG54" s="2" t="str" cm="1">
        <f t="array" ref="BG54">IF('NILAI CPL'!$B54&lt;&gt;"",IFERROR(_xlfn.IFS(AJ54&gt;='NILAI CPL'!$B$3,4,AJ54&gt;='NILAI CPL'!$B$4,3,AJ54&gt;='NILAI CPL'!$B$5,2,AJ54&gt;'NILAI CPL'!$B$6,1),0),"")</f>
        <v/>
      </c>
      <c r="BH54" s="2" t="str" cm="1">
        <f t="array" ref="BH54">IF('NILAI CPL'!$B54&lt;&gt;"",IFERROR(_xlfn.IFS(AK54&gt;='NILAI CPL'!$B$3,4,AK54&gt;='NILAI CPL'!$B$4,3,AK54&gt;='NILAI CPL'!$B$5,2,AK54&gt;'NILAI CPL'!$B$6,1),0),"")</f>
        <v/>
      </c>
      <c r="BI54" s="2" t="str" cm="1">
        <f t="array" ref="BI54">IF('NILAI CPL'!$B54&lt;&gt;"",IFERROR(_xlfn.IFS(AL54&gt;='NILAI CPL'!$B$3,4,AL54&gt;='NILAI CPL'!$B$4,3,AL54&gt;='NILAI CPL'!$B$5,2,AL54&gt;'NILAI CPL'!$B$6,1),0),"")</f>
        <v/>
      </c>
      <c r="BJ54" s="2" t="str" cm="1">
        <f t="array" ref="BJ54">IF('NILAI CPL'!$B54&lt;&gt;"",IFERROR(_xlfn.IFS(AM54&gt;='NILAI CPL'!$B$3,4,AM54&gt;='NILAI CPL'!$B$4,3,AM54&gt;='NILAI CPL'!$B$5,2,AM54&gt;'NILAI CPL'!$B$6,1),0),"")</f>
        <v/>
      </c>
      <c r="BK54" s="2" t="str" cm="1">
        <f t="array" ref="BK54">IF('NILAI CPL'!$B54&lt;&gt;"",IFERROR(_xlfn.IFS(AN54&gt;='NILAI CPL'!$B$3,4,AN54&gt;='NILAI CPL'!$B$4,3,AN54&gt;='NILAI CPL'!$B$5,2,AN54&gt;'NILAI CPL'!$B$6,1),0),"")</f>
        <v/>
      </c>
    </row>
    <row r="55" spans="1:63" x14ac:dyDescent="0.2">
      <c r="A55" s="2">
        <v>45</v>
      </c>
      <c r="B55" s="2" t="str">
        <f>IF(LEN(SUMMARY!B55)&gt;0, SUMMARY!B55, "")</f>
        <v/>
      </c>
      <c r="C55" s="2" t="str">
        <f>IF(LEN(SUMMARY!C55)&gt;0, SUMMARY!C55, "")</f>
        <v/>
      </c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" t="str">
        <f t="shared" si="2"/>
        <v/>
      </c>
      <c r="S55" s="2" t="str">
        <f t="shared" si="3"/>
        <v/>
      </c>
      <c r="T55" s="2" t="str">
        <f t="shared" si="4"/>
        <v/>
      </c>
      <c r="U55" s="2" t="str">
        <f t="shared" si="5"/>
        <v/>
      </c>
      <c r="V55" s="2" t="str">
        <f t="shared" si="6"/>
        <v/>
      </c>
      <c r="W55" s="2" t="str">
        <f t="shared" si="7"/>
        <v/>
      </c>
      <c r="X55" s="2" t="str">
        <f t="shared" si="8"/>
        <v/>
      </c>
      <c r="Y55" s="2" t="str">
        <f t="shared" si="9"/>
        <v/>
      </c>
      <c r="Z55" s="2" t="str">
        <f t="shared" si="10"/>
        <v/>
      </c>
      <c r="AA55" s="2" t="str">
        <f t="shared" si="11"/>
        <v/>
      </c>
      <c r="AB55" s="2" t="str">
        <f t="shared" si="12"/>
        <v/>
      </c>
      <c r="AC55" s="2" t="str">
        <f t="shared" si="13"/>
        <v/>
      </c>
      <c r="AD55" s="2" t="str">
        <f t="shared" si="14"/>
        <v/>
      </c>
      <c r="AE55" s="2" t="str">
        <f t="shared" si="15"/>
        <v/>
      </c>
      <c r="AF55" s="2" t="str">
        <f t="shared" si="16"/>
        <v/>
      </c>
      <c r="AG55" s="2" t="str">
        <f t="shared" si="17"/>
        <v/>
      </c>
      <c r="AH55" s="2" t="str">
        <f t="shared" si="18"/>
        <v/>
      </c>
      <c r="AI55" s="2" t="str">
        <f t="shared" si="19"/>
        <v/>
      </c>
      <c r="AJ55" s="2" t="str">
        <f t="shared" si="20"/>
        <v/>
      </c>
      <c r="AK55" s="2" t="str">
        <f t="shared" si="21"/>
        <v/>
      </c>
      <c r="AL55" s="2" t="str">
        <f t="shared" si="22"/>
        <v/>
      </c>
      <c r="AM55" s="2" t="str">
        <f t="shared" si="23"/>
        <v/>
      </c>
      <c r="AN55" s="2" t="str">
        <f t="shared" si="24"/>
        <v/>
      </c>
      <c r="AP55" s="2" t="str" cm="1">
        <f t="array" ref="AP55">IF('NILAI CPL'!$B55&lt;&gt;"",IFERROR(_xlfn.IFS(S55&gt;='NILAI CPL'!$B$3,4,S55&gt;='NILAI CPL'!$B$4,3,S55&gt;='NILAI CPL'!$B$5,2,S55&gt;'NILAI CPL'!$B$6,1),0),"")</f>
        <v/>
      </c>
      <c r="AQ55" s="2" t="str" cm="1">
        <f t="array" ref="AQ55">IF('NILAI CPL'!$B55&lt;&gt;"",IFERROR(_xlfn.IFS(T55&gt;='NILAI CPL'!$B$3,4,T55&gt;='NILAI CPL'!$B$4,3,T55&gt;='NILAI CPL'!$B$5,2,T55&gt;'NILAI CPL'!$B$6,1),0),"")</f>
        <v/>
      </c>
      <c r="AR55" s="2" t="str" cm="1">
        <f t="array" ref="AR55">IF('NILAI CPL'!$B55&lt;&gt;"",IFERROR(_xlfn.IFS(U55&gt;='NILAI CPL'!$B$3,4,U55&gt;='NILAI CPL'!$B$4,3,U55&gt;='NILAI CPL'!$B$5,2,U55&gt;'NILAI CPL'!$B$6,1),0),"")</f>
        <v/>
      </c>
      <c r="AS55" s="2" t="str" cm="1">
        <f t="array" ref="AS55">IF('NILAI CPL'!$B55&lt;&gt;"",IFERROR(_xlfn.IFS(V55&gt;='NILAI CPL'!$B$3,4,V55&gt;='NILAI CPL'!$B$4,3,V55&gt;='NILAI CPL'!$B$5,2,V55&gt;'NILAI CPL'!$B$6,1),0),"")</f>
        <v/>
      </c>
      <c r="AT55" s="2" t="str" cm="1">
        <f t="array" ref="AT55">IF('NILAI CPL'!$B55&lt;&gt;"",IFERROR(_xlfn.IFS(W55&gt;='NILAI CPL'!$B$3,4,W55&gt;='NILAI CPL'!$B$4,3,W55&gt;='NILAI CPL'!$B$5,2,W55&gt;'NILAI CPL'!$B$6,1),0),"")</f>
        <v/>
      </c>
      <c r="AU55" s="2" t="str" cm="1">
        <f t="array" ref="AU55">IF('NILAI CPL'!$B55&lt;&gt;"",IFERROR(_xlfn.IFS(X55&gt;='NILAI CPL'!$B$3,4,X55&gt;='NILAI CPL'!$B$4,3,X55&gt;='NILAI CPL'!$B$5,2,X55&gt;'NILAI CPL'!$B$6,1),0),"")</f>
        <v/>
      </c>
      <c r="AV55" s="2" t="str" cm="1">
        <f t="array" ref="AV55">IF('NILAI CPL'!$B55&lt;&gt;"",IFERROR(_xlfn.IFS(Y55&gt;='NILAI CPL'!$B$3,4,Y55&gt;='NILAI CPL'!$B$4,3,Y55&gt;='NILAI CPL'!$B$5,2,Y55&gt;'NILAI CPL'!$B$6,1),0),"")</f>
        <v/>
      </c>
      <c r="AW55" s="2" t="str" cm="1">
        <f t="array" ref="AW55">IF('NILAI CPL'!$B55&lt;&gt;"",IFERROR(_xlfn.IFS(Z55&gt;='NILAI CPL'!$B$3,4,Z55&gt;='NILAI CPL'!$B$4,3,Z55&gt;='NILAI CPL'!$B$5,2,Z55&gt;'NILAI CPL'!$B$6,1),0),"")</f>
        <v/>
      </c>
      <c r="AX55" s="2" t="str" cm="1">
        <f t="array" ref="AX55">IF('NILAI CPL'!$B55&lt;&gt;"",IFERROR(_xlfn.IFS(AA55&gt;='NILAI CPL'!$B$3,4,AA55&gt;='NILAI CPL'!$B$4,3,AA55&gt;='NILAI CPL'!$B$5,2,AA55&gt;'NILAI CPL'!$B$6,1),0),"")</f>
        <v/>
      </c>
      <c r="AY55" s="2" t="str" cm="1">
        <f t="array" ref="AY55">IF('NILAI CPL'!$B55&lt;&gt;"",IFERROR(_xlfn.IFS(AB55&gt;='NILAI CPL'!$B$3,4,AB55&gt;='NILAI CPL'!$B$4,3,AB55&gt;='NILAI CPL'!$B$5,2,AB55&gt;'NILAI CPL'!$B$6,1),0),"")</f>
        <v/>
      </c>
      <c r="AZ55" s="2" t="str" cm="1">
        <f t="array" ref="AZ55">IF('NILAI CPL'!$B55&lt;&gt;"",IFERROR(_xlfn.IFS(AC55&gt;='NILAI CPL'!$B$3,4,AC55&gt;='NILAI CPL'!$B$4,3,AC55&gt;='NILAI CPL'!$B$5,2,AC55&gt;'NILAI CPL'!$B$6,1),0),"")</f>
        <v/>
      </c>
      <c r="BA55" s="2" t="str" cm="1">
        <f t="array" ref="BA55">IF('NILAI CPL'!$B55&lt;&gt;"",IFERROR(_xlfn.IFS(AD55&gt;='NILAI CPL'!$B$3,4,AD55&gt;='NILAI CPL'!$B$4,3,AD55&gt;='NILAI CPL'!$B$5,2,AD55&gt;'NILAI CPL'!$B$6,1),0),"")</f>
        <v/>
      </c>
      <c r="BB55" s="2" t="str" cm="1">
        <f t="array" ref="BB55">IF('NILAI CPL'!$B55&lt;&gt;"",IFERROR(_xlfn.IFS(AE55&gt;='NILAI CPL'!$B$3,4,AE55&gt;='NILAI CPL'!$B$4,3,AE55&gt;='NILAI CPL'!$B$5,2,AE55&gt;'NILAI CPL'!$B$6,1),0),"")</f>
        <v/>
      </c>
      <c r="BC55" s="2" t="str" cm="1">
        <f t="array" ref="BC55">IF('NILAI CPL'!$B55&lt;&gt;"",IFERROR(_xlfn.IFS(AF55&gt;='NILAI CPL'!$B$3,4,AF55&gt;='NILAI CPL'!$B$4,3,AF55&gt;='NILAI CPL'!$B$5,2,AF55&gt;'NILAI CPL'!$B$6,1),0),"")</f>
        <v/>
      </c>
      <c r="BD55" s="2" t="str" cm="1">
        <f t="array" ref="BD55">IF('NILAI CPL'!$B55&lt;&gt;"",IFERROR(_xlfn.IFS(AG55&gt;='NILAI CPL'!$B$3,4,AG55&gt;='NILAI CPL'!$B$4,3,AG55&gt;='NILAI CPL'!$B$5,2,AG55&gt;'NILAI CPL'!$B$6,1),0),"")</f>
        <v/>
      </c>
      <c r="BE55" s="2" t="str" cm="1">
        <f t="array" ref="BE55">IF('NILAI CPL'!$B55&lt;&gt;"",IFERROR(_xlfn.IFS(AH55&gt;='NILAI CPL'!$B$3,4,AH55&gt;='NILAI CPL'!$B$4,3,AH55&gt;='NILAI CPL'!$B$5,2,AH55&gt;'NILAI CPL'!$B$6,1),0),"")</f>
        <v/>
      </c>
      <c r="BF55" s="2" t="str" cm="1">
        <f t="array" ref="BF55">IF('NILAI CPL'!$B55&lt;&gt;"",IFERROR(_xlfn.IFS(AI55&gt;='NILAI CPL'!$B$3,4,AI55&gt;='NILAI CPL'!$B$4,3,AI55&gt;='NILAI CPL'!$B$5,2,AI55&gt;'NILAI CPL'!$B$6,1),0),"")</f>
        <v/>
      </c>
      <c r="BG55" s="2" t="str" cm="1">
        <f t="array" ref="BG55">IF('NILAI CPL'!$B55&lt;&gt;"",IFERROR(_xlfn.IFS(AJ55&gt;='NILAI CPL'!$B$3,4,AJ55&gt;='NILAI CPL'!$B$4,3,AJ55&gt;='NILAI CPL'!$B$5,2,AJ55&gt;'NILAI CPL'!$B$6,1),0),"")</f>
        <v/>
      </c>
      <c r="BH55" s="2" t="str" cm="1">
        <f t="array" ref="BH55">IF('NILAI CPL'!$B55&lt;&gt;"",IFERROR(_xlfn.IFS(AK55&gt;='NILAI CPL'!$B$3,4,AK55&gt;='NILAI CPL'!$B$4,3,AK55&gt;='NILAI CPL'!$B$5,2,AK55&gt;'NILAI CPL'!$B$6,1),0),"")</f>
        <v/>
      </c>
      <c r="BI55" s="2" t="str" cm="1">
        <f t="array" ref="BI55">IF('NILAI CPL'!$B55&lt;&gt;"",IFERROR(_xlfn.IFS(AL55&gt;='NILAI CPL'!$B$3,4,AL55&gt;='NILAI CPL'!$B$4,3,AL55&gt;='NILAI CPL'!$B$5,2,AL55&gt;'NILAI CPL'!$B$6,1),0),"")</f>
        <v/>
      </c>
      <c r="BJ55" s="2" t="str" cm="1">
        <f t="array" ref="BJ55">IF('NILAI CPL'!$B55&lt;&gt;"",IFERROR(_xlfn.IFS(AM55&gt;='NILAI CPL'!$B$3,4,AM55&gt;='NILAI CPL'!$B$4,3,AM55&gt;='NILAI CPL'!$B$5,2,AM55&gt;'NILAI CPL'!$B$6,1),0),"")</f>
        <v/>
      </c>
      <c r="BK55" s="2" t="str" cm="1">
        <f t="array" ref="BK55">IF('NILAI CPL'!$B55&lt;&gt;"",IFERROR(_xlfn.IFS(AN55&gt;='NILAI CPL'!$B$3,4,AN55&gt;='NILAI CPL'!$B$4,3,AN55&gt;='NILAI CPL'!$B$5,2,AN55&gt;'NILAI CPL'!$B$6,1),0),"")</f>
        <v/>
      </c>
    </row>
    <row r="56" spans="1:63" x14ac:dyDescent="0.2">
      <c r="A56" s="2">
        <v>46</v>
      </c>
      <c r="B56" s="2" t="str">
        <f>IF(LEN(SUMMARY!B56)&gt;0, SUMMARY!B56, "")</f>
        <v/>
      </c>
      <c r="C56" s="2" t="str">
        <f>IF(LEN(SUMMARY!C56)&gt;0, SUMMARY!C56, "")</f>
        <v/>
      </c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" t="str">
        <f t="shared" si="2"/>
        <v/>
      </c>
      <c r="S56" s="2" t="str">
        <f t="shared" si="3"/>
        <v/>
      </c>
      <c r="T56" s="2" t="str">
        <f t="shared" si="4"/>
        <v/>
      </c>
      <c r="U56" s="2" t="str">
        <f t="shared" si="5"/>
        <v/>
      </c>
      <c r="V56" s="2" t="str">
        <f t="shared" si="6"/>
        <v/>
      </c>
      <c r="W56" s="2" t="str">
        <f t="shared" si="7"/>
        <v/>
      </c>
      <c r="X56" s="2" t="str">
        <f t="shared" si="8"/>
        <v/>
      </c>
      <c r="Y56" s="2" t="str">
        <f t="shared" si="9"/>
        <v/>
      </c>
      <c r="Z56" s="2" t="str">
        <f t="shared" si="10"/>
        <v/>
      </c>
      <c r="AA56" s="2" t="str">
        <f t="shared" si="11"/>
        <v/>
      </c>
      <c r="AB56" s="2" t="str">
        <f t="shared" si="12"/>
        <v/>
      </c>
      <c r="AC56" s="2" t="str">
        <f t="shared" si="13"/>
        <v/>
      </c>
      <c r="AD56" s="2" t="str">
        <f t="shared" si="14"/>
        <v/>
      </c>
      <c r="AE56" s="2" t="str">
        <f t="shared" si="15"/>
        <v/>
      </c>
      <c r="AF56" s="2" t="str">
        <f t="shared" si="16"/>
        <v/>
      </c>
      <c r="AG56" s="2" t="str">
        <f t="shared" si="17"/>
        <v/>
      </c>
      <c r="AH56" s="2" t="str">
        <f t="shared" si="18"/>
        <v/>
      </c>
      <c r="AI56" s="2" t="str">
        <f t="shared" si="19"/>
        <v/>
      </c>
      <c r="AJ56" s="2" t="str">
        <f t="shared" si="20"/>
        <v/>
      </c>
      <c r="AK56" s="2" t="str">
        <f t="shared" si="21"/>
        <v/>
      </c>
      <c r="AL56" s="2" t="str">
        <f t="shared" si="22"/>
        <v/>
      </c>
      <c r="AM56" s="2" t="str">
        <f t="shared" si="23"/>
        <v/>
      </c>
      <c r="AN56" s="2" t="str">
        <f t="shared" si="24"/>
        <v/>
      </c>
      <c r="AP56" s="2" t="str" cm="1">
        <f t="array" ref="AP56">IF('NILAI CPL'!$B56&lt;&gt;"",IFERROR(_xlfn.IFS(S56&gt;='NILAI CPL'!$B$3,4,S56&gt;='NILAI CPL'!$B$4,3,S56&gt;='NILAI CPL'!$B$5,2,S56&gt;'NILAI CPL'!$B$6,1),0),"")</f>
        <v/>
      </c>
      <c r="AQ56" s="2" t="str" cm="1">
        <f t="array" ref="AQ56">IF('NILAI CPL'!$B56&lt;&gt;"",IFERROR(_xlfn.IFS(T56&gt;='NILAI CPL'!$B$3,4,T56&gt;='NILAI CPL'!$B$4,3,T56&gt;='NILAI CPL'!$B$5,2,T56&gt;'NILAI CPL'!$B$6,1),0),"")</f>
        <v/>
      </c>
      <c r="AR56" s="2" t="str" cm="1">
        <f t="array" ref="AR56">IF('NILAI CPL'!$B56&lt;&gt;"",IFERROR(_xlfn.IFS(U56&gt;='NILAI CPL'!$B$3,4,U56&gt;='NILAI CPL'!$B$4,3,U56&gt;='NILAI CPL'!$B$5,2,U56&gt;'NILAI CPL'!$B$6,1),0),"")</f>
        <v/>
      </c>
      <c r="AS56" s="2" t="str" cm="1">
        <f t="array" ref="AS56">IF('NILAI CPL'!$B56&lt;&gt;"",IFERROR(_xlfn.IFS(V56&gt;='NILAI CPL'!$B$3,4,V56&gt;='NILAI CPL'!$B$4,3,V56&gt;='NILAI CPL'!$B$5,2,V56&gt;'NILAI CPL'!$B$6,1),0),"")</f>
        <v/>
      </c>
      <c r="AT56" s="2" t="str" cm="1">
        <f t="array" ref="AT56">IF('NILAI CPL'!$B56&lt;&gt;"",IFERROR(_xlfn.IFS(W56&gt;='NILAI CPL'!$B$3,4,W56&gt;='NILAI CPL'!$B$4,3,W56&gt;='NILAI CPL'!$B$5,2,W56&gt;'NILAI CPL'!$B$6,1),0),"")</f>
        <v/>
      </c>
      <c r="AU56" s="2" t="str" cm="1">
        <f t="array" ref="AU56">IF('NILAI CPL'!$B56&lt;&gt;"",IFERROR(_xlfn.IFS(X56&gt;='NILAI CPL'!$B$3,4,X56&gt;='NILAI CPL'!$B$4,3,X56&gt;='NILAI CPL'!$B$5,2,X56&gt;'NILAI CPL'!$B$6,1),0),"")</f>
        <v/>
      </c>
      <c r="AV56" s="2" t="str" cm="1">
        <f t="array" ref="AV56">IF('NILAI CPL'!$B56&lt;&gt;"",IFERROR(_xlfn.IFS(Y56&gt;='NILAI CPL'!$B$3,4,Y56&gt;='NILAI CPL'!$B$4,3,Y56&gt;='NILAI CPL'!$B$5,2,Y56&gt;'NILAI CPL'!$B$6,1),0),"")</f>
        <v/>
      </c>
      <c r="AW56" s="2" t="str" cm="1">
        <f t="array" ref="AW56">IF('NILAI CPL'!$B56&lt;&gt;"",IFERROR(_xlfn.IFS(Z56&gt;='NILAI CPL'!$B$3,4,Z56&gt;='NILAI CPL'!$B$4,3,Z56&gt;='NILAI CPL'!$B$5,2,Z56&gt;'NILAI CPL'!$B$6,1),0),"")</f>
        <v/>
      </c>
      <c r="AX56" s="2" t="str" cm="1">
        <f t="array" ref="AX56">IF('NILAI CPL'!$B56&lt;&gt;"",IFERROR(_xlfn.IFS(AA56&gt;='NILAI CPL'!$B$3,4,AA56&gt;='NILAI CPL'!$B$4,3,AA56&gt;='NILAI CPL'!$B$5,2,AA56&gt;'NILAI CPL'!$B$6,1),0),"")</f>
        <v/>
      </c>
      <c r="AY56" s="2" t="str" cm="1">
        <f t="array" ref="AY56">IF('NILAI CPL'!$B56&lt;&gt;"",IFERROR(_xlfn.IFS(AB56&gt;='NILAI CPL'!$B$3,4,AB56&gt;='NILAI CPL'!$B$4,3,AB56&gt;='NILAI CPL'!$B$5,2,AB56&gt;'NILAI CPL'!$B$6,1),0),"")</f>
        <v/>
      </c>
      <c r="AZ56" s="2" t="str" cm="1">
        <f t="array" ref="AZ56">IF('NILAI CPL'!$B56&lt;&gt;"",IFERROR(_xlfn.IFS(AC56&gt;='NILAI CPL'!$B$3,4,AC56&gt;='NILAI CPL'!$B$4,3,AC56&gt;='NILAI CPL'!$B$5,2,AC56&gt;'NILAI CPL'!$B$6,1),0),"")</f>
        <v/>
      </c>
      <c r="BA56" s="2" t="str" cm="1">
        <f t="array" ref="BA56">IF('NILAI CPL'!$B56&lt;&gt;"",IFERROR(_xlfn.IFS(AD56&gt;='NILAI CPL'!$B$3,4,AD56&gt;='NILAI CPL'!$B$4,3,AD56&gt;='NILAI CPL'!$B$5,2,AD56&gt;'NILAI CPL'!$B$6,1),0),"")</f>
        <v/>
      </c>
      <c r="BB56" s="2" t="str" cm="1">
        <f t="array" ref="BB56">IF('NILAI CPL'!$B56&lt;&gt;"",IFERROR(_xlfn.IFS(AE56&gt;='NILAI CPL'!$B$3,4,AE56&gt;='NILAI CPL'!$B$4,3,AE56&gt;='NILAI CPL'!$B$5,2,AE56&gt;'NILAI CPL'!$B$6,1),0),"")</f>
        <v/>
      </c>
      <c r="BC56" s="2" t="str" cm="1">
        <f t="array" ref="BC56">IF('NILAI CPL'!$B56&lt;&gt;"",IFERROR(_xlfn.IFS(AF56&gt;='NILAI CPL'!$B$3,4,AF56&gt;='NILAI CPL'!$B$4,3,AF56&gt;='NILAI CPL'!$B$5,2,AF56&gt;'NILAI CPL'!$B$6,1),0),"")</f>
        <v/>
      </c>
      <c r="BD56" s="2" t="str" cm="1">
        <f t="array" ref="BD56">IF('NILAI CPL'!$B56&lt;&gt;"",IFERROR(_xlfn.IFS(AG56&gt;='NILAI CPL'!$B$3,4,AG56&gt;='NILAI CPL'!$B$4,3,AG56&gt;='NILAI CPL'!$B$5,2,AG56&gt;'NILAI CPL'!$B$6,1),0),"")</f>
        <v/>
      </c>
      <c r="BE56" s="2" t="str" cm="1">
        <f t="array" ref="BE56">IF('NILAI CPL'!$B56&lt;&gt;"",IFERROR(_xlfn.IFS(AH56&gt;='NILAI CPL'!$B$3,4,AH56&gt;='NILAI CPL'!$B$4,3,AH56&gt;='NILAI CPL'!$B$5,2,AH56&gt;'NILAI CPL'!$B$6,1),0),"")</f>
        <v/>
      </c>
      <c r="BF56" s="2" t="str" cm="1">
        <f t="array" ref="BF56">IF('NILAI CPL'!$B56&lt;&gt;"",IFERROR(_xlfn.IFS(AI56&gt;='NILAI CPL'!$B$3,4,AI56&gt;='NILAI CPL'!$B$4,3,AI56&gt;='NILAI CPL'!$B$5,2,AI56&gt;'NILAI CPL'!$B$6,1),0),"")</f>
        <v/>
      </c>
      <c r="BG56" s="2" t="str" cm="1">
        <f t="array" ref="BG56">IF('NILAI CPL'!$B56&lt;&gt;"",IFERROR(_xlfn.IFS(AJ56&gt;='NILAI CPL'!$B$3,4,AJ56&gt;='NILAI CPL'!$B$4,3,AJ56&gt;='NILAI CPL'!$B$5,2,AJ56&gt;'NILAI CPL'!$B$6,1),0),"")</f>
        <v/>
      </c>
      <c r="BH56" s="2" t="str" cm="1">
        <f t="array" ref="BH56">IF('NILAI CPL'!$B56&lt;&gt;"",IFERROR(_xlfn.IFS(AK56&gt;='NILAI CPL'!$B$3,4,AK56&gt;='NILAI CPL'!$B$4,3,AK56&gt;='NILAI CPL'!$B$5,2,AK56&gt;'NILAI CPL'!$B$6,1),0),"")</f>
        <v/>
      </c>
      <c r="BI56" s="2" t="str" cm="1">
        <f t="array" ref="BI56">IF('NILAI CPL'!$B56&lt;&gt;"",IFERROR(_xlfn.IFS(AL56&gt;='NILAI CPL'!$B$3,4,AL56&gt;='NILAI CPL'!$B$4,3,AL56&gt;='NILAI CPL'!$B$5,2,AL56&gt;'NILAI CPL'!$B$6,1),0),"")</f>
        <v/>
      </c>
      <c r="BJ56" s="2" t="str" cm="1">
        <f t="array" ref="BJ56">IF('NILAI CPL'!$B56&lt;&gt;"",IFERROR(_xlfn.IFS(AM56&gt;='NILAI CPL'!$B$3,4,AM56&gt;='NILAI CPL'!$B$4,3,AM56&gt;='NILAI CPL'!$B$5,2,AM56&gt;'NILAI CPL'!$B$6,1),0),"")</f>
        <v/>
      </c>
      <c r="BK56" s="2" t="str" cm="1">
        <f t="array" ref="BK56">IF('NILAI CPL'!$B56&lt;&gt;"",IFERROR(_xlfn.IFS(AN56&gt;='NILAI CPL'!$B$3,4,AN56&gt;='NILAI CPL'!$B$4,3,AN56&gt;='NILAI CPL'!$B$5,2,AN56&gt;'NILAI CPL'!$B$6,1),0),"")</f>
        <v/>
      </c>
    </row>
    <row r="57" spans="1:63" x14ac:dyDescent="0.2">
      <c r="A57" s="2">
        <v>47</v>
      </c>
      <c r="B57" s="2" t="str">
        <f>IF(LEN(SUMMARY!B57)&gt;0, SUMMARY!B57, "")</f>
        <v/>
      </c>
      <c r="C57" s="2" t="str">
        <f>IF(LEN(SUMMARY!C57)&gt;0, SUMMARY!C57, "")</f>
        <v/>
      </c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" t="str">
        <f t="shared" si="2"/>
        <v/>
      </c>
      <c r="S57" s="2" t="str">
        <f t="shared" si="3"/>
        <v/>
      </c>
      <c r="T57" s="2" t="str">
        <f t="shared" si="4"/>
        <v/>
      </c>
      <c r="U57" s="2" t="str">
        <f t="shared" si="5"/>
        <v/>
      </c>
      <c r="V57" s="2" t="str">
        <f t="shared" si="6"/>
        <v/>
      </c>
      <c r="W57" s="2" t="str">
        <f t="shared" si="7"/>
        <v/>
      </c>
      <c r="X57" s="2" t="str">
        <f t="shared" si="8"/>
        <v/>
      </c>
      <c r="Y57" s="2" t="str">
        <f t="shared" si="9"/>
        <v/>
      </c>
      <c r="Z57" s="2" t="str">
        <f t="shared" si="10"/>
        <v/>
      </c>
      <c r="AA57" s="2" t="str">
        <f t="shared" si="11"/>
        <v/>
      </c>
      <c r="AB57" s="2" t="str">
        <f t="shared" si="12"/>
        <v/>
      </c>
      <c r="AC57" s="2" t="str">
        <f t="shared" si="13"/>
        <v/>
      </c>
      <c r="AD57" s="2" t="str">
        <f t="shared" si="14"/>
        <v/>
      </c>
      <c r="AE57" s="2" t="str">
        <f t="shared" si="15"/>
        <v/>
      </c>
      <c r="AF57" s="2" t="str">
        <f t="shared" si="16"/>
        <v/>
      </c>
      <c r="AG57" s="2" t="str">
        <f t="shared" si="17"/>
        <v/>
      </c>
      <c r="AH57" s="2" t="str">
        <f t="shared" si="18"/>
        <v/>
      </c>
      <c r="AI57" s="2" t="str">
        <f t="shared" si="19"/>
        <v/>
      </c>
      <c r="AJ57" s="2" t="str">
        <f t="shared" si="20"/>
        <v/>
      </c>
      <c r="AK57" s="2" t="str">
        <f t="shared" si="21"/>
        <v/>
      </c>
      <c r="AL57" s="2" t="str">
        <f t="shared" si="22"/>
        <v/>
      </c>
      <c r="AM57" s="2" t="str">
        <f t="shared" si="23"/>
        <v/>
      </c>
      <c r="AN57" s="2" t="str">
        <f t="shared" si="24"/>
        <v/>
      </c>
      <c r="AP57" s="2" t="str" cm="1">
        <f t="array" ref="AP57">IF('NILAI CPL'!$B57&lt;&gt;"",IFERROR(_xlfn.IFS(S57&gt;='NILAI CPL'!$B$3,4,S57&gt;='NILAI CPL'!$B$4,3,S57&gt;='NILAI CPL'!$B$5,2,S57&gt;'NILAI CPL'!$B$6,1),0),"")</f>
        <v/>
      </c>
      <c r="AQ57" s="2" t="str" cm="1">
        <f t="array" ref="AQ57">IF('NILAI CPL'!$B57&lt;&gt;"",IFERROR(_xlfn.IFS(T57&gt;='NILAI CPL'!$B$3,4,T57&gt;='NILAI CPL'!$B$4,3,T57&gt;='NILAI CPL'!$B$5,2,T57&gt;'NILAI CPL'!$B$6,1),0),"")</f>
        <v/>
      </c>
      <c r="AR57" s="2" t="str" cm="1">
        <f t="array" ref="AR57">IF('NILAI CPL'!$B57&lt;&gt;"",IFERROR(_xlfn.IFS(U57&gt;='NILAI CPL'!$B$3,4,U57&gt;='NILAI CPL'!$B$4,3,U57&gt;='NILAI CPL'!$B$5,2,U57&gt;'NILAI CPL'!$B$6,1),0),"")</f>
        <v/>
      </c>
      <c r="AS57" s="2" t="str" cm="1">
        <f t="array" ref="AS57">IF('NILAI CPL'!$B57&lt;&gt;"",IFERROR(_xlfn.IFS(V57&gt;='NILAI CPL'!$B$3,4,V57&gt;='NILAI CPL'!$B$4,3,V57&gt;='NILAI CPL'!$B$5,2,V57&gt;'NILAI CPL'!$B$6,1),0),"")</f>
        <v/>
      </c>
      <c r="AT57" s="2" t="str" cm="1">
        <f t="array" ref="AT57">IF('NILAI CPL'!$B57&lt;&gt;"",IFERROR(_xlfn.IFS(W57&gt;='NILAI CPL'!$B$3,4,W57&gt;='NILAI CPL'!$B$4,3,W57&gt;='NILAI CPL'!$B$5,2,W57&gt;'NILAI CPL'!$B$6,1),0),"")</f>
        <v/>
      </c>
      <c r="AU57" s="2" t="str" cm="1">
        <f t="array" ref="AU57">IF('NILAI CPL'!$B57&lt;&gt;"",IFERROR(_xlfn.IFS(X57&gt;='NILAI CPL'!$B$3,4,X57&gt;='NILAI CPL'!$B$4,3,X57&gt;='NILAI CPL'!$B$5,2,X57&gt;'NILAI CPL'!$B$6,1),0),"")</f>
        <v/>
      </c>
      <c r="AV57" s="2" t="str" cm="1">
        <f t="array" ref="AV57">IF('NILAI CPL'!$B57&lt;&gt;"",IFERROR(_xlfn.IFS(Y57&gt;='NILAI CPL'!$B$3,4,Y57&gt;='NILAI CPL'!$B$4,3,Y57&gt;='NILAI CPL'!$B$5,2,Y57&gt;'NILAI CPL'!$B$6,1),0),"")</f>
        <v/>
      </c>
      <c r="AW57" s="2" t="str" cm="1">
        <f t="array" ref="AW57">IF('NILAI CPL'!$B57&lt;&gt;"",IFERROR(_xlfn.IFS(Z57&gt;='NILAI CPL'!$B$3,4,Z57&gt;='NILAI CPL'!$B$4,3,Z57&gt;='NILAI CPL'!$B$5,2,Z57&gt;'NILAI CPL'!$B$6,1),0),"")</f>
        <v/>
      </c>
      <c r="AX57" s="2" t="str" cm="1">
        <f t="array" ref="AX57">IF('NILAI CPL'!$B57&lt;&gt;"",IFERROR(_xlfn.IFS(AA57&gt;='NILAI CPL'!$B$3,4,AA57&gt;='NILAI CPL'!$B$4,3,AA57&gt;='NILAI CPL'!$B$5,2,AA57&gt;'NILAI CPL'!$B$6,1),0),"")</f>
        <v/>
      </c>
      <c r="AY57" s="2" t="str" cm="1">
        <f t="array" ref="AY57">IF('NILAI CPL'!$B57&lt;&gt;"",IFERROR(_xlfn.IFS(AB57&gt;='NILAI CPL'!$B$3,4,AB57&gt;='NILAI CPL'!$B$4,3,AB57&gt;='NILAI CPL'!$B$5,2,AB57&gt;'NILAI CPL'!$B$6,1),0),"")</f>
        <v/>
      </c>
      <c r="AZ57" s="2" t="str" cm="1">
        <f t="array" ref="AZ57">IF('NILAI CPL'!$B57&lt;&gt;"",IFERROR(_xlfn.IFS(AC57&gt;='NILAI CPL'!$B$3,4,AC57&gt;='NILAI CPL'!$B$4,3,AC57&gt;='NILAI CPL'!$B$5,2,AC57&gt;'NILAI CPL'!$B$6,1),0),"")</f>
        <v/>
      </c>
      <c r="BA57" s="2" t="str" cm="1">
        <f t="array" ref="BA57">IF('NILAI CPL'!$B57&lt;&gt;"",IFERROR(_xlfn.IFS(AD57&gt;='NILAI CPL'!$B$3,4,AD57&gt;='NILAI CPL'!$B$4,3,AD57&gt;='NILAI CPL'!$B$5,2,AD57&gt;'NILAI CPL'!$B$6,1),0),"")</f>
        <v/>
      </c>
      <c r="BB57" s="2" t="str" cm="1">
        <f t="array" ref="BB57">IF('NILAI CPL'!$B57&lt;&gt;"",IFERROR(_xlfn.IFS(AE57&gt;='NILAI CPL'!$B$3,4,AE57&gt;='NILAI CPL'!$B$4,3,AE57&gt;='NILAI CPL'!$B$5,2,AE57&gt;'NILAI CPL'!$B$6,1),0),"")</f>
        <v/>
      </c>
      <c r="BC57" s="2" t="str" cm="1">
        <f t="array" ref="BC57">IF('NILAI CPL'!$B57&lt;&gt;"",IFERROR(_xlfn.IFS(AF57&gt;='NILAI CPL'!$B$3,4,AF57&gt;='NILAI CPL'!$B$4,3,AF57&gt;='NILAI CPL'!$B$5,2,AF57&gt;'NILAI CPL'!$B$6,1),0),"")</f>
        <v/>
      </c>
      <c r="BD57" s="2" t="str" cm="1">
        <f t="array" ref="BD57">IF('NILAI CPL'!$B57&lt;&gt;"",IFERROR(_xlfn.IFS(AG57&gt;='NILAI CPL'!$B$3,4,AG57&gt;='NILAI CPL'!$B$4,3,AG57&gt;='NILAI CPL'!$B$5,2,AG57&gt;'NILAI CPL'!$B$6,1),0),"")</f>
        <v/>
      </c>
      <c r="BE57" s="2" t="str" cm="1">
        <f t="array" ref="BE57">IF('NILAI CPL'!$B57&lt;&gt;"",IFERROR(_xlfn.IFS(AH57&gt;='NILAI CPL'!$B$3,4,AH57&gt;='NILAI CPL'!$B$4,3,AH57&gt;='NILAI CPL'!$B$5,2,AH57&gt;'NILAI CPL'!$B$6,1),0),"")</f>
        <v/>
      </c>
      <c r="BF57" s="2" t="str" cm="1">
        <f t="array" ref="BF57">IF('NILAI CPL'!$B57&lt;&gt;"",IFERROR(_xlfn.IFS(AI57&gt;='NILAI CPL'!$B$3,4,AI57&gt;='NILAI CPL'!$B$4,3,AI57&gt;='NILAI CPL'!$B$5,2,AI57&gt;'NILAI CPL'!$B$6,1),0),"")</f>
        <v/>
      </c>
      <c r="BG57" s="2" t="str" cm="1">
        <f t="array" ref="BG57">IF('NILAI CPL'!$B57&lt;&gt;"",IFERROR(_xlfn.IFS(AJ57&gt;='NILAI CPL'!$B$3,4,AJ57&gt;='NILAI CPL'!$B$4,3,AJ57&gt;='NILAI CPL'!$B$5,2,AJ57&gt;'NILAI CPL'!$B$6,1),0),"")</f>
        <v/>
      </c>
      <c r="BH57" s="2" t="str" cm="1">
        <f t="array" ref="BH57">IF('NILAI CPL'!$B57&lt;&gt;"",IFERROR(_xlfn.IFS(AK57&gt;='NILAI CPL'!$B$3,4,AK57&gt;='NILAI CPL'!$B$4,3,AK57&gt;='NILAI CPL'!$B$5,2,AK57&gt;'NILAI CPL'!$B$6,1),0),"")</f>
        <v/>
      </c>
      <c r="BI57" s="2" t="str" cm="1">
        <f t="array" ref="BI57">IF('NILAI CPL'!$B57&lt;&gt;"",IFERROR(_xlfn.IFS(AL57&gt;='NILAI CPL'!$B$3,4,AL57&gt;='NILAI CPL'!$B$4,3,AL57&gt;='NILAI CPL'!$B$5,2,AL57&gt;'NILAI CPL'!$B$6,1),0),"")</f>
        <v/>
      </c>
      <c r="BJ57" s="2" t="str" cm="1">
        <f t="array" ref="BJ57">IF('NILAI CPL'!$B57&lt;&gt;"",IFERROR(_xlfn.IFS(AM57&gt;='NILAI CPL'!$B$3,4,AM57&gt;='NILAI CPL'!$B$4,3,AM57&gt;='NILAI CPL'!$B$5,2,AM57&gt;'NILAI CPL'!$B$6,1),0),"")</f>
        <v/>
      </c>
      <c r="BK57" s="2" t="str" cm="1">
        <f t="array" ref="BK57">IF('NILAI CPL'!$B57&lt;&gt;"",IFERROR(_xlfn.IFS(AN57&gt;='NILAI CPL'!$B$3,4,AN57&gt;='NILAI CPL'!$B$4,3,AN57&gt;='NILAI CPL'!$B$5,2,AN57&gt;'NILAI CPL'!$B$6,1),0),"")</f>
        <v/>
      </c>
    </row>
    <row r="58" spans="1:63" x14ac:dyDescent="0.2">
      <c r="A58" s="2">
        <v>48</v>
      </c>
      <c r="B58" s="2" t="str">
        <f>IF(LEN(SUMMARY!B58)&gt;0, SUMMARY!B58, "")</f>
        <v/>
      </c>
      <c r="C58" s="2" t="str">
        <f>IF(LEN(SUMMARY!C58)&gt;0, SUMMARY!C58, "")</f>
        <v/>
      </c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" t="str">
        <f t="shared" si="2"/>
        <v/>
      </c>
      <c r="S58" s="2" t="str">
        <f t="shared" si="3"/>
        <v/>
      </c>
      <c r="T58" s="2" t="str">
        <f t="shared" si="4"/>
        <v/>
      </c>
      <c r="U58" s="2" t="str">
        <f t="shared" si="5"/>
        <v/>
      </c>
      <c r="V58" s="2" t="str">
        <f t="shared" si="6"/>
        <v/>
      </c>
      <c r="W58" s="2" t="str">
        <f t="shared" si="7"/>
        <v/>
      </c>
      <c r="X58" s="2" t="str">
        <f t="shared" si="8"/>
        <v/>
      </c>
      <c r="Y58" s="2" t="str">
        <f t="shared" si="9"/>
        <v/>
      </c>
      <c r="Z58" s="2" t="str">
        <f t="shared" si="10"/>
        <v/>
      </c>
      <c r="AA58" s="2" t="str">
        <f t="shared" si="11"/>
        <v/>
      </c>
      <c r="AB58" s="2" t="str">
        <f t="shared" si="12"/>
        <v/>
      </c>
      <c r="AC58" s="2" t="str">
        <f t="shared" si="13"/>
        <v/>
      </c>
      <c r="AD58" s="2" t="str">
        <f t="shared" si="14"/>
        <v/>
      </c>
      <c r="AE58" s="2" t="str">
        <f t="shared" si="15"/>
        <v/>
      </c>
      <c r="AF58" s="2" t="str">
        <f t="shared" si="16"/>
        <v/>
      </c>
      <c r="AG58" s="2" t="str">
        <f t="shared" si="17"/>
        <v/>
      </c>
      <c r="AH58" s="2" t="str">
        <f t="shared" si="18"/>
        <v/>
      </c>
      <c r="AI58" s="2" t="str">
        <f t="shared" si="19"/>
        <v/>
      </c>
      <c r="AJ58" s="2" t="str">
        <f t="shared" si="20"/>
        <v/>
      </c>
      <c r="AK58" s="2" t="str">
        <f t="shared" si="21"/>
        <v/>
      </c>
      <c r="AL58" s="2" t="str">
        <f t="shared" si="22"/>
        <v/>
      </c>
      <c r="AM58" s="2" t="str">
        <f t="shared" si="23"/>
        <v/>
      </c>
      <c r="AN58" s="2" t="str">
        <f t="shared" si="24"/>
        <v/>
      </c>
      <c r="AP58" s="2" t="str" cm="1">
        <f t="array" ref="AP58">IF('NILAI CPL'!$B58&lt;&gt;"",IFERROR(_xlfn.IFS(S58&gt;='NILAI CPL'!$B$3,4,S58&gt;='NILAI CPL'!$B$4,3,S58&gt;='NILAI CPL'!$B$5,2,S58&gt;'NILAI CPL'!$B$6,1),0),"")</f>
        <v/>
      </c>
      <c r="AQ58" s="2" t="str" cm="1">
        <f t="array" ref="AQ58">IF('NILAI CPL'!$B58&lt;&gt;"",IFERROR(_xlfn.IFS(T58&gt;='NILAI CPL'!$B$3,4,T58&gt;='NILAI CPL'!$B$4,3,T58&gt;='NILAI CPL'!$B$5,2,T58&gt;'NILAI CPL'!$B$6,1),0),"")</f>
        <v/>
      </c>
      <c r="AR58" s="2" t="str" cm="1">
        <f t="array" ref="AR58">IF('NILAI CPL'!$B58&lt;&gt;"",IFERROR(_xlfn.IFS(U58&gt;='NILAI CPL'!$B$3,4,U58&gt;='NILAI CPL'!$B$4,3,U58&gt;='NILAI CPL'!$B$5,2,U58&gt;'NILAI CPL'!$B$6,1),0),"")</f>
        <v/>
      </c>
      <c r="AS58" s="2" t="str" cm="1">
        <f t="array" ref="AS58">IF('NILAI CPL'!$B58&lt;&gt;"",IFERROR(_xlfn.IFS(V58&gt;='NILAI CPL'!$B$3,4,V58&gt;='NILAI CPL'!$B$4,3,V58&gt;='NILAI CPL'!$B$5,2,V58&gt;'NILAI CPL'!$B$6,1),0),"")</f>
        <v/>
      </c>
      <c r="AT58" s="2" t="str" cm="1">
        <f t="array" ref="AT58">IF('NILAI CPL'!$B58&lt;&gt;"",IFERROR(_xlfn.IFS(W58&gt;='NILAI CPL'!$B$3,4,W58&gt;='NILAI CPL'!$B$4,3,W58&gt;='NILAI CPL'!$B$5,2,W58&gt;'NILAI CPL'!$B$6,1),0),"")</f>
        <v/>
      </c>
      <c r="AU58" s="2" t="str" cm="1">
        <f t="array" ref="AU58">IF('NILAI CPL'!$B58&lt;&gt;"",IFERROR(_xlfn.IFS(X58&gt;='NILAI CPL'!$B$3,4,X58&gt;='NILAI CPL'!$B$4,3,X58&gt;='NILAI CPL'!$B$5,2,X58&gt;'NILAI CPL'!$B$6,1),0),"")</f>
        <v/>
      </c>
      <c r="AV58" s="2" t="str" cm="1">
        <f t="array" ref="AV58">IF('NILAI CPL'!$B58&lt;&gt;"",IFERROR(_xlfn.IFS(Y58&gt;='NILAI CPL'!$B$3,4,Y58&gt;='NILAI CPL'!$B$4,3,Y58&gt;='NILAI CPL'!$B$5,2,Y58&gt;'NILAI CPL'!$B$6,1),0),"")</f>
        <v/>
      </c>
      <c r="AW58" s="2" t="str" cm="1">
        <f t="array" ref="AW58">IF('NILAI CPL'!$B58&lt;&gt;"",IFERROR(_xlfn.IFS(Z58&gt;='NILAI CPL'!$B$3,4,Z58&gt;='NILAI CPL'!$B$4,3,Z58&gt;='NILAI CPL'!$B$5,2,Z58&gt;'NILAI CPL'!$B$6,1),0),"")</f>
        <v/>
      </c>
      <c r="AX58" s="2" t="str" cm="1">
        <f t="array" ref="AX58">IF('NILAI CPL'!$B58&lt;&gt;"",IFERROR(_xlfn.IFS(AA58&gt;='NILAI CPL'!$B$3,4,AA58&gt;='NILAI CPL'!$B$4,3,AA58&gt;='NILAI CPL'!$B$5,2,AA58&gt;'NILAI CPL'!$B$6,1),0),"")</f>
        <v/>
      </c>
      <c r="AY58" s="2" t="str" cm="1">
        <f t="array" ref="AY58">IF('NILAI CPL'!$B58&lt;&gt;"",IFERROR(_xlfn.IFS(AB58&gt;='NILAI CPL'!$B$3,4,AB58&gt;='NILAI CPL'!$B$4,3,AB58&gt;='NILAI CPL'!$B$5,2,AB58&gt;'NILAI CPL'!$B$6,1),0),"")</f>
        <v/>
      </c>
      <c r="AZ58" s="2" t="str" cm="1">
        <f t="array" ref="AZ58">IF('NILAI CPL'!$B58&lt;&gt;"",IFERROR(_xlfn.IFS(AC58&gt;='NILAI CPL'!$B$3,4,AC58&gt;='NILAI CPL'!$B$4,3,AC58&gt;='NILAI CPL'!$B$5,2,AC58&gt;'NILAI CPL'!$B$6,1),0),"")</f>
        <v/>
      </c>
      <c r="BA58" s="2" t="str" cm="1">
        <f t="array" ref="BA58">IF('NILAI CPL'!$B58&lt;&gt;"",IFERROR(_xlfn.IFS(AD58&gt;='NILAI CPL'!$B$3,4,AD58&gt;='NILAI CPL'!$B$4,3,AD58&gt;='NILAI CPL'!$B$5,2,AD58&gt;'NILAI CPL'!$B$6,1),0),"")</f>
        <v/>
      </c>
      <c r="BB58" s="2" t="str" cm="1">
        <f t="array" ref="BB58">IF('NILAI CPL'!$B58&lt;&gt;"",IFERROR(_xlfn.IFS(AE58&gt;='NILAI CPL'!$B$3,4,AE58&gt;='NILAI CPL'!$B$4,3,AE58&gt;='NILAI CPL'!$B$5,2,AE58&gt;'NILAI CPL'!$B$6,1),0),"")</f>
        <v/>
      </c>
      <c r="BC58" s="2" t="str" cm="1">
        <f t="array" ref="BC58">IF('NILAI CPL'!$B58&lt;&gt;"",IFERROR(_xlfn.IFS(AF58&gt;='NILAI CPL'!$B$3,4,AF58&gt;='NILAI CPL'!$B$4,3,AF58&gt;='NILAI CPL'!$B$5,2,AF58&gt;'NILAI CPL'!$B$6,1),0),"")</f>
        <v/>
      </c>
      <c r="BD58" s="2" t="str" cm="1">
        <f t="array" ref="BD58">IF('NILAI CPL'!$B58&lt;&gt;"",IFERROR(_xlfn.IFS(AG58&gt;='NILAI CPL'!$B$3,4,AG58&gt;='NILAI CPL'!$B$4,3,AG58&gt;='NILAI CPL'!$B$5,2,AG58&gt;'NILAI CPL'!$B$6,1),0),"")</f>
        <v/>
      </c>
      <c r="BE58" s="2" t="str" cm="1">
        <f t="array" ref="BE58">IF('NILAI CPL'!$B58&lt;&gt;"",IFERROR(_xlfn.IFS(AH58&gt;='NILAI CPL'!$B$3,4,AH58&gt;='NILAI CPL'!$B$4,3,AH58&gt;='NILAI CPL'!$B$5,2,AH58&gt;'NILAI CPL'!$B$6,1),0),"")</f>
        <v/>
      </c>
      <c r="BF58" s="2" t="str" cm="1">
        <f t="array" ref="BF58">IF('NILAI CPL'!$B58&lt;&gt;"",IFERROR(_xlfn.IFS(AI58&gt;='NILAI CPL'!$B$3,4,AI58&gt;='NILAI CPL'!$B$4,3,AI58&gt;='NILAI CPL'!$B$5,2,AI58&gt;'NILAI CPL'!$B$6,1),0),"")</f>
        <v/>
      </c>
      <c r="BG58" s="2" t="str" cm="1">
        <f t="array" ref="BG58">IF('NILAI CPL'!$B58&lt;&gt;"",IFERROR(_xlfn.IFS(AJ58&gt;='NILAI CPL'!$B$3,4,AJ58&gt;='NILAI CPL'!$B$4,3,AJ58&gt;='NILAI CPL'!$B$5,2,AJ58&gt;'NILAI CPL'!$B$6,1),0),"")</f>
        <v/>
      </c>
      <c r="BH58" s="2" t="str" cm="1">
        <f t="array" ref="BH58">IF('NILAI CPL'!$B58&lt;&gt;"",IFERROR(_xlfn.IFS(AK58&gt;='NILAI CPL'!$B$3,4,AK58&gt;='NILAI CPL'!$B$4,3,AK58&gt;='NILAI CPL'!$B$5,2,AK58&gt;'NILAI CPL'!$B$6,1),0),"")</f>
        <v/>
      </c>
      <c r="BI58" s="2" t="str" cm="1">
        <f t="array" ref="BI58">IF('NILAI CPL'!$B58&lt;&gt;"",IFERROR(_xlfn.IFS(AL58&gt;='NILAI CPL'!$B$3,4,AL58&gt;='NILAI CPL'!$B$4,3,AL58&gt;='NILAI CPL'!$B$5,2,AL58&gt;'NILAI CPL'!$B$6,1),0),"")</f>
        <v/>
      </c>
      <c r="BJ58" s="2" t="str" cm="1">
        <f t="array" ref="BJ58">IF('NILAI CPL'!$B58&lt;&gt;"",IFERROR(_xlfn.IFS(AM58&gt;='NILAI CPL'!$B$3,4,AM58&gt;='NILAI CPL'!$B$4,3,AM58&gt;='NILAI CPL'!$B$5,2,AM58&gt;'NILAI CPL'!$B$6,1),0),"")</f>
        <v/>
      </c>
      <c r="BK58" s="2" t="str" cm="1">
        <f t="array" ref="BK58">IF('NILAI CPL'!$B58&lt;&gt;"",IFERROR(_xlfn.IFS(AN58&gt;='NILAI CPL'!$B$3,4,AN58&gt;='NILAI CPL'!$B$4,3,AN58&gt;='NILAI CPL'!$B$5,2,AN58&gt;'NILAI CPL'!$B$6,1),0),"")</f>
        <v/>
      </c>
    </row>
    <row r="59" spans="1:63" x14ac:dyDescent="0.2">
      <c r="A59" s="2">
        <v>49</v>
      </c>
      <c r="B59" s="2" t="str">
        <f>IF(LEN(SUMMARY!B59)&gt;0, SUMMARY!B59, "")</f>
        <v/>
      </c>
      <c r="C59" s="2" t="str">
        <f>IF(LEN(SUMMARY!C59)&gt;0, SUMMARY!C59, "")</f>
        <v/>
      </c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" t="str">
        <f t="shared" si="2"/>
        <v/>
      </c>
      <c r="S59" s="2" t="str">
        <f t="shared" si="3"/>
        <v/>
      </c>
      <c r="T59" s="2" t="str">
        <f t="shared" si="4"/>
        <v/>
      </c>
      <c r="U59" s="2" t="str">
        <f t="shared" si="5"/>
        <v/>
      </c>
      <c r="V59" s="2" t="str">
        <f t="shared" si="6"/>
        <v/>
      </c>
      <c r="W59" s="2" t="str">
        <f t="shared" si="7"/>
        <v/>
      </c>
      <c r="X59" s="2" t="str">
        <f t="shared" si="8"/>
        <v/>
      </c>
      <c r="Y59" s="2" t="str">
        <f t="shared" si="9"/>
        <v/>
      </c>
      <c r="Z59" s="2" t="str">
        <f t="shared" si="10"/>
        <v/>
      </c>
      <c r="AA59" s="2" t="str">
        <f t="shared" si="11"/>
        <v/>
      </c>
      <c r="AB59" s="2" t="str">
        <f t="shared" si="12"/>
        <v/>
      </c>
      <c r="AC59" s="2" t="str">
        <f t="shared" si="13"/>
        <v/>
      </c>
      <c r="AD59" s="2" t="str">
        <f t="shared" si="14"/>
        <v/>
      </c>
      <c r="AE59" s="2" t="str">
        <f t="shared" si="15"/>
        <v/>
      </c>
      <c r="AF59" s="2" t="str">
        <f t="shared" si="16"/>
        <v/>
      </c>
      <c r="AG59" s="2" t="str">
        <f t="shared" si="17"/>
        <v/>
      </c>
      <c r="AH59" s="2" t="str">
        <f t="shared" si="18"/>
        <v/>
      </c>
      <c r="AI59" s="2" t="str">
        <f t="shared" si="19"/>
        <v/>
      </c>
      <c r="AJ59" s="2" t="str">
        <f t="shared" si="20"/>
        <v/>
      </c>
      <c r="AK59" s="2" t="str">
        <f t="shared" si="21"/>
        <v/>
      </c>
      <c r="AL59" s="2" t="str">
        <f t="shared" si="22"/>
        <v/>
      </c>
      <c r="AM59" s="2" t="str">
        <f t="shared" si="23"/>
        <v/>
      </c>
      <c r="AN59" s="2" t="str">
        <f t="shared" si="24"/>
        <v/>
      </c>
      <c r="AP59" s="2" t="str" cm="1">
        <f t="array" ref="AP59">IF('NILAI CPL'!$B59&lt;&gt;"",IFERROR(_xlfn.IFS(S59&gt;='NILAI CPL'!$B$3,4,S59&gt;='NILAI CPL'!$B$4,3,S59&gt;='NILAI CPL'!$B$5,2,S59&gt;'NILAI CPL'!$B$6,1),0),"")</f>
        <v/>
      </c>
      <c r="AQ59" s="2" t="str" cm="1">
        <f t="array" ref="AQ59">IF('NILAI CPL'!$B59&lt;&gt;"",IFERROR(_xlfn.IFS(T59&gt;='NILAI CPL'!$B$3,4,T59&gt;='NILAI CPL'!$B$4,3,T59&gt;='NILAI CPL'!$B$5,2,T59&gt;'NILAI CPL'!$B$6,1),0),"")</f>
        <v/>
      </c>
      <c r="AR59" s="2" t="str" cm="1">
        <f t="array" ref="AR59">IF('NILAI CPL'!$B59&lt;&gt;"",IFERROR(_xlfn.IFS(U59&gt;='NILAI CPL'!$B$3,4,U59&gt;='NILAI CPL'!$B$4,3,U59&gt;='NILAI CPL'!$B$5,2,U59&gt;'NILAI CPL'!$B$6,1),0),"")</f>
        <v/>
      </c>
      <c r="AS59" s="2" t="str" cm="1">
        <f t="array" ref="AS59">IF('NILAI CPL'!$B59&lt;&gt;"",IFERROR(_xlfn.IFS(V59&gt;='NILAI CPL'!$B$3,4,V59&gt;='NILAI CPL'!$B$4,3,V59&gt;='NILAI CPL'!$B$5,2,V59&gt;'NILAI CPL'!$B$6,1),0),"")</f>
        <v/>
      </c>
      <c r="AT59" s="2" t="str" cm="1">
        <f t="array" ref="AT59">IF('NILAI CPL'!$B59&lt;&gt;"",IFERROR(_xlfn.IFS(W59&gt;='NILAI CPL'!$B$3,4,W59&gt;='NILAI CPL'!$B$4,3,W59&gt;='NILAI CPL'!$B$5,2,W59&gt;'NILAI CPL'!$B$6,1),0),"")</f>
        <v/>
      </c>
      <c r="AU59" s="2" t="str" cm="1">
        <f t="array" ref="AU59">IF('NILAI CPL'!$B59&lt;&gt;"",IFERROR(_xlfn.IFS(X59&gt;='NILAI CPL'!$B$3,4,X59&gt;='NILAI CPL'!$B$4,3,X59&gt;='NILAI CPL'!$B$5,2,X59&gt;'NILAI CPL'!$B$6,1),0),"")</f>
        <v/>
      </c>
      <c r="AV59" s="2" t="str" cm="1">
        <f t="array" ref="AV59">IF('NILAI CPL'!$B59&lt;&gt;"",IFERROR(_xlfn.IFS(Y59&gt;='NILAI CPL'!$B$3,4,Y59&gt;='NILAI CPL'!$B$4,3,Y59&gt;='NILAI CPL'!$B$5,2,Y59&gt;'NILAI CPL'!$B$6,1),0),"")</f>
        <v/>
      </c>
      <c r="AW59" s="2" t="str" cm="1">
        <f t="array" ref="AW59">IF('NILAI CPL'!$B59&lt;&gt;"",IFERROR(_xlfn.IFS(Z59&gt;='NILAI CPL'!$B$3,4,Z59&gt;='NILAI CPL'!$B$4,3,Z59&gt;='NILAI CPL'!$B$5,2,Z59&gt;'NILAI CPL'!$B$6,1),0),"")</f>
        <v/>
      </c>
      <c r="AX59" s="2" t="str" cm="1">
        <f t="array" ref="AX59">IF('NILAI CPL'!$B59&lt;&gt;"",IFERROR(_xlfn.IFS(AA59&gt;='NILAI CPL'!$B$3,4,AA59&gt;='NILAI CPL'!$B$4,3,AA59&gt;='NILAI CPL'!$B$5,2,AA59&gt;'NILAI CPL'!$B$6,1),0),"")</f>
        <v/>
      </c>
      <c r="AY59" s="2" t="str" cm="1">
        <f t="array" ref="AY59">IF('NILAI CPL'!$B59&lt;&gt;"",IFERROR(_xlfn.IFS(AB59&gt;='NILAI CPL'!$B$3,4,AB59&gt;='NILAI CPL'!$B$4,3,AB59&gt;='NILAI CPL'!$B$5,2,AB59&gt;'NILAI CPL'!$B$6,1),0),"")</f>
        <v/>
      </c>
      <c r="AZ59" s="2" t="str" cm="1">
        <f t="array" ref="AZ59">IF('NILAI CPL'!$B59&lt;&gt;"",IFERROR(_xlfn.IFS(AC59&gt;='NILAI CPL'!$B$3,4,AC59&gt;='NILAI CPL'!$B$4,3,AC59&gt;='NILAI CPL'!$B$5,2,AC59&gt;'NILAI CPL'!$B$6,1),0),"")</f>
        <v/>
      </c>
      <c r="BA59" s="2" t="str" cm="1">
        <f t="array" ref="BA59">IF('NILAI CPL'!$B59&lt;&gt;"",IFERROR(_xlfn.IFS(AD59&gt;='NILAI CPL'!$B$3,4,AD59&gt;='NILAI CPL'!$B$4,3,AD59&gt;='NILAI CPL'!$B$5,2,AD59&gt;'NILAI CPL'!$B$6,1),0),"")</f>
        <v/>
      </c>
      <c r="BB59" s="2" t="str" cm="1">
        <f t="array" ref="BB59">IF('NILAI CPL'!$B59&lt;&gt;"",IFERROR(_xlfn.IFS(AE59&gt;='NILAI CPL'!$B$3,4,AE59&gt;='NILAI CPL'!$B$4,3,AE59&gt;='NILAI CPL'!$B$5,2,AE59&gt;'NILAI CPL'!$B$6,1),0),"")</f>
        <v/>
      </c>
      <c r="BC59" s="2" t="str" cm="1">
        <f t="array" ref="BC59">IF('NILAI CPL'!$B59&lt;&gt;"",IFERROR(_xlfn.IFS(AF59&gt;='NILAI CPL'!$B$3,4,AF59&gt;='NILAI CPL'!$B$4,3,AF59&gt;='NILAI CPL'!$B$5,2,AF59&gt;'NILAI CPL'!$B$6,1),0),"")</f>
        <v/>
      </c>
      <c r="BD59" s="2" t="str" cm="1">
        <f t="array" ref="BD59">IF('NILAI CPL'!$B59&lt;&gt;"",IFERROR(_xlfn.IFS(AG59&gt;='NILAI CPL'!$B$3,4,AG59&gt;='NILAI CPL'!$B$4,3,AG59&gt;='NILAI CPL'!$B$5,2,AG59&gt;'NILAI CPL'!$B$6,1),0),"")</f>
        <v/>
      </c>
      <c r="BE59" s="2" t="str" cm="1">
        <f t="array" ref="BE59">IF('NILAI CPL'!$B59&lt;&gt;"",IFERROR(_xlfn.IFS(AH59&gt;='NILAI CPL'!$B$3,4,AH59&gt;='NILAI CPL'!$B$4,3,AH59&gt;='NILAI CPL'!$B$5,2,AH59&gt;'NILAI CPL'!$B$6,1),0),"")</f>
        <v/>
      </c>
      <c r="BF59" s="2" t="str" cm="1">
        <f t="array" ref="BF59">IF('NILAI CPL'!$B59&lt;&gt;"",IFERROR(_xlfn.IFS(AI59&gt;='NILAI CPL'!$B$3,4,AI59&gt;='NILAI CPL'!$B$4,3,AI59&gt;='NILAI CPL'!$B$5,2,AI59&gt;'NILAI CPL'!$B$6,1),0),"")</f>
        <v/>
      </c>
      <c r="BG59" s="2" t="str" cm="1">
        <f t="array" ref="BG59">IF('NILAI CPL'!$B59&lt;&gt;"",IFERROR(_xlfn.IFS(AJ59&gt;='NILAI CPL'!$B$3,4,AJ59&gt;='NILAI CPL'!$B$4,3,AJ59&gt;='NILAI CPL'!$B$5,2,AJ59&gt;'NILAI CPL'!$B$6,1),0),"")</f>
        <v/>
      </c>
      <c r="BH59" s="2" t="str" cm="1">
        <f t="array" ref="BH59">IF('NILAI CPL'!$B59&lt;&gt;"",IFERROR(_xlfn.IFS(AK59&gt;='NILAI CPL'!$B$3,4,AK59&gt;='NILAI CPL'!$B$4,3,AK59&gt;='NILAI CPL'!$B$5,2,AK59&gt;'NILAI CPL'!$B$6,1),0),"")</f>
        <v/>
      </c>
      <c r="BI59" s="2" t="str" cm="1">
        <f t="array" ref="BI59">IF('NILAI CPL'!$B59&lt;&gt;"",IFERROR(_xlfn.IFS(AL59&gt;='NILAI CPL'!$B$3,4,AL59&gt;='NILAI CPL'!$B$4,3,AL59&gt;='NILAI CPL'!$B$5,2,AL59&gt;'NILAI CPL'!$B$6,1),0),"")</f>
        <v/>
      </c>
      <c r="BJ59" s="2" t="str" cm="1">
        <f t="array" ref="BJ59">IF('NILAI CPL'!$B59&lt;&gt;"",IFERROR(_xlfn.IFS(AM59&gt;='NILAI CPL'!$B$3,4,AM59&gt;='NILAI CPL'!$B$4,3,AM59&gt;='NILAI CPL'!$B$5,2,AM59&gt;'NILAI CPL'!$B$6,1),0),"")</f>
        <v/>
      </c>
      <c r="BK59" s="2" t="str" cm="1">
        <f t="array" ref="BK59">IF('NILAI CPL'!$B59&lt;&gt;"",IFERROR(_xlfn.IFS(AN59&gt;='NILAI CPL'!$B$3,4,AN59&gt;='NILAI CPL'!$B$4,3,AN59&gt;='NILAI CPL'!$B$5,2,AN59&gt;'NILAI CPL'!$B$6,1),0),"")</f>
        <v/>
      </c>
    </row>
    <row r="60" spans="1:63" x14ac:dyDescent="0.2">
      <c r="A60" s="2">
        <v>50</v>
      </c>
      <c r="B60" s="2" t="str">
        <f>IF(LEN(SUMMARY!B60)&gt;0, SUMMARY!B60, "")</f>
        <v/>
      </c>
      <c r="C60" s="2" t="str">
        <f>IF(LEN(SUMMARY!C60)&gt;0, SUMMARY!C60, "")</f>
        <v/>
      </c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" t="str">
        <f t="shared" si="2"/>
        <v/>
      </c>
      <c r="S60" s="2" t="str">
        <f t="shared" si="3"/>
        <v/>
      </c>
      <c r="T60" s="2" t="str">
        <f t="shared" si="4"/>
        <v/>
      </c>
      <c r="U60" s="2" t="str">
        <f t="shared" si="5"/>
        <v/>
      </c>
      <c r="V60" s="2" t="str">
        <f t="shared" si="6"/>
        <v/>
      </c>
      <c r="W60" s="2" t="str">
        <f t="shared" si="7"/>
        <v/>
      </c>
      <c r="X60" s="2" t="str">
        <f t="shared" si="8"/>
        <v/>
      </c>
      <c r="Y60" s="2" t="str">
        <f t="shared" si="9"/>
        <v/>
      </c>
      <c r="Z60" s="2" t="str">
        <f t="shared" si="10"/>
        <v/>
      </c>
      <c r="AA60" s="2" t="str">
        <f t="shared" si="11"/>
        <v/>
      </c>
      <c r="AB60" s="2" t="str">
        <f t="shared" si="12"/>
        <v/>
      </c>
      <c r="AC60" s="2" t="str">
        <f t="shared" si="13"/>
        <v/>
      </c>
      <c r="AD60" s="2" t="str">
        <f t="shared" si="14"/>
        <v/>
      </c>
      <c r="AE60" s="2" t="str">
        <f t="shared" si="15"/>
        <v/>
      </c>
      <c r="AF60" s="2" t="str">
        <f t="shared" si="16"/>
        <v/>
      </c>
      <c r="AG60" s="2" t="str">
        <f t="shared" si="17"/>
        <v/>
      </c>
      <c r="AH60" s="2" t="str">
        <f t="shared" si="18"/>
        <v/>
      </c>
      <c r="AI60" s="2" t="str">
        <f t="shared" si="19"/>
        <v/>
      </c>
      <c r="AJ60" s="2" t="str">
        <f t="shared" si="20"/>
        <v/>
      </c>
      <c r="AK60" s="2" t="str">
        <f t="shared" si="21"/>
        <v/>
      </c>
      <c r="AL60" s="2" t="str">
        <f t="shared" si="22"/>
        <v/>
      </c>
      <c r="AM60" s="2" t="str">
        <f t="shared" si="23"/>
        <v/>
      </c>
      <c r="AN60" s="2" t="str">
        <f t="shared" si="24"/>
        <v/>
      </c>
      <c r="AP60" s="2" t="str" cm="1">
        <f t="array" ref="AP60">IF('NILAI CPL'!$B60&lt;&gt;"",IFERROR(_xlfn.IFS(S60&gt;='NILAI CPL'!$B$3,4,S60&gt;='NILAI CPL'!$B$4,3,S60&gt;='NILAI CPL'!$B$5,2,S60&gt;'NILAI CPL'!$B$6,1),0),"")</f>
        <v/>
      </c>
      <c r="AQ60" s="2" t="str" cm="1">
        <f t="array" ref="AQ60">IF('NILAI CPL'!$B60&lt;&gt;"",IFERROR(_xlfn.IFS(T60&gt;='NILAI CPL'!$B$3,4,T60&gt;='NILAI CPL'!$B$4,3,T60&gt;='NILAI CPL'!$B$5,2,T60&gt;'NILAI CPL'!$B$6,1),0),"")</f>
        <v/>
      </c>
      <c r="AR60" s="2" t="str" cm="1">
        <f t="array" ref="AR60">IF('NILAI CPL'!$B60&lt;&gt;"",IFERROR(_xlfn.IFS(U60&gt;='NILAI CPL'!$B$3,4,U60&gt;='NILAI CPL'!$B$4,3,U60&gt;='NILAI CPL'!$B$5,2,U60&gt;'NILAI CPL'!$B$6,1),0),"")</f>
        <v/>
      </c>
      <c r="AS60" s="2" t="str" cm="1">
        <f t="array" ref="AS60">IF('NILAI CPL'!$B60&lt;&gt;"",IFERROR(_xlfn.IFS(V60&gt;='NILAI CPL'!$B$3,4,V60&gt;='NILAI CPL'!$B$4,3,V60&gt;='NILAI CPL'!$B$5,2,V60&gt;'NILAI CPL'!$B$6,1),0),"")</f>
        <v/>
      </c>
      <c r="AT60" s="2" t="str" cm="1">
        <f t="array" ref="AT60">IF('NILAI CPL'!$B60&lt;&gt;"",IFERROR(_xlfn.IFS(W60&gt;='NILAI CPL'!$B$3,4,W60&gt;='NILAI CPL'!$B$4,3,W60&gt;='NILAI CPL'!$B$5,2,W60&gt;'NILAI CPL'!$B$6,1),0),"")</f>
        <v/>
      </c>
      <c r="AU60" s="2" t="str" cm="1">
        <f t="array" ref="AU60">IF('NILAI CPL'!$B60&lt;&gt;"",IFERROR(_xlfn.IFS(X60&gt;='NILAI CPL'!$B$3,4,X60&gt;='NILAI CPL'!$B$4,3,X60&gt;='NILAI CPL'!$B$5,2,X60&gt;'NILAI CPL'!$B$6,1),0),"")</f>
        <v/>
      </c>
      <c r="AV60" s="2" t="str" cm="1">
        <f t="array" ref="AV60">IF('NILAI CPL'!$B60&lt;&gt;"",IFERROR(_xlfn.IFS(Y60&gt;='NILAI CPL'!$B$3,4,Y60&gt;='NILAI CPL'!$B$4,3,Y60&gt;='NILAI CPL'!$B$5,2,Y60&gt;'NILAI CPL'!$B$6,1),0),"")</f>
        <v/>
      </c>
      <c r="AW60" s="2" t="str" cm="1">
        <f t="array" ref="AW60">IF('NILAI CPL'!$B60&lt;&gt;"",IFERROR(_xlfn.IFS(Z60&gt;='NILAI CPL'!$B$3,4,Z60&gt;='NILAI CPL'!$B$4,3,Z60&gt;='NILAI CPL'!$B$5,2,Z60&gt;'NILAI CPL'!$B$6,1),0),"")</f>
        <v/>
      </c>
      <c r="AX60" s="2" t="str" cm="1">
        <f t="array" ref="AX60">IF('NILAI CPL'!$B60&lt;&gt;"",IFERROR(_xlfn.IFS(AA60&gt;='NILAI CPL'!$B$3,4,AA60&gt;='NILAI CPL'!$B$4,3,AA60&gt;='NILAI CPL'!$B$5,2,AA60&gt;'NILAI CPL'!$B$6,1),0),"")</f>
        <v/>
      </c>
      <c r="AY60" s="2" t="str" cm="1">
        <f t="array" ref="AY60">IF('NILAI CPL'!$B60&lt;&gt;"",IFERROR(_xlfn.IFS(AB60&gt;='NILAI CPL'!$B$3,4,AB60&gt;='NILAI CPL'!$B$4,3,AB60&gt;='NILAI CPL'!$B$5,2,AB60&gt;'NILAI CPL'!$B$6,1),0),"")</f>
        <v/>
      </c>
      <c r="AZ60" s="2" t="str" cm="1">
        <f t="array" ref="AZ60">IF('NILAI CPL'!$B60&lt;&gt;"",IFERROR(_xlfn.IFS(AC60&gt;='NILAI CPL'!$B$3,4,AC60&gt;='NILAI CPL'!$B$4,3,AC60&gt;='NILAI CPL'!$B$5,2,AC60&gt;'NILAI CPL'!$B$6,1),0),"")</f>
        <v/>
      </c>
      <c r="BA60" s="2" t="str" cm="1">
        <f t="array" ref="BA60">IF('NILAI CPL'!$B60&lt;&gt;"",IFERROR(_xlfn.IFS(AD60&gt;='NILAI CPL'!$B$3,4,AD60&gt;='NILAI CPL'!$B$4,3,AD60&gt;='NILAI CPL'!$B$5,2,AD60&gt;'NILAI CPL'!$B$6,1),0),"")</f>
        <v/>
      </c>
      <c r="BB60" s="2" t="str" cm="1">
        <f t="array" ref="BB60">IF('NILAI CPL'!$B60&lt;&gt;"",IFERROR(_xlfn.IFS(AE60&gt;='NILAI CPL'!$B$3,4,AE60&gt;='NILAI CPL'!$B$4,3,AE60&gt;='NILAI CPL'!$B$5,2,AE60&gt;'NILAI CPL'!$B$6,1),0),"")</f>
        <v/>
      </c>
      <c r="BC60" s="2" t="str" cm="1">
        <f t="array" ref="BC60">IF('NILAI CPL'!$B60&lt;&gt;"",IFERROR(_xlfn.IFS(AF60&gt;='NILAI CPL'!$B$3,4,AF60&gt;='NILAI CPL'!$B$4,3,AF60&gt;='NILAI CPL'!$B$5,2,AF60&gt;'NILAI CPL'!$B$6,1),0),"")</f>
        <v/>
      </c>
      <c r="BD60" s="2" t="str" cm="1">
        <f t="array" ref="BD60">IF('NILAI CPL'!$B60&lt;&gt;"",IFERROR(_xlfn.IFS(AG60&gt;='NILAI CPL'!$B$3,4,AG60&gt;='NILAI CPL'!$B$4,3,AG60&gt;='NILAI CPL'!$B$5,2,AG60&gt;'NILAI CPL'!$B$6,1),0),"")</f>
        <v/>
      </c>
      <c r="BE60" s="2" t="str" cm="1">
        <f t="array" ref="BE60">IF('NILAI CPL'!$B60&lt;&gt;"",IFERROR(_xlfn.IFS(AH60&gt;='NILAI CPL'!$B$3,4,AH60&gt;='NILAI CPL'!$B$4,3,AH60&gt;='NILAI CPL'!$B$5,2,AH60&gt;'NILAI CPL'!$B$6,1),0),"")</f>
        <v/>
      </c>
      <c r="BF60" s="2" t="str" cm="1">
        <f t="array" ref="BF60">IF('NILAI CPL'!$B60&lt;&gt;"",IFERROR(_xlfn.IFS(AI60&gt;='NILAI CPL'!$B$3,4,AI60&gt;='NILAI CPL'!$B$4,3,AI60&gt;='NILAI CPL'!$B$5,2,AI60&gt;'NILAI CPL'!$B$6,1),0),"")</f>
        <v/>
      </c>
      <c r="BG60" s="2" t="str" cm="1">
        <f t="array" ref="BG60">IF('NILAI CPL'!$B60&lt;&gt;"",IFERROR(_xlfn.IFS(AJ60&gt;='NILAI CPL'!$B$3,4,AJ60&gt;='NILAI CPL'!$B$4,3,AJ60&gt;='NILAI CPL'!$B$5,2,AJ60&gt;'NILAI CPL'!$B$6,1),0),"")</f>
        <v/>
      </c>
      <c r="BH60" s="2" t="str" cm="1">
        <f t="array" ref="BH60">IF('NILAI CPL'!$B60&lt;&gt;"",IFERROR(_xlfn.IFS(AK60&gt;='NILAI CPL'!$B$3,4,AK60&gt;='NILAI CPL'!$B$4,3,AK60&gt;='NILAI CPL'!$B$5,2,AK60&gt;'NILAI CPL'!$B$6,1),0),"")</f>
        <v/>
      </c>
      <c r="BI60" s="2" t="str" cm="1">
        <f t="array" ref="BI60">IF('NILAI CPL'!$B60&lt;&gt;"",IFERROR(_xlfn.IFS(AL60&gt;='NILAI CPL'!$B$3,4,AL60&gt;='NILAI CPL'!$B$4,3,AL60&gt;='NILAI CPL'!$B$5,2,AL60&gt;'NILAI CPL'!$B$6,1),0),"")</f>
        <v/>
      </c>
      <c r="BJ60" s="2" t="str" cm="1">
        <f t="array" ref="BJ60">IF('NILAI CPL'!$B60&lt;&gt;"",IFERROR(_xlfn.IFS(AM60&gt;='NILAI CPL'!$B$3,4,AM60&gt;='NILAI CPL'!$B$4,3,AM60&gt;='NILAI CPL'!$B$5,2,AM60&gt;'NILAI CPL'!$B$6,1),0),"")</f>
        <v/>
      </c>
      <c r="BK60" s="2" t="str" cm="1">
        <f t="array" ref="BK60">IF('NILAI CPL'!$B60&lt;&gt;"",IFERROR(_xlfn.IFS(AN60&gt;='NILAI CPL'!$B$3,4,AN60&gt;='NILAI CPL'!$B$4,3,AN60&gt;='NILAI CPL'!$B$5,2,AN60&gt;'NILAI CPL'!$B$6,1),0),"")</f>
        <v/>
      </c>
    </row>
    <row r="61" spans="1:63" x14ac:dyDescent="0.2">
      <c r="A61" s="2">
        <v>51</v>
      </c>
      <c r="B61" s="2" t="str">
        <f>IF(LEN(SUMMARY!B61)&gt;0, SUMMARY!B61, "")</f>
        <v/>
      </c>
      <c r="C61" s="2" t="str">
        <f>IF(LEN(SUMMARY!C61)&gt;0, SUMMARY!C61, "")</f>
        <v/>
      </c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" t="str">
        <f t="shared" si="2"/>
        <v/>
      </c>
      <c r="S61" s="2" t="str">
        <f t="shared" si="3"/>
        <v/>
      </c>
      <c r="T61" s="2" t="str">
        <f t="shared" si="4"/>
        <v/>
      </c>
      <c r="U61" s="2" t="str">
        <f t="shared" si="5"/>
        <v/>
      </c>
      <c r="V61" s="2" t="str">
        <f t="shared" si="6"/>
        <v/>
      </c>
      <c r="W61" s="2" t="str">
        <f t="shared" si="7"/>
        <v/>
      </c>
      <c r="X61" s="2" t="str">
        <f t="shared" si="8"/>
        <v/>
      </c>
      <c r="Y61" s="2" t="str">
        <f t="shared" si="9"/>
        <v/>
      </c>
      <c r="Z61" s="2" t="str">
        <f t="shared" si="10"/>
        <v/>
      </c>
      <c r="AA61" s="2" t="str">
        <f t="shared" si="11"/>
        <v/>
      </c>
      <c r="AB61" s="2" t="str">
        <f t="shared" si="12"/>
        <v/>
      </c>
      <c r="AC61" s="2" t="str">
        <f t="shared" si="13"/>
        <v/>
      </c>
      <c r="AD61" s="2" t="str">
        <f t="shared" si="14"/>
        <v/>
      </c>
      <c r="AE61" s="2" t="str">
        <f t="shared" si="15"/>
        <v/>
      </c>
      <c r="AF61" s="2" t="str">
        <f t="shared" si="16"/>
        <v/>
      </c>
      <c r="AG61" s="2" t="str">
        <f t="shared" si="17"/>
        <v/>
      </c>
      <c r="AH61" s="2" t="str">
        <f t="shared" si="18"/>
        <v/>
      </c>
      <c r="AI61" s="2" t="str">
        <f t="shared" si="19"/>
        <v/>
      </c>
      <c r="AJ61" s="2" t="str">
        <f t="shared" si="20"/>
        <v/>
      </c>
      <c r="AK61" s="2" t="str">
        <f t="shared" si="21"/>
        <v/>
      </c>
      <c r="AL61" s="2" t="str">
        <f t="shared" si="22"/>
        <v/>
      </c>
      <c r="AM61" s="2" t="str">
        <f t="shared" si="23"/>
        <v/>
      </c>
      <c r="AN61" s="2" t="str">
        <f t="shared" si="24"/>
        <v/>
      </c>
      <c r="AP61" s="2" t="str" cm="1">
        <f t="array" ref="AP61">IF('NILAI CPL'!$B61&lt;&gt;"",IFERROR(_xlfn.IFS(S61&gt;='NILAI CPL'!$B$3,4,S61&gt;='NILAI CPL'!$B$4,3,S61&gt;='NILAI CPL'!$B$5,2,S61&gt;'NILAI CPL'!$B$6,1),0),"")</f>
        <v/>
      </c>
      <c r="AQ61" s="2" t="str" cm="1">
        <f t="array" ref="AQ61">IF('NILAI CPL'!$B61&lt;&gt;"",IFERROR(_xlfn.IFS(T61&gt;='NILAI CPL'!$B$3,4,T61&gt;='NILAI CPL'!$B$4,3,T61&gt;='NILAI CPL'!$B$5,2,T61&gt;'NILAI CPL'!$B$6,1),0),"")</f>
        <v/>
      </c>
      <c r="AR61" s="2" t="str" cm="1">
        <f t="array" ref="AR61">IF('NILAI CPL'!$B61&lt;&gt;"",IFERROR(_xlfn.IFS(U61&gt;='NILAI CPL'!$B$3,4,U61&gt;='NILAI CPL'!$B$4,3,U61&gt;='NILAI CPL'!$B$5,2,U61&gt;'NILAI CPL'!$B$6,1),0),"")</f>
        <v/>
      </c>
      <c r="AS61" s="2" t="str" cm="1">
        <f t="array" ref="AS61">IF('NILAI CPL'!$B61&lt;&gt;"",IFERROR(_xlfn.IFS(V61&gt;='NILAI CPL'!$B$3,4,V61&gt;='NILAI CPL'!$B$4,3,V61&gt;='NILAI CPL'!$B$5,2,V61&gt;'NILAI CPL'!$B$6,1),0),"")</f>
        <v/>
      </c>
      <c r="AT61" s="2" t="str" cm="1">
        <f t="array" ref="AT61">IF('NILAI CPL'!$B61&lt;&gt;"",IFERROR(_xlfn.IFS(W61&gt;='NILAI CPL'!$B$3,4,W61&gt;='NILAI CPL'!$B$4,3,W61&gt;='NILAI CPL'!$B$5,2,W61&gt;'NILAI CPL'!$B$6,1),0),"")</f>
        <v/>
      </c>
      <c r="AU61" s="2" t="str" cm="1">
        <f t="array" ref="AU61">IF('NILAI CPL'!$B61&lt;&gt;"",IFERROR(_xlfn.IFS(X61&gt;='NILAI CPL'!$B$3,4,X61&gt;='NILAI CPL'!$B$4,3,X61&gt;='NILAI CPL'!$B$5,2,X61&gt;'NILAI CPL'!$B$6,1),0),"")</f>
        <v/>
      </c>
      <c r="AV61" s="2" t="str" cm="1">
        <f t="array" ref="AV61">IF('NILAI CPL'!$B61&lt;&gt;"",IFERROR(_xlfn.IFS(Y61&gt;='NILAI CPL'!$B$3,4,Y61&gt;='NILAI CPL'!$B$4,3,Y61&gt;='NILAI CPL'!$B$5,2,Y61&gt;'NILAI CPL'!$B$6,1),0),"")</f>
        <v/>
      </c>
      <c r="AW61" s="2" t="str" cm="1">
        <f t="array" ref="AW61">IF('NILAI CPL'!$B61&lt;&gt;"",IFERROR(_xlfn.IFS(Z61&gt;='NILAI CPL'!$B$3,4,Z61&gt;='NILAI CPL'!$B$4,3,Z61&gt;='NILAI CPL'!$B$5,2,Z61&gt;'NILAI CPL'!$B$6,1),0),"")</f>
        <v/>
      </c>
      <c r="AX61" s="2" t="str" cm="1">
        <f t="array" ref="AX61">IF('NILAI CPL'!$B61&lt;&gt;"",IFERROR(_xlfn.IFS(AA61&gt;='NILAI CPL'!$B$3,4,AA61&gt;='NILAI CPL'!$B$4,3,AA61&gt;='NILAI CPL'!$B$5,2,AA61&gt;'NILAI CPL'!$B$6,1),0),"")</f>
        <v/>
      </c>
      <c r="AY61" s="2" t="str" cm="1">
        <f t="array" ref="AY61">IF('NILAI CPL'!$B61&lt;&gt;"",IFERROR(_xlfn.IFS(AB61&gt;='NILAI CPL'!$B$3,4,AB61&gt;='NILAI CPL'!$B$4,3,AB61&gt;='NILAI CPL'!$B$5,2,AB61&gt;'NILAI CPL'!$B$6,1),0),"")</f>
        <v/>
      </c>
      <c r="AZ61" s="2" t="str" cm="1">
        <f t="array" ref="AZ61">IF('NILAI CPL'!$B61&lt;&gt;"",IFERROR(_xlfn.IFS(AC61&gt;='NILAI CPL'!$B$3,4,AC61&gt;='NILAI CPL'!$B$4,3,AC61&gt;='NILAI CPL'!$B$5,2,AC61&gt;'NILAI CPL'!$B$6,1),0),"")</f>
        <v/>
      </c>
      <c r="BA61" s="2" t="str" cm="1">
        <f t="array" ref="BA61">IF('NILAI CPL'!$B61&lt;&gt;"",IFERROR(_xlfn.IFS(AD61&gt;='NILAI CPL'!$B$3,4,AD61&gt;='NILAI CPL'!$B$4,3,AD61&gt;='NILAI CPL'!$B$5,2,AD61&gt;'NILAI CPL'!$B$6,1),0),"")</f>
        <v/>
      </c>
      <c r="BB61" s="2" t="str" cm="1">
        <f t="array" ref="BB61">IF('NILAI CPL'!$B61&lt;&gt;"",IFERROR(_xlfn.IFS(AE61&gt;='NILAI CPL'!$B$3,4,AE61&gt;='NILAI CPL'!$B$4,3,AE61&gt;='NILAI CPL'!$B$5,2,AE61&gt;'NILAI CPL'!$B$6,1),0),"")</f>
        <v/>
      </c>
      <c r="BC61" s="2" t="str" cm="1">
        <f t="array" ref="BC61">IF('NILAI CPL'!$B61&lt;&gt;"",IFERROR(_xlfn.IFS(AF61&gt;='NILAI CPL'!$B$3,4,AF61&gt;='NILAI CPL'!$B$4,3,AF61&gt;='NILAI CPL'!$B$5,2,AF61&gt;'NILAI CPL'!$B$6,1),0),"")</f>
        <v/>
      </c>
      <c r="BD61" s="2" t="str" cm="1">
        <f t="array" ref="BD61">IF('NILAI CPL'!$B61&lt;&gt;"",IFERROR(_xlfn.IFS(AG61&gt;='NILAI CPL'!$B$3,4,AG61&gt;='NILAI CPL'!$B$4,3,AG61&gt;='NILAI CPL'!$B$5,2,AG61&gt;'NILAI CPL'!$B$6,1),0),"")</f>
        <v/>
      </c>
      <c r="BE61" s="2" t="str" cm="1">
        <f t="array" ref="BE61">IF('NILAI CPL'!$B61&lt;&gt;"",IFERROR(_xlfn.IFS(AH61&gt;='NILAI CPL'!$B$3,4,AH61&gt;='NILAI CPL'!$B$4,3,AH61&gt;='NILAI CPL'!$B$5,2,AH61&gt;'NILAI CPL'!$B$6,1),0),"")</f>
        <v/>
      </c>
      <c r="BF61" s="2" t="str" cm="1">
        <f t="array" ref="BF61">IF('NILAI CPL'!$B61&lt;&gt;"",IFERROR(_xlfn.IFS(AI61&gt;='NILAI CPL'!$B$3,4,AI61&gt;='NILAI CPL'!$B$4,3,AI61&gt;='NILAI CPL'!$B$5,2,AI61&gt;'NILAI CPL'!$B$6,1),0),"")</f>
        <v/>
      </c>
      <c r="BG61" s="2" t="str" cm="1">
        <f t="array" ref="BG61">IF('NILAI CPL'!$B61&lt;&gt;"",IFERROR(_xlfn.IFS(AJ61&gt;='NILAI CPL'!$B$3,4,AJ61&gt;='NILAI CPL'!$B$4,3,AJ61&gt;='NILAI CPL'!$B$5,2,AJ61&gt;'NILAI CPL'!$B$6,1),0),"")</f>
        <v/>
      </c>
      <c r="BH61" s="2" t="str" cm="1">
        <f t="array" ref="BH61">IF('NILAI CPL'!$B61&lt;&gt;"",IFERROR(_xlfn.IFS(AK61&gt;='NILAI CPL'!$B$3,4,AK61&gt;='NILAI CPL'!$B$4,3,AK61&gt;='NILAI CPL'!$B$5,2,AK61&gt;'NILAI CPL'!$B$6,1),0),"")</f>
        <v/>
      </c>
      <c r="BI61" s="2" t="str" cm="1">
        <f t="array" ref="BI61">IF('NILAI CPL'!$B61&lt;&gt;"",IFERROR(_xlfn.IFS(AL61&gt;='NILAI CPL'!$B$3,4,AL61&gt;='NILAI CPL'!$B$4,3,AL61&gt;='NILAI CPL'!$B$5,2,AL61&gt;'NILAI CPL'!$B$6,1),0),"")</f>
        <v/>
      </c>
      <c r="BJ61" s="2" t="str" cm="1">
        <f t="array" ref="BJ61">IF('NILAI CPL'!$B61&lt;&gt;"",IFERROR(_xlfn.IFS(AM61&gt;='NILAI CPL'!$B$3,4,AM61&gt;='NILAI CPL'!$B$4,3,AM61&gt;='NILAI CPL'!$B$5,2,AM61&gt;'NILAI CPL'!$B$6,1),0),"")</f>
        <v/>
      </c>
      <c r="BK61" s="2" t="str" cm="1">
        <f t="array" ref="BK61">IF('NILAI CPL'!$B61&lt;&gt;"",IFERROR(_xlfn.IFS(AN61&gt;='NILAI CPL'!$B$3,4,AN61&gt;='NILAI CPL'!$B$4,3,AN61&gt;='NILAI CPL'!$B$5,2,AN61&gt;'NILAI CPL'!$B$6,1),0),"")</f>
        <v/>
      </c>
    </row>
    <row r="62" spans="1:63" x14ac:dyDescent="0.2">
      <c r="A62" s="2">
        <v>52</v>
      </c>
      <c r="B62" s="2" t="str">
        <f>IF(LEN(SUMMARY!B62)&gt;0, SUMMARY!B62, "")</f>
        <v/>
      </c>
      <c r="C62" s="2" t="str">
        <f>IF(LEN(SUMMARY!C62)&gt;0, SUMMARY!C62, "")</f>
        <v/>
      </c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" t="str">
        <f t="shared" si="2"/>
        <v/>
      </c>
      <c r="S62" s="2" t="str">
        <f t="shared" si="3"/>
        <v/>
      </c>
      <c r="T62" s="2" t="str">
        <f t="shared" si="4"/>
        <v/>
      </c>
      <c r="U62" s="2" t="str">
        <f t="shared" si="5"/>
        <v/>
      </c>
      <c r="V62" s="2" t="str">
        <f t="shared" si="6"/>
        <v/>
      </c>
      <c r="W62" s="2" t="str">
        <f t="shared" si="7"/>
        <v/>
      </c>
      <c r="X62" s="2" t="str">
        <f t="shared" si="8"/>
        <v/>
      </c>
      <c r="Y62" s="2" t="str">
        <f t="shared" si="9"/>
        <v/>
      </c>
      <c r="Z62" s="2" t="str">
        <f t="shared" si="10"/>
        <v/>
      </c>
      <c r="AA62" s="2" t="str">
        <f t="shared" si="11"/>
        <v/>
      </c>
      <c r="AB62" s="2" t="str">
        <f t="shared" si="12"/>
        <v/>
      </c>
      <c r="AC62" s="2" t="str">
        <f t="shared" si="13"/>
        <v/>
      </c>
      <c r="AD62" s="2" t="str">
        <f t="shared" si="14"/>
        <v/>
      </c>
      <c r="AE62" s="2" t="str">
        <f t="shared" si="15"/>
        <v/>
      </c>
      <c r="AF62" s="2" t="str">
        <f t="shared" si="16"/>
        <v/>
      </c>
      <c r="AG62" s="2" t="str">
        <f t="shared" si="17"/>
        <v/>
      </c>
      <c r="AH62" s="2" t="str">
        <f t="shared" si="18"/>
        <v/>
      </c>
      <c r="AI62" s="2" t="str">
        <f t="shared" si="19"/>
        <v/>
      </c>
      <c r="AJ62" s="2" t="str">
        <f t="shared" si="20"/>
        <v/>
      </c>
      <c r="AK62" s="2" t="str">
        <f t="shared" si="21"/>
        <v/>
      </c>
      <c r="AL62" s="2" t="str">
        <f t="shared" si="22"/>
        <v/>
      </c>
      <c r="AM62" s="2" t="str">
        <f t="shared" si="23"/>
        <v/>
      </c>
      <c r="AN62" s="2" t="str">
        <f t="shared" si="24"/>
        <v/>
      </c>
      <c r="AP62" s="2" t="str" cm="1">
        <f t="array" ref="AP62">IF('NILAI CPL'!$B62&lt;&gt;"",IFERROR(_xlfn.IFS(S62&gt;='NILAI CPL'!$B$3,4,S62&gt;='NILAI CPL'!$B$4,3,S62&gt;='NILAI CPL'!$B$5,2,S62&gt;'NILAI CPL'!$B$6,1),0),"")</f>
        <v/>
      </c>
      <c r="AQ62" s="2" t="str" cm="1">
        <f t="array" ref="AQ62">IF('NILAI CPL'!$B62&lt;&gt;"",IFERROR(_xlfn.IFS(T62&gt;='NILAI CPL'!$B$3,4,T62&gt;='NILAI CPL'!$B$4,3,T62&gt;='NILAI CPL'!$B$5,2,T62&gt;'NILAI CPL'!$B$6,1),0),"")</f>
        <v/>
      </c>
      <c r="AR62" s="2" t="str" cm="1">
        <f t="array" ref="AR62">IF('NILAI CPL'!$B62&lt;&gt;"",IFERROR(_xlfn.IFS(U62&gt;='NILAI CPL'!$B$3,4,U62&gt;='NILAI CPL'!$B$4,3,U62&gt;='NILAI CPL'!$B$5,2,U62&gt;'NILAI CPL'!$B$6,1),0),"")</f>
        <v/>
      </c>
      <c r="AS62" s="2" t="str" cm="1">
        <f t="array" ref="AS62">IF('NILAI CPL'!$B62&lt;&gt;"",IFERROR(_xlfn.IFS(V62&gt;='NILAI CPL'!$B$3,4,V62&gt;='NILAI CPL'!$B$4,3,V62&gt;='NILAI CPL'!$B$5,2,V62&gt;'NILAI CPL'!$B$6,1),0),"")</f>
        <v/>
      </c>
      <c r="AT62" s="2" t="str" cm="1">
        <f t="array" ref="AT62">IF('NILAI CPL'!$B62&lt;&gt;"",IFERROR(_xlfn.IFS(W62&gt;='NILAI CPL'!$B$3,4,W62&gt;='NILAI CPL'!$B$4,3,W62&gt;='NILAI CPL'!$B$5,2,W62&gt;'NILAI CPL'!$B$6,1),0),"")</f>
        <v/>
      </c>
      <c r="AU62" s="2" t="str" cm="1">
        <f t="array" ref="AU62">IF('NILAI CPL'!$B62&lt;&gt;"",IFERROR(_xlfn.IFS(X62&gt;='NILAI CPL'!$B$3,4,X62&gt;='NILAI CPL'!$B$4,3,X62&gt;='NILAI CPL'!$B$5,2,X62&gt;'NILAI CPL'!$B$6,1),0),"")</f>
        <v/>
      </c>
      <c r="AV62" s="2" t="str" cm="1">
        <f t="array" ref="AV62">IF('NILAI CPL'!$B62&lt;&gt;"",IFERROR(_xlfn.IFS(Y62&gt;='NILAI CPL'!$B$3,4,Y62&gt;='NILAI CPL'!$B$4,3,Y62&gt;='NILAI CPL'!$B$5,2,Y62&gt;'NILAI CPL'!$B$6,1),0),"")</f>
        <v/>
      </c>
      <c r="AW62" s="2" t="str" cm="1">
        <f t="array" ref="AW62">IF('NILAI CPL'!$B62&lt;&gt;"",IFERROR(_xlfn.IFS(Z62&gt;='NILAI CPL'!$B$3,4,Z62&gt;='NILAI CPL'!$B$4,3,Z62&gt;='NILAI CPL'!$B$5,2,Z62&gt;'NILAI CPL'!$B$6,1),0),"")</f>
        <v/>
      </c>
      <c r="AX62" s="2" t="str" cm="1">
        <f t="array" ref="AX62">IF('NILAI CPL'!$B62&lt;&gt;"",IFERROR(_xlfn.IFS(AA62&gt;='NILAI CPL'!$B$3,4,AA62&gt;='NILAI CPL'!$B$4,3,AA62&gt;='NILAI CPL'!$B$5,2,AA62&gt;'NILAI CPL'!$B$6,1),0),"")</f>
        <v/>
      </c>
      <c r="AY62" s="2" t="str" cm="1">
        <f t="array" ref="AY62">IF('NILAI CPL'!$B62&lt;&gt;"",IFERROR(_xlfn.IFS(AB62&gt;='NILAI CPL'!$B$3,4,AB62&gt;='NILAI CPL'!$B$4,3,AB62&gt;='NILAI CPL'!$B$5,2,AB62&gt;'NILAI CPL'!$B$6,1),0),"")</f>
        <v/>
      </c>
      <c r="AZ62" s="2" t="str" cm="1">
        <f t="array" ref="AZ62">IF('NILAI CPL'!$B62&lt;&gt;"",IFERROR(_xlfn.IFS(AC62&gt;='NILAI CPL'!$B$3,4,AC62&gt;='NILAI CPL'!$B$4,3,AC62&gt;='NILAI CPL'!$B$5,2,AC62&gt;'NILAI CPL'!$B$6,1),0),"")</f>
        <v/>
      </c>
      <c r="BA62" s="2" t="str" cm="1">
        <f t="array" ref="BA62">IF('NILAI CPL'!$B62&lt;&gt;"",IFERROR(_xlfn.IFS(AD62&gt;='NILAI CPL'!$B$3,4,AD62&gt;='NILAI CPL'!$B$4,3,AD62&gt;='NILAI CPL'!$B$5,2,AD62&gt;'NILAI CPL'!$B$6,1),0),"")</f>
        <v/>
      </c>
      <c r="BB62" s="2" t="str" cm="1">
        <f t="array" ref="BB62">IF('NILAI CPL'!$B62&lt;&gt;"",IFERROR(_xlfn.IFS(AE62&gt;='NILAI CPL'!$B$3,4,AE62&gt;='NILAI CPL'!$B$4,3,AE62&gt;='NILAI CPL'!$B$5,2,AE62&gt;'NILAI CPL'!$B$6,1),0),"")</f>
        <v/>
      </c>
      <c r="BC62" s="2" t="str" cm="1">
        <f t="array" ref="BC62">IF('NILAI CPL'!$B62&lt;&gt;"",IFERROR(_xlfn.IFS(AF62&gt;='NILAI CPL'!$B$3,4,AF62&gt;='NILAI CPL'!$B$4,3,AF62&gt;='NILAI CPL'!$B$5,2,AF62&gt;'NILAI CPL'!$B$6,1),0),"")</f>
        <v/>
      </c>
      <c r="BD62" s="2" t="str" cm="1">
        <f t="array" ref="BD62">IF('NILAI CPL'!$B62&lt;&gt;"",IFERROR(_xlfn.IFS(AG62&gt;='NILAI CPL'!$B$3,4,AG62&gt;='NILAI CPL'!$B$4,3,AG62&gt;='NILAI CPL'!$B$5,2,AG62&gt;'NILAI CPL'!$B$6,1),0),"")</f>
        <v/>
      </c>
      <c r="BE62" s="2" t="str" cm="1">
        <f t="array" ref="BE62">IF('NILAI CPL'!$B62&lt;&gt;"",IFERROR(_xlfn.IFS(AH62&gt;='NILAI CPL'!$B$3,4,AH62&gt;='NILAI CPL'!$B$4,3,AH62&gt;='NILAI CPL'!$B$5,2,AH62&gt;'NILAI CPL'!$B$6,1),0),"")</f>
        <v/>
      </c>
      <c r="BF62" s="2" t="str" cm="1">
        <f t="array" ref="BF62">IF('NILAI CPL'!$B62&lt;&gt;"",IFERROR(_xlfn.IFS(AI62&gt;='NILAI CPL'!$B$3,4,AI62&gt;='NILAI CPL'!$B$4,3,AI62&gt;='NILAI CPL'!$B$5,2,AI62&gt;'NILAI CPL'!$B$6,1),0),"")</f>
        <v/>
      </c>
      <c r="BG62" s="2" t="str" cm="1">
        <f t="array" ref="BG62">IF('NILAI CPL'!$B62&lt;&gt;"",IFERROR(_xlfn.IFS(AJ62&gt;='NILAI CPL'!$B$3,4,AJ62&gt;='NILAI CPL'!$B$4,3,AJ62&gt;='NILAI CPL'!$B$5,2,AJ62&gt;'NILAI CPL'!$B$6,1),0),"")</f>
        <v/>
      </c>
      <c r="BH62" s="2" t="str" cm="1">
        <f t="array" ref="BH62">IF('NILAI CPL'!$B62&lt;&gt;"",IFERROR(_xlfn.IFS(AK62&gt;='NILAI CPL'!$B$3,4,AK62&gt;='NILAI CPL'!$B$4,3,AK62&gt;='NILAI CPL'!$B$5,2,AK62&gt;'NILAI CPL'!$B$6,1),0),"")</f>
        <v/>
      </c>
      <c r="BI62" s="2" t="str" cm="1">
        <f t="array" ref="BI62">IF('NILAI CPL'!$B62&lt;&gt;"",IFERROR(_xlfn.IFS(AL62&gt;='NILAI CPL'!$B$3,4,AL62&gt;='NILAI CPL'!$B$4,3,AL62&gt;='NILAI CPL'!$B$5,2,AL62&gt;'NILAI CPL'!$B$6,1),0),"")</f>
        <v/>
      </c>
      <c r="BJ62" s="2" t="str" cm="1">
        <f t="array" ref="BJ62">IF('NILAI CPL'!$B62&lt;&gt;"",IFERROR(_xlfn.IFS(AM62&gt;='NILAI CPL'!$B$3,4,AM62&gt;='NILAI CPL'!$B$4,3,AM62&gt;='NILAI CPL'!$B$5,2,AM62&gt;'NILAI CPL'!$B$6,1),0),"")</f>
        <v/>
      </c>
      <c r="BK62" s="2" t="str" cm="1">
        <f t="array" ref="BK62">IF('NILAI CPL'!$B62&lt;&gt;"",IFERROR(_xlfn.IFS(AN62&gt;='NILAI CPL'!$B$3,4,AN62&gt;='NILAI CPL'!$B$4,3,AN62&gt;='NILAI CPL'!$B$5,2,AN62&gt;'NILAI CPL'!$B$6,1),0),"")</f>
        <v/>
      </c>
    </row>
    <row r="63" spans="1:63" x14ac:dyDescent="0.2">
      <c r="A63" s="2">
        <v>53</v>
      </c>
      <c r="B63" s="2" t="str">
        <f>IF(LEN(SUMMARY!B63)&gt;0, SUMMARY!B63, "")</f>
        <v/>
      </c>
      <c r="C63" s="2" t="str">
        <f>IF(LEN(SUMMARY!C63)&gt;0, SUMMARY!C63, "")</f>
        <v/>
      </c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" t="str">
        <f t="shared" si="2"/>
        <v/>
      </c>
      <c r="S63" s="2" t="str">
        <f t="shared" si="3"/>
        <v/>
      </c>
      <c r="T63" s="2" t="str">
        <f t="shared" si="4"/>
        <v/>
      </c>
      <c r="U63" s="2" t="str">
        <f t="shared" si="5"/>
        <v/>
      </c>
      <c r="V63" s="2" t="str">
        <f t="shared" si="6"/>
        <v/>
      </c>
      <c r="W63" s="2" t="str">
        <f t="shared" si="7"/>
        <v/>
      </c>
      <c r="X63" s="2" t="str">
        <f t="shared" si="8"/>
        <v/>
      </c>
      <c r="Y63" s="2" t="str">
        <f t="shared" si="9"/>
        <v/>
      </c>
      <c r="Z63" s="2" t="str">
        <f t="shared" si="10"/>
        <v/>
      </c>
      <c r="AA63" s="2" t="str">
        <f t="shared" si="11"/>
        <v/>
      </c>
      <c r="AB63" s="2" t="str">
        <f t="shared" si="12"/>
        <v/>
      </c>
      <c r="AC63" s="2" t="str">
        <f t="shared" si="13"/>
        <v/>
      </c>
      <c r="AD63" s="2" t="str">
        <f t="shared" si="14"/>
        <v/>
      </c>
      <c r="AE63" s="2" t="str">
        <f t="shared" si="15"/>
        <v/>
      </c>
      <c r="AF63" s="2" t="str">
        <f t="shared" si="16"/>
        <v/>
      </c>
      <c r="AG63" s="2" t="str">
        <f t="shared" si="17"/>
        <v/>
      </c>
      <c r="AH63" s="2" t="str">
        <f t="shared" si="18"/>
        <v/>
      </c>
      <c r="AI63" s="2" t="str">
        <f t="shared" si="19"/>
        <v/>
      </c>
      <c r="AJ63" s="2" t="str">
        <f t="shared" si="20"/>
        <v/>
      </c>
      <c r="AK63" s="2" t="str">
        <f t="shared" si="21"/>
        <v/>
      </c>
      <c r="AL63" s="2" t="str">
        <f t="shared" si="22"/>
        <v/>
      </c>
      <c r="AM63" s="2" t="str">
        <f t="shared" si="23"/>
        <v/>
      </c>
      <c r="AN63" s="2" t="str">
        <f t="shared" si="24"/>
        <v/>
      </c>
      <c r="AP63" s="2" t="str" cm="1">
        <f t="array" ref="AP63">IF('NILAI CPL'!$B63&lt;&gt;"",IFERROR(_xlfn.IFS(S63&gt;='NILAI CPL'!$B$3,4,S63&gt;='NILAI CPL'!$B$4,3,S63&gt;='NILAI CPL'!$B$5,2,S63&gt;'NILAI CPL'!$B$6,1),0),"")</f>
        <v/>
      </c>
      <c r="AQ63" s="2" t="str" cm="1">
        <f t="array" ref="AQ63">IF('NILAI CPL'!$B63&lt;&gt;"",IFERROR(_xlfn.IFS(T63&gt;='NILAI CPL'!$B$3,4,T63&gt;='NILAI CPL'!$B$4,3,T63&gt;='NILAI CPL'!$B$5,2,T63&gt;'NILAI CPL'!$B$6,1),0),"")</f>
        <v/>
      </c>
      <c r="AR63" s="2" t="str" cm="1">
        <f t="array" ref="AR63">IF('NILAI CPL'!$B63&lt;&gt;"",IFERROR(_xlfn.IFS(U63&gt;='NILAI CPL'!$B$3,4,U63&gt;='NILAI CPL'!$B$4,3,U63&gt;='NILAI CPL'!$B$5,2,U63&gt;'NILAI CPL'!$B$6,1),0),"")</f>
        <v/>
      </c>
      <c r="AS63" s="2" t="str" cm="1">
        <f t="array" ref="AS63">IF('NILAI CPL'!$B63&lt;&gt;"",IFERROR(_xlfn.IFS(V63&gt;='NILAI CPL'!$B$3,4,V63&gt;='NILAI CPL'!$B$4,3,V63&gt;='NILAI CPL'!$B$5,2,V63&gt;'NILAI CPL'!$B$6,1),0),"")</f>
        <v/>
      </c>
      <c r="AT63" s="2" t="str" cm="1">
        <f t="array" ref="AT63">IF('NILAI CPL'!$B63&lt;&gt;"",IFERROR(_xlfn.IFS(W63&gt;='NILAI CPL'!$B$3,4,W63&gt;='NILAI CPL'!$B$4,3,W63&gt;='NILAI CPL'!$B$5,2,W63&gt;'NILAI CPL'!$B$6,1),0),"")</f>
        <v/>
      </c>
      <c r="AU63" s="2" t="str" cm="1">
        <f t="array" ref="AU63">IF('NILAI CPL'!$B63&lt;&gt;"",IFERROR(_xlfn.IFS(X63&gt;='NILAI CPL'!$B$3,4,X63&gt;='NILAI CPL'!$B$4,3,X63&gt;='NILAI CPL'!$B$5,2,X63&gt;'NILAI CPL'!$B$6,1),0),"")</f>
        <v/>
      </c>
      <c r="AV63" s="2" t="str" cm="1">
        <f t="array" ref="AV63">IF('NILAI CPL'!$B63&lt;&gt;"",IFERROR(_xlfn.IFS(Y63&gt;='NILAI CPL'!$B$3,4,Y63&gt;='NILAI CPL'!$B$4,3,Y63&gt;='NILAI CPL'!$B$5,2,Y63&gt;'NILAI CPL'!$B$6,1),0),"")</f>
        <v/>
      </c>
      <c r="AW63" s="2" t="str" cm="1">
        <f t="array" ref="AW63">IF('NILAI CPL'!$B63&lt;&gt;"",IFERROR(_xlfn.IFS(Z63&gt;='NILAI CPL'!$B$3,4,Z63&gt;='NILAI CPL'!$B$4,3,Z63&gt;='NILAI CPL'!$B$5,2,Z63&gt;'NILAI CPL'!$B$6,1),0),"")</f>
        <v/>
      </c>
      <c r="AX63" s="2" t="str" cm="1">
        <f t="array" ref="AX63">IF('NILAI CPL'!$B63&lt;&gt;"",IFERROR(_xlfn.IFS(AA63&gt;='NILAI CPL'!$B$3,4,AA63&gt;='NILAI CPL'!$B$4,3,AA63&gt;='NILAI CPL'!$B$5,2,AA63&gt;'NILAI CPL'!$B$6,1),0),"")</f>
        <v/>
      </c>
      <c r="AY63" s="2" t="str" cm="1">
        <f t="array" ref="AY63">IF('NILAI CPL'!$B63&lt;&gt;"",IFERROR(_xlfn.IFS(AB63&gt;='NILAI CPL'!$B$3,4,AB63&gt;='NILAI CPL'!$B$4,3,AB63&gt;='NILAI CPL'!$B$5,2,AB63&gt;'NILAI CPL'!$B$6,1),0),"")</f>
        <v/>
      </c>
      <c r="AZ63" s="2" t="str" cm="1">
        <f t="array" ref="AZ63">IF('NILAI CPL'!$B63&lt;&gt;"",IFERROR(_xlfn.IFS(AC63&gt;='NILAI CPL'!$B$3,4,AC63&gt;='NILAI CPL'!$B$4,3,AC63&gt;='NILAI CPL'!$B$5,2,AC63&gt;'NILAI CPL'!$B$6,1),0),"")</f>
        <v/>
      </c>
      <c r="BA63" s="2" t="str" cm="1">
        <f t="array" ref="BA63">IF('NILAI CPL'!$B63&lt;&gt;"",IFERROR(_xlfn.IFS(AD63&gt;='NILAI CPL'!$B$3,4,AD63&gt;='NILAI CPL'!$B$4,3,AD63&gt;='NILAI CPL'!$B$5,2,AD63&gt;'NILAI CPL'!$B$6,1),0),"")</f>
        <v/>
      </c>
      <c r="BB63" s="2" t="str" cm="1">
        <f t="array" ref="BB63">IF('NILAI CPL'!$B63&lt;&gt;"",IFERROR(_xlfn.IFS(AE63&gt;='NILAI CPL'!$B$3,4,AE63&gt;='NILAI CPL'!$B$4,3,AE63&gt;='NILAI CPL'!$B$5,2,AE63&gt;'NILAI CPL'!$B$6,1),0),"")</f>
        <v/>
      </c>
      <c r="BC63" s="2" t="str" cm="1">
        <f t="array" ref="BC63">IF('NILAI CPL'!$B63&lt;&gt;"",IFERROR(_xlfn.IFS(AF63&gt;='NILAI CPL'!$B$3,4,AF63&gt;='NILAI CPL'!$B$4,3,AF63&gt;='NILAI CPL'!$B$5,2,AF63&gt;'NILAI CPL'!$B$6,1),0),"")</f>
        <v/>
      </c>
      <c r="BD63" s="2" t="str" cm="1">
        <f t="array" ref="BD63">IF('NILAI CPL'!$B63&lt;&gt;"",IFERROR(_xlfn.IFS(AG63&gt;='NILAI CPL'!$B$3,4,AG63&gt;='NILAI CPL'!$B$4,3,AG63&gt;='NILAI CPL'!$B$5,2,AG63&gt;'NILAI CPL'!$B$6,1),0),"")</f>
        <v/>
      </c>
      <c r="BE63" s="2" t="str" cm="1">
        <f t="array" ref="BE63">IF('NILAI CPL'!$B63&lt;&gt;"",IFERROR(_xlfn.IFS(AH63&gt;='NILAI CPL'!$B$3,4,AH63&gt;='NILAI CPL'!$B$4,3,AH63&gt;='NILAI CPL'!$B$5,2,AH63&gt;'NILAI CPL'!$B$6,1),0),"")</f>
        <v/>
      </c>
      <c r="BF63" s="2" t="str" cm="1">
        <f t="array" ref="BF63">IF('NILAI CPL'!$B63&lt;&gt;"",IFERROR(_xlfn.IFS(AI63&gt;='NILAI CPL'!$B$3,4,AI63&gt;='NILAI CPL'!$B$4,3,AI63&gt;='NILAI CPL'!$B$5,2,AI63&gt;'NILAI CPL'!$B$6,1),0),"")</f>
        <v/>
      </c>
      <c r="BG63" s="2" t="str" cm="1">
        <f t="array" ref="BG63">IF('NILAI CPL'!$B63&lt;&gt;"",IFERROR(_xlfn.IFS(AJ63&gt;='NILAI CPL'!$B$3,4,AJ63&gt;='NILAI CPL'!$B$4,3,AJ63&gt;='NILAI CPL'!$B$5,2,AJ63&gt;'NILAI CPL'!$B$6,1),0),"")</f>
        <v/>
      </c>
      <c r="BH63" s="2" t="str" cm="1">
        <f t="array" ref="BH63">IF('NILAI CPL'!$B63&lt;&gt;"",IFERROR(_xlfn.IFS(AK63&gt;='NILAI CPL'!$B$3,4,AK63&gt;='NILAI CPL'!$B$4,3,AK63&gt;='NILAI CPL'!$B$5,2,AK63&gt;'NILAI CPL'!$B$6,1),0),"")</f>
        <v/>
      </c>
      <c r="BI63" s="2" t="str" cm="1">
        <f t="array" ref="BI63">IF('NILAI CPL'!$B63&lt;&gt;"",IFERROR(_xlfn.IFS(AL63&gt;='NILAI CPL'!$B$3,4,AL63&gt;='NILAI CPL'!$B$4,3,AL63&gt;='NILAI CPL'!$B$5,2,AL63&gt;'NILAI CPL'!$B$6,1),0),"")</f>
        <v/>
      </c>
      <c r="BJ63" s="2" t="str" cm="1">
        <f t="array" ref="BJ63">IF('NILAI CPL'!$B63&lt;&gt;"",IFERROR(_xlfn.IFS(AM63&gt;='NILAI CPL'!$B$3,4,AM63&gt;='NILAI CPL'!$B$4,3,AM63&gt;='NILAI CPL'!$B$5,2,AM63&gt;'NILAI CPL'!$B$6,1),0),"")</f>
        <v/>
      </c>
      <c r="BK63" s="2" t="str" cm="1">
        <f t="array" ref="BK63">IF('NILAI CPL'!$B63&lt;&gt;"",IFERROR(_xlfn.IFS(AN63&gt;='NILAI CPL'!$B$3,4,AN63&gt;='NILAI CPL'!$B$4,3,AN63&gt;='NILAI CPL'!$B$5,2,AN63&gt;'NILAI CPL'!$B$6,1),0),"")</f>
        <v/>
      </c>
    </row>
    <row r="64" spans="1:63" x14ac:dyDescent="0.2">
      <c r="A64" s="2">
        <v>54</v>
      </c>
      <c r="B64" s="2" t="str">
        <f>IF(LEN(SUMMARY!B64)&gt;0, SUMMARY!B64, "")</f>
        <v/>
      </c>
      <c r="C64" s="2" t="str">
        <f>IF(LEN(SUMMARY!C64)&gt;0, SUMMARY!C64, "")</f>
        <v/>
      </c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" t="str">
        <f t="shared" si="2"/>
        <v/>
      </c>
      <c r="S64" s="2" t="str">
        <f t="shared" si="3"/>
        <v/>
      </c>
      <c r="T64" s="2" t="str">
        <f t="shared" si="4"/>
        <v/>
      </c>
      <c r="U64" s="2" t="str">
        <f t="shared" si="5"/>
        <v/>
      </c>
      <c r="V64" s="2" t="str">
        <f t="shared" si="6"/>
        <v/>
      </c>
      <c r="W64" s="2" t="str">
        <f t="shared" si="7"/>
        <v/>
      </c>
      <c r="X64" s="2" t="str">
        <f t="shared" si="8"/>
        <v/>
      </c>
      <c r="Y64" s="2" t="str">
        <f t="shared" si="9"/>
        <v/>
      </c>
      <c r="Z64" s="2" t="str">
        <f t="shared" si="10"/>
        <v/>
      </c>
      <c r="AA64" s="2" t="str">
        <f t="shared" si="11"/>
        <v/>
      </c>
      <c r="AB64" s="2" t="str">
        <f t="shared" si="12"/>
        <v/>
      </c>
      <c r="AC64" s="2" t="str">
        <f t="shared" si="13"/>
        <v/>
      </c>
      <c r="AD64" s="2" t="str">
        <f t="shared" si="14"/>
        <v/>
      </c>
      <c r="AE64" s="2" t="str">
        <f t="shared" si="15"/>
        <v/>
      </c>
      <c r="AF64" s="2" t="str">
        <f t="shared" si="16"/>
        <v/>
      </c>
      <c r="AG64" s="2" t="str">
        <f t="shared" si="17"/>
        <v/>
      </c>
      <c r="AH64" s="2" t="str">
        <f t="shared" si="18"/>
        <v/>
      </c>
      <c r="AI64" s="2" t="str">
        <f t="shared" si="19"/>
        <v/>
      </c>
      <c r="AJ64" s="2" t="str">
        <f t="shared" si="20"/>
        <v/>
      </c>
      <c r="AK64" s="2" t="str">
        <f t="shared" si="21"/>
        <v/>
      </c>
      <c r="AL64" s="2" t="str">
        <f t="shared" si="22"/>
        <v/>
      </c>
      <c r="AM64" s="2" t="str">
        <f t="shared" si="23"/>
        <v/>
      </c>
      <c r="AN64" s="2" t="str">
        <f t="shared" si="24"/>
        <v/>
      </c>
      <c r="AP64" s="2" t="str" cm="1">
        <f t="array" ref="AP64">IF('NILAI CPL'!$B64&lt;&gt;"",IFERROR(_xlfn.IFS(S64&gt;='NILAI CPL'!$B$3,4,S64&gt;='NILAI CPL'!$B$4,3,S64&gt;='NILAI CPL'!$B$5,2,S64&gt;'NILAI CPL'!$B$6,1),0),"")</f>
        <v/>
      </c>
      <c r="AQ64" s="2" t="str" cm="1">
        <f t="array" ref="AQ64">IF('NILAI CPL'!$B64&lt;&gt;"",IFERROR(_xlfn.IFS(T64&gt;='NILAI CPL'!$B$3,4,T64&gt;='NILAI CPL'!$B$4,3,T64&gt;='NILAI CPL'!$B$5,2,T64&gt;'NILAI CPL'!$B$6,1),0),"")</f>
        <v/>
      </c>
      <c r="AR64" s="2" t="str" cm="1">
        <f t="array" ref="AR64">IF('NILAI CPL'!$B64&lt;&gt;"",IFERROR(_xlfn.IFS(U64&gt;='NILAI CPL'!$B$3,4,U64&gt;='NILAI CPL'!$B$4,3,U64&gt;='NILAI CPL'!$B$5,2,U64&gt;'NILAI CPL'!$B$6,1),0),"")</f>
        <v/>
      </c>
      <c r="AS64" s="2" t="str" cm="1">
        <f t="array" ref="AS64">IF('NILAI CPL'!$B64&lt;&gt;"",IFERROR(_xlfn.IFS(V64&gt;='NILAI CPL'!$B$3,4,V64&gt;='NILAI CPL'!$B$4,3,V64&gt;='NILAI CPL'!$B$5,2,V64&gt;'NILAI CPL'!$B$6,1),0),"")</f>
        <v/>
      </c>
      <c r="AT64" s="2" t="str" cm="1">
        <f t="array" ref="AT64">IF('NILAI CPL'!$B64&lt;&gt;"",IFERROR(_xlfn.IFS(W64&gt;='NILAI CPL'!$B$3,4,W64&gt;='NILAI CPL'!$B$4,3,W64&gt;='NILAI CPL'!$B$5,2,W64&gt;'NILAI CPL'!$B$6,1),0),"")</f>
        <v/>
      </c>
      <c r="AU64" s="2" t="str" cm="1">
        <f t="array" ref="AU64">IF('NILAI CPL'!$B64&lt;&gt;"",IFERROR(_xlfn.IFS(X64&gt;='NILAI CPL'!$B$3,4,X64&gt;='NILAI CPL'!$B$4,3,X64&gt;='NILAI CPL'!$B$5,2,X64&gt;'NILAI CPL'!$B$6,1),0),"")</f>
        <v/>
      </c>
      <c r="AV64" s="2" t="str" cm="1">
        <f t="array" ref="AV64">IF('NILAI CPL'!$B64&lt;&gt;"",IFERROR(_xlfn.IFS(Y64&gt;='NILAI CPL'!$B$3,4,Y64&gt;='NILAI CPL'!$B$4,3,Y64&gt;='NILAI CPL'!$B$5,2,Y64&gt;'NILAI CPL'!$B$6,1),0),"")</f>
        <v/>
      </c>
      <c r="AW64" s="2" t="str" cm="1">
        <f t="array" ref="AW64">IF('NILAI CPL'!$B64&lt;&gt;"",IFERROR(_xlfn.IFS(Z64&gt;='NILAI CPL'!$B$3,4,Z64&gt;='NILAI CPL'!$B$4,3,Z64&gt;='NILAI CPL'!$B$5,2,Z64&gt;'NILAI CPL'!$B$6,1),0),"")</f>
        <v/>
      </c>
      <c r="AX64" s="2" t="str" cm="1">
        <f t="array" ref="AX64">IF('NILAI CPL'!$B64&lt;&gt;"",IFERROR(_xlfn.IFS(AA64&gt;='NILAI CPL'!$B$3,4,AA64&gt;='NILAI CPL'!$B$4,3,AA64&gt;='NILAI CPL'!$B$5,2,AA64&gt;'NILAI CPL'!$B$6,1),0),"")</f>
        <v/>
      </c>
      <c r="AY64" s="2" t="str" cm="1">
        <f t="array" ref="AY64">IF('NILAI CPL'!$B64&lt;&gt;"",IFERROR(_xlfn.IFS(AB64&gt;='NILAI CPL'!$B$3,4,AB64&gt;='NILAI CPL'!$B$4,3,AB64&gt;='NILAI CPL'!$B$5,2,AB64&gt;'NILAI CPL'!$B$6,1),0),"")</f>
        <v/>
      </c>
      <c r="AZ64" s="2" t="str" cm="1">
        <f t="array" ref="AZ64">IF('NILAI CPL'!$B64&lt;&gt;"",IFERROR(_xlfn.IFS(AC64&gt;='NILAI CPL'!$B$3,4,AC64&gt;='NILAI CPL'!$B$4,3,AC64&gt;='NILAI CPL'!$B$5,2,AC64&gt;'NILAI CPL'!$B$6,1),0),"")</f>
        <v/>
      </c>
      <c r="BA64" s="2" t="str" cm="1">
        <f t="array" ref="BA64">IF('NILAI CPL'!$B64&lt;&gt;"",IFERROR(_xlfn.IFS(AD64&gt;='NILAI CPL'!$B$3,4,AD64&gt;='NILAI CPL'!$B$4,3,AD64&gt;='NILAI CPL'!$B$5,2,AD64&gt;'NILAI CPL'!$B$6,1),0),"")</f>
        <v/>
      </c>
      <c r="BB64" s="2" t="str" cm="1">
        <f t="array" ref="BB64">IF('NILAI CPL'!$B64&lt;&gt;"",IFERROR(_xlfn.IFS(AE64&gt;='NILAI CPL'!$B$3,4,AE64&gt;='NILAI CPL'!$B$4,3,AE64&gt;='NILAI CPL'!$B$5,2,AE64&gt;'NILAI CPL'!$B$6,1),0),"")</f>
        <v/>
      </c>
      <c r="BC64" s="2" t="str" cm="1">
        <f t="array" ref="BC64">IF('NILAI CPL'!$B64&lt;&gt;"",IFERROR(_xlfn.IFS(AF64&gt;='NILAI CPL'!$B$3,4,AF64&gt;='NILAI CPL'!$B$4,3,AF64&gt;='NILAI CPL'!$B$5,2,AF64&gt;'NILAI CPL'!$B$6,1),0),"")</f>
        <v/>
      </c>
      <c r="BD64" s="2" t="str" cm="1">
        <f t="array" ref="BD64">IF('NILAI CPL'!$B64&lt;&gt;"",IFERROR(_xlfn.IFS(AG64&gt;='NILAI CPL'!$B$3,4,AG64&gt;='NILAI CPL'!$B$4,3,AG64&gt;='NILAI CPL'!$B$5,2,AG64&gt;'NILAI CPL'!$B$6,1),0),"")</f>
        <v/>
      </c>
      <c r="BE64" s="2" t="str" cm="1">
        <f t="array" ref="BE64">IF('NILAI CPL'!$B64&lt;&gt;"",IFERROR(_xlfn.IFS(AH64&gt;='NILAI CPL'!$B$3,4,AH64&gt;='NILAI CPL'!$B$4,3,AH64&gt;='NILAI CPL'!$B$5,2,AH64&gt;'NILAI CPL'!$B$6,1),0),"")</f>
        <v/>
      </c>
      <c r="BF64" s="2" t="str" cm="1">
        <f t="array" ref="BF64">IF('NILAI CPL'!$B64&lt;&gt;"",IFERROR(_xlfn.IFS(AI64&gt;='NILAI CPL'!$B$3,4,AI64&gt;='NILAI CPL'!$B$4,3,AI64&gt;='NILAI CPL'!$B$5,2,AI64&gt;'NILAI CPL'!$B$6,1),0),"")</f>
        <v/>
      </c>
      <c r="BG64" s="2" t="str" cm="1">
        <f t="array" ref="BG64">IF('NILAI CPL'!$B64&lt;&gt;"",IFERROR(_xlfn.IFS(AJ64&gt;='NILAI CPL'!$B$3,4,AJ64&gt;='NILAI CPL'!$B$4,3,AJ64&gt;='NILAI CPL'!$B$5,2,AJ64&gt;'NILAI CPL'!$B$6,1),0),"")</f>
        <v/>
      </c>
      <c r="BH64" s="2" t="str" cm="1">
        <f t="array" ref="BH64">IF('NILAI CPL'!$B64&lt;&gt;"",IFERROR(_xlfn.IFS(AK64&gt;='NILAI CPL'!$B$3,4,AK64&gt;='NILAI CPL'!$B$4,3,AK64&gt;='NILAI CPL'!$B$5,2,AK64&gt;'NILAI CPL'!$B$6,1),0),"")</f>
        <v/>
      </c>
      <c r="BI64" s="2" t="str" cm="1">
        <f t="array" ref="BI64">IF('NILAI CPL'!$B64&lt;&gt;"",IFERROR(_xlfn.IFS(AL64&gt;='NILAI CPL'!$B$3,4,AL64&gt;='NILAI CPL'!$B$4,3,AL64&gt;='NILAI CPL'!$B$5,2,AL64&gt;'NILAI CPL'!$B$6,1),0),"")</f>
        <v/>
      </c>
      <c r="BJ64" s="2" t="str" cm="1">
        <f t="array" ref="BJ64">IF('NILAI CPL'!$B64&lt;&gt;"",IFERROR(_xlfn.IFS(AM64&gt;='NILAI CPL'!$B$3,4,AM64&gt;='NILAI CPL'!$B$4,3,AM64&gt;='NILAI CPL'!$B$5,2,AM64&gt;'NILAI CPL'!$B$6,1),0),"")</f>
        <v/>
      </c>
      <c r="BK64" s="2" t="str" cm="1">
        <f t="array" ref="BK64">IF('NILAI CPL'!$B64&lt;&gt;"",IFERROR(_xlfn.IFS(AN64&gt;='NILAI CPL'!$B$3,4,AN64&gt;='NILAI CPL'!$B$4,3,AN64&gt;='NILAI CPL'!$B$5,2,AN64&gt;'NILAI CPL'!$B$6,1),0),"")</f>
        <v/>
      </c>
    </row>
    <row r="65" spans="1:63" x14ac:dyDescent="0.2">
      <c r="A65" s="2">
        <v>55</v>
      </c>
      <c r="B65" s="2" t="str">
        <f>IF(LEN(SUMMARY!B65)&gt;0, SUMMARY!B65, "")</f>
        <v/>
      </c>
      <c r="C65" s="2" t="str">
        <f>IF(LEN(SUMMARY!C65)&gt;0, SUMMARY!C65, "")</f>
        <v/>
      </c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" t="str">
        <f t="shared" si="2"/>
        <v/>
      </c>
      <c r="S65" s="2" t="str">
        <f t="shared" si="3"/>
        <v/>
      </c>
      <c r="T65" s="2" t="str">
        <f t="shared" si="4"/>
        <v/>
      </c>
      <c r="U65" s="2" t="str">
        <f t="shared" si="5"/>
        <v/>
      </c>
      <c r="V65" s="2" t="str">
        <f t="shared" si="6"/>
        <v/>
      </c>
      <c r="W65" s="2" t="str">
        <f t="shared" si="7"/>
        <v/>
      </c>
      <c r="X65" s="2" t="str">
        <f t="shared" si="8"/>
        <v/>
      </c>
      <c r="Y65" s="2" t="str">
        <f t="shared" si="9"/>
        <v/>
      </c>
      <c r="Z65" s="2" t="str">
        <f t="shared" si="10"/>
        <v/>
      </c>
      <c r="AA65" s="2" t="str">
        <f t="shared" si="11"/>
        <v/>
      </c>
      <c r="AB65" s="2" t="str">
        <f t="shared" si="12"/>
        <v/>
      </c>
      <c r="AC65" s="2" t="str">
        <f t="shared" si="13"/>
        <v/>
      </c>
      <c r="AD65" s="2" t="str">
        <f t="shared" si="14"/>
        <v/>
      </c>
      <c r="AE65" s="2" t="str">
        <f t="shared" si="15"/>
        <v/>
      </c>
      <c r="AF65" s="2" t="str">
        <f t="shared" si="16"/>
        <v/>
      </c>
      <c r="AG65" s="2" t="str">
        <f t="shared" si="17"/>
        <v/>
      </c>
      <c r="AH65" s="2" t="str">
        <f t="shared" si="18"/>
        <v/>
      </c>
      <c r="AI65" s="2" t="str">
        <f t="shared" si="19"/>
        <v/>
      </c>
      <c r="AJ65" s="2" t="str">
        <f t="shared" si="20"/>
        <v/>
      </c>
      <c r="AK65" s="2" t="str">
        <f t="shared" si="21"/>
        <v/>
      </c>
      <c r="AL65" s="2" t="str">
        <f t="shared" si="22"/>
        <v/>
      </c>
      <c r="AM65" s="2" t="str">
        <f t="shared" si="23"/>
        <v/>
      </c>
      <c r="AN65" s="2" t="str">
        <f t="shared" si="24"/>
        <v/>
      </c>
      <c r="AP65" s="2" t="str" cm="1">
        <f t="array" ref="AP65">IF('NILAI CPL'!$B65&lt;&gt;"",IFERROR(_xlfn.IFS(S65&gt;='NILAI CPL'!$B$3,4,S65&gt;='NILAI CPL'!$B$4,3,S65&gt;='NILAI CPL'!$B$5,2,S65&gt;'NILAI CPL'!$B$6,1),0),"")</f>
        <v/>
      </c>
      <c r="AQ65" s="2" t="str" cm="1">
        <f t="array" ref="AQ65">IF('NILAI CPL'!$B65&lt;&gt;"",IFERROR(_xlfn.IFS(T65&gt;='NILAI CPL'!$B$3,4,T65&gt;='NILAI CPL'!$B$4,3,T65&gt;='NILAI CPL'!$B$5,2,T65&gt;'NILAI CPL'!$B$6,1),0),"")</f>
        <v/>
      </c>
      <c r="AR65" s="2" t="str" cm="1">
        <f t="array" ref="AR65">IF('NILAI CPL'!$B65&lt;&gt;"",IFERROR(_xlfn.IFS(U65&gt;='NILAI CPL'!$B$3,4,U65&gt;='NILAI CPL'!$B$4,3,U65&gt;='NILAI CPL'!$B$5,2,U65&gt;'NILAI CPL'!$B$6,1),0),"")</f>
        <v/>
      </c>
      <c r="AS65" s="2" t="str" cm="1">
        <f t="array" ref="AS65">IF('NILAI CPL'!$B65&lt;&gt;"",IFERROR(_xlfn.IFS(V65&gt;='NILAI CPL'!$B$3,4,V65&gt;='NILAI CPL'!$B$4,3,V65&gt;='NILAI CPL'!$B$5,2,V65&gt;'NILAI CPL'!$B$6,1),0),"")</f>
        <v/>
      </c>
      <c r="AT65" s="2" t="str" cm="1">
        <f t="array" ref="AT65">IF('NILAI CPL'!$B65&lt;&gt;"",IFERROR(_xlfn.IFS(W65&gt;='NILAI CPL'!$B$3,4,W65&gt;='NILAI CPL'!$B$4,3,W65&gt;='NILAI CPL'!$B$5,2,W65&gt;'NILAI CPL'!$B$6,1),0),"")</f>
        <v/>
      </c>
      <c r="AU65" s="2" t="str" cm="1">
        <f t="array" ref="AU65">IF('NILAI CPL'!$B65&lt;&gt;"",IFERROR(_xlfn.IFS(X65&gt;='NILAI CPL'!$B$3,4,X65&gt;='NILAI CPL'!$B$4,3,X65&gt;='NILAI CPL'!$B$5,2,X65&gt;'NILAI CPL'!$B$6,1),0),"")</f>
        <v/>
      </c>
      <c r="AV65" s="2" t="str" cm="1">
        <f t="array" ref="AV65">IF('NILAI CPL'!$B65&lt;&gt;"",IFERROR(_xlfn.IFS(Y65&gt;='NILAI CPL'!$B$3,4,Y65&gt;='NILAI CPL'!$B$4,3,Y65&gt;='NILAI CPL'!$B$5,2,Y65&gt;'NILAI CPL'!$B$6,1),0),"")</f>
        <v/>
      </c>
      <c r="AW65" s="2" t="str" cm="1">
        <f t="array" ref="AW65">IF('NILAI CPL'!$B65&lt;&gt;"",IFERROR(_xlfn.IFS(Z65&gt;='NILAI CPL'!$B$3,4,Z65&gt;='NILAI CPL'!$B$4,3,Z65&gt;='NILAI CPL'!$B$5,2,Z65&gt;'NILAI CPL'!$B$6,1),0),"")</f>
        <v/>
      </c>
      <c r="AX65" s="2" t="str" cm="1">
        <f t="array" ref="AX65">IF('NILAI CPL'!$B65&lt;&gt;"",IFERROR(_xlfn.IFS(AA65&gt;='NILAI CPL'!$B$3,4,AA65&gt;='NILAI CPL'!$B$4,3,AA65&gt;='NILAI CPL'!$B$5,2,AA65&gt;'NILAI CPL'!$B$6,1),0),"")</f>
        <v/>
      </c>
      <c r="AY65" s="2" t="str" cm="1">
        <f t="array" ref="AY65">IF('NILAI CPL'!$B65&lt;&gt;"",IFERROR(_xlfn.IFS(AB65&gt;='NILAI CPL'!$B$3,4,AB65&gt;='NILAI CPL'!$B$4,3,AB65&gt;='NILAI CPL'!$B$5,2,AB65&gt;'NILAI CPL'!$B$6,1),0),"")</f>
        <v/>
      </c>
      <c r="AZ65" s="2" t="str" cm="1">
        <f t="array" ref="AZ65">IF('NILAI CPL'!$B65&lt;&gt;"",IFERROR(_xlfn.IFS(AC65&gt;='NILAI CPL'!$B$3,4,AC65&gt;='NILAI CPL'!$B$4,3,AC65&gt;='NILAI CPL'!$B$5,2,AC65&gt;'NILAI CPL'!$B$6,1),0),"")</f>
        <v/>
      </c>
      <c r="BA65" s="2" t="str" cm="1">
        <f t="array" ref="BA65">IF('NILAI CPL'!$B65&lt;&gt;"",IFERROR(_xlfn.IFS(AD65&gt;='NILAI CPL'!$B$3,4,AD65&gt;='NILAI CPL'!$B$4,3,AD65&gt;='NILAI CPL'!$B$5,2,AD65&gt;'NILAI CPL'!$B$6,1),0),"")</f>
        <v/>
      </c>
      <c r="BB65" s="2" t="str" cm="1">
        <f t="array" ref="BB65">IF('NILAI CPL'!$B65&lt;&gt;"",IFERROR(_xlfn.IFS(AE65&gt;='NILAI CPL'!$B$3,4,AE65&gt;='NILAI CPL'!$B$4,3,AE65&gt;='NILAI CPL'!$B$5,2,AE65&gt;'NILAI CPL'!$B$6,1),0),"")</f>
        <v/>
      </c>
      <c r="BC65" s="2" t="str" cm="1">
        <f t="array" ref="BC65">IF('NILAI CPL'!$B65&lt;&gt;"",IFERROR(_xlfn.IFS(AF65&gt;='NILAI CPL'!$B$3,4,AF65&gt;='NILAI CPL'!$B$4,3,AF65&gt;='NILAI CPL'!$B$5,2,AF65&gt;'NILAI CPL'!$B$6,1),0),"")</f>
        <v/>
      </c>
      <c r="BD65" s="2" t="str" cm="1">
        <f t="array" ref="BD65">IF('NILAI CPL'!$B65&lt;&gt;"",IFERROR(_xlfn.IFS(AG65&gt;='NILAI CPL'!$B$3,4,AG65&gt;='NILAI CPL'!$B$4,3,AG65&gt;='NILAI CPL'!$B$5,2,AG65&gt;'NILAI CPL'!$B$6,1),0),"")</f>
        <v/>
      </c>
      <c r="BE65" s="2" t="str" cm="1">
        <f t="array" ref="BE65">IF('NILAI CPL'!$B65&lt;&gt;"",IFERROR(_xlfn.IFS(AH65&gt;='NILAI CPL'!$B$3,4,AH65&gt;='NILAI CPL'!$B$4,3,AH65&gt;='NILAI CPL'!$B$5,2,AH65&gt;'NILAI CPL'!$B$6,1),0),"")</f>
        <v/>
      </c>
      <c r="BF65" s="2" t="str" cm="1">
        <f t="array" ref="BF65">IF('NILAI CPL'!$B65&lt;&gt;"",IFERROR(_xlfn.IFS(AI65&gt;='NILAI CPL'!$B$3,4,AI65&gt;='NILAI CPL'!$B$4,3,AI65&gt;='NILAI CPL'!$B$5,2,AI65&gt;'NILAI CPL'!$B$6,1),0),"")</f>
        <v/>
      </c>
      <c r="BG65" s="2" t="str" cm="1">
        <f t="array" ref="BG65">IF('NILAI CPL'!$B65&lt;&gt;"",IFERROR(_xlfn.IFS(AJ65&gt;='NILAI CPL'!$B$3,4,AJ65&gt;='NILAI CPL'!$B$4,3,AJ65&gt;='NILAI CPL'!$B$5,2,AJ65&gt;'NILAI CPL'!$B$6,1),0),"")</f>
        <v/>
      </c>
      <c r="BH65" s="2" t="str" cm="1">
        <f t="array" ref="BH65">IF('NILAI CPL'!$B65&lt;&gt;"",IFERROR(_xlfn.IFS(AK65&gt;='NILAI CPL'!$B$3,4,AK65&gt;='NILAI CPL'!$B$4,3,AK65&gt;='NILAI CPL'!$B$5,2,AK65&gt;'NILAI CPL'!$B$6,1),0),"")</f>
        <v/>
      </c>
      <c r="BI65" s="2" t="str" cm="1">
        <f t="array" ref="BI65">IF('NILAI CPL'!$B65&lt;&gt;"",IFERROR(_xlfn.IFS(AL65&gt;='NILAI CPL'!$B$3,4,AL65&gt;='NILAI CPL'!$B$4,3,AL65&gt;='NILAI CPL'!$B$5,2,AL65&gt;'NILAI CPL'!$B$6,1),0),"")</f>
        <v/>
      </c>
      <c r="BJ65" s="2" t="str" cm="1">
        <f t="array" ref="BJ65">IF('NILAI CPL'!$B65&lt;&gt;"",IFERROR(_xlfn.IFS(AM65&gt;='NILAI CPL'!$B$3,4,AM65&gt;='NILAI CPL'!$B$4,3,AM65&gt;='NILAI CPL'!$B$5,2,AM65&gt;'NILAI CPL'!$B$6,1),0),"")</f>
        <v/>
      </c>
      <c r="BK65" s="2" t="str" cm="1">
        <f t="array" ref="BK65">IF('NILAI CPL'!$B65&lt;&gt;"",IFERROR(_xlfn.IFS(AN65&gt;='NILAI CPL'!$B$3,4,AN65&gt;='NILAI CPL'!$B$4,3,AN65&gt;='NILAI CPL'!$B$5,2,AN65&gt;'NILAI CPL'!$B$6,1),0),"")</f>
        <v/>
      </c>
    </row>
    <row r="66" spans="1:63" x14ac:dyDescent="0.2">
      <c r="A66" s="2">
        <v>56</v>
      </c>
      <c r="B66" s="2" t="str">
        <f>IF(LEN(SUMMARY!B66)&gt;0, SUMMARY!B66, "")</f>
        <v/>
      </c>
      <c r="C66" s="2" t="str">
        <f>IF(LEN(SUMMARY!C66)&gt;0, SUMMARY!C66, "")</f>
        <v/>
      </c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" t="str">
        <f t="shared" si="2"/>
        <v/>
      </c>
      <c r="S66" s="2" t="str">
        <f t="shared" si="3"/>
        <v/>
      </c>
      <c r="T66" s="2" t="str">
        <f t="shared" si="4"/>
        <v/>
      </c>
      <c r="U66" s="2" t="str">
        <f t="shared" si="5"/>
        <v/>
      </c>
      <c r="V66" s="2" t="str">
        <f t="shared" si="6"/>
        <v/>
      </c>
      <c r="W66" s="2" t="str">
        <f t="shared" si="7"/>
        <v/>
      </c>
      <c r="X66" s="2" t="str">
        <f t="shared" si="8"/>
        <v/>
      </c>
      <c r="Y66" s="2" t="str">
        <f t="shared" si="9"/>
        <v/>
      </c>
      <c r="Z66" s="2" t="str">
        <f t="shared" si="10"/>
        <v/>
      </c>
      <c r="AA66" s="2" t="str">
        <f t="shared" si="11"/>
        <v/>
      </c>
      <c r="AB66" s="2" t="str">
        <f t="shared" si="12"/>
        <v/>
      </c>
      <c r="AC66" s="2" t="str">
        <f t="shared" si="13"/>
        <v/>
      </c>
      <c r="AD66" s="2" t="str">
        <f t="shared" si="14"/>
        <v/>
      </c>
      <c r="AE66" s="2" t="str">
        <f t="shared" si="15"/>
        <v/>
      </c>
      <c r="AF66" s="2" t="str">
        <f t="shared" si="16"/>
        <v/>
      </c>
      <c r="AG66" s="2" t="str">
        <f t="shared" si="17"/>
        <v/>
      </c>
      <c r="AH66" s="2" t="str">
        <f t="shared" si="18"/>
        <v/>
      </c>
      <c r="AI66" s="2" t="str">
        <f t="shared" si="19"/>
        <v/>
      </c>
      <c r="AJ66" s="2" t="str">
        <f t="shared" si="20"/>
        <v/>
      </c>
      <c r="AK66" s="2" t="str">
        <f t="shared" si="21"/>
        <v/>
      </c>
      <c r="AL66" s="2" t="str">
        <f t="shared" si="22"/>
        <v/>
      </c>
      <c r="AM66" s="2" t="str">
        <f t="shared" si="23"/>
        <v/>
      </c>
      <c r="AN66" s="2" t="str">
        <f t="shared" si="24"/>
        <v/>
      </c>
      <c r="AP66" s="2" t="str" cm="1">
        <f t="array" ref="AP66">IF('NILAI CPL'!$B66&lt;&gt;"",IFERROR(_xlfn.IFS(S66&gt;='NILAI CPL'!$B$3,4,S66&gt;='NILAI CPL'!$B$4,3,S66&gt;='NILAI CPL'!$B$5,2,S66&gt;'NILAI CPL'!$B$6,1),0),"")</f>
        <v/>
      </c>
      <c r="AQ66" s="2" t="str" cm="1">
        <f t="array" ref="AQ66">IF('NILAI CPL'!$B66&lt;&gt;"",IFERROR(_xlfn.IFS(T66&gt;='NILAI CPL'!$B$3,4,T66&gt;='NILAI CPL'!$B$4,3,T66&gt;='NILAI CPL'!$B$5,2,T66&gt;'NILAI CPL'!$B$6,1),0),"")</f>
        <v/>
      </c>
      <c r="AR66" s="2" t="str" cm="1">
        <f t="array" ref="AR66">IF('NILAI CPL'!$B66&lt;&gt;"",IFERROR(_xlfn.IFS(U66&gt;='NILAI CPL'!$B$3,4,U66&gt;='NILAI CPL'!$B$4,3,U66&gt;='NILAI CPL'!$B$5,2,U66&gt;'NILAI CPL'!$B$6,1),0),"")</f>
        <v/>
      </c>
      <c r="AS66" s="2" t="str" cm="1">
        <f t="array" ref="AS66">IF('NILAI CPL'!$B66&lt;&gt;"",IFERROR(_xlfn.IFS(V66&gt;='NILAI CPL'!$B$3,4,V66&gt;='NILAI CPL'!$B$4,3,V66&gt;='NILAI CPL'!$B$5,2,V66&gt;'NILAI CPL'!$B$6,1),0),"")</f>
        <v/>
      </c>
      <c r="AT66" s="2" t="str" cm="1">
        <f t="array" ref="AT66">IF('NILAI CPL'!$B66&lt;&gt;"",IFERROR(_xlfn.IFS(W66&gt;='NILAI CPL'!$B$3,4,W66&gt;='NILAI CPL'!$B$4,3,W66&gt;='NILAI CPL'!$B$5,2,W66&gt;'NILAI CPL'!$B$6,1),0),"")</f>
        <v/>
      </c>
      <c r="AU66" s="2" t="str" cm="1">
        <f t="array" ref="AU66">IF('NILAI CPL'!$B66&lt;&gt;"",IFERROR(_xlfn.IFS(X66&gt;='NILAI CPL'!$B$3,4,X66&gt;='NILAI CPL'!$B$4,3,X66&gt;='NILAI CPL'!$B$5,2,X66&gt;'NILAI CPL'!$B$6,1),0),"")</f>
        <v/>
      </c>
      <c r="AV66" s="2" t="str" cm="1">
        <f t="array" ref="AV66">IF('NILAI CPL'!$B66&lt;&gt;"",IFERROR(_xlfn.IFS(Y66&gt;='NILAI CPL'!$B$3,4,Y66&gt;='NILAI CPL'!$B$4,3,Y66&gt;='NILAI CPL'!$B$5,2,Y66&gt;'NILAI CPL'!$B$6,1),0),"")</f>
        <v/>
      </c>
      <c r="AW66" s="2" t="str" cm="1">
        <f t="array" ref="AW66">IF('NILAI CPL'!$B66&lt;&gt;"",IFERROR(_xlfn.IFS(Z66&gt;='NILAI CPL'!$B$3,4,Z66&gt;='NILAI CPL'!$B$4,3,Z66&gt;='NILAI CPL'!$B$5,2,Z66&gt;'NILAI CPL'!$B$6,1),0),"")</f>
        <v/>
      </c>
      <c r="AX66" s="2" t="str" cm="1">
        <f t="array" ref="AX66">IF('NILAI CPL'!$B66&lt;&gt;"",IFERROR(_xlfn.IFS(AA66&gt;='NILAI CPL'!$B$3,4,AA66&gt;='NILAI CPL'!$B$4,3,AA66&gt;='NILAI CPL'!$B$5,2,AA66&gt;'NILAI CPL'!$B$6,1),0),"")</f>
        <v/>
      </c>
      <c r="AY66" s="2" t="str" cm="1">
        <f t="array" ref="AY66">IF('NILAI CPL'!$B66&lt;&gt;"",IFERROR(_xlfn.IFS(AB66&gt;='NILAI CPL'!$B$3,4,AB66&gt;='NILAI CPL'!$B$4,3,AB66&gt;='NILAI CPL'!$B$5,2,AB66&gt;'NILAI CPL'!$B$6,1),0),"")</f>
        <v/>
      </c>
      <c r="AZ66" s="2" t="str" cm="1">
        <f t="array" ref="AZ66">IF('NILAI CPL'!$B66&lt;&gt;"",IFERROR(_xlfn.IFS(AC66&gt;='NILAI CPL'!$B$3,4,AC66&gt;='NILAI CPL'!$B$4,3,AC66&gt;='NILAI CPL'!$B$5,2,AC66&gt;'NILAI CPL'!$B$6,1),0),"")</f>
        <v/>
      </c>
      <c r="BA66" s="2" t="str" cm="1">
        <f t="array" ref="BA66">IF('NILAI CPL'!$B66&lt;&gt;"",IFERROR(_xlfn.IFS(AD66&gt;='NILAI CPL'!$B$3,4,AD66&gt;='NILAI CPL'!$B$4,3,AD66&gt;='NILAI CPL'!$B$5,2,AD66&gt;'NILAI CPL'!$B$6,1),0),"")</f>
        <v/>
      </c>
      <c r="BB66" s="2" t="str" cm="1">
        <f t="array" ref="BB66">IF('NILAI CPL'!$B66&lt;&gt;"",IFERROR(_xlfn.IFS(AE66&gt;='NILAI CPL'!$B$3,4,AE66&gt;='NILAI CPL'!$B$4,3,AE66&gt;='NILAI CPL'!$B$5,2,AE66&gt;'NILAI CPL'!$B$6,1),0),"")</f>
        <v/>
      </c>
      <c r="BC66" s="2" t="str" cm="1">
        <f t="array" ref="BC66">IF('NILAI CPL'!$B66&lt;&gt;"",IFERROR(_xlfn.IFS(AF66&gt;='NILAI CPL'!$B$3,4,AF66&gt;='NILAI CPL'!$B$4,3,AF66&gt;='NILAI CPL'!$B$5,2,AF66&gt;'NILAI CPL'!$B$6,1),0),"")</f>
        <v/>
      </c>
      <c r="BD66" s="2" t="str" cm="1">
        <f t="array" ref="BD66">IF('NILAI CPL'!$B66&lt;&gt;"",IFERROR(_xlfn.IFS(AG66&gt;='NILAI CPL'!$B$3,4,AG66&gt;='NILAI CPL'!$B$4,3,AG66&gt;='NILAI CPL'!$B$5,2,AG66&gt;'NILAI CPL'!$B$6,1),0),"")</f>
        <v/>
      </c>
      <c r="BE66" s="2" t="str" cm="1">
        <f t="array" ref="BE66">IF('NILAI CPL'!$B66&lt;&gt;"",IFERROR(_xlfn.IFS(AH66&gt;='NILAI CPL'!$B$3,4,AH66&gt;='NILAI CPL'!$B$4,3,AH66&gt;='NILAI CPL'!$B$5,2,AH66&gt;'NILAI CPL'!$B$6,1),0),"")</f>
        <v/>
      </c>
      <c r="BF66" s="2" t="str" cm="1">
        <f t="array" ref="BF66">IF('NILAI CPL'!$B66&lt;&gt;"",IFERROR(_xlfn.IFS(AI66&gt;='NILAI CPL'!$B$3,4,AI66&gt;='NILAI CPL'!$B$4,3,AI66&gt;='NILAI CPL'!$B$5,2,AI66&gt;'NILAI CPL'!$B$6,1),0),"")</f>
        <v/>
      </c>
      <c r="BG66" s="2" t="str" cm="1">
        <f t="array" ref="BG66">IF('NILAI CPL'!$B66&lt;&gt;"",IFERROR(_xlfn.IFS(AJ66&gt;='NILAI CPL'!$B$3,4,AJ66&gt;='NILAI CPL'!$B$4,3,AJ66&gt;='NILAI CPL'!$B$5,2,AJ66&gt;'NILAI CPL'!$B$6,1),0),"")</f>
        <v/>
      </c>
      <c r="BH66" s="2" t="str" cm="1">
        <f t="array" ref="BH66">IF('NILAI CPL'!$B66&lt;&gt;"",IFERROR(_xlfn.IFS(AK66&gt;='NILAI CPL'!$B$3,4,AK66&gt;='NILAI CPL'!$B$4,3,AK66&gt;='NILAI CPL'!$B$5,2,AK66&gt;'NILAI CPL'!$B$6,1),0),"")</f>
        <v/>
      </c>
      <c r="BI66" s="2" t="str" cm="1">
        <f t="array" ref="BI66">IF('NILAI CPL'!$B66&lt;&gt;"",IFERROR(_xlfn.IFS(AL66&gt;='NILAI CPL'!$B$3,4,AL66&gt;='NILAI CPL'!$B$4,3,AL66&gt;='NILAI CPL'!$B$5,2,AL66&gt;'NILAI CPL'!$B$6,1),0),"")</f>
        <v/>
      </c>
      <c r="BJ66" s="2" t="str" cm="1">
        <f t="array" ref="BJ66">IF('NILAI CPL'!$B66&lt;&gt;"",IFERROR(_xlfn.IFS(AM66&gt;='NILAI CPL'!$B$3,4,AM66&gt;='NILAI CPL'!$B$4,3,AM66&gt;='NILAI CPL'!$B$5,2,AM66&gt;'NILAI CPL'!$B$6,1),0),"")</f>
        <v/>
      </c>
      <c r="BK66" s="2" t="str" cm="1">
        <f t="array" ref="BK66">IF('NILAI CPL'!$B66&lt;&gt;"",IFERROR(_xlfn.IFS(AN66&gt;='NILAI CPL'!$B$3,4,AN66&gt;='NILAI CPL'!$B$4,3,AN66&gt;='NILAI CPL'!$B$5,2,AN66&gt;'NILAI CPL'!$B$6,1),0),"")</f>
        <v/>
      </c>
    </row>
    <row r="67" spans="1:63" x14ac:dyDescent="0.2">
      <c r="A67" s="2">
        <v>57</v>
      </c>
      <c r="B67" s="2" t="str">
        <f>IF(LEN(SUMMARY!B67)&gt;0, SUMMARY!B67, "")</f>
        <v/>
      </c>
      <c r="C67" s="2" t="str">
        <f>IF(LEN(SUMMARY!C67)&gt;0, SUMMARY!C67, "")</f>
        <v/>
      </c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" t="str">
        <f t="shared" si="2"/>
        <v/>
      </c>
      <c r="S67" s="2" t="str">
        <f t="shared" si="3"/>
        <v/>
      </c>
      <c r="T67" s="2" t="str">
        <f t="shared" si="4"/>
        <v/>
      </c>
      <c r="U67" s="2" t="str">
        <f t="shared" si="5"/>
        <v/>
      </c>
      <c r="V67" s="2" t="str">
        <f t="shared" si="6"/>
        <v/>
      </c>
      <c r="W67" s="2" t="str">
        <f t="shared" si="7"/>
        <v/>
      </c>
      <c r="X67" s="2" t="str">
        <f t="shared" si="8"/>
        <v/>
      </c>
      <c r="Y67" s="2" t="str">
        <f t="shared" si="9"/>
        <v/>
      </c>
      <c r="Z67" s="2" t="str">
        <f t="shared" si="10"/>
        <v/>
      </c>
      <c r="AA67" s="2" t="str">
        <f t="shared" si="11"/>
        <v/>
      </c>
      <c r="AB67" s="2" t="str">
        <f t="shared" si="12"/>
        <v/>
      </c>
      <c r="AC67" s="2" t="str">
        <f t="shared" si="13"/>
        <v/>
      </c>
      <c r="AD67" s="2" t="str">
        <f t="shared" si="14"/>
        <v/>
      </c>
      <c r="AE67" s="2" t="str">
        <f t="shared" si="15"/>
        <v/>
      </c>
      <c r="AF67" s="2" t="str">
        <f t="shared" si="16"/>
        <v/>
      </c>
      <c r="AG67" s="2" t="str">
        <f t="shared" si="17"/>
        <v/>
      </c>
      <c r="AH67" s="2" t="str">
        <f t="shared" si="18"/>
        <v/>
      </c>
      <c r="AI67" s="2" t="str">
        <f t="shared" si="19"/>
        <v/>
      </c>
      <c r="AJ67" s="2" t="str">
        <f t="shared" si="20"/>
        <v/>
      </c>
      <c r="AK67" s="2" t="str">
        <f t="shared" si="21"/>
        <v/>
      </c>
      <c r="AL67" s="2" t="str">
        <f t="shared" si="22"/>
        <v/>
      </c>
      <c r="AM67" s="2" t="str">
        <f t="shared" si="23"/>
        <v/>
      </c>
      <c r="AN67" s="2" t="str">
        <f t="shared" si="24"/>
        <v/>
      </c>
      <c r="AP67" s="2" t="str" cm="1">
        <f t="array" ref="AP67">IF('NILAI CPL'!$B67&lt;&gt;"",IFERROR(_xlfn.IFS(S67&gt;='NILAI CPL'!$B$3,4,S67&gt;='NILAI CPL'!$B$4,3,S67&gt;='NILAI CPL'!$B$5,2,S67&gt;'NILAI CPL'!$B$6,1),0),"")</f>
        <v/>
      </c>
      <c r="AQ67" s="2" t="str" cm="1">
        <f t="array" ref="AQ67">IF('NILAI CPL'!$B67&lt;&gt;"",IFERROR(_xlfn.IFS(T67&gt;='NILAI CPL'!$B$3,4,T67&gt;='NILAI CPL'!$B$4,3,T67&gt;='NILAI CPL'!$B$5,2,T67&gt;'NILAI CPL'!$B$6,1),0),"")</f>
        <v/>
      </c>
      <c r="AR67" s="2" t="str" cm="1">
        <f t="array" ref="AR67">IF('NILAI CPL'!$B67&lt;&gt;"",IFERROR(_xlfn.IFS(U67&gt;='NILAI CPL'!$B$3,4,U67&gt;='NILAI CPL'!$B$4,3,U67&gt;='NILAI CPL'!$B$5,2,U67&gt;'NILAI CPL'!$B$6,1),0),"")</f>
        <v/>
      </c>
      <c r="AS67" s="2" t="str" cm="1">
        <f t="array" ref="AS67">IF('NILAI CPL'!$B67&lt;&gt;"",IFERROR(_xlfn.IFS(V67&gt;='NILAI CPL'!$B$3,4,V67&gt;='NILAI CPL'!$B$4,3,V67&gt;='NILAI CPL'!$B$5,2,V67&gt;'NILAI CPL'!$B$6,1),0),"")</f>
        <v/>
      </c>
      <c r="AT67" s="2" t="str" cm="1">
        <f t="array" ref="AT67">IF('NILAI CPL'!$B67&lt;&gt;"",IFERROR(_xlfn.IFS(W67&gt;='NILAI CPL'!$B$3,4,W67&gt;='NILAI CPL'!$B$4,3,W67&gt;='NILAI CPL'!$B$5,2,W67&gt;'NILAI CPL'!$B$6,1),0),"")</f>
        <v/>
      </c>
      <c r="AU67" s="2" t="str" cm="1">
        <f t="array" ref="AU67">IF('NILAI CPL'!$B67&lt;&gt;"",IFERROR(_xlfn.IFS(X67&gt;='NILAI CPL'!$B$3,4,X67&gt;='NILAI CPL'!$B$4,3,X67&gt;='NILAI CPL'!$B$5,2,X67&gt;'NILAI CPL'!$B$6,1),0),"")</f>
        <v/>
      </c>
      <c r="AV67" s="2" t="str" cm="1">
        <f t="array" ref="AV67">IF('NILAI CPL'!$B67&lt;&gt;"",IFERROR(_xlfn.IFS(Y67&gt;='NILAI CPL'!$B$3,4,Y67&gt;='NILAI CPL'!$B$4,3,Y67&gt;='NILAI CPL'!$B$5,2,Y67&gt;'NILAI CPL'!$B$6,1),0),"")</f>
        <v/>
      </c>
      <c r="AW67" s="2" t="str" cm="1">
        <f t="array" ref="AW67">IF('NILAI CPL'!$B67&lt;&gt;"",IFERROR(_xlfn.IFS(Z67&gt;='NILAI CPL'!$B$3,4,Z67&gt;='NILAI CPL'!$B$4,3,Z67&gt;='NILAI CPL'!$B$5,2,Z67&gt;'NILAI CPL'!$B$6,1),0),"")</f>
        <v/>
      </c>
      <c r="AX67" s="2" t="str" cm="1">
        <f t="array" ref="AX67">IF('NILAI CPL'!$B67&lt;&gt;"",IFERROR(_xlfn.IFS(AA67&gt;='NILAI CPL'!$B$3,4,AA67&gt;='NILAI CPL'!$B$4,3,AA67&gt;='NILAI CPL'!$B$5,2,AA67&gt;'NILAI CPL'!$B$6,1),0),"")</f>
        <v/>
      </c>
      <c r="AY67" s="2" t="str" cm="1">
        <f t="array" ref="AY67">IF('NILAI CPL'!$B67&lt;&gt;"",IFERROR(_xlfn.IFS(AB67&gt;='NILAI CPL'!$B$3,4,AB67&gt;='NILAI CPL'!$B$4,3,AB67&gt;='NILAI CPL'!$B$5,2,AB67&gt;'NILAI CPL'!$B$6,1),0),"")</f>
        <v/>
      </c>
      <c r="AZ67" s="2" t="str" cm="1">
        <f t="array" ref="AZ67">IF('NILAI CPL'!$B67&lt;&gt;"",IFERROR(_xlfn.IFS(AC67&gt;='NILAI CPL'!$B$3,4,AC67&gt;='NILAI CPL'!$B$4,3,AC67&gt;='NILAI CPL'!$B$5,2,AC67&gt;'NILAI CPL'!$B$6,1),0),"")</f>
        <v/>
      </c>
      <c r="BA67" s="2" t="str" cm="1">
        <f t="array" ref="BA67">IF('NILAI CPL'!$B67&lt;&gt;"",IFERROR(_xlfn.IFS(AD67&gt;='NILAI CPL'!$B$3,4,AD67&gt;='NILAI CPL'!$B$4,3,AD67&gt;='NILAI CPL'!$B$5,2,AD67&gt;'NILAI CPL'!$B$6,1),0),"")</f>
        <v/>
      </c>
      <c r="BB67" s="2" t="str" cm="1">
        <f t="array" ref="BB67">IF('NILAI CPL'!$B67&lt;&gt;"",IFERROR(_xlfn.IFS(AE67&gt;='NILAI CPL'!$B$3,4,AE67&gt;='NILAI CPL'!$B$4,3,AE67&gt;='NILAI CPL'!$B$5,2,AE67&gt;'NILAI CPL'!$B$6,1),0),"")</f>
        <v/>
      </c>
      <c r="BC67" s="2" t="str" cm="1">
        <f t="array" ref="BC67">IF('NILAI CPL'!$B67&lt;&gt;"",IFERROR(_xlfn.IFS(AF67&gt;='NILAI CPL'!$B$3,4,AF67&gt;='NILAI CPL'!$B$4,3,AF67&gt;='NILAI CPL'!$B$5,2,AF67&gt;'NILAI CPL'!$B$6,1),0),"")</f>
        <v/>
      </c>
      <c r="BD67" s="2" t="str" cm="1">
        <f t="array" ref="BD67">IF('NILAI CPL'!$B67&lt;&gt;"",IFERROR(_xlfn.IFS(AG67&gt;='NILAI CPL'!$B$3,4,AG67&gt;='NILAI CPL'!$B$4,3,AG67&gt;='NILAI CPL'!$B$5,2,AG67&gt;'NILAI CPL'!$B$6,1),0),"")</f>
        <v/>
      </c>
      <c r="BE67" s="2" t="str" cm="1">
        <f t="array" ref="BE67">IF('NILAI CPL'!$B67&lt;&gt;"",IFERROR(_xlfn.IFS(AH67&gt;='NILAI CPL'!$B$3,4,AH67&gt;='NILAI CPL'!$B$4,3,AH67&gt;='NILAI CPL'!$B$5,2,AH67&gt;'NILAI CPL'!$B$6,1),0),"")</f>
        <v/>
      </c>
      <c r="BF67" s="2" t="str" cm="1">
        <f t="array" ref="BF67">IF('NILAI CPL'!$B67&lt;&gt;"",IFERROR(_xlfn.IFS(AI67&gt;='NILAI CPL'!$B$3,4,AI67&gt;='NILAI CPL'!$B$4,3,AI67&gt;='NILAI CPL'!$B$5,2,AI67&gt;'NILAI CPL'!$B$6,1),0),"")</f>
        <v/>
      </c>
      <c r="BG67" s="2" t="str" cm="1">
        <f t="array" ref="BG67">IF('NILAI CPL'!$B67&lt;&gt;"",IFERROR(_xlfn.IFS(AJ67&gt;='NILAI CPL'!$B$3,4,AJ67&gt;='NILAI CPL'!$B$4,3,AJ67&gt;='NILAI CPL'!$B$5,2,AJ67&gt;'NILAI CPL'!$B$6,1),0),"")</f>
        <v/>
      </c>
      <c r="BH67" s="2" t="str" cm="1">
        <f t="array" ref="BH67">IF('NILAI CPL'!$B67&lt;&gt;"",IFERROR(_xlfn.IFS(AK67&gt;='NILAI CPL'!$B$3,4,AK67&gt;='NILAI CPL'!$B$4,3,AK67&gt;='NILAI CPL'!$B$5,2,AK67&gt;'NILAI CPL'!$B$6,1),0),"")</f>
        <v/>
      </c>
      <c r="BI67" s="2" t="str" cm="1">
        <f t="array" ref="BI67">IF('NILAI CPL'!$B67&lt;&gt;"",IFERROR(_xlfn.IFS(AL67&gt;='NILAI CPL'!$B$3,4,AL67&gt;='NILAI CPL'!$B$4,3,AL67&gt;='NILAI CPL'!$B$5,2,AL67&gt;'NILAI CPL'!$B$6,1),0),"")</f>
        <v/>
      </c>
      <c r="BJ67" s="2" t="str" cm="1">
        <f t="array" ref="BJ67">IF('NILAI CPL'!$B67&lt;&gt;"",IFERROR(_xlfn.IFS(AM67&gt;='NILAI CPL'!$B$3,4,AM67&gt;='NILAI CPL'!$B$4,3,AM67&gt;='NILAI CPL'!$B$5,2,AM67&gt;'NILAI CPL'!$B$6,1),0),"")</f>
        <v/>
      </c>
      <c r="BK67" s="2" t="str" cm="1">
        <f t="array" ref="BK67">IF('NILAI CPL'!$B67&lt;&gt;"",IFERROR(_xlfn.IFS(AN67&gt;='NILAI CPL'!$B$3,4,AN67&gt;='NILAI CPL'!$B$4,3,AN67&gt;='NILAI CPL'!$B$5,2,AN67&gt;'NILAI CPL'!$B$6,1),0),"")</f>
        <v/>
      </c>
    </row>
    <row r="68" spans="1:63" x14ac:dyDescent="0.2">
      <c r="A68" s="2">
        <v>58</v>
      </c>
      <c r="B68" s="2" t="str">
        <f>IF(LEN(SUMMARY!B68)&gt;0, SUMMARY!B68, "")</f>
        <v/>
      </c>
      <c r="C68" s="2" t="str">
        <f>IF(LEN(SUMMARY!C68)&gt;0, SUMMARY!C68, "")</f>
        <v/>
      </c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" t="str">
        <f t="shared" si="2"/>
        <v/>
      </c>
      <c r="S68" s="2" t="str">
        <f t="shared" si="3"/>
        <v/>
      </c>
      <c r="T68" s="2" t="str">
        <f t="shared" si="4"/>
        <v/>
      </c>
      <c r="U68" s="2" t="str">
        <f t="shared" si="5"/>
        <v/>
      </c>
      <c r="V68" s="2" t="str">
        <f t="shared" si="6"/>
        <v/>
      </c>
      <c r="W68" s="2" t="str">
        <f t="shared" si="7"/>
        <v/>
      </c>
      <c r="X68" s="2" t="str">
        <f t="shared" si="8"/>
        <v/>
      </c>
      <c r="Y68" s="2" t="str">
        <f t="shared" si="9"/>
        <v/>
      </c>
      <c r="Z68" s="2" t="str">
        <f t="shared" si="10"/>
        <v/>
      </c>
      <c r="AA68" s="2" t="str">
        <f t="shared" si="11"/>
        <v/>
      </c>
      <c r="AB68" s="2" t="str">
        <f t="shared" si="12"/>
        <v/>
      </c>
      <c r="AC68" s="2" t="str">
        <f t="shared" si="13"/>
        <v/>
      </c>
      <c r="AD68" s="2" t="str">
        <f t="shared" si="14"/>
        <v/>
      </c>
      <c r="AE68" s="2" t="str">
        <f t="shared" si="15"/>
        <v/>
      </c>
      <c r="AF68" s="2" t="str">
        <f t="shared" si="16"/>
        <v/>
      </c>
      <c r="AG68" s="2" t="str">
        <f t="shared" si="17"/>
        <v/>
      </c>
      <c r="AH68" s="2" t="str">
        <f t="shared" si="18"/>
        <v/>
      </c>
      <c r="AI68" s="2" t="str">
        <f t="shared" si="19"/>
        <v/>
      </c>
      <c r="AJ68" s="2" t="str">
        <f t="shared" si="20"/>
        <v/>
      </c>
      <c r="AK68" s="2" t="str">
        <f t="shared" si="21"/>
        <v/>
      </c>
      <c r="AL68" s="2" t="str">
        <f t="shared" si="22"/>
        <v/>
      </c>
      <c r="AM68" s="2" t="str">
        <f t="shared" si="23"/>
        <v/>
      </c>
      <c r="AN68" s="2" t="str">
        <f t="shared" si="24"/>
        <v/>
      </c>
      <c r="AP68" s="2" t="str" cm="1">
        <f t="array" ref="AP68">IF('NILAI CPL'!$B68&lt;&gt;"",IFERROR(_xlfn.IFS(S68&gt;='NILAI CPL'!$B$3,4,S68&gt;='NILAI CPL'!$B$4,3,S68&gt;='NILAI CPL'!$B$5,2,S68&gt;'NILAI CPL'!$B$6,1),0),"")</f>
        <v/>
      </c>
      <c r="AQ68" s="2" t="str" cm="1">
        <f t="array" ref="AQ68">IF('NILAI CPL'!$B68&lt;&gt;"",IFERROR(_xlfn.IFS(T68&gt;='NILAI CPL'!$B$3,4,T68&gt;='NILAI CPL'!$B$4,3,T68&gt;='NILAI CPL'!$B$5,2,T68&gt;'NILAI CPL'!$B$6,1),0),"")</f>
        <v/>
      </c>
      <c r="AR68" s="2" t="str" cm="1">
        <f t="array" ref="AR68">IF('NILAI CPL'!$B68&lt;&gt;"",IFERROR(_xlfn.IFS(U68&gt;='NILAI CPL'!$B$3,4,U68&gt;='NILAI CPL'!$B$4,3,U68&gt;='NILAI CPL'!$B$5,2,U68&gt;'NILAI CPL'!$B$6,1),0),"")</f>
        <v/>
      </c>
      <c r="AS68" s="2" t="str" cm="1">
        <f t="array" ref="AS68">IF('NILAI CPL'!$B68&lt;&gt;"",IFERROR(_xlfn.IFS(V68&gt;='NILAI CPL'!$B$3,4,V68&gt;='NILAI CPL'!$B$4,3,V68&gt;='NILAI CPL'!$B$5,2,V68&gt;'NILAI CPL'!$B$6,1),0),"")</f>
        <v/>
      </c>
      <c r="AT68" s="2" t="str" cm="1">
        <f t="array" ref="AT68">IF('NILAI CPL'!$B68&lt;&gt;"",IFERROR(_xlfn.IFS(W68&gt;='NILAI CPL'!$B$3,4,W68&gt;='NILAI CPL'!$B$4,3,W68&gt;='NILAI CPL'!$B$5,2,W68&gt;'NILAI CPL'!$B$6,1),0),"")</f>
        <v/>
      </c>
      <c r="AU68" s="2" t="str" cm="1">
        <f t="array" ref="AU68">IF('NILAI CPL'!$B68&lt;&gt;"",IFERROR(_xlfn.IFS(X68&gt;='NILAI CPL'!$B$3,4,X68&gt;='NILAI CPL'!$B$4,3,X68&gt;='NILAI CPL'!$B$5,2,X68&gt;'NILAI CPL'!$B$6,1),0),"")</f>
        <v/>
      </c>
      <c r="AV68" s="2" t="str" cm="1">
        <f t="array" ref="AV68">IF('NILAI CPL'!$B68&lt;&gt;"",IFERROR(_xlfn.IFS(Y68&gt;='NILAI CPL'!$B$3,4,Y68&gt;='NILAI CPL'!$B$4,3,Y68&gt;='NILAI CPL'!$B$5,2,Y68&gt;'NILAI CPL'!$B$6,1),0),"")</f>
        <v/>
      </c>
      <c r="AW68" s="2" t="str" cm="1">
        <f t="array" ref="AW68">IF('NILAI CPL'!$B68&lt;&gt;"",IFERROR(_xlfn.IFS(Z68&gt;='NILAI CPL'!$B$3,4,Z68&gt;='NILAI CPL'!$B$4,3,Z68&gt;='NILAI CPL'!$B$5,2,Z68&gt;'NILAI CPL'!$B$6,1),0),"")</f>
        <v/>
      </c>
      <c r="AX68" s="2" t="str" cm="1">
        <f t="array" ref="AX68">IF('NILAI CPL'!$B68&lt;&gt;"",IFERROR(_xlfn.IFS(AA68&gt;='NILAI CPL'!$B$3,4,AA68&gt;='NILAI CPL'!$B$4,3,AA68&gt;='NILAI CPL'!$B$5,2,AA68&gt;'NILAI CPL'!$B$6,1),0),"")</f>
        <v/>
      </c>
      <c r="AY68" s="2" t="str" cm="1">
        <f t="array" ref="AY68">IF('NILAI CPL'!$B68&lt;&gt;"",IFERROR(_xlfn.IFS(AB68&gt;='NILAI CPL'!$B$3,4,AB68&gt;='NILAI CPL'!$B$4,3,AB68&gt;='NILAI CPL'!$B$5,2,AB68&gt;'NILAI CPL'!$B$6,1),0),"")</f>
        <v/>
      </c>
      <c r="AZ68" s="2" t="str" cm="1">
        <f t="array" ref="AZ68">IF('NILAI CPL'!$B68&lt;&gt;"",IFERROR(_xlfn.IFS(AC68&gt;='NILAI CPL'!$B$3,4,AC68&gt;='NILAI CPL'!$B$4,3,AC68&gt;='NILAI CPL'!$B$5,2,AC68&gt;'NILAI CPL'!$B$6,1),0),"")</f>
        <v/>
      </c>
      <c r="BA68" s="2" t="str" cm="1">
        <f t="array" ref="BA68">IF('NILAI CPL'!$B68&lt;&gt;"",IFERROR(_xlfn.IFS(AD68&gt;='NILAI CPL'!$B$3,4,AD68&gt;='NILAI CPL'!$B$4,3,AD68&gt;='NILAI CPL'!$B$5,2,AD68&gt;'NILAI CPL'!$B$6,1),0),"")</f>
        <v/>
      </c>
      <c r="BB68" s="2" t="str" cm="1">
        <f t="array" ref="BB68">IF('NILAI CPL'!$B68&lt;&gt;"",IFERROR(_xlfn.IFS(AE68&gt;='NILAI CPL'!$B$3,4,AE68&gt;='NILAI CPL'!$B$4,3,AE68&gt;='NILAI CPL'!$B$5,2,AE68&gt;'NILAI CPL'!$B$6,1),0),"")</f>
        <v/>
      </c>
      <c r="BC68" s="2" t="str" cm="1">
        <f t="array" ref="BC68">IF('NILAI CPL'!$B68&lt;&gt;"",IFERROR(_xlfn.IFS(AF68&gt;='NILAI CPL'!$B$3,4,AF68&gt;='NILAI CPL'!$B$4,3,AF68&gt;='NILAI CPL'!$B$5,2,AF68&gt;'NILAI CPL'!$B$6,1),0),"")</f>
        <v/>
      </c>
      <c r="BD68" s="2" t="str" cm="1">
        <f t="array" ref="BD68">IF('NILAI CPL'!$B68&lt;&gt;"",IFERROR(_xlfn.IFS(AG68&gt;='NILAI CPL'!$B$3,4,AG68&gt;='NILAI CPL'!$B$4,3,AG68&gt;='NILAI CPL'!$B$5,2,AG68&gt;'NILAI CPL'!$B$6,1),0),"")</f>
        <v/>
      </c>
      <c r="BE68" s="2" t="str" cm="1">
        <f t="array" ref="BE68">IF('NILAI CPL'!$B68&lt;&gt;"",IFERROR(_xlfn.IFS(AH68&gt;='NILAI CPL'!$B$3,4,AH68&gt;='NILAI CPL'!$B$4,3,AH68&gt;='NILAI CPL'!$B$5,2,AH68&gt;'NILAI CPL'!$B$6,1),0),"")</f>
        <v/>
      </c>
      <c r="BF68" s="2" t="str" cm="1">
        <f t="array" ref="BF68">IF('NILAI CPL'!$B68&lt;&gt;"",IFERROR(_xlfn.IFS(AI68&gt;='NILAI CPL'!$B$3,4,AI68&gt;='NILAI CPL'!$B$4,3,AI68&gt;='NILAI CPL'!$B$5,2,AI68&gt;'NILAI CPL'!$B$6,1),0),"")</f>
        <v/>
      </c>
      <c r="BG68" s="2" t="str" cm="1">
        <f t="array" ref="BG68">IF('NILAI CPL'!$B68&lt;&gt;"",IFERROR(_xlfn.IFS(AJ68&gt;='NILAI CPL'!$B$3,4,AJ68&gt;='NILAI CPL'!$B$4,3,AJ68&gt;='NILAI CPL'!$B$5,2,AJ68&gt;'NILAI CPL'!$B$6,1),0),"")</f>
        <v/>
      </c>
      <c r="BH68" s="2" t="str" cm="1">
        <f t="array" ref="BH68">IF('NILAI CPL'!$B68&lt;&gt;"",IFERROR(_xlfn.IFS(AK68&gt;='NILAI CPL'!$B$3,4,AK68&gt;='NILAI CPL'!$B$4,3,AK68&gt;='NILAI CPL'!$B$5,2,AK68&gt;'NILAI CPL'!$B$6,1),0),"")</f>
        <v/>
      </c>
      <c r="BI68" s="2" t="str" cm="1">
        <f t="array" ref="BI68">IF('NILAI CPL'!$B68&lt;&gt;"",IFERROR(_xlfn.IFS(AL68&gt;='NILAI CPL'!$B$3,4,AL68&gt;='NILAI CPL'!$B$4,3,AL68&gt;='NILAI CPL'!$B$5,2,AL68&gt;'NILAI CPL'!$B$6,1),0),"")</f>
        <v/>
      </c>
      <c r="BJ68" s="2" t="str" cm="1">
        <f t="array" ref="BJ68">IF('NILAI CPL'!$B68&lt;&gt;"",IFERROR(_xlfn.IFS(AM68&gt;='NILAI CPL'!$B$3,4,AM68&gt;='NILAI CPL'!$B$4,3,AM68&gt;='NILAI CPL'!$B$5,2,AM68&gt;'NILAI CPL'!$B$6,1),0),"")</f>
        <v/>
      </c>
      <c r="BK68" s="2" t="str" cm="1">
        <f t="array" ref="BK68">IF('NILAI CPL'!$B68&lt;&gt;"",IFERROR(_xlfn.IFS(AN68&gt;='NILAI CPL'!$B$3,4,AN68&gt;='NILAI CPL'!$B$4,3,AN68&gt;='NILAI CPL'!$B$5,2,AN68&gt;'NILAI CPL'!$B$6,1),0),"")</f>
        <v/>
      </c>
    </row>
    <row r="69" spans="1:63" x14ac:dyDescent="0.2">
      <c r="A69" s="2">
        <v>59</v>
      </c>
      <c r="B69" s="2" t="str">
        <f>IF(LEN(SUMMARY!B69)&gt;0, SUMMARY!B69, "")</f>
        <v/>
      </c>
      <c r="C69" s="2" t="str">
        <f>IF(LEN(SUMMARY!C69)&gt;0, SUMMARY!C69, "")</f>
        <v/>
      </c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" t="str">
        <f t="shared" si="2"/>
        <v/>
      </c>
      <c r="S69" s="2" t="str">
        <f t="shared" si="3"/>
        <v/>
      </c>
      <c r="T69" s="2" t="str">
        <f t="shared" si="4"/>
        <v/>
      </c>
      <c r="U69" s="2" t="str">
        <f t="shared" si="5"/>
        <v/>
      </c>
      <c r="V69" s="2" t="str">
        <f t="shared" si="6"/>
        <v/>
      </c>
      <c r="W69" s="2" t="str">
        <f t="shared" si="7"/>
        <v/>
      </c>
      <c r="X69" s="2" t="str">
        <f t="shared" si="8"/>
        <v/>
      </c>
      <c r="Y69" s="2" t="str">
        <f t="shared" si="9"/>
        <v/>
      </c>
      <c r="Z69" s="2" t="str">
        <f t="shared" si="10"/>
        <v/>
      </c>
      <c r="AA69" s="2" t="str">
        <f t="shared" si="11"/>
        <v/>
      </c>
      <c r="AB69" s="2" t="str">
        <f t="shared" si="12"/>
        <v/>
      </c>
      <c r="AC69" s="2" t="str">
        <f t="shared" si="13"/>
        <v/>
      </c>
      <c r="AD69" s="2" t="str">
        <f t="shared" si="14"/>
        <v/>
      </c>
      <c r="AE69" s="2" t="str">
        <f t="shared" si="15"/>
        <v/>
      </c>
      <c r="AF69" s="2" t="str">
        <f t="shared" si="16"/>
        <v/>
      </c>
      <c r="AG69" s="2" t="str">
        <f t="shared" si="17"/>
        <v/>
      </c>
      <c r="AH69" s="2" t="str">
        <f t="shared" si="18"/>
        <v/>
      </c>
      <c r="AI69" s="2" t="str">
        <f t="shared" si="19"/>
        <v/>
      </c>
      <c r="AJ69" s="2" t="str">
        <f t="shared" si="20"/>
        <v/>
      </c>
      <c r="AK69" s="2" t="str">
        <f t="shared" si="21"/>
        <v/>
      </c>
      <c r="AL69" s="2" t="str">
        <f t="shared" si="22"/>
        <v/>
      </c>
      <c r="AM69" s="2" t="str">
        <f t="shared" si="23"/>
        <v/>
      </c>
      <c r="AN69" s="2" t="str">
        <f t="shared" si="24"/>
        <v/>
      </c>
      <c r="AP69" s="2" t="str" cm="1">
        <f t="array" ref="AP69">IF('NILAI CPL'!$B69&lt;&gt;"",IFERROR(_xlfn.IFS(S69&gt;='NILAI CPL'!$B$3,4,S69&gt;='NILAI CPL'!$B$4,3,S69&gt;='NILAI CPL'!$B$5,2,S69&gt;'NILAI CPL'!$B$6,1),0),"")</f>
        <v/>
      </c>
      <c r="AQ69" s="2" t="str" cm="1">
        <f t="array" ref="AQ69">IF('NILAI CPL'!$B69&lt;&gt;"",IFERROR(_xlfn.IFS(T69&gt;='NILAI CPL'!$B$3,4,T69&gt;='NILAI CPL'!$B$4,3,T69&gt;='NILAI CPL'!$B$5,2,T69&gt;'NILAI CPL'!$B$6,1),0),"")</f>
        <v/>
      </c>
      <c r="AR69" s="2" t="str" cm="1">
        <f t="array" ref="AR69">IF('NILAI CPL'!$B69&lt;&gt;"",IFERROR(_xlfn.IFS(U69&gt;='NILAI CPL'!$B$3,4,U69&gt;='NILAI CPL'!$B$4,3,U69&gt;='NILAI CPL'!$B$5,2,U69&gt;'NILAI CPL'!$B$6,1),0),"")</f>
        <v/>
      </c>
      <c r="AS69" s="2" t="str" cm="1">
        <f t="array" ref="AS69">IF('NILAI CPL'!$B69&lt;&gt;"",IFERROR(_xlfn.IFS(V69&gt;='NILAI CPL'!$B$3,4,V69&gt;='NILAI CPL'!$B$4,3,V69&gt;='NILAI CPL'!$B$5,2,V69&gt;'NILAI CPL'!$B$6,1),0),"")</f>
        <v/>
      </c>
      <c r="AT69" s="2" t="str" cm="1">
        <f t="array" ref="AT69">IF('NILAI CPL'!$B69&lt;&gt;"",IFERROR(_xlfn.IFS(W69&gt;='NILAI CPL'!$B$3,4,W69&gt;='NILAI CPL'!$B$4,3,W69&gt;='NILAI CPL'!$B$5,2,W69&gt;'NILAI CPL'!$B$6,1),0),"")</f>
        <v/>
      </c>
      <c r="AU69" s="2" t="str" cm="1">
        <f t="array" ref="AU69">IF('NILAI CPL'!$B69&lt;&gt;"",IFERROR(_xlfn.IFS(X69&gt;='NILAI CPL'!$B$3,4,X69&gt;='NILAI CPL'!$B$4,3,X69&gt;='NILAI CPL'!$B$5,2,X69&gt;'NILAI CPL'!$B$6,1),0),"")</f>
        <v/>
      </c>
      <c r="AV69" s="2" t="str" cm="1">
        <f t="array" ref="AV69">IF('NILAI CPL'!$B69&lt;&gt;"",IFERROR(_xlfn.IFS(Y69&gt;='NILAI CPL'!$B$3,4,Y69&gt;='NILAI CPL'!$B$4,3,Y69&gt;='NILAI CPL'!$B$5,2,Y69&gt;'NILAI CPL'!$B$6,1),0),"")</f>
        <v/>
      </c>
      <c r="AW69" s="2" t="str" cm="1">
        <f t="array" ref="AW69">IF('NILAI CPL'!$B69&lt;&gt;"",IFERROR(_xlfn.IFS(Z69&gt;='NILAI CPL'!$B$3,4,Z69&gt;='NILAI CPL'!$B$4,3,Z69&gt;='NILAI CPL'!$B$5,2,Z69&gt;'NILAI CPL'!$B$6,1),0),"")</f>
        <v/>
      </c>
      <c r="AX69" s="2" t="str" cm="1">
        <f t="array" ref="AX69">IF('NILAI CPL'!$B69&lt;&gt;"",IFERROR(_xlfn.IFS(AA69&gt;='NILAI CPL'!$B$3,4,AA69&gt;='NILAI CPL'!$B$4,3,AA69&gt;='NILAI CPL'!$B$5,2,AA69&gt;'NILAI CPL'!$B$6,1),0),"")</f>
        <v/>
      </c>
      <c r="AY69" s="2" t="str" cm="1">
        <f t="array" ref="AY69">IF('NILAI CPL'!$B69&lt;&gt;"",IFERROR(_xlfn.IFS(AB69&gt;='NILAI CPL'!$B$3,4,AB69&gt;='NILAI CPL'!$B$4,3,AB69&gt;='NILAI CPL'!$B$5,2,AB69&gt;'NILAI CPL'!$B$6,1),0),"")</f>
        <v/>
      </c>
      <c r="AZ69" s="2" t="str" cm="1">
        <f t="array" ref="AZ69">IF('NILAI CPL'!$B69&lt;&gt;"",IFERROR(_xlfn.IFS(AC69&gt;='NILAI CPL'!$B$3,4,AC69&gt;='NILAI CPL'!$B$4,3,AC69&gt;='NILAI CPL'!$B$5,2,AC69&gt;'NILAI CPL'!$B$6,1),0),"")</f>
        <v/>
      </c>
      <c r="BA69" s="2" t="str" cm="1">
        <f t="array" ref="BA69">IF('NILAI CPL'!$B69&lt;&gt;"",IFERROR(_xlfn.IFS(AD69&gt;='NILAI CPL'!$B$3,4,AD69&gt;='NILAI CPL'!$B$4,3,AD69&gt;='NILAI CPL'!$B$5,2,AD69&gt;'NILAI CPL'!$B$6,1),0),"")</f>
        <v/>
      </c>
      <c r="BB69" s="2" t="str" cm="1">
        <f t="array" ref="BB69">IF('NILAI CPL'!$B69&lt;&gt;"",IFERROR(_xlfn.IFS(AE69&gt;='NILAI CPL'!$B$3,4,AE69&gt;='NILAI CPL'!$B$4,3,AE69&gt;='NILAI CPL'!$B$5,2,AE69&gt;'NILAI CPL'!$B$6,1),0),"")</f>
        <v/>
      </c>
      <c r="BC69" s="2" t="str" cm="1">
        <f t="array" ref="BC69">IF('NILAI CPL'!$B69&lt;&gt;"",IFERROR(_xlfn.IFS(AF69&gt;='NILAI CPL'!$B$3,4,AF69&gt;='NILAI CPL'!$B$4,3,AF69&gt;='NILAI CPL'!$B$5,2,AF69&gt;'NILAI CPL'!$B$6,1),0),"")</f>
        <v/>
      </c>
      <c r="BD69" s="2" t="str" cm="1">
        <f t="array" ref="BD69">IF('NILAI CPL'!$B69&lt;&gt;"",IFERROR(_xlfn.IFS(AG69&gt;='NILAI CPL'!$B$3,4,AG69&gt;='NILAI CPL'!$B$4,3,AG69&gt;='NILAI CPL'!$B$5,2,AG69&gt;'NILAI CPL'!$B$6,1),0),"")</f>
        <v/>
      </c>
      <c r="BE69" s="2" t="str" cm="1">
        <f t="array" ref="BE69">IF('NILAI CPL'!$B69&lt;&gt;"",IFERROR(_xlfn.IFS(AH69&gt;='NILAI CPL'!$B$3,4,AH69&gt;='NILAI CPL'!$B$4,3,AH69&gt;='NILAI CPL'!$B$5,2,AH69&gt;'NILAI CPL'!$B$6,1),0),"")</f>
        <v/>
      </c>
      <c r="BF69" s="2" t="str" cm="1">
        <f t="array" ref="BF69">IF('NILAI CPL'!$B69&lt;&gt;"",IFERROR(_xlfn.IFS(AI69&gt;='NILAI CPL'!$B$3,4,AI69&gt;='NILAI CPL'!$B$4,3,AI69&gt;='NILAI CPL'!$B$5,2,AI69&gt;'NILAI CPL'!$B$6,1),0),"")</f>
        <v/>
      </c>
      <c r="BG69" s="2" t="str" cm="1">
        <f t="array" ref="BG69">IF('NILAI CPL'!$B69&lt;&gt;"",IFERROR(_xlfn.IFS(AJ69&gt;='NILAI CPL'!$B$3,4,AJ69&gt;='NILAI CPL'!$B$4,3,AJ69&gt;='NILAI CPL'!$B$5,2,AJ69&gt;'NILAI CPL'!$B$6,1),0),"")</f>
        <v/>
      </c>
      <c r="BH69" s="2" t="str" cm="1">
        <f t="array" ref="BH69">IF('NILAI CPL'!$B69&lt;&gt;"",IFERROR(_xlfn.IFS(AK69&gt;='NILAI CPL'!$B$3,4,AK69&gt;='NILAI CPL'!$B$4,3,AK69&gt;='NILAI CPL'!$B$5,2,AK69&gt;'NILAI CPL'!$B$6,1),0),"")</f>
        <v/>
      </c>
      <c r="BI69" s="2" t="str" cm="1">
        <f t="array" ref="BI69">IF('NILAI CPL'!$B69&lt;&gt;"",IFERROR(_xlfn.IFS(AL69&gt;='NILAI CPL'!$B$3,4,AL69&gt;='NILAI CPL'!$B$4,3,AL69&gt;='NILAI CPL'!$B$5,2,AL69&gt;'NILAI CPL'!$B$6,1),0),"")</f>
        <v/>
      </c>
      <c r="BJ69" s="2" t="str" cm="1">
        <f t="array" ref="BJ69">IF('NILAI CPL'!$B69&lt;&gt;"",IFERROR(_xlfn.IFS(AM69&gt;='NILAI CPL'!$B$3,4,AM69&gt;='NILAI CPL'!$B$4,3,AM69&gt;='NILAI CPL'!$B$5,2,AM69&gt;'NILAI CPL'!$B$6,1),0),"")</f>
        <v/>
      </c>
      <c r="BK69" s="2" t="str" cm="1">
        <f t="array" ref="BK69">IF('NILAI CPL'!$B69&lt;&gt;"",IFERROR(_xlfn.IFS(AN69&gt;='NILAI CPL'!$B$3,4,AN69&gt;='NILAI CPL'!$B$4,3,AN69&gt;='NILAI CPL'!$B$5,2,AN69&gt;'NILAI CPL'!$B$6,1),0),"")</f>
        <v/>
      </c>
    </row>
    <row r="70" spans="1:63" x14ac:dyDescent="0.2">
      <c r="A70" s="2">
        <v>60</v>
      </c>
      <c r="B70" s="2" t="str">
        <f>IF(LEN(SUMMARY!B70)&gt;0, SUMMARY!B70, "")</f>
        <v/>
      </c>
      <c r="C70" s="2" t="str">
        <f>IF(LEN(SUMMARY!C70)&gt;0, SUMMARY!C70, "")</f>
        <v/>
      </c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" t="str">
        <f t="shared" si="2"/>
        <v/>
      </c>
      <c r="S70" s="2" t="str">
        <f t="shared" si="3"/>
        <v/>
      </c>
      <c r="T70" s="2" t="str">
        <f t="shared" si="4"/>
        <v/>
      </c>
      <c r="U70" s="2" t="str">
        <f t="shared" si="5"/>
        <v/>
      </c>
      <c r="V70" s="2" t="str">
        <f t="shared" si="6"/>
        <v/>
      </c>
      <c r="W70" s="2" t="str">
        <f t="shared" si="7"/>
        <v/>
      </c>
      <c r="X70" s="2" t="str">
        <f t="shared" si="8"/>
        <v/>
      </c>
      <c r="Y70" s="2" t="str">
        <f t="shared" si="9"/>
        <v/>
      </c>
      <c r="Z70" s="2" t="str">
        <f t="shared" si="10"/>
        <v/>
      </c>
      <c r="AA70" s="2" t="str">
        <f t="shared" si="11"/>
        <v/>
      </c>
      <c r="AB70" s="2" t="str">
        <f t="shared" si="12"/>
        <v/>
      </c>
      <c r="AC70" s="2" t="str">
        <f t="shared" si="13"/>
        <v/>
      </c>
      <c r="AD70" s="2" t="str">
        <f t="shared" si="14"/>
        <v/>
      </c>
      <c r="AE70" s="2" t="str">
        <f t="shared" si="15"/>
        <v/>
      </c>
      <c r="AF70" s="2" t="str">
        <f t="shared" si="16"/>
        <v/>
      </c>
      <c r="AG70" s="2" t="str">
        <f t="shared" si="17"/>
        <v/>
      </c>
      <c r="AH70" s="2" t="str">
        <f t="shared" si="18"/>
        <v/>
      </c>
      <c r="AI70" s="2" t="str">
        <f t="shared" si="19"/>
        <v/>
      </c>
      <c r="AJ70" s="2" t="str">
        <f t="shared" si="20"/>
        <v/>
      </c>
      <c r="AK70" s="2" t="str">
        <f t="shared" si="21"/>
        <v/>
      </c>
      <c r="AL70" s="2" t="str">
        <f t="shared" si="22"/>
        <v/>
      </c>
      <c r="AM70" s="2" t="str">
        <f t="shared" si="23"/>
        <v/>
      </c>
      <c r="AN70" s="2" t="str">
        <f t="shared" si="24"/>
        <v/>
      </c>
      <c r="AP70" s="2" t="str" cm="1">
        <f t="array" ref="AP70">IF('NILAI CPL'!$B70&lt;&gt;"",IFERROR(_xlfn.IFS(S70&gt;='NILAI CPL'!$B$3,4,S70&gt;='NILAI CPL'!$B$4,3,S70&gt;='NILAI CPL'!$B$5,2,S70&gt;'NILAI CPL'!$B$6,1),0),"")</f>
        <v/>
      </c>
      <c r="AQ70" s="2" t="str" cm="1">
        <f t="array" ref="AQ70">IF('NILAI CPL'!$B70&lt;&gt;"",IFERROR(_xlfn.IFS(T70&gt;='NILAI CPL'!$B$3,4,T70&gt;='NILAI CPL'!$B$4,3,T70&gt;='NILAI CPL'!$B$5,2,T70&gt;'NILAI CPL'!$B$6,1),0),"")</f>
        <v/>
      </c>
      <c r="AR70" s="2" t="str" cm="1">
        <f t="array" ref="AR70">IF('NILAI CPL'!$B70&lt;&gt;"",IFERROR(_xlfn.IFS(U70&gt;='NILAI CPL'!$B$3,4,U70&gt;='NILAI CPL'!$B$4,3,U70&gt;='NILAI CPL'!$B$5,2,U70&gt;'NILAI CPL'!$B$6,1),0),"")</f>
        <v/>
      </c>
      <c r="AS70" s="2" t="str" cm="1">
        <f t="array" ref="AS70">IF('NILAI CPL'!$B70&lt;&gt;"",IFERROR(_xlfn.IFS(V70&gt;='NILAI CPL'!$B$3,4,V70&gt;='NILAI CPL'!$B$4,3,V70&gt;='NILAI CPL'!$B$5,2,V70&gt;'NILAI CPL'!$B$6,1),0),"")</f>
        <v/>
      </c>
      <c r="AT70" s="2" t="str" cm="1">
        <f t="array" ref="AT70">IF('NILAI CPL'!$B70&lt;&gt;"",IFERROR(_xlfn.IFS(W70&gt;='NILAI CPL'!$B$3,4,W70&gt;='NILAI CPL'!$B$4,3,W70&gt;='NILAI CPL'!$B$5,2,W70&gt;'NILAI CPL'!$B$6,1),0),"")</f>
        <v/>
      </c>
      <c r="AU70" s="2" t="str" cm="1">
        <f t="array" ref="AU70">IF('NILAI CPL'!$B70&lt;&gt;"",IFERROR(_xlfn.IFS(X70&gt;='NILAI CPL'!$B$3,4,X70&gt;='NILAI CPL'!$B$4,3,X70&gt;='NILAI CPL'!$B$5,2,X70&gt;'NILAI CPL'!$B$6,1),0),"")</f>
        <v/>
      </c>
      <c r="AV70" s="2" t="str" cm="1">
        <f t="array" ref="AV70">IF('NILAI CPL'!$B70&lt;&gt;"",IFERROR(_xlfn.IFS(Y70&gt;='NILAI CPL'!$B$3,4,Y70&gt;='NILAI CPL'!$B$4,3,Y70&gt;='NILAI CPL'!$B$5,2,Y70&gt;'NILAI CPL'!$B$6,1),0),"")</f>
        <v/>
      </c>
      <c r="AW70" s="2" t="str" cm="1">
        <f t="array" ref="AW70">IF('NILAI CPL'!$B70&lt;&gt;"",IFERROR(_xlfn.IFS(Z70&gt;='NILAI CPL'!$B$3,4,Z70&gt;='NILAI CPL'!$B$4,3,Z70&gt;='NILAI CPL'!$B$5,2,Z70&gt;'NILAI CPL'!$B$6,1),0),"")</f>
        <v/>
      </c>
      <c r="AX70" s="2" t="str" cm="1">
        <f t="array" ref="AX70">IF('NILAI CPL'!$B70&lt;&gt;"",IFERROR(_xlfn.IFS(AA70&gt;='NILAI CPL'!$B$3,4,AA70&gt;='NILAI CPL'!$B$4,3,AA70&gt;='NILAI CPL'!$B$5,2,AA70&gt;'NILAI CPL'!$B$6,1),0),"")</f>
        <v/>
      </c>
      <c r="AY70" s="2" t="str" cm="1">
        <f t="array" ref="AY70">IF('NILAI CPL'!$B70&lt;&gt;"",IFERROR(_xlfn.IFS(AB70&gt;='NILAI CPL'!$B$3,4,AB70&gt;='NILAI CPL'!$B$4,3,AB70&gt;='NILAI CPL'!$B$5,2,AB70&gt;'NILAI CPL'!$B$6,1),0),"")</f>
        <v/>
      </c>
      <c r="AZ70" s="2" t="str" cm="1">
        <f t="array" ref="AZ70">IF('NILAI CPL'!$B70&lt;&gt;"",IFERROR(_xlfn.IFS(AC70&gt;='NILAI CPL'!$B$3,4,AC70&gt;='NILAI CPL'!$B$4,3,AC70&gt;='NILAI CPL'!$B$5,2,AC70&gt;'NILAI CPL'!$B$6,1),0),"")</f>
        <v/>
      </c>
      <c r="BA70" s="2" t="str" cm="1">
        <f t="array" ref="BA70">IF('NILAI CPL'!$B70&lt;&gt;"",IFERROR(_xlfn.IFS(AD70&gt;='NILAI CPL'!$B$3,4,AD70&gt;='NILAI CPL'!$B$4,3,AD70&gt;='NILAI CPL'!$B$5,2,AD70&gt;'NILAI CPL'!$B$6,1),0),"")</f>
        <v/>
      </c>
      <c r="BB70" s="2" t="str" cm="1">
        <f t="array" ref="BB70">IF('NILAI CPL'!$B70&lt;&gt;"",IFERROR(_xlfn.IFS(AE70&gt;='NILAI CPL'!$B$3,4,AE70&gt;='NILAI CPL'!$B$4,3,AE70&gt;='NILAI CPL'!$B$5,2,AE70&gt;'NILAI CPL'!$B$6,1),0),"")</f>
        <v/>
      </c>
      <c r="BC70" s="2" t="str" cm="1">
        <f t="array" ref="BC70">IF('NILAI CPL'!$B70&lt;&gt;"",IFERROR(_xlfn.IFS(AF70&gt;='NILAI CPL'!$B$3,4,AF70&gt;='NILAI CPL'!$B$4,3,AF70&gt;='NILAI CPL'!$B$5,2,AF70&gt;'NILAI CPL'!$B$6,1),0),"")</f>
        <v/>
      </c>
      <c r="BD70" s="2" t="str" cm="1">
        <f t="array" ref="BD70">IF('NILAI CPL'!$B70&lt;&gt;"",IFERROR(_xlfn.IFS(AG70&gt;='NILAI CPL'!$B$3,4,AG70&gt;='NILAI CPL'!$B$4,3,AG70&gt;='NILAI CPL'!$B$5,2,AG70&gt;'NILAI CPL'!$B$6,1),0),"")</f>
        <v/>
      </c>
      <c r="BE70" s="2" t="str" cm="1">
        <f t="array" ref="BE70">IF('NILAI CPL'!$B70&lt;&gt;"",IFERROR(_xlfn.IFS(AH70&gt;='NILAI CPL'!$B$3,4,AH70&gt;='NILAI CPL'!$B$4,3,AH70&gt;='NILAI CPL'!$B$5,2,AH70&gt;'NILAI CPL'!$B$6,1),0),"")</f>
        <v/>
      </c>
      <c r="BF70" s="2" t="str" cm="1">
        <f t="array" ref="BF70">IF('NILAI CPL'!$B70&lt;&gt;"",IFERROR(_xlfn.IFS(AI70&gt;='NILAI CPL'!$B$3,4,AI70&gt;='NILAI CPL'!$B$4,3,AI70&gt;='NILAI CPL'!$B$5,2,AI70&gt;'NILAI CPL'!$B$6,1),0),"")</f>
        <v/>
      </c>
      <c r="BG70" s="2" t="str" cm="1">
        <f t="array" ref="BG70">IF('NILAI CPL'!$B70&lt;&gt;"",IFERROR(_xlfn.IFS(AJ70&gt;='NILAI CPL'!$B$3,4,AJ70&gt;='NILAI CPL'!$B$4,3,AJ70&gt;='NILAI CPL'!$B$5,2,AJ70&gt;'NILAI CPL'!$B$6,1),0),"")</f>
        <v/>
      </c>
      <c r="BH70" s="2" t="str" cm="1">
        <f t="array" ref="BH70">IF('NILAI CPL'!$B70&lt;&gt;"",IFERROR(_xlfn.IFS(AK70&gt;='NILAI CPL'!$B$3,4,AK70&gt;='NILAI CPL'!$B$4,3,AK70&gt;='NILAI CPL'!$B$5,2,AK70&gt;'NILAI CPL'!$B$6,1),0),"")</f>
        <v/>
      </c>
      <c r="BI70" s="2" t="str" cm="1">
        <f t="array" ref="BI70">IF('NILAI CPL'!$B70&lt;&gt;"",IFERROR(_xlfn.IFS(AL70&gt;='NILAI CPL'!$B$3,4,AL70&gt;='NILAI CPL'!$B$4,3,AL70&gt;='NILAI CPL'!$B$5,2,AL70&gt;'NILAI CPL'!$B$6,1),0),"")</f>
        <v/>
      </c>
      <c r="BJ70" s="2" t="str" cm="1">
        <f t="array" ref="BJ70">IF('NILAI CPL'!$B70&lt;&gt;"",IFERROR(_xlfn.IFS(AM70&gt;='NILAI CPL'!$B$3,4,AM70&gt;='NILAI CPL'!$B$4,3,AM70&gt;='NILAI CPL'!$B$5,2,AM70&gt;'NILAI CPL'!$B$6,1),0),"")</f>
        <v/>
      </c>
      <c r="BK70" s="2" t="str" cm="1">
        <f t="array" ref="BK70">IF('NILAI CPL'!$B70&lt;&gt;"",IFERROR(_xlfn.IFS(AN70&gt;='NILAI CPL'!$B$3,4,AN70&gt;='NILAI CPL'!$B$4,3,AN70&gt;='NILAI CPL'!$B$5,2,AN70&gt;'NILAI CPL'!$B$6,1),0),"")</f>
        <v/>
      </c>
    </row>
    <row r="71" spans="1:63" x14ac:dyDescent="0.2">
      <c r="A71" s="2">
        <v>61</v>
      </c>
      <c r="B71" s="2" t="str">
        <f>IF(LEN(SUMMARY!B71)&gt;0, SUMMARY!B71, "")</f>
        <v/>
      </c>
      <c r="C71" s="2" t="str">
        <f>IF(LEN(SUMMARY!C71)&gt;0, SUMMARY!C71, "")</f>
        <v/>
      </c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" t="str">
        <f t="shared" si="2"/>
        <v/>
      </c>
      <c r="S71" s="2" t="str">
        <f t="shared" si="3"/>
        <v/>
      </c>
      <c r="T71" s="2" t="str">
        <f t="shared" si="4"/>
        <v/>
      </c>
      <c r="U71" s="2" t="str">
        <f t="shared" si="5"/>
        <v/>
      </c>
      <c r="V71" s="2" t="str">
        <f t="shared" si="6"/>
        <v/>
      </c>
      <c r="W71" s="2" t="str">
        <f t="shared" si="7"/>
        <v/>
      </c>
      <c r="X71" s="2" t="str">
        <f t="shared" si="8"/>
        <v/>
      </c>
      <c r="Y71" s="2" t="str">
        <f t="shared" si="9"/>
        <v/>
      </c>
      <c r="Z71" s="2" t="str">
        <f t="shared" si="10"/>
        <v/>
      </c>
      <c r="AA71" s="2" t="str">
        <f t="shared" si="11"/>
        <v/>
      </c>
      <c r="AB71" s="2" t="str">
        <f t="shared" si="12"/>
        <v/>
      </c>
      <c r="AC71" s="2" t="str">
        <f t="shared" si="13"/>
        <v/>
      </c>
      <c r="AD71" s="2" t="str">
        <f t="shared" si="14"/>
        <v/>
      </c>
      <c r="AE71" s="2" t="str">
        <f t="shared" si="15"/>
        <v/>
      </c>
      <c r="AF71" s="2" t="str">
        <f t="shared" si="16"/>
        <v/>
      </c>
      <c r="AG71" s="2" t="str">
        <f t="shared" si="17"/>
        <v/>
      </c>
      <c r="AH71" s="2" t="str">
        <f t="shared" si="18"/>
        <v/>
      </c>
      <c r="AI71" s="2" t="str">
        <f t="shared" si="19"/>
        <v/>
      </c>
      <c r="AJ71" s="2" t="str">
        <f t="shared" si="20"/>
        <v/>
      </c>
      <c r="AK71" s="2" t="str">
        <f t="shared" si="21"/>
        <v/>
      </c>
      <c r="AL71" s="2" t="str">
        <f t="shared" si="22"/>
        <v/>
      </c>
      <c r="AM71" s="2" t="str">
        <f t="shared" si="23"/>
        <v/>
      </c>
      <c r="AN71" s="2" t="str">
        <f t="shared" si="24"/>
        <v/>
      </c>
      <c r="AP71" s="2" t="str" cm="1">
        <f t="array" ref="AP71">IF('NILAI CPL'!$B71&lt;&gt;"",IFERROR(_xlfn.IFS(S71&gt;='NILAI CPL'!$B$3,4,S71&gt;='NILAI CPL'!$B$4,3,S71&gt;='NILAI CPL'!$B$5,2,S71&gt;'NILAI CPL'!$B$6,1),0),"")</f>
        <v/>
      </c>
      <c r="AQ71" s="2" t="str" cm="1">
        <f t="array" ref="AQ71">IF('NILAI CPL'!$B71&lt;&gt;"",IFERROR(_xlfn.IFS(T71&gt;='NILAI CPL'!$B$3,4,T71&gt;='NILAI CPL'!$B$4,3,T71&gt;='NILAI CPL'!$B$5,2,T71&gt;'NILAI CPL'!$B$6,1),0),"")</f>
        <v/>
      </c>
      <c r="AR71" s="2" t="str" cm="1">
        <f t="array" ref="AR71">IF('NILAI CPL'!$B71&lt;&gt;"",IFERROR(_xlfn.IFS(U71&gt;='NILAI CPL'!$B$3,4,U71&gt;='NILAI CPL'!$B$4,3,U71&gt;='NILAI CPL'!$B$5,2,U71&gt;'NILAI CPL'!$B$6,1),0),"")</f>
        <v/>
      </c>
      <c r="AS71" s="2" t="str" cm="1">
        <f t="array" ref="AS71">IF('NILAI CPL'!$B71&lt;&gt;"",IFERROR(_xlfn.IFS(V71&gt;='NILAI CPL'!$B$3,4,V71&gt;='NILAI CPL'!$B$4,3,V71&gt;='NILAI CPL'!$B$5,2,V71&gt;'NILAI CPL'!$B$6,1),0),"")</f>
        <v/>
      </c>
      <c r="AT71" s="2" t="str" cm="1">
        <f t="array" ref="AT71">IF('NILAI CPL'!$B71&lt;&gt;"",IFERROR(_xlfn.IFS(W71&gt;='NILAI CPL'!$B$3,4,W71&gt;='NILAI CPL'!$B$4,3,W71&gt;='NILAI CPL'!$B$5,2,W71&gt;'NILAI CPL'!$B$6,1),0),"")</f>
        <v/>
      </c>
      <c r="AU71" s="2" t="str" cm="1">
        <f t="array" ref="AU71">IF('NILAI CPL'!$B71&lt;&gt;"",IFERROR(_xlfn.IFS(X71&gt;='NILAI CPL'!$B$3,4,X71&gt;='NILAI CPL'!$B$4,3,X71&gt;='NILAI CPL'!$B$5,2,X71&gt;'NILAI CPL'!$B$6,1),0),"")</f>
        <v/>
      </c>
      <c r="AV71" s="2" t="str" cm="1">
        <f t="array" ref="AV71">IF('NILAI CPL'!$B71&lt;&gt;"",IFERROR(_xlfn.IFS(Y71&gt;='NILAI CPL'!$B$3,4,Y71&gt;='NILAI CPL'!$B$4,3,Y71&gt;='NILAI CPL'!$B$5,2,Y71&gt;'NILAI CPL'!$B$6,1),0),"")</f>
        <v/>
      </c>
      <c r="AW71" s="2" t="str" cm="1">
        <f t="array" ref="AW71">IF('NILAI CPL'!$B71&lt;&gt;"",IFERROR(_xlfn.IFS(Z71&gt;='NILAI CPL'!$B$3,4,Z71&gt;='NILAI CPL'!$B$4,3,Z71&gt;='NILAI CPL'!$B$5,2,Z71&gt;'NILAI CPL'!$B$6,1),0),"")</f>
        <v/>
      </c>
      <c r="AX71" s="2" t="str" cm="1">
        <f t="array" ref="AX71">IF('NILAI CPL'!$B71&lt;&gt;"",IFERROR(_xlfn.IFS(AA71&gt;='NILAI CPL'!$B$3,4,AA71&gt;='NILAI CPL'!$B$4,3,AA71&gt;='NILAI CPL'!$B$5,2,AA71&gt;'NILAI CPL'!$B$6,1),0),"")</f>
        <v/>
      </c>
      <c r="AY71" s="2" t="str" cm="1">
        <f t="array" ref="AY71">IF('NILAI CPL'!$B71&lt;&gt;"",IFERROR(_xlfn.IFS(AB71&gt;='NILAI CPL'!$B$3,4,AB71&gt;='NILAI CPL'!$B$4,3,AB71&gt;='NILAI CPL'!$B$5,2,AB71&gt;'NILAI CPL'!$B$6,1),0),"")</f>
        <v/>
      </c>
      <c r="AZ71" s="2" t="str" cm="1">
        <f t="array" ref="AZ71">IF('NILAI CPL'!$B71&lt;&gt;"",IFERROR(_xlfn.IFS(AC71&gt;='NILAI CPL'!$B$3,4,AC71&gt;='NILAI CPL'!$B$4,3,AC71&gt;='NILAI CPL'!$B$5,2,AC71&gt;'NILAI CPL'!$B$6,1),0),"")</f>
        <v/>
      </c>
      <c r="BA71" s="2" t="str" cm="1">
        <f t="array" ref="BA71">IF('NILAI CPL'!$B71&lt;&gt;"",IFERROR(_xlfn.IFS(AD71&gt;='NILAI CPL'!$B$3,4,AD71&gt;='NILAI CPL'!$B$4,3,AD71&gt;='NILAI CPL'!$B$5,2,AD71&gt;'NILAI CPL'!$B$6,1),0),"")</f>
        <v/>
      </c>
      <c r="BB71" s="2" t="str" cm="1">
        <f t="array" ref="BB71">IF('NILAI CPL'!$B71&lt;&gt;"",IFERROR(_xlfn.IFS(AE71&gt;='NILAI CPL'!$B$3,4,AE71&gt;='NILAI CPL'!$B$4,3,AE71&gt;='NILAI CPL'!$B$5,2,AE71&gt;'NILAI CPL'!$B$6,1),0),"")</f>
        <v/>
      </c>
      <c r="BC71" s="2" t="str" cm="1">
        <f t="array" ref="BC71">IF('NILAI CPL'!$B71&lt;&gt;"",IFERROR(_xlfn.IFS(AF71&gt;='NILAI CPL'!$B$3,4,AF71&gt;='NILAI CPL'!$B$4,3,AF71&gt;='NILAI CPL'!$B$5,2,AF71&gt;'NILAI CPL'!$B$6,1),0),"")</f>
        <v/>
      </c>
      <c r="BD71" s="2" t="str" cm="1">
        <f t="array" ref="BD71">IF('NILAI CPL'!$B71&lt;&gt;"",IFERROR(_xlfn.IFS(AG71&gt;='NILAI CPL'!$B$3,4,AG71&gt;='NILAI CPL'!$B$4,3,AG71&gt;='NILAI CPL'!$B$5,2,AG71&gt;'NILAI CPL'!$B$6,1),0),"")</f>
        <v/>
      </c>
      <c r="BE71" s="2" t="str" cm="1">
        <f t="array" ref="BE71">IF('NILAI CPL'!$B71&lt;&gt;"",IFERROR(_xlfn.IFS(AH71&gt;='NILAI CPL'!$B$3,4,AH71&gt;='NILAI CPL'!$B$4,3,AH71&gt;='NILAI CPL'!$B$5,2,AH71&gt;'NILAI CPL'!$B$6,1),0),"")</f>
        <v/>
      </c>
      <c r="BF71" s="2" t="str" cm="1">
        <f t="array" ref="BF71">IF('NILAI CPL'!$B71&lt;&gt;"",IFERROR(_xlfn.IFS(AI71&gt;='NILAI CPL'!$B$3,4,AI71&gt;='NILAI CPL'!$B$4,3,AI71&gt;='NILAI CPL'!$B$5,2,AI71&gt;'NILAI CPL'!$B$6,1),0),"")</f>
        <v/>
      </c>
      <c r="BG71" s="2" t="str" cm="1">
        <f t="array" ref="BG71">IF('NILAI CPL'!$B71&lt;&gt;"",IFERROR(_xlfn.IFS(AJ71&gt;='NILAI CPL'!$B$3,4,AJ71&gt;='NILAI CPL'!$B$4,3,AJ71&gt;='NILAI CPL'!$B$5,2,AJ71&gt;'NILAI CPL'!$B$6,1),0),"")</f>
        <v/>
      </c>
      <c r="BH71" s="2" t="str" cm="1">
        <f t="array" ref="BH71">IF('NILAI CPL'!$B71&lt;&gt;"",IFERROR(_xlfn.IFS(AK71&gt;='NILAI CPL'!$B$3,4,AK71&gt;='NILAI CPL'!$B$4,3,AK71&gt;='NILAI CPL'!$B$5,2,AK71&gt;'NILAI CPL'!$B$6,1),0),"")</f>
        <v/>
      </c>
      <c r="BI71" s="2" t="str" cm="1">
        <f t="array" ref="BI71">IF('NILAI CPL'!$B71&lt;&gt;"",IFERROR(_xlfn.IFS(AL71&gt;='NILAI CPL'!$B$3,4,AL71&gt;='NILAI CPL'!$B$4,3,AL71&gt;='NILAI CPL'!$B$5,2,AL71&gt;'NILAI CPL'!$B$6,1),0),"")</f>
        <v/>
      </c>
      <c r="BJ71" s="2" t="str" cm="1">
        <f t="array" ref="BJ71">IF('NILAI CPL'!$B71&lt;&gt;"",IFERROR(_xlfn.IFS(AM71&gt;='NILAI CPL'!$B$3,4,AM71&gt;='NILAI CPL'!$B$4,3,AM71&gt;='NILAI CPL'!$B$5,2,AM71&gt;'NILAI CPL'!$B$6,1),0),"")</f>
        <v/>
      </c>
      <c r="BK71" s="2" t="str" cm="1">
        <f t="array" ref="BK71">IF('NILAI CPL'!$B71&lt;&gt;"",IFERROR(_xlfn.IFS(AN71&gt;='NILAI CPL'!$B$3,4,AN71&gt;='NILAI CPL'!$B$4,3,AN71&gt;='NILAI CPL'!$B$5,2,AN71&gt;'NILAI CPL'!$B$6,1),0),"")</f>
        <v/>
      </c>
    </row>
    <row r="72" spans="1:63" x14ac:dyDescent="0.2">
      <c r="A72" s="2">
        <v>62</v>
      </c>
      <c r="B72" s="2" t="str">
        <f>IF(LEN(SUMMARY!B72)&gt;0, SUMMARY!B72, "")</f>
        <v/>
      </c>
      <c r="C72" s="2" t="str">
        <f>IF(LEN(SUMMARY!C72)&gt;0, SUMMARY!C72, "")</f>
        <v/>
      </c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" t="str">
        <f t="shared" si="2"/>
        <v/>
      </c>
      <c r="S72" s="2" t="str">
        <f t="shared" si="3"/>
        <v/>
      </c>
      <c r="T72" s="2" t="str">
        <f t="shared" si="4"/>
        <v/>
      </c>
      <c r="U72" s="2" t="str">
        <f t="shared" si="5"/>
        <v/>
      </c>
      <c r="V72" s="2" t="str">
        <f t="shared" si="6"/>
        <v/>
      </c>
      <c r="W72" s="2" t="str">
        <f t="shared" si="7"/>
        <v/>
      </c>
      <c r="X72" s="2" t="str">
        <f t="shared" si="8"/>
        <v/>
      </c>
      <c r="Y72" s="2" t="str">
        <f t="shared" si="9"/>
        <v/>
      </c>
      <c r="Z72" s="2" t="str">
        <f t="shared" si="10"/>
        <v/>
      </c>
      <c r="AA72" s="2" t="str">
        <f t="shared" si="11"/>
        <v/>
      </c>
      <c r="AB72" s="2" t="str">
        <f t="shared" si="12"/>
        <v/>
      </c>
      <c r="AC72" s="2" t="str">
        <f t="shared" si="13"/>
        <v/>
      </c>
      <c r="AD72" s="2" t="str">
        <f t="shared" si="14"/>
        <v/>
      </c>
      <c r="AE72" s="2" t="str">
        <f t="shared" si="15"/>
        <v/>
      </c>
      <c r="AF72" s="2" t="str">
        <f t="shared" si="16"/>
        <v/>
      </c>
      <c r="AG72" s="2" t="str">
        <f t="shared" si="17"/>
        <v/>
      </c>
      <c r="AH72" s="2" t="str">
        <f t="shared" si="18"/>
        <v/>
      </c>
      <c r="AI72" s="2" t="str">
        <f t="shared" si="19"/>
        <v/>
      </c>
      <c r="AJ72" s="2" t="str">
        <f t="shared" si="20"/>
        <v/>
      </c>
      <c r="AK72" s="2" t="str">
        <f t="shared" si="21"/>
        <v/>
      </c>
      <c r="AL72" s="2" t="str">
        <f t="shared" si="22"/>
        <v/>
      </c>
      <c r="AM72" s="2" t="str">
        <f t="shared" si="23"/>
        <v/>
      </c>
      <c r="AN72" s="2" t="str">
        <f t="shared" si="24"/>
        <v/>
      </c>
      <c r="AP72" s="2" t="str" cm="1">
        <f t="array" ref="AP72">IF('NILAI CPL'!$B72&lt;&gt;"",IFERROR(_xlfn.IFS(S72&gt;='NILAI CPL'!$B$3,4,S72&gt;='NILAI CPL'!$B$4,3,S72&gt;='NILAI CPL'!$B$5,2,S72&gt;'NILAI CPL'!$B$6,1),0),"")</f>
        <v/>
      </c>
      <c r="AQ72" s="2" t="str" cm="1">
        <f t="array" ref="AQ72">IF('NILAI CPL'!$B72&lt;&gt;"",IFERROR(_xlfn.IFS(T72&gt;='NILAI CPL'!$B$3,4,T72&gt;='NILAI CPL'!$B$4,3,T72&gt;='NILAI CPL'!$B$5,2,T72&gt;'NILAI CPL'!$B$6,1),0),"")</f>
        <v/>
      </c>
      <c r="AR72" s="2" t="str" cm="1">
        <f t="array" ref="AR72">IF('NILAI CPL'!$B72&lt;&gt;"",IFERROR(_xlfn.IFS(U72&gt;='NILAI CPL'!$B$3,4,U72&gt;='NILAI CPL'!$B$4,3,U72&gt;='NILAI CPL'!$B$5,2,U72&gt;'NILAI CPL'!$B$6,1),0),"")</f>
        <v/>
      </c>
      <c r="AS72" s="2" t="str" cm="1">
        <f t="array" ref="AS72">IF('NILAI CPL'!$B72&lt;&gt;"",IFERROR(_xlfn.IFS(V72&gt;='NILAI CPL'!$B$3,4,V72&gt;='NILAI CPL'!$B$4,3,V72&gt;='NILAI CPL'!$B$5,2,V72&gt;'NILAI CPL'!$B$6,1),0),"")</f>
        <v/>
      </c>
      <c r="AT72" s="2" t="str" cm="1">
        <f t="array" ref="AT72">IF('NILAI CPL'!$B72&lt;&gt;"",IFERROR(_xlfn.IFS(W72&gt;='NILAI CPL'!$B$3,4,W72&gt;='NILAI CPL'!$B$4,3,W72&gt;='NILAI CPL'!$B$5,2,W72&gt;'NILAI CPL'!$B$6,1),0),"")</f>
        <v/>
      </c>
      <c r="AU72" s="2" t="str" cm="1">
        <f t="array" ref="AU72">IF('NILAI CPL'!$B72&lt;&gt;"",IFERROR(_xlfn.IFS(X72&gt;='NILAI CPL'!$B$3,4,X72&gt;='NILAI CPL'!$B$4,3,X72&gt;='NILAI CPL'!$B$5,2,X72&gt;'NILAI CPL'!$B$6,1),0),"")</f>
        <v/>
      </c>
      <c r="AV72" s="2" t="str" cm="1">
        <f t="array" ref="AV72">IF('NILAI CPL'!$B72&lt;&gt;"",IFERROR(_xlfn.IFS(Y72&gt;='NILAI CPL'!$B$3,4,Y72&gt;='NILAI CPL'!$B$4,3,Y72&gt;='NILAI CPL'!$B$5,2,Y72&gt;'NILAI CPL'!$B$6,1),0),"")</f>
        <v/>
      </c>
      <c r="AW72" s="2" t="str" cm="1">
        <f t="array" ref="AW72">IF('NILAI CPL'!$B72&lt;&gt;"",IFERROR(_xlfn.IFS(Z72&gt;='NILAI CPL'!$B$3,4,Z72&gt;='NILAI CPL'!$B$4,3,Z72&gt;='NILAI CPL'!$B$5,2,Z72&gt;'NILAI CPL'!$B$6,1),0),"")</f>
        <v/>
      </c>
      <c r="AX72" s="2" t="str" cm="1">
        <f t="array" ref="AX72">IF('NILAI CPL'!$B72&lt;&gt;"",IFERROR(_xlfn.IFS(AA72&gt;='NILAI CPL'!$B$3,4,AA72&gt;='NILAI CPL'!$B$4,3,AA72&gt;='NILAI CPL'!$B$5,2,AA72&gt;'NILAI CPL'!$B$6,1),0),"")</f>
        <v/>
      </c>
      <c r="AY72" s="2" t="str" cm="1">
        <f t="array" ref="AY72">IF('NILAI CPL'!$B72&lt;&gt;"",IFERROR(_xlfn.IFS(AB72&gt;='NILAI CPL'!$B$3,4,AB72&gt;='NILAI CPL'!$B$4,3,AB72&gt;='NILAI CPL'!$B$5,2,AB72&gt;'NILAI CPL'!$B$6,1),0),"")</f>
        <v/>
      </c>
      <c r="AZ72" s="2" t="str" cm="1">
        <f t="array" ref="AZ72">IF('NILAI CPL'!$B72&lt;&gt;"",IFERROR(_xlfn.IFS(AC72&gt;='NILAI CPL'!$B$3,4,AC72&gt;='NILAI CPL'!$B$4,3,AC72&gt;='NILAI CPL'!$B$5,2,AC72&gt;'NILAI CPL'!$B$6,1),0),"")</f>
        <v/>
      </c>
      <c r="BA72" s="2" t="str" cm="1">
        <f t="array" ref="BA72">IF('NILAI CPL'!$B72&lt;&gt;"",IFERROR(_xlfn.IFS(AD72&gt;='NILAI CPL'!$B$3,4,AD72&gt;='NILAI CPL'!$B$4,3,AD72&gt;='NILAI CPL'!$B$5,2,AD72&gt;'NILAI CPL'!$B$6,1),0),"")</f>
        <v/>
      </c>
      <c r="BB72" s="2" t="str" cm="1">
        <f t="array" ref="BB72">IF('NILAI CPL'!$B72&lt;&gt;"",IFERROR(_xlfn.IFS(AE72&gt;='NILAI CPL'!$B$3,4,AE72&gt;='NILAI CPL'!$B$4,3,AE72&gt;='NILAI CPL'!$B$5,2,AE72&gt;'NILAI CPL'!$B$6,1),0),"")</f>
        <v/>
      </c>
      <c r="BC72" s="2" t="str" cm="1">
        <f t="array" ref="BC72">IF('NILAI CPL'!$B72&lt;&gt;"",IFERROR(_xlfn.IFS(AF72&gt;='NILAI CPL'!$B$3,4,AF72&gt;='NILAI CPL'!$B$4,3,AF72&gt;='NILAI CPL'!$B$5,2,AF72&gt;'NILAI CPL'!$B$6,1),0),"")</f>
        <v/>
      </c>
      <c r="BD72" s="2" t="str" cm="1">
        <f t="array" ref="BD72">IF('NILAI CPL'!$B72&lt;&gt;"",IFERROR(_xlfn.IFS(AG72&gt;='NILAI CPL'!$B$3,4,AG72&gt;='NILAI CPL'!$B$4,3,AG72&gt;='NILAI CPL'!$B$5,2,AG72&gt;'NILAI CPL'!$B$6,1),0),"")</f>
        <v/>
      </c>
      <c r="BE72" s="2" t="str" cm="1">
        <f t="array" ref="BE72">IF('NILAI CPL'!$B72&lt;&gt;"",IFERROR(_xlfn.IFS(AH72&gt;='NILAI CPL'!$B$3,4,AH72&gt;='NILAI CPL'!$B$4,3,AH72&gt;='NILAI CPL'!$B$5,2,AH72&gt;'NILAI CPL'!$B$6,1),0),"")</f>
        <v/>
      </c>
      <c r="BF72" s="2" t="str" cm="1">
        <f t="array" ref="BF72">IF('NILAI CPL'!$B72&lt;&gt;"",IFERROR(_xlfn.IFS(AI72&gt;='NILAI CPL'!$B$3,4,AI72&gt;='NILAI CPL'!$B$4,3,AI72&gt;='NILAI CPL'!$B$5,2,AI72&gt;'NILAI CPL'!$B$6,1),0),"")</f>
        <v/>
      </c>
      <c r="BG72" s="2" t="str" cm="1">
        <f t="array" ref="BG72">IF('NILAI CPL'!$B72&lt;&gt;"",IFERROR(_xlfn.IFS(AJ72&gt;='NILAI CPL'!$B$3,4,AJ72&gt;='NILAI CPL'!$B$4,3,AJ72&gt;='NILAI CPL'!$B$5,2,AJ72&gt;'NILAI CPL'!$B$6,1),0),"")</f>
        <v/>
      </c>
      <c r="BH72" s="2" t="str" cm="1">
        <f t="array" ref="BH72">IF('NILAI CPL'!$B72&lt;&gt;"",IFERROR(_xlfn.IFS(AK72&gt;='NILAI CPL'!$B$3,4,AK72&gt;='NILAI CPL'!$B$4,3,AK72&gt;='NILAI CPL'!$B$5,2,AK72&gt;'NILAI CPL'!$B$6,1),0),"")</f>
        <v/>
      </c>
      <c r="BI72" s="2" t="str" cm="1">
        <f t="array" ref="BI72">IF('NILAI CPL'!$B72&lt;&gt;"",IFERROR(_xlfn.IFS(AL72&gt;='NILAI CPL'!$B$3,4,AL72&gt;='NILAI CPL'!$B$4,3,AL72&gt;='NILAI CPL'!$B$5,2,AL72&gt;'NILAI CPL'!$B$6,1),0),"")</f>
        <v/>
      </c>
      <c r="BJ72" s="2" t="str" cm="1">
        <f t="array" ref="BJ72">IF('NILAI CPL'!$B72&lt;&gt;"",IFERROR(_xlfn.IFS(AM72&gt;='NILAI CPL'!$B$3,4,AM72&gt;='NILAI CPL'!$B$4,3,AM72&gt;='NILAI CPL'!$B$5,2,AM72&gt;'NILAI CPL'!$B$6,1),0),"")</f>
        <v/>
      </c>
      <c r="BK72" s="2" t="str" cm="1">
        <f t="array" ref="BK72">IF('NILAI CPL'!$B72&lt;&gt;"",IFERROR(_xlfn.IFS(AN72&gt;='NILAI CPL'!$B$3,4,AN72&gt;='NILAI CPL'!$B$4,3,AN72&gt;='NILAI CPL'!$B$5,2,AN72&gt;'NILAI CPL'!$B$6,1),0),"")</f>
        <v/>
      </c>
    </row>
    <row r="73" spans="1:63" x14ac:dyDescent="0.2">
      <c r="A73" s="2">
        <v>63</v>
      </c>
      <c r="B73" s="2" t="str">
        <f>IF(LEN(SUMMARY!B73)&gt;0, SUMMARY!B73, "")</f>
        <v/>
      </c>
      <c r="C73" s="2" t="str">
        <f>IF(LEN(SUMMARY!C73)&gt;0, SUMMARY!C73, "")</f>
        <v/>
      </c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" t="str">
        <f t="shared" si="2"/>
        <v/>
      </c>
      <c r="S73" s="2" t="str">
        <f t="shared" si="3"/>
        <v/>
      </c>
      <c r="T73" s="2" t="str">
        <f t="shared" si="4"/>
        <v/>
      </c>
      <c r="U73" s="2" t="str">
        <f t="shared" si="5"/>
        <v/>
      </c>
      <c r="V73" s="2" t="str">
        <f t="shared" si="6"/>
        <v/>
      </c>
      <c r="W73" s="2" t="str">
        <f t="shared" si="7"/>
        <v/>
      </c>
      <c r="X73" s="2" t="str">
        <f t="shared" si="8"/>
        <v/>
      </c>
      <c r="Y73" s="2" t="str">
        <f t="shared" si="9"/>
        <v/>
      </c>
      <c r="Z73" s="2" t="str">
        <f t="shared" si="10"/>
        <v/>
      </c>
      <c r="AA73" s="2" t="str">
        <f t="shared" si="11"/>
        <v/>
      </c>
      <c r="AB73" s="2" t="str">
        <f t="shared" si="12"/>
        <v/>
      </c>
      <c r="AC73" s="2" t="str">
        <f t="shared" si="13"/>
        <v/>
      </c>
      <c r="AD73" s="2" t="str">
        <f t="shared" si="14"/>
        <v/>
      </c>
      <c r="AE73" s="2" t="str">
        <f t="shared" si="15"/>
        <v/>
      </c>
      <c r="AF73" s="2" t="str">
        <f t="shared" si="16"/>
        <v/>
      </c>
      <c r="AG73" s="2" t="str">
        <f t="shared" si="17"/>
        <v/>
      </c>
      <c r="AH73" s="2" t="str">
        <f t="shared" si="18"/>
        <v/>
      </c>
      <c r="AI73" s="2" t="str">
        <f t="shared" si="19"/>
        <v/>
      </c>
      <c r="AJ73" s="2" t="str">
        <f t="shared" si="20"/>
        <v/>
      </c>
      <c r="AK73" s="2" t="str">
        <f t="shared" si="21"/>
        <v/>
      </c>
      <c r="AL73" s="2" t="str">
        <f t="shared" si="22"/>
        <v/>
      </c>
      <c r="AM73" s="2" t="str">
        <f t="shared" si="23"/>
        <v/>
      </c>
      <c r="AN73" s="2" t="str">
        <f t="shared" si="24"/>
        <v/>
      </c>
      <c r="AP73" s="2" t="str" cm="1">
        <f t="array" ref="AP73">IF('NILAI CPL'!$B73&lt;&gt;"",IFERROR(_xlfn.IFS(S73&gt;='NILAI CPL'!$B$3,4,S73&gt;='NILAI CPL'!$B$4,3,S73&gt;='NILAI CPL'!$B$5,2,S73&gt;'NILAI CPL'!$B$6,1),0),"")</f>
        <v/>
      </c>
      <c r="AQ73" s="2" t="str" cm="1">
        <f t="array" ref="AQ73">IF('NILAI CPL'!$B73&lt;&gt;"",IFERROR(_xlfn.IFS(T73&gt;='NILAI CPL'!$B$3,4,T73&gt;='NILAI CPL'!$B$4,3,T73&gt;='NILAI CPL'!$B$5,2,T73&gt;'NILAI CPL'!$B$6,1),0),"")</f>
        <v/>
      </c>
      <c r="AR73" s="2" t="str" cm="1">
        <f t="array" ref="AR73">IF('NILAI CPL'!$B73&lt;&gt;"",IFERROR(_xlfn.IFS(U73&gt;='NILAI CPL'!$B$3,4,U73&gt;='NILAI CPL'!$B$4,3,U73&gt;='NILAI CPL'!$B$5,2,U73&gt;'NILAI CPL'!$B$6,1),0),"")</f>
        <v/>
      </c>
      <c r="AS73" s="2" t="str" cm="1">
        <f t="array" ref="AS73">IF('NILAI CPL'!$B73&lt;&gt;"",IFERROR(_xlfn.IFS(V73&gt;='NILAI CPL'!$B$3,4,V73&gt;='NILAI CPL'!$B$4,3,V73&gt;='NILAI CPL'!$B$5,2,V73&gt;'NILAI CPL'!$B$6,1),0),"")</f>
        <v/>
      </c>
      <c r="AT73" s="2" t="str" cm="1">
        <f t="array" ref="AT73">IF('NILAI CPL'!$B73&lt;&gt;"",IFERROR(_xlfn.IFS(W73&gt;='NILAI CPL'!$B$3,4,W73&gt;='NILAI CPL'!$B$4,3,W73&gt;='NILAI CPL'!$B$5,2,W73&gt;'NILAI CPL'!$B$6,1),0),"")</f>
        <v/>
      </c>
      <c r="AU73" s="2" t="str" cm="1">
        <f t="array" ref="AU73">IF('NILAI CPL'!$B73&lt;&gt;"",IFERROR(_xlfn.IFS(X73&gt;='NILAI CPL'!$B$3,4,X73&gt;='NILAI CPL'!$B$4,3,X73&gt;='NILAI CPL'!$B$5,2,X73&gt;'NILAI CPL'!$B$6,1),0),"")</f>
        <v/>
      </c>
      <c r="AV73" s="2" t="str" cm="1">
        <f t="array" ref="AV73">IF('NILAI CPL'!$B73&lt;&gt;"",IFERROR(_xlfn.IFS(Y73&gt;='NILAI CPL'!$B$3,4,Y73&gt;='NILAI CPL'!$B$4,3,Y73&gt;='NILAI CPL'!$B$5,2,Y73&gt;'NILAI CPL'!$B$6,1),0),"")</f>
        <v/>
      </c>
      <c r="AW73" s="2" t="str" cm="1">
        <f t="array" ref="AW73">IF('NILAI CPL'!$B73&lt;&gt;"",IFERROR(_xlfn.IFS(Z73&gt;='NILAI CPL'!$B$3,4,Z73&gt;='NILAI CPL'!$B$4,3,Z73&gt;='NILAI CPL'!$B$5,2,Z73&gt;'NILAI CPL'!$B$6,1),0),"")</f>
        <v/>
      </c>
      <c r="AX73" s="2" t="str" cm="1">
        <f t="array" ref="AX73">IF('NILAI CPL'!$B73&lt;&gt;"",IFERROR(_xlfn.IFS(AA73&gt;='NILAI CPL'!$B$3,4,AA73&gt;='NILAI CPL'!$B$4,3,AA73&gt;='NILAI CPL'!$B$5,2,AA73&gt;'NILAI CPL'!$B$6,1),0),"")</f>
        <v/>
      </c>
      <c r="AY73" s="2" t="str" cm="1">
        <f t="array" ref="AY73">IF('NILAI CPL'!$B73&lt;&gt;"",IFERROR(_xlfn.IFS(AB73&gt;='NILAI CPL'!$B$3,4,AB73&gt;='NILAI CPL'!$B$4,3,AB73&gt;='NILAI CPL'!$B$5,2,AB73&gt;'NILAI CPL'!$B$6,1),0),"")</f>
        <v/>
      </c>
      <c r="AZ73" s="2" t="str" cm="1">
        <f t="array" ref="AZ73">IF('NILAI CPL'!$B73&lt;&gt;"",IFERROR(_xlfn.IFS(AC73&gt;='NILAI CPL'!$B$3,4,AC73&gt;='NILAI CPL'!$B$4,3,AC73&gt;='NILAI CPL'!$B$5,2,AC73&gt;'NILAI CPL'!$B$6,1),0),"")</f>
        <v/>
      </c>
      <c r="BA73" s="2" t="str" cm="1">
        <f t="array" ref="BA73">IF('NILAI CPL'!$B73&lt;&gt;"",IFERROR(_xlfn.IFS(AD73&gt;='NILAI CPL'!$B$3,4,AD73&gt;='NILAI CPL'!$B$4,3,AD73&gt;='NILAI CPL'!$B$5,2,AD73&gt;'NILAI CPL'!$B$6,1),0),"")</f>
        <v/>
      </c>
      <c r="BB73" s="2" t="str" cm="1">
        <f t="array" ref="BB73">IF('NILAI CPL'!$B73&lt;&gt;"",IFERROR(_xlfn.IFS(AE73&gt;='NILAI CPL'!$B$3,4,AE73&gt;='NILAI CPL'!$B$4,3,AE73&gt;='NILAI CPL'!$B$5,2,AE73&gt;'NILAI CPL'!$B$6,1),0),"")</f>
        <v/>
      </c>
      <c r="BC73" s="2" t="str" cm="1">
        <f t="array" ref="BC73">IF('NILAI CPL'!$B73&lt;&gt;"",IFERROR(_xlfn.IFS(AF73&gt;='NILAI CPL'!$B$3,4,AF73&gt;='NILAI CPL'!$B$4,3,AF73&gt;='NILAI CPL'!$B$5,2,AF73&gt;'NILAI CPL'!$B$6,1),0),"")</f>
        <v/>
      </c>
      <c r="BD73" s="2" t="str" cm="1">
        <f t="array" ref="BD73">IF('NILAI CPL'!$B73&lt;&gt;"",IFERROR(_xlfn.IFS(AG73&gt;='NILAI CPL'!$B$3,4,AG73&gt;='NILAI CPL'!$B$4,3,AG73&gt;='NILAI CPL'!$B$5,2,AG73&gt;'NILAI CPL'!$B$6,1),0),"")</f>
        <v/>
      </c>
      <c r="BE73" s="2" t="str" cm="1">
        <f t="array" ref="BE73">IF('NILAI CPL'!$B73&lt;&gt;"",IFERROR(_xlfn.IFS(AH73&gt;='NILAI CPL'!$B$3,4,AH73&gt;='NILAI CPL'!$B$4,3,AH73&gt;='NILAI CPL'!$B$5,2,AH73&gt;'NILAI CPL'!$B$6,1),0),"")</f>
        <v/>
      </c>
      <c r="BF73" s="2" t="str" cm="1">
        <f t="array" ref="BF73">IF('NILAI CPL'!$B73&lt;&gt;"",IFERROR(_xlfn.IFS(AI73&gt;='NILAI CPL'!$B$3,4,AI73&gt;='NILAI CPL'!$B$4,3,AI73&gt;='NILAI CPL'!$B$5,2,AI73&gt;'NILAI CPL'!$B$6,1),0),"")</f>
        <v/>
      </c>
      <c r="BG73" s="2" t="str" cm="1">
        <f t="array" ref="BG73">IF('NILAI CPL'!$B73&lt;&gt;"",IFERROR(_xlfn.IFS(AJ73&gt;='NILAI CPL'!$B$3,4,AJ73&gt;='NILAI CPL'!$B$4,3,AJ73&gt;='NILAI CPL'!$B$5,2,AJ73&gt;'NILAI CPL'!$B$6,1),0),"")</f>
        <v/>
      </c>
      <c r="BH73" s="2" t="str" cm="1">
        <f t="array" ref="BH73">IF('NILAI CPL'!$B73&lt;&gt;"",IFERROR(_xlfn.IFS(AK73&gt;='NILAI CPL'!$B$3,4,AK73&gt;='NILAI CPL'!$B$4,3,AK73&gt;='NILAI CPL'!$B$5,2,AK73&gt;'NILAI CPL'!$B$6,1),0),"")</f>
        <v/>
      </c>
      <c r="BI73" s="2" t="str" cm="1">
        <f t="array" ref="BI73">IF('NILAI CPL'!$B73&lt;&gt;"",IFERROR(_xlfn.IFS(AL73&gt;='NILAI CPL'!$B$3,4,AL73&gt;='NILAI CPL'!$B$4,3,AL73&gt;='NILAI CPL'!$B$5,2,AL73&gt;'NILAI CPL'!$B$6,1),0),"")</f>
        <v/>
      </c>
      <c r="BJ73" s="2" t="str" cm="1">
        <f t="array" ref="BJ73">IF('NILAI CPL'!$B73&lt;&gt;"",IFERROR(_xlfn.IFS(AM73&gt;='NILAI CPL'!$B$3,4,AM73&gt;='NILAI CPL'!$B$4,3,AM73&gt;='NILAI CPL'!$B$5,2,AM73&gt;'NILAI CPL'!$B$6,1),0),"")</f>
        <v/>
      </c>
      <c r="BK73" s="2" t="str" cm="1">
        <f t="array" ref="BK73">IF('NILAI CPL'!$B73&lt;&gt;"",IFERROR(_xlfn.IFS(AN73&gt;='NILAI CPL'!$B$3,4,AN73&gt;='NILAI CPL'!$B$4,3,AN73&gt;='NILAI CPL'!$B$5,2,AN73&gt;'NILAI CPL'!$B$6,1),0),"")</f>
        <v/>
      </c>
    </row>
    <row r="74" spans="1:63" x14ac:dyDescent="0.2">
      <c r="A74" s="2">
        <v>64</v>
      </c>
      <c r="B74" s="2" t="str">
        <f>IF(LEN(SUMMARY!B74)&gt;0, SUMMARY!B74, "")</f>
        <v/>
      </c>
      <c r="C74" s="2" t="str">
        <f>IF(LEN(SUMMARY!C74)&gt;0, SUMMARY!C74, "")</f>
        <v/>
      </c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" t="str">
        <f t="shared" si="2"/>
        <v/>
      </c>
      <c r="S74" s="2" t="str">
        <f t="shared" si="3"/>
        <v/>
      </c>
      <c r="T74" s="2" t="str">
        <f t="shared" si="4"/>
        <v/>
      </c>
      <c r="U74" s="2" t="str">
        <f t="shared" si="5"/>
        <v/>
      </c>
      <c r="V74" s="2" t="str">
        <f t="shared" si="6"/>
        <v/>
      </c>
      <c r="W74" s="2" t="str">
        <f t="shared" si="7"/>
        <v/>
      </c>
      <c r="X74" s="2" t="str">
        <f t="shared" si="8"/>
        <v/>
      </c>
      <c r="Y74" s="2" t="str">
        <f t="shared" si="9"/>
        <v/>
      </c>
      <c r="Z74" s="2" t="str">
        <f t="shared" si="10"/>
        <v/>
      </c>
      <c r="AA74" s="2" t="str">
        <f t="shared" si="11"/>
        <v/>
      </c>
      <c r="AB74" s="2" t="str">
        <f t="shared" si="12"/>
        <v/>
      </c>
      <c r="AC74" s="2" t="str">
        <f t="shared" si="13"/>
        <v/>
      </c>
      <c r="AD74" s="2" t="str">
        <f t="shared" si="14"/>
        <v/>
      </c>
      <c r="AE74" s="2" t="str">
        <f t="shared" si="15"/>
        <v/>
      </c>
      <c r="AF74" s="2" t="str">
        <f t="shared" si="16"/>
        <v/>
      </c>
      <c r="AG74" s="2" t="str">
        <f t="shared" si="17"/>
        <v/>
      </c>
      <c r="AH74" s="2" t="str">
        <f t="shared" si="18"/>
        <v/>
      </c>
      <c r="AI74" s="2" t="str">
        <f t="shared" si="19"/>
        <v/>
      </c>
      <c r="AJ74" s="2" t="str">
        <f t="shared" si="20"/>
        <v/>
      </c>
      <c r="AK74" s="2" t="str">
        <f t="shared" si="21"/>
        <v/>
      </c>
      <c r="AL74" s="2" t="str">
        <f t="shared" si="22"/>
        <v/>
      </c>
      <c r="AM74" s="2" t="str">
        <f t="shared" si="23"/>
        <v/>
      </c>
      <c r="AN74" s="2" t="str">
        <f t="shared" si="24"/>
        <v/>
      </c>
      <c r="AP74" s="2" t="str" cm="1">
        <f t="array" ref="AP74">IF('NILAI CPL'!$B74&lt;&gt;"",IFERROR(_xlfn.IFS(S74&gt;='NILAI CPL'!$B$3,4,S74&gt;='NILAI CPL'!$B$4,3,S74&gt;='NILAI CPL'!$B$5,2,S74&gt;'NILAI CPL'!$B$6,1),0),"")</f>
        <v/>
      </c>
      <c r="AQ74" s="2" t="str" cm="1">
        <f t="array" ref="AQ74">IF('NILAI CPL'!$B74&lt;&gt;"",IFERROR(_xlfn.IFS(T74&gt;='NILAI CPL'!$B$3,4,T74&gt;='NILAI CPL'!$B$4,3,T74&gt;='NILAI CPL'!$B$5,2,T74&gt;'NILAI CPL'!$B$6,1),0),"")</f>
        <v/>
      </c>
      <c r="AR74" s="2" t="str" cm="1">
        <f t="array" ref="AR74">IF('NILAI CPL'!$B74&lt;&gt;"",IFERROR(_xlfn.IFS(U74&gt;='NILAI CPL'!$B$3,4,U74&gt;='NILAI CPL'!$B$4,3,U74&gt;='NILAI CPL'!$B$5,2,U74&gt;'NILAI CPL'!$B$6,1),0),"")</f>
        <v/>
      </c>
      <c r="AS74" s="2" t="str" cm="1">
        <f t="array" ref="AS74">IF('NILAI CPL'!$B74&lt;&gt;"",IFERROR(_xlfn.IFS(V74&gt;='NILAI CPL'!$B$3,4,V74&gt;='NILAI CPL'!$B$4,3,V74&gt;='NILAI CPL'!$B$5,2,V74&gt;'NILAI CPL'!$B$6,1),0),"")</f>
        <v/>
      </c>
      <c r="AT74" s="2" t="str" cm="1">
        <f t="array" ref="AT74">IF('NILAI CPL'!$B74&lt;&gt;"",IFERROR(_xlfn.IFS(W74&gt;='NILAI CPL'!$B$3,4,W74&gt;='NILAI CPL'!$B$4,3,W74&gt;='NILAI CPL'!$B$5,2,W74&gt;'NILAI CPL'!$B$6,1),0),"")</f>
        <v/>
      </c>
      <c r="AU74" s="2" t="str" cm="1">
        <f t="array" ref="AU74">IF('NILAI CPL'!$B74&lt;&gt;"",IFERROR(_xlfn.IFS(X74&gt;='NILAI CPL'!$B$3,4,X74&gt;='NILAI CPL'!$B$4,3,X74&gt;='NILAI CPL'!$B$5,2,X74&gt;'NILAI CPL'!$B$6,1),0),"")</f>
        <v/>
      </c>
      <c r="AV74" s="2" t="str" cm="1">
        <f t="array" ref="AV74">IF('NILAI CPL'!$B74&lt;&gt;"",IFERROR(_xlfn.IFS(Y74&gt;='NILAI CPL'!$B$3,4,Y74&gt;='NILAI CPL'!$B$4,3,Y74&gt;='NILAI CPL'!$B$5,2,Y74&gt;'NILAI CPL'!$B$6,1),0),"")</f>
        <v/>
      </c>
      <c r="AW74" s="2" t="str" cm="1">
        <f t="array" ref="AW74">IF('NILAI CPL'!$B74&lt;&gt;"",IFERROR(_xlfn.IFS(Z74&gt;='NILAI CPL'!$B$3,4,Z74&gt;='NILAI CPL'!$B$4,3,Z74&gt;='NILAI CPL'!$B$5,2,Z74&gt;'NILAI CPL'!$B$6,1),0),"")</f>
        <v/>
      </c>
      <c r="AX74" s="2" t="str" cm="1">
        <f t="array" ref="AX74">IF('NILAI CPL'!$B74&lt;&gt;"",IFERROR(_xlfn.IFS(AA74&gt;='NILAI CPL'!$B$3,4,AA74&gt;='NILAI CPL'!$B$4,3,AA74&gt;='NILAI CPL'!$B$5,2,AA74&gt;'NILAI CPL'!$B$6,1),0),"")</f>
        <v/>
      </c>
      <c r="AY74" s="2" t="str" cm="1">
        <f t="array" ref="AY74">IF('NILAI CPL'!$B74&lt;&gt;"",IFERROR(_xlfn.IFS(AB74&gt;='NILAI CPL'!$B$3,4,AB74&gt;='NILAI CPL'!$B$4,3,AB74&gt;='NILAI CPL'!$B$5,2,AB74&gt;'NILAI CPL'!$B$6,1),0),"")</f>
        <v/>
      </c>
      <c r="AZ74" s="2" t="str" cm="1">
        <f t="array" ref="AZ74">IF('NILAI CPL'!$B74&lt;&gt;"",IFERROR(_xlfn.IFS(AC74&gt;='NILAI CPL'!$B$3,4,AC74&gt;='NILAI CPL'!$B$4,3,AC74&gt;='NILAI CPL'!$B$5,2,AC74&gt;'NILAI CPL'!$B$6,1),0),"")</f>
        <v/>
      </c>
      <c r="BA74" s="2" t="str" cm="1">
        <f t="array" ref="BA74">IF('NILAI CPL'!$B74&lt;&gt;"",IFERROR(_xlfn.IFS(AD74&gt;='NILAI CPL'!$B$3,4,AD74&gt;='NILAI CPL'!$B$4,3,AD74&gt;='NILAI CPL'!$B$5,2,AD74&gt;'NILAI CPL'!$B$6,1),0),"")</f>
        <v/>
      </c>
      <c r="BB74" s="2" t="str" cm="1">
        <f t="array" ref="BB74">IF('NILAI CPL'!$B74&lt;&gt;"",IFERROR(_xlfn.IFS(AE74&gt;='NILAI CPL'!$B$3,4,AE74&gt;='NILAI CPL'!$B$4,3,AE74&gt;='NILAI CPL'!$B$5,2,AE74&gt;'NILAI CPL'!$B$6,1),0),"")</f>
        <v/>
      </c>
      <c r="BC74" s="2" t="str" cm="1">
        <f t="array" ref="BC74">IF('NILAI CPL'!$B74&lt;&gt;"",IFERROR(_xlfn.IFS(AF74&gt;='NILAI CPL'!$B$3,4,AF74&gt;='NILAI CPL'!$B$4,3,AF74&gt;='NILAI CPL'!$B$5,2,AF74&gt;'NILAI CPL'!$B$6,1),0),"")</f>
        <v/>
      </c>
      <c r="BD74" s="2" t="str" cm="1">
        <f t="array" ref="BD74">IF('NILAI CPL'!$B74&lt;&gt;"",IFERROR(_xlfn.IFS(AG74&gt;='NILAI CPL'!$B$3,4,AG74&gt;='NILAI CPL'!$B$4,3,AG74&gt;='NILAI CPL'!$B$5,2,AG74&gt;'NILAI CPL'!$B$6,1),0),"")</f>
        <v/>
      </c>
      <c r="BE74" s="2" t="str" cm="1">
        <f t="array" ref="BE74">IF('NILAI CPL'!$B74&lt;&gt;"",IFERROR(_xlfn.IFS(AH74&gt;='NILAI CPL'!$B$3,4,AH74&gt;='NILAI CPL'!$B$4,3,AH74&gt;='NILAI CPL'!$B$5,2,AH74&gt;'NILAI CPL'!$B$6,1),0),"")</f>
        <v/>
      </c>
      <c r="BF74" s="2" t="str" cm="1">
        <f t="array" ref="BF74">IF('NILAI CPL'!$B74&lt;&gt;"",IFERROR(_xlfn.IFS(AI74&gt;='NILAI CPL'!$B$3,4,AI74&gt;='NILAI CPL'!$B$4,3,AI74&gt;='NILAI CPL'!$B$5,2,AI74&gt;'NILAI CPL'!$B$6,1),0),"")</f>
        <v/>
      </c>
      <c r="BG74" s="2" t="str" cm="1">
        <f t="array" ref="BG74">IF('NILAI CPL'!$B74&lt;&gt;"",IFERROR(_xlfn.IFS(AJ74&gt;='NILAI CPL'!$B$3,4,AJ74&gt;='NILAI CPL'!$B$4,3,AJ74&gt;='NILAI CPL'!$B$5,2,AJ74&gt;'NILAI CPL'!$B$6,1),0),"")</f>
        <v/>
      </c>
      <c r="BH74" s="2" t="str" cm="1">
        <f t="array" ref="BH74">IF('NILAI CPL'!$B74&lt;&gt;"",IFERROR(_xlfn.IFS(AK74&gt;='NILAI CPL'!$B$3,4,AK74&gt;='NILAI CPL'!$B$4,3,AK74&gt;='NILAI CPL'!$B$5,2,AK74&gt;'NILAI CPL'!$B$6,1),0),"")</f>
        <v/>
      </c>
      <c r="BI74" s="2" t="str" cm="1">
        <f t="array" ref="BI74">IF('NILAI CPL'!$B74&lt;&gt;"",IFERROR(_xlfn.IFS(AL74&gt;='NILAI CPL'!$B$3,4,AL74&gt;='NILAI CPL'!$B$4,3,AL74&gt;='NILAI CPL'!$B$5,2,AL74&gt;'NILAI CPL'!$B$6,1),0),"")</f>
        <v/>
      </c>
      <c r="BJ74" s="2" t="str" cm="1">
        <f t="array" ref="BJ74">IF('NILAI CPL'!$B74&lt;&gt;"",IFERROR(_xlfn.IFS(AM74&gt;='NILAI CPL'!$B$3,4,AM74&gt;='NILAI CPL'!$B$4,3,AM74&gt;='NILAI CPL'!$B$5,2,AM74&gt;'NILAI CPL'!$B$6,1),0),"")</f>
        <v/>
      </c>
      <c r="BK74" s="2" t="str" cm="1">
        <f t="array" ref="BK74">IF('NILAI CPL'!$B74&lt;&gt;"",IFERROR(_xlfn.IFS(AN74&gt;='NILAI CPL'!$B$3,4,AN74&gt;='NILAI CPL'!$B$4,3,AN74&gt;='NILAI CPL'!$B$5,2,AN74&gt;'NILAI CPL'!$B$6,1),0),"")</f>
        <v/>
      </c>
    </row>
    <row r="75" spans="1:63" x14ac:dyDescent="0.2">
      <c r="A75" s="2">
        <v>65</v>
      </c>
      <c r="B75" s="2" t="str">
        <f>IF(LEN(SUMMARY!B75)&gt;0, SUMMARY!B75, "")</f>
        <v/>
      </c>
      <c r="C75" s="2" t="str">
        <f>IF(LEN(SUMMARY!C75)&gt;0, SUMMARY!C75, "")</f>
        <v/>
      </c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" t="str">
        <f t="shared" si="2"/>
        <v/>
      </c>
      <c r="S75" s="2" t="str">
        <f t="shared" si="3"/>
        <v/>
      </c>
      <c r="T75" s="2" t="str">
        <f t="shared" si="4"/>
        <v/>
      </c>
      <c r="U75" s="2" t="str">
        <f t="shared" si="5"/>
        <v/>
      </c>
      <c r="V75" s="2" t="str">
        <f t="shared" si="6"/>
        <v/>
      </c>
      <c r="W75" s="2" t="str">
        <f t="shared" si="7"/>
        <v/>
      </c>
      <c r="X75" s="2" t="str">
        <f t="shared" si="8"/>
        <v/>
      </c>
      <c r="Y75" s="2" t="str">
        <f t="shared" si="9"/>
        <v/>
      </c>
      <c r="Z75" s="2" t="str">
        <f t="shared" si="10"/>
        <v/>
      </c>
      <c r="AA75" s="2" t="str">
        <f t="shared" si="11"/>
        <v/>
      </c>
      <c r="AB75" s="2" t="str">
        <f t="shared" si="12"/>
        <v/>
      </c>
      <c r="AC75" s="2" t="str">
        <f t="shared" si="13"/>
        <v/>
      </c>
      <c r="AD75" s="2" t="str">
        <f t="shared" si="14"/>
        <v/>
      </c>
      <c r="AE75" s="2" t="str">
        <f t="shared" si="15"/>
        <v/>
      </c>
      <c r="AF75" s="2" t="str">
        <f t="shared" si="16"/>
        <v/>
      </c>
      <c r="AG75" s="2" t="str">
        <f t="shared" si="17"/>
        <v/>
      </c>
      <c r="AH75" s="2" t="str">
        <f t="shared" si="18"/>
        <v/>
      </c>
      <c r="AI75" s="2" t="str">
        <f t="shared" si="19"/>
        <v/>
      </c>
      <c r="AJ75" s="2" t="str">
        <f t="shared" si="20"/>
        <v/>
      </c>
      <c r="AK75" s="2" t="str">
        <f t="shared" si="21"/>
        <v/>
      </c>
      <c r="AL75" s="2" t="str">
        <f t="shared" si="22"/>
        <v/>
      </c>
      <c r="AM75" s="2" t="str">
        <f t="shared" si="23"/>
        <v/>
      </c>
      <c r="AN75" s="2" t="str">
        <f t="shared" si="24"/>
        <v/>
      </c>
      <c r="AP75" s="2" t="str" cm="1">
        <f t="array" ref="AP75">IF('NILAI CPL'!$B75&lt;&gt;"",IFERROR(_xlfn.IFS(S75&gt;='NILAI CPL'!$B$3,4,S75&gt;='NILAI CPL'!$B$4,3,S75&gt;='NILAI CPL'!$B$5,2,S75&gt;'NILAI CPL'!$B$6,1),0),"")</f>
        <v/>
      </c>
      <c r="AQ75" s="2" t="str" cm="1">
        <f t="array" ref="AQ75">IF('NILAI CPL'!$B75&lt;&gt;"",IFERROR(_xlfn.IFS(T75&gt;='NILAI CPL'!$B$3,4,T75&gt;='NILAI CPL'!$B$4,3,T75&gt;='NILAI CPL'!$B$5,2,T75&gt;'NILAI CPL'!$B$6,1),0),"")</f>
        <v/>
      </c>
      <c r="AR75" s="2" t="str" cm="1">
        <f t="array" ref="AR75">IF('NILAI CPL'!$B75&lt;&gt;"",IFERROR(_xlfn.IFS(U75&gt;='NILAI CPL'!$B$3,4,U75&gt;='NILAI CPL'!$B$4,3,U75&gt;='NILAI CPL'!$B$5,2,U75&gt;'NILAI CPL'!$B$6,1),0),"")</f>
        <v/>
      </c>
      <c r="AS75" s="2" t="str" cm="1">
        <f t="array" ref="AS75">IF('NILAI CPL'!$B75&lt;&gt;"",IFERROR(_xlfn.IFS(V75&gt;='NILAI CPL'!$B$3,4,V75&gt;='NILAI CPL'!$B$4,3,V75&gt;='NILAI CPL'!$B$5,2,V75&gt;'NILAI CPL'!$B$6,1),0),"")</f>
        <v/>
      </c>
      <c r="AT75" s="2" t="str" cm="1">
        <f t="array" ref="AT75">IF('NILAI CPL'!$B75&lt;&gt;"",IFERROR(_xlfn.IFS(W75&gt;='NILAI CPL'!$B$3,4,W75&gt;='NILAI CPL'!$B$4,3,W75&gt;='NILAI CPL'!$B$5,2,W75&gt;'NILAI CPL'!$B$6,1),0),"")</f>
        <v/>
      </c>
      <c r="AU75" s="2" t="str" cm="1">
        <f t="array" ref="AU75">IF('NILAI CPL'!$B75&lt;&gt;"",IFERROR(_xlfn.IFS(X75&gt;='NILAI CPL'!$B$3,4,X75&gt;='NILAI CPL'!$B$4,3,X75&gt;='NILAI CPL'!$B$5,2,X75&gt;'NILAI CPL'!$B$6,1),0),"")</f>
        <v/>
      </c>
      <c r="AV75" s="2" t="str" cm="1">
        <f t="array" ref="AV75">IF('NILAI CPL'!$B75&lt;&gt;"",IFERROR(_xlfn.IFS(Y75&gt;='NILAI CPL'!$B$3,4,Y75&gt;='NILAI CPL'!$B$4,3,Y75&gt;='NILAI CPL'!$B$5,2,Y75&gt;'NILAI CPL'!$B$6,1),0),"")</f>
        <v/>
      </c>
      <c r="AW75" s="2" t="str" cm="1">
        <f t="array" ref="AW75">IF('NILAI CPL'!$B75&lt;&gt;"",IFERROR(_xlfn.IFS(Z75&gt;='NILAI CPL'!$B$3,4,Z75&gt;='NILAI CPL'!$B$4,3,Z75&gt;='NILAI CPL'!$B$5,2,Z75&gt;'NILAI CPL'!$B$6,1),0),"")</f>
        <v/>
      </c>
      <c r="AX75" s="2" t="str" cm="1">
        <f t="array" ref="AX75">IF('NILAI CPL'!$B75&lt;&gt;"",IFERROR(_xlfn.IFS(AA75&gt;='NILAI CPL'!$B$3,4,AA75&gt;='NILAI CPL'!$B$4,3,AA75&gt;='NILAI CPL'!$B$5,2,AA75&gt;'NILAI CPL'!$B$6,1),0),"")</f>
        <v/>
      </c>
      <c r="AY75" s="2" t="str" cm="1">
        <f t="array" ref="AY75">IF('NILAI CPL'!$B75&lt;&gt;"",IFERROR(_xlfn.IFS(AB75&gt;='NILAI CPL'!$B$3,4,AB75&gt;='NILAI CPL'!$B$4,3,AB75&gt;='NILAI CPL'!$B$5,2,AB75&gt;'NILAI CPL'!$B$6,1),0),"")</f>
        <v/>
      </c>
      <c r="AZ75" s="2" t="str" cm="1">
        <f t="array" ref="AZ75">IF('NILAI CPL'!$B75&lt;&gt;"",IFERROR(_xlfn.IFS(AC75&gt;='NILAI CPL'!$B$3,4,AC75&gt;='NILAI CPL'!$B$4,3,AC75&gt;='NILAI CPL'!$B$5,2,AC75&gt;'NILAI CPL'!$B$6,1),0),"")</f>
        <v/>
      </c>
      <c r="BA75" s="2" t="str" cm="1">
        <f t="array" ref="BA75">IF('NILAI CPL'!$B75&lt;&gt;"",IFERROR(_xlfn.IFS(AD75&gt;='NILAI CPL'!$B$3,4,AD75&gt;='NILAI CPL'!$B$4,3,AD75&gt;='NILAI CPL'!$B$5,2,AD75&gt;'NILAI CPL'!$B$6,1),0),"")</f>
        <v/>
      </c>
      <c r="BB75" s="2" t="str" cm="1">
        <f t="array" ref="BB75">IF('NILAI CPL'!$B75&lt;&gt;"",IFERROR(_xlfn.IFS(AE75&gt;='NILAI CPL'!$B$3,4,AE75&gt;='NILAI CPL'!$B$4,3,AE75&gt;='NILAI CPL'!$B$5,2,AE75&gt;'NILAI CPL'!$B$6,1),0),"")</f>
        <v/>
      </c>
      <c r="BC75" s="2" t="str" cm="1">
        <f t="array" ref="BC75">IF('NILAI CPL'!$B75&lt;&gt;"",IFERROR(_xlfn.IFS(AF75&gt;='NILAI CPL'!$B$3,4,AF75&gt;='NILAI CPL'!$B$4,3,AF75&gt;='NILAI CPL'!$B$5,2,AF75&gt;'NILAI CPL'!$B$6,1),0),"")</f>
        <v/>
      </c>
      <c r="BD75" s="2" t="str" cm="1">
        <f t="array" ref="BD75">IF('NILAI CPL'!$B75&lt;&gt;"",IFERROR(_xlfn.IFS(AG75&gt;='NILAI CPL'!$B$3,4,AG75&gt;='NILAI CPL'!$B$4,3,AG75&gt;='NILAI CPL'!$B$5,2,AG75&gt;'NILAI CPL'!$B$6,1),0),"")</f>
        <v/>
      </c>
      <c r="BE75" s="2" t="str" cm="1">
        <f t="array" ref="BE75">IF('NILAI CPL'!$B75&lt;&gt;"",IFERROR(_xlfn.IFS(AH75&gt;='NILAI CPL'!$B$3,4,AH75&gt;='NILAI CPL'!$B$4,3,AH75&gt;='NILAI CPL'!$B$5,2,AH75&gt;'NILAI CPL'!$B$6,1),0),"")</f>
        <v/>
      </c>
      <c r="BF75" s="2" t="str" cm="1">
        <f t="array" ref="BF75">IF('NILAI CPL'!$B75&lt;&gt;"",IFERROR(_xlfn.IFS(AI75&gt;='NILAI CPL'!$B$3,4,AI75&gt;='NILAI CPL'!$B$4,3,AI75&gt;='NILAI CPL'!$B$5,2,AI75&gt;'NILAI CPL'!$B$6,1),0),"")</f>
        <v/>
      </c>
      <c r="BG75" s="2" t="str" cm="1">
        <f t="array" ref="BG75">IF('NILAI CPL'!$B75&lt;&gt;"",IFERROR(_xlfn.IFS(AJ75&gt;='NILAI CPL'!$B$3,4,AJ75&gt;='NILAI CPL'!$B$4,3,AJ75&gt;='NILAI CPL'!$B$5,2,AJ75&gt;'NILAI CPL'!$B$6,1),0),"")</f>
        <v/>
      </c>
      <c r="BH75" s="2" t="str" cm="1">
        <f t="array" ref="BH75">IF('NILAI CPL'!$B75&lt;&gt;"",IFERROR(_xlfn.IFS(AK75&gt;='NILAI CPL'!$B$3,4,AK75&gt;='NILAI CPL'!$B$4,3,AK75&gt;='NILAI CPL'!$B$5,2,AK75&gt;'NILAI CPL'!$B$6,1),0),"")</f>
        <v/>
      </c>
      <c r="BI75" s="2" t="str" cm="1">
        <f t="array" ref="BI75">IF('NILAI CPL'!$B75&lt;&gt;"",IFERROR(_xlfn.IFS(AL75&gt;='NILAI CPL'!$B$3,4,AL75&gt;='NILAI CPL'!$B$4,3,AL75&gt;='NILAI CPL'!$B$5,2,AL75&gt;'NILAI CPL'!$B$6,1),0),"")</f>
        <v/>
      </c>
      <c r="BJ75" s="2" t="str" cm="1">
        <f t="array" ref="BJ75">IF('NILAI CPL'!$B75&lt;&gt;"",IFERROR(_xlfn.IFS(AM75&gt;='NILAI CPL'!$B$3,4,AM75&gt;='NILAI CPL'!$B$4,3,AM75&gt;='NILAI CPL'!$B$5,2,AM75&gt;'NILAI CPL'!$B$6,1),0),"")</f>
        <v/>
      </c>
      <c r="BK75" s="2" t="str" cm="1">
        <f t="array" ref="BK75">IF('NILAI CPL'!$B75&lt;&gt;"",IFERROR(_xlfn.IFS(AN75&gt;='NILAI CPL'!$B$3,4,AN75&gt;='NILAI CPL'!$B$4,3,AN75&gt;='NILAI CPL'!$B$5,2,AN75&gt;'NILAI CPL'!$B$6,1),0),"")</f>
        <v/>
      </c>
    </row>
    <row r="76" spans="1:63" x14ac:dyDescent="0.2">
      <c r="A76" s="2">
        <v>66</v>
      </c>
      <c r="B76" s="2" t="str">
        <f>IF(LEN(SUMMARY!B76)&gt;0, SUMMARY!B76, "")</f>
        <v/>
      </c>
      <c r="C76" s="2" t="str">
        <f>IF(LEN(SUMMARY!C76)&gt;0, SUMMARY!C76, "")</f>
        <v/>
      </c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" t="str">
        <f t="shared" ref="Q76:Q90" si="25">IF(B76&lt;&gt;"",IFERROR(ROUNDUP(SUMPRODUCT($E$10:$P$10,E76:P76)/SUM($E$10:$P$10),2),0),"")</f>
        <v/>
      </c>
      <c r="S76" s="2" t="str">
        <f t="shared" ref="S76:S90" si="26">IF(B76&lt;&gt;"",IFERROR(ROUNDUP(SUMPRODUCT(E76:P76,$E$95:$P$95)/SUM($E$95:$P$95),2),0),"")</f>
        <v/>
      </c>
      <c r="T76" s="2" t="str">
        <f t="shared" ref="T76:T90" si="27">IF(B76&lt;&gt;"",IFERROR(ROUNDUP(SUMPRODUCT(E76:P76,$E$96:$P$96)/SUM($E$96:$P$96),2),0),"")</f>
        <v/>
      </c>
      <c r="U76" s="2" t="str">
        <f t="shared" ref="U76:U90" si="28">IF(B76&lt;&gt;"",IFERROR(ROUNDUP(SUMPRODUCT(E76:P76,$E$97:$P$97)/SUM($E$97:$P$97),2),0),"")</f>
        <v/>
      </c>
      <c r="V76" s="2" t="str">
        <f t="shared" ref="V76:V90" si="29">IF(B76&lt;&gt;"",IFERROR(ROUNDUP(SUMPRODUCT(E76:P76,$E$98:$P$98)/SUM($E$98:$P$98),2),0),"")</f>
        <v/>
      </c>
      <c r="W76" s="2" t="str">
        <f t="shared" ref="W76:W90" si="30">IF(B76&lt;&gt;"",IFERROR(ROUNDUP(SUMPRODUCT(E76:P76,$E$99:$P$99)/SUM($E$99:$P$99),2),0),"")</f>
        <v/>
      </c>
      <c r="X76" s="2" t="str">
        <f t="shared" ref="X76:X90" si="31">IF(B76&lt;&gt;"",IFERROR(ROUNDUP(SUMPRODUCT(E76:P76,$E$100:$P$100)/SUM($E$100:$P$100),2),0),"")</f>
        <v/>
      </c>
      <c r="Y76" s="2" t="str">
        <f t="shared" ref="Y76:Y90" si="32">IF(B76&lt;&gt;"",IFERROR(ROUNDUP(SUMPRODUCT(E76:P76,$E$101:$P$101)/SUM($E$101:$P$101),2),0),"")</f>
        <v/>
      </c>
      <c r="Z76" s="2" t="str">
        <f t="shared" ref="Z76:Z90" si="33">IF(B76&lt;&gt;"",IFERROR(ROUNDUP(SUMPRODUCT(E76:P76,$E$102:$P$102)/SUM($E$102:$P$102),2),0),"")</f>
        <v/>
      </c>
      <c r="AA76" s="2" t="str">
        <f t="shared" ref="AA76:AA90" si="34">IF(B76&lt;&gt;"",IFERROR(ROUNDUP(SUMPRODUCT(E76:P76,$E$103:$P$103)/SUM($E$103:$P$103),2),0),"")</f>
        <v/>
      </c>
      <c r="AB76" s="2" t="str">
        <f t="shared" ref="AB76:AB90" si="35">IF(B76&lt;&gt;"",IFERROR(ROUNDUP(SUMPRODUCT(E76:P76,$E$104:$P$104)/SUM($E$104:$P$104),2),0),"")</f>
        <v/>
      </c>
      <c r="AC76" s="2" t="str">
        <f t="shared" ref="AC76:AC90" si="36">IF(B76&lt;&gt;"",IFERROR(ROUNDUP(SUMPRODUCT(E76:P76,$E$105:$P$105)/SUM($E$105:$P$105),2),0),"")</f>
        <v/>
      </c>
      <c r="AD76" s="2" t="str">
        <f t="shared" ref="AD76:AD90" si="37">IF(B76&lt;&gt;"",IFERROR(ROUNDUP(SUMPRODUCT(E76:P76,$E$106:$P$106)/SUM($E$106:$P$106),2),0),"")</f>
        <v/>
      </c>
      <c r="AE76" s="2" t="str">
        <f t="shared" ref="AE76:AE90" si="38">IF(B76&lt;&gt;"",IFERROR(ROUNDUP(SUMPRODUCT(E76:P76,$E$107:$P$107)/SUM($E$107:$P$107),2),0),"")</f>
        <v/>
      </c>
      <c r="AF76" s="2" t="str">
        <f t="shared" ref="AF76:AF90" si="39">IF(B76&lt;&gt;"",IFERROR(ROUNDUP(SUMPRODUCT(E76:P76,$E$108:$P$108)/SUM($E$108:$P$108),2),0),"")</f>
        <v/>
      </c>
      <c r="AG76" s="2" t="str">
        <f t="shared" ref="AG76:AG90" si="40">IF(B76&lt;&gt;"",IFERROR(ROUNDUP(SUMPRODUCT(E76:P76,$E$109:$P$109)/SUM($E$109:$P$109),2),0),"")</f>
        <v/>
      </c>
      <c r="AH76" s="2" t="str">
        <f t="shared" ref="AH76:AH90" si="41">IF(B76&lt;&gt;"",IFERROR(ROUNDUP(SUMPRODUCT(E76:P76,$E$110:$P$110)/SUM($E$110:$P$110),2),0),"")</f>
        <v/>
      </c>
      <c r="AI76" s="2" t="str">
        <f t="shared" ref="AI76:AI90" si="42">IF(B76&lt;&gt;"",IFERROR(ROUNDUP(SUMPRODUCT(E76:P76,$E$111:$P$111)/SUM($E$111:$P$111),2),0),"")</f>
        <v/>
      </c>
      <c r="AJ76" s="2" t="str">
        <f t="shared" ref="AJ76:AJ90" si="43">IF(B76&lt;&gt;"",IFERROR(ROUNDUP(SUMPRODUCT(E76:P76,$E$112:$P$112)/SUM($E$112:$P$112),2),0),"")</f>
        <v/>
      </c>
      <c r="AK76" s="2" t="str">
        <f t="shared" ref="AK76:AK90" si="44">IF(B76&lt;&gt;"",IFERROR(ROUNDUP(SUMPRODUCT(E76:P76,$E$113:$P$113)/SUM($E$113:$P$113),2),0),"")</f>
        <v/>
      </c>
      <c r="AL76" s="2" t="str">
        <f t="shared" ref="AL76:AL90" si="45">IF(B76&lt;&gt;"",IFERROR(ROUNDUP(SUMPRODUCT(E76:P76,$E$114:$P$114)/SUM($E$114:$P$114),2),0),"")</f>
        <v/>
      </c>
      <c r="AM76" s="2" t="str">
        <f t="shared" ref="AM76:AM90" si="46">IF(B76&lt;&gt;"",IFERROR(ROUNDUP(SUMPRODUCT(E76:P76,$E$115:$P$115)/SUM($E$115:$P$115),2),0),"")</f>
        <v/>
      </c>
      <c r="AN76" s="2" t="str">
        <f t="shared" ref="AN76:AN90" si="47">IF(B76&lt;&gt;"",IFERROR(ROUNDUP(SUMPRODUCT(E76:P76,$E$116:$P$116)/SUM($E$116:$P$116),2),0),"")</f>
        <v/>
      </c>
      <c r="AP76" s="2" t="str" cm="1">
        <f t="array" ref="AP76">IF('NILAI CPL'!$B76&lt;&gt;"",IFERROR(_xlfn.IFS(S76&gt;='NILAI CPL'!$B$3,4,S76&gt;='NILAI CPL'!$B$4,3,S76&gt;='NILAI CPL'!$B$5,2,S76&gt;'NILAI CPL'!$B$6,1),0),"")</f>
        <v/>
      </c>
      <c r="AQ76" s="2" t="str" cm="1">
        <f t="array" ref="AQ76">IF('NILAI CPL'!$B76&lt;&gt;"",IFERROR(_xlfn.IFS(T76&gt;='NILAI CPL'!$B$3,4,T76&gt;='NILAI CPL'!$B$4,3,T76&gt;='NILAI CPL'!$B$5,2,T76&gt;'NILAI CPL'!$B$6,1),0),"")</f>
        <v/>
      </c>
      <c r="AR76" s="2" t="str" cm="1">
        <f t="array" ref="AR76">IF('NILAI CPL'!$B76&lt;&gt;"",IFERROR(_xlfn.IFS(U76&gt;='NILAI CPL'!$B$3,4,U76&gt;='NILAI CPL'!$B$4,3,U76&gt;='NILAI CPL'!$B$5,2,U76&gt;'NILAI CPL'!$B$6,1),0),"")</f>
        <v/>
      </c>
      <c r="AS76" s="2" t="str" cm="1">
        <f t="array" ref="AS76">IF('NILAI CPL'!$B76&lt;&gt;"",IFERROR(_xlfn.IFS(V76&gt;='NILAI CPL'!$B$3,4,V76&gt;='NILAI CPL'!$B$4,3,V76&gt;='NILAI CPL'!$B$5,2,V76&gt;'NILAI CPL'!$B$6,1),0),"")</f>
        <v/>
      </c>
      <c r="AT76" s="2" t="str" cm="1">
        <f t="array" ref="AT76">IF('NILAI CPL'!$B76&lt;&gt;"",IFERROR(_xlfn.IFS(W76&gt;='NILAI CPL'!$B$3,4,W76&gt;='NILAI CPL'!$B$4,3,W76&gt;='NILAI CPL'!$B$5,2,W76&gt;'NILAI CPL'!$B$6,1),0),"")</f>
        <v/>
      </c>
      <c r="AU76" s="2" t="str" cm="1">
        <f t="array" ref="AU76">IF('NILAI CPL'!$B76&lt;&gt;"",IFERROR(_xlfn.IFS(X76&gt;='NILAI CPL'!$B$3,4,X76&gt;='NILAI CPL'!$B$4,3,X76&gt;='NILAI CPL'!$B$5,2,X76&gt;'NILAI CPL'!$B$6,1),0),"")</f>
        <v/>
      </c>
      <c r="AV76" s="2" t="str" cm="1">
        <f t="array" ref="AV76">IF('NILAI CPL'!$B76&lt;&gt;"",IFERROR(_xlfn.IFS(Y76&gt;='NILAI CPL'!$B$3,4,Y76&gt;='NILAI CPL'!$B$4,3,Y76&gt;='NILAI CPL'!$B$5,2,Y76&gt;'NILAI CPL'!$B$6,1),0),"")</f>
        <v/>
      </c>
      <c r="AW76" s="2" t="str" cm="1">
        <f t="array" ref="AW76">IF('NILAI CPL'!$B76&lt;&gt;"",IFERROR(_xlfn.IFS(Z76&gt;='NILAI CPL'!$B$3,4,Z76&gt;='NILAI CPL'!$B$4,3,Z76&gt;='NILAI CPL'!$B$5,2,Z76&gt;'NILAI CPL'!$B$6,1),0),"")</f>
        <v/>
      </c>
      <c r="AX76" s="2" t="str" cm="1">
        <f t="array" ref="AX76">IF('NILAI CPL'!$B76&lt;&gt;"",IFERROR(_xlfn.IFS(AA76&gt;='NILAI CPL'!$B$3,4,AA76&gt;='NILAI CPL'!$B$4,3,AA76&gt;='NILAI CPL'!$B$5,2,AA76&gt;'NILAI CPL'!$B$6,1),0),"")</f>
        <v/>
      </c>
      <c r="AY76" s="2" t="str" cm="1">
        <f t="array" ref="AY76">IF('NILAI CPL'!$B76&lt;&gt;"",IFERROR(_xlfn.IFS(AB76&gt;='NILAI CPL'!$B$3,4,AB76&gt;='NILAI CPL'!$B$4,3,AB76&gt;='NILAI CPL'!$B$5,2,AB76&gt;'NILAI CPL'!$B$6,1),0),"")</f>
        <v/>
      </c>
      <c r="AZ76" s="2" t="str" cm="1">
        <f t="array" ref="AZ76">IF('NILAI CPL'!$B76&lt;&gt;"",IFERROR(_xlfn.IFS(AC76&gt;='NILAI CPL'!$B$3,4,AC76&gt;='NILAI CPL'!$B$4,3,AC76&gt;='NILAI CPL'!$B$5,2,AC76&gt;'NILAI CPL'!$B$6,1),0),"")</f>
        <v/>
      </c>
      <c r="BA76" s="2" t="str" cm="1">
        <f t="array" ref="BA76">IF('NILAI CPL'!$B76&lt;&gt;"",IFERROR(_xlfn.IFS(AD76&gt;='NILAI CPL'!$B$3,4,AD76&gt;='NILAI CPL'!$B$4,3,AD76&gt;='NILAI CPL'!$B$5,2,AD76&gt;'NILAI CPL'!$B$6,1),0),"")</f>
        <v/>
      </c>
      <c r="BB76" s="2" t="str" cm="1">
        <f t="array" ref="BB76">IF('NILAI CPL'!$B76&lt;&gt;"",IFERROR(_xlfn.IFS(AE76&gt;='NILAI CPL'!$B$3,4,AE76&gt;='NILAI CPL'!$B$4,3,AE76&gt;='NILAI CPL'!$B$5,2,AE76&gt;'NILAI CPL'!$B$6,1),0),"")</f>
        <v/>
      </c>
      <c r="BC76" s="2" t="str" cm="1">
        <f t="array" ref="BC76">IF('NILAI CPL'!$B76&lt;&gt;"",IFERROR(_xlfn.IFS(AF76&gt;='NILAI CPL'!$B$3,4,AF76&gt;='NILAI CPL'!$B$4,3,AF76&gt;='NILAI CPL'!$B$5,2,AF76&gt;'NILAI CPL'!$B$6,1),0),"")</f>
        <v/>
      </c>
      <c r="BD76" s="2" t="str" cm="1">
        <f t="array" ref="BD76">IF('NILAI CPL'!$B76&lt;&gt;"",IFERROR(_xlfn.IFS(AG76&gt;='NILAI CPL'!$B$3,4,AG76&gt;='NILAI CPL'!$B$4,3,AG76&gt;='NILAI CPL'!$B$5,2,AG76&gt;'NILAI CPL'!$B$6,1),0),"")</f>
        <v/>
      </c>
      <c r="BE76" s="2" t="str" cm="1">
        <f t="array" ref="BE76">IF('NILAI CPL'!$B76&lt;&gt;"",IFERROR(_xlfn.IFS(AH76&gt;='NILAI CPL'!$B$3,4,AH76&gt;='NILAI CPL'!$B$4,3,AH76&gt;='NILAI CPL'!$B$5,2,AH76&gt;'NILAI CPL'!$B$6,1),0),"")</f>
        <v/>
      </c>
      <c r="BF76" s="2" t="str" cm="1">
        <f t="array" ref="BF76">IF('NILAI CPL'!$B76&lt;&gt;"",IFERROR(_xlfn.IFS(AI76&gt;='NILAI CPL'!$B$3,4,AI76&gt;='NILAI CPL'!$B$4,3,AI76&gt;='NILAI CPL'!$B$5,2,AI76&gt;'NILAI CPL'!$B$6,1),0),"")</f>
        <v/>
      </c>
      <c r="BG76" s="2" t="str" cm="1">
        <f t="array" ref="BG76">IF('NILAI CPL'!$B76&lt;&gt;"",IFERROR(_xlfn.IFS(AJ76&gt;='NILAI CPL'!$B$3,4,AJ76&gt;='NILAI CPL'!$B$4,3,AJ76&gt;='NILAI CPL'!$B$5,2,AJ76&gt;'NILAI CPL'!$B$6,1),0),"")</f>
        <v/>
      </c>
      <c r="BH76" s="2" t="str" cm="1">
        <f t="array" ref="BH76">IF('NILAI CPL'!$B76&lt;&gt;"",IFERROR(_xlfn.IFS(AK76&gt;='NILAI CPL'!$B$3,4,AK76&gt;='NILAI CPL'!$B$4,3,AK76&gt;='NILAI CPL'!$B$5,2,AK76&gt;'NILAI CPL'!$B$6,1),0),"")</f>
        <v/>
      </c>
      <c r="BI76" s="2" t="str" cm="1">
        <f t="array" ref="BI76">IF('NILAI CPL'!$B76&lt;&gt;"",IFERROR(_xlfn.IFS(AL76&gt;='NILAI CPL'!$B$3,4,AL76&gt;='NILAI CPL'!$B$4,3,AL76&gt;='NILAI CPL'!$B$5,2,AL76&gt;'NILAI CPL'!$B$6,1),0),"")</f>
        <v/>
      </c>
      <c r="BJ76" s="2" t="str" cm="1">
        <f t="array" ref="BJ76">IF('NILAI CPL'!$B76&lt;&gt;"",IFERROR(_xlfn.IFS(AM76&gt;='NILAI CPL'!$B$3,4,AM76&gt;='NILAI CPL'!$B$4,3,AM76&gt;='NILAI CPL'!$B$5,2,AM76&gt;'NILAI CPL'!$B$6,1),0),"")</f>
        <v/>
      </c>
      <c r="BK76" s="2" t="str" cm="1">
        <f t="array" ref="BK76">IF('NILAI CPL'!$B76&lt;&gt;"",IFERROR(_xlfn.IFS(AN76&gt;='NILAI CPL'!$B$3,4,AN76&gt;='NILAI CPL'!$B$4,3,AN76&gt;='NILAI CPL'!$B$5,2,AN76&gt;'NILAI CPL'!$B$6,1),0),"")</f>
        <v/>
      </c>
    </row>
    <row r="77" spans="1:63" x14ac:dyDescent="0.2">
      <c r="A77" s="2">
        <v>67</v>
      </c>
      <c r="B77" s="2" t="str">
        <f>IF(LEN(SUMMARY!B77)&gt;0, SUMMARY!B77, "")</f>
        <v/>
      </c>
      <c r="C77" s="2" t="str">
        <f>IF(LEN(SUMMARY!C77)&gt;0, SUMMARY!C77, "")</f>
        <v/>
      </c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" t="str">
        <f t="shared" si="25"/>
        <v/>
      </c>
      <c r="S77" s="2" t="str">
        <f t="shared" si="26"/>
        <v/>
      </c>
      <c r="T77" s="2" t="str">
        <f t="shared" si="27"/>
        <v/>
      </c>
      <c r="U77" s="2" t="str">
        <f t="shared" si="28"/>
        <v/>
      </c>
      <c r="V77" s="2" t="str">
        <f t="shared" si="29"/>
        <v/>
      </c>
      <c r="W77" s="2" t="str">
        <f t="shared" si="30"/>
        <v/>
      </c>
      <c r="X77" s="2" t="str">
        <f t="shared" si="31"/>
        <v/>
      </c>
      <c r="Y77" s="2" t="str">
        <f t="shared" si="32"/>
        <v/>
      </c>
      <c r="Z77" s="2" t="str">
        <f t="shared" si="33"/>
        <v/>
      </c>
      <c r="AA77" s="2" t="str">
        <f t="shared" si="34"/>
        <v/>
      </c>
      <c r="AB77" s="2" t="str">
        <f t="shared" si="35"/>
        <v/>
      </c>
      <c r="AC77" s="2" t="str">
        <f t="shared" si="36"/>
        <v/>
      </c>
      <c r="AD77" s="2" t="str">
        <f t="shared" si="37"/>
        <v/>
      </c>
      <c r="AE77" s="2" t="str">
        <f t="shared" si="38"/>
        <v/>
      </c>
      <c r="AF77" s="2" t="str">
        <f t="shared" si="39"/>
        <v/>
      </c>
      <c r="AG77" s="2" t="str">
        <f t="shared" si="40"/>
        <v/>
      </c>
      <c r="AH77" s="2" t="str">
        <f t="shared" si="41"/>
        <v/>
      </c>
      <c r="AI77" s="2" t="str">
        <f t="shared" si="42"/>
        <v/>
      </c>
      <c r="AJ77" s="2" t="str">
        <f t="shared" si="43"/>
        <v/>
      </c>
      <c r="AK77" s="2" t="str">
        <f t="shared" si="44"/>
        <v/>
      </c>
      <c r="AL77" s="2" t="str">
        <f t="shared" si="45"/>
        <v/>
      </c>
      <c r="AM77" s="2" t="str">
        <f t="shared" si="46"/>
        <v/>
      </c>
      <c r="AN77" s="2" t="str">
        <f t="shared" si="47"/>
        <v/>
      </c>
      <c r="AP77" s="2" t="str" cm="1">
        <f t="array" ref="AP77">IF('NILAI CPL'!$B77&lt;&gt;"",IFERROR(_xlfn.IFS(S77&gt;='NILAI CPL'!$B$3,4,S77&gt;='NILAI CPL'!$B$4,3,S77&gt;='NILAI CPL'!$B$5,2,S77&gt;'NILAI CPL'!$B$6,1),0),"")</f>
        <v/>
      </c>
      <c r="AQ77" s="2" t="str" cm="1">
        <f t="array" ref="AQ77">IF('NILAI CPL'!$B77&lt;&gt;"",IFERROR(_xlfn.IFS(T77&gt;='NILAI CPL'!$B$3,4,T77&gt;='NILAI CPL'!$B$4,3,T77&gt;='NILAI CPL'!$B$5,2,T77&gt;'NILAI CPL'!$B$6,1),0),"")</f>
        <v/>
      </c>
      <c r="AR77" s="2" t="str" cm="1">
        <f t="array" ref="AR77">IF('NILAI CPL'!$B77&lt;&gt;"",IFERROR(_xlfn.IFS(U77&gt;='NILAI CPL'!$B$3,4,U77&gt;='NILAI CPL'!$B$4,3,U77&gt;='NILAI CPL'!$B$5,2,U77&gt;'NILAI CPL'!$B$6,1),0),"")</f>
        <v/>
      </c>
      <c r="AS77" s="2" t="str" cm="1">
        <f t="array" ref="AS77">IF('NILAI CPL'!$B77&lt;&gt;"",IFERROR(_xlfn.IFS(V77&gt;='NILAI CPL'!$B$3,4,V77&gt;='NILAI CPL'!$B$4,3,V77&gt;='NILAI CPL'!$B$5,2,V77&gt;'NILAI CPL'!$B$6,1),0),"")</f>
        <v/>
      </c>
      <c r="AT77" s="2" t="str" cm="1">
        <f t="array" ref="AT77">IF('NILAI CPL'!$B77&lt;&gt;"",IFERROR(_xlfn.IFS(W77&gt;='NILAI CPL'!$B$3,4,W77&gt;='NILAI CPL'!$B$4,3,W77&gt;='NILAI CPL'!$B$5,2,W77&gt;'NILAI CPL'!$B$6,1),0),"")</f>
        <v/>
      </c>
      <c r="AU77" s="2" t="str" cm="1">
        <f t="array" ref="AU77">IF('NILAI CPL'!$B77&lt;&gt;"",IFERROR(_xlfn.IFS(X77&gt;='NILAI CPL'!$B$3,4,X77&gt;='NILAI CPL'!$B$4,3,X77&gt;='NILAI CPL'!$B$5,2,X77&gt;'NILAI CPL'!$B$6,1),0),"")</f>
        <v/>
      </c>
      <c r="AV77" s="2" t="str" cm="1">
        <f t="array" ref="AV77">IF('NILAI CPL'!$B77&lt;&gt;"",IFERROR(_xlfn.IFS(Y77&gt;='NILAI CPL'!$B$3,4,Y77&gt;='NILAI CPL'!$B$4,3,Y77&gt;='NILAI CPL'!$B$5,2,Y77&gt;'NILAI CPL'!$B$6,1),0),"")</f>
        <v/>
      </c>
      <c r="AW77" s="2" t="str" cm="1">
        <f t="array" ref="AW77">IF('NILAI CPL'!$B77&lt;&gt;"",IFERROR(_xlfn.IFS(Z77&gt;='NILAI CPL'!$B$3,4,Z77&gt;='NILAI CPL'!$B$4,3,Z77&gt;='NILAI CPL'!$B$5,2,Z77&gt;'NILAI CPL'!$B$6,1),0),"")</f>
        <v/>
      </c>
      <c r="AX77" s="2" t="str" cm="1">
        <f t="array" ref="AX77">IF('NILAI CPL'!$B77&lt;&gt;"",IFERROR(_xlfn.IFS(AA77&gt;='NILAI CPL'!$B$3,4,AA77&gt;='NILAI CPL'!$B$4,3,AA77&gt;='NILAI CPL'!$B$5,2,AA77&gt;'NILAI CPL'!$B$6,1),0),"")</f>
        <v/>
      </c>
      <c r="AY77" s="2" t="str" cm="1">
        <f t="array" ref="AY77">IF('NILAI CPL'!$B77&lt;&gt;"",IFERROR(_xlfn.IFS(AB77&gt;='NILAI CPL'!$B$3,4,AB77&gt;='NILAI CPL'!$B$4,3,AB77&gt;='NILAI CPL'!$B$5,2,AB77&gt;'NILAI CPL'!$B$6,1),0),"")</f>
        <v/>
      </c>
      <c r="AZ77" s="2" t="str" cm="1">
        <f t="array" ref="AZ77">IF('NILAI CPL'!$B77&lt;&gt;"",IFERROR(_xlfn.IFS(AC77&gt;='NILAI CPL'!$B$3,4,AC77&gt;='NILAI CPL'!$B$4,3,AC77&gt;='NILAI CPL'!$B$5,2,AC77&gt;'NILAI CPL'!$B$6,1),0),"")</f>
        <v/>
      </c>
      <c r="BA77" s="2" t="str" cm="1">
        <f t="array" ref="BA77">IF('NILAI CPL'!$B77&lt;&gt;"",IFERROR(_xlfn.IFS(AD77&gt;='NILAI CPL'!$B$3,4,AD77&gt;='NILAI CPL'!$B$4,3,AD77&gt;='NILAI CPL'!$B$5,2,AD77&gt;'NILAI CPL'!$B$6,1),0),"")</f>
        <v/>
      </c>
      <c r="BB77" s="2" t="str" cm="1">
        <f t="array" ref="BB77">IF('NILAI CPL'!$B77&lt;&gt;"",IFERROR(_xlfn.IFS(AE77&gt;='NILAI CPL'!$B$3,4,AE77&gt;='NILAI CPL'!$B$4,3,AE77&gt;='NILAI CPL'!$B$5,2,AE77&gt;'NILAI CPL'!$B$6,1),0),"")</f>
        <v/>
      </c>
      <c r="BC77" s="2" t="str" cm="1">
        <f t="array" ref="BC77">IF('NILAI CPL'!$B77&lt;&gt;"",IFERROR(_xlfn.IFS(AF77&gt;='NILAI CPL'!$B$3,4,AF77&gt;='NILAI CPL'!$B$4,3,AF77&gt;='NILAI CPL'!$B$5,2,AF77&gt;'NILAI CPL'!$B$6,1),0),"")</f>
        <v/>
      </c>
      <c r="BD77" s="2" t="str" cm="1">
        <f t="array" ref="BD77">IF('NILAI CPL'!$B77&lt;&gt;"",IFERROR(_xlfn.IFS(AG77&gt;='NILAI CPL'!$B$3,4,AG77&gt;='NILAI CPL'!$B$4,3,AG77&gt;='NILAI CPL'!$B$5,2,AG77&gt;'NILAI CPL'!$B$6,1),0),"")</f>
        <v/>
      </c>
      <c r="BE77" s="2" t="str" cm="1">
        <f t="array" ref="BE77">IF('NILAI CPL'!$B77&lt;&gt;"",IFERROR(_xlfn.IFS(AH77&gt;='NILAI CPL'!$B$3,4,AH77&gt;='NILAI CPL'!$B$4,3,AH77&gt;='NILAI CPL'!$B$5,2,AH77&gt;'NILAI CPL'!$B$6,1),0),"")</f>
        <v/>
      </c>
      <c r="BF77" s="2" t="str" cm="1">
        <f t="array" ref="BF77">IF('NILAI CPL'!$B77&lt;&gt;"",IFERROR(_xlfn.IFS(AI77&gt;='NILAI CPL'!$B$3,4,AI77&gt;='NILAI CPL'!$B$4,3,AI77&gt;='NILAI CPL'!$B$5,2,AI77&gt;'NILAI CPL'!$B$6,1),0),"")</f>
        <v/>
      </c>
      <c r="BG77" s="2" t="str" cm="1">
        <f t="array" ref="BG77">IF('NILAI CPL'!$B77&lt;&gt;"",IFERROR(_xlfn.IFS(AJ77&gt;='NILAI CPL'!$B$3,4,AJ77&gt;='NILAI CPL'!$B$4,3,AJ77&gt;='NILAI CPL'!$B$5,2,AJ77&gt;'NILAI CPL'!$B$6,1),0),"")</f>
        <v/>
      </c>
      <c r="BH77" s="2" t="str" cm="1">
        <f t="array" ref="BH77">IF('NILAI CPL'!$B77&lt;&gt;"",IFERROR(_xlfn.IFS(AK77&gt;='NILAI CPL'!$B$3,4,AK77&gt;='NILAI CPL'!$B$4,3,AK77&gt;='NILAI CPL'!$B$5,2,AK77&gt;'NILAI CPL'!$B$6,1),0),"")</f>
        <v/>
      </c>
      <c r="BI77" s="2" t="str" cm="1">
        <f t="array" ref="BI77">IF('NILAI CPL'!$B77&lt;&gt;"",IFERROR(_xlfn.IFS(AL77&gt;='NILAI CPL'!$B$3,4,AL77&gt;='NILAI CPL'!$B$4,3,AL77&gt;='NILAI CPL'!$B$5,2,AL77&gt;'NILAI CPL'!$B$6,1),0),"")</f>
        <v/>
      </c>
      <c r="BJ77" s="2" t="str" cm="1">
        <f t="array" ref="BJ77">IF('NILAI CPL'!$B77&lt;&gt;"",IFERROR(_xlfn.IFS(AM77&gt;='NILAI CPL'!$B$3,4,AM77&gt;='NILAI CPL'!$B$4,3,AM77&gt;='NILAI CPL'!$B$5,2,AM77&gt;'NILAI CPL'!$B$6,1),0),"")</f>
        <v/>
      </c>
      <c r="BK77" s="2" t="str" cm="1">
        <f t="array" ref="BK77">IF('NILAI CPL'!$B77&lt;&gt;"",IFERROR(_xlfn.IFS(AN77&gt;='NILAI CPL'!$B$3,4,AN77&gt;='NILAI CPL'!$B$4,3,AN77&gt;='NILAI CPL'!$B$5,2,AN77&gt;'NILAI CPL'!$B$6,1),0),"")</f>
        <v/>
      </c>
    </row>
    <row r="78" spans="1:63" x14ac:dyDescent="0.2">
      <c r="A78" s="2">
        <v>68</v>
      </c>
      <c r="B78" s="2" t="str">
        <f>IF(LEN(SUMMARY!B78)&gt;0, SUMMARY!B78, "")</f>
        <v/>
      </c>
      <c r="C78" s="2" t="str">
        <f>IF(LEN(SUMMARY!C78)&gt;0, SUMMARY!C78, "")</f>
        <v/>
      </c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" t="str">
        <f t="shared" si="25"/>
        <v/>
      </c>
      <c r="S78" s="2" t="str">
        <f t="shared" si="26"/>
        <v/>
      </c>
      <c r="T78" s="2" t="str">
        <f t="shared" si="27"/>
        <v/>
      </c>
      <c r="U78" s="2" t="str">
        <f t="shared" si="28"/>
        <v/>
      </c>
      <c r="V78" s="2" t="str">
        <f t="shared" si="29"/>
        <v/>
      </c>
      <c r="W78" s="2" t="str">
        <f t="shared" si="30"/>
        <v/>
      </c>
      <c r="X78" s="2" t="str">
        <f t="shared" si="31"/>
        <v/>
      </c>
      <c r="Y78" s="2" t="str">
        <f t="shared" si="32"/>
        <v/>
      </c>
      <c r="Z78" s="2" t="str">
        <f t="shared" si="33"/>
        <v/>
      </c>
      <c r="AA78" s="2" t="str">
        <f t="shared" si="34"/>
        <v/>
      </c>
      <c r="AB78" s="2" t="str">
        <f t="shared" si="35"/>
        <v/>
      </c>
      <c r="AC78" s="2" t="str">
        <f t="shared" si="36"/>
        <v/>
      </c>
      <c r="AD78" s="2" t="str">
        <f t="shared" si="37"/>
        <v/>
      </c>
      <c r="AE78" s="2" t="str">
        <f t="shared" si="38"/>
        <v/>
      </c>
      <c r="AF78" s="2" t="str">
        <f t="shared" si="39"/>
        <v/>
      </c>
      <c r="AG78" s="2" t="str">
        <f t="shared" si="40"/>
        <v/>
      </c>
      <c r="AH78" s="2" t="str">
        <f t="shared" si="41"/>
        <v/>
      </c>
      <c r="AI78" s="2" t="str">
        <f t="shared" si="42"/>
        <v/>
      </c>
      <c r="AJ78" s="2" t="str">
        <f t="shared" si="43"/>
        <v/>
      </c>
      <c r="AK78" s="2" t="str">
        <f t="shared" si="44"/>
        <v/>
      </c>
      <c r="AL78" s="2" t="str">
        <f t="shared" si="45"/>
        <v/>
      </c>
      <c r="AM78" s="2" t="str">
        <f t="shared" si="46"/>
        <v/>
      </c>
      <c r="AN78" s="2" t="str">
        <f t="shared" si="47"/>
        <v/>
      </c>
      <c r="AP78" s="2" t="str" cm="1">
        <f t="array" ref="AP78">IF('NILAI CPL'!$B78&lt;&gt;"",IFERROR(_xlfn.IFS(S78&gt;='NILAI CPL'!$B$3,4,S78&gt;='NILAI CPL'!$B$4,3,S78&gt;='NILAI CPL'!$B$5,2,S78&gt;'NILAI CPL'!$B$6,1),0),"")</f>
        <v/>
      </c>
      <c r="AQ78" s="2" t="str" cm="1">
        <f t="array" ref="AQ78">IF('NILAI CPL'!$B78&lt;&gt;"",IFERROR(_xlfn.IFS(T78&gt;='NILAI CPL'!$B$3,4,T78&gt;='NILAI CPL'!$B$4,3,T78&gt;='NILAI CPL'!$B$5,2,T78&gt;'NILAI CPL'!$B$6,1),0),"")</f>
        <v/>
      </c>
      <c r="AR78" s="2" t="str" cm="1">
        <f t="array" ref="AR78">IF('NILAI CPL'!$B78&lt;&gt;"",IFERROR(_xlfn.IFS(U78&gt;='NILAI CPL'!$B$3,4,U78&gt;='NILAI CPL'!$B$4,3,U78&gt;='NILAI CPL'!$B$5,2,U78&gt;'NILAI CPL'!$B$6,1),0),"")</f>
        <v/>
      </c>
      <c r="AS78" s="2" t="str" cm="1">
        <f t="array" ref="AS78">IF('NILAI CPL'!$B78&lt;&gt;"",IFERROR(_xlfn.IFS(V78&gt;='NILAI CPL'!$B$3,4,V78&gt;='NILAI CPL'!$B$4,3,V78&gt;='NILAI CPL'!$B$5,2,V78&gt;'NILAI CPL'!$B$6,1),0),"")</f>
        <v/>
      </c>
      <c r="AT78" s="2" t="str" cm="1">
        <f t="array" ref="AT78">IF('NILAI CPL'!$B78&lt;&gt;"",IFERROR(_xlfn.IFS(W78&gt;='NILAI CPL'!$B$3,4,W78&gt;='NILAI CPL'!$B$4,3,W78&gt;='NILAI CPL'!$B$5,2,W78&gt;'NILAI CPL'!$B$6,1),0),"")</f>
        <v/>
      </c>
      <c r="AU78" s="2" t="str" cm="1">
        <f t="array" ref="AU78">IF('NILAI CPL'!$B78&lt;&gt;"",IFERROR(_xlfn.IFS(X78&gt;='NILAI CPL'!$B$3,4,X78&gt;='NILAI CPL'!$B$4,3,X78&gt;='NILAI CPL'!$B$5,2,X78&gt;'NILAI CPL'!$B$6,1),0),"")</f>
        <v/>
      </c>
      <c r="AV78" s="2" t="str" cm="1">
        <f t="array" ref="AV78">IF('NILAI CPL'!$B78&lt;&gt;"",IFERROR(_xlfn.IFS(Y78&gt;='NILAI CPL'!$B$3,4,Y78&gt;='NILAI CPL'!$B$4,3,Y78&gt;='NILAI CPL'!$B$5,2,Y78&gt;'NILAI CPL'!$B$6,1),0),"")</f>
        <v/>
      </c>
      <c r="AW78" s="2" t="str" cm="1">
        <f t="array" ref="AW78">IF('NILAI CPL'!$B78&lt;&gt;"",IFERROR(_xlfn.IFS(Z78&gt;='NILAI CPL'!$B$3,4,Z78&gt;='NILAI CPL'!$B$4,3,Z78&gt;='NILAI CPL'!$B$5,2,Z78&gt;'NILAI CPL'!$B$6,1),0),"")</f>
        <v/>
      </c>
      <c r="AX78" s="2" t="str" cm="1">
        <f t="array" ref="AX78">IF('NILAI CPL'!$B78&lt;&gt;"",IFERROR(_xlfn.IFS(AA78&gt;='NILAI CPL'!$B$3,4,AA78&gt;='NILAI CPL'!$B$4,3,AA78&gt;='NILAI CPL'!$B$5,2,AA78&gt;'NILAI CPL'!$B$6,1),0),"")</f>
        <v/>
      </c>
      <c r="AY78" s="2" t="str" cm="1">
        <f t="array" ref="AY78">IF('NILAI CPL'!$B78&lt;&gt;"",IFERROR(_xlfn.IFS(AB78&gt;='NILAI CPL'!$B$3,4,AB78&gt;='NILAI CPL'!$B$4,3,AB78&gt;='NILAI CPL'!$B$5,2,AB78&gt;'NILAI CPL'!$B$6,1),0),"")</f>
        <v/>
      </c>
      <c r="AZ78" s="2" t="str" cm="1">
        <f t="array" ref="AZ78">IF('NILAI CPL'!$B78&lt;&gt;"",IFERROR(_xlfn.IFS(AC78&gt;='NILAI CPL'!$B$3,4,AC78&gt;='NILAI CPL'!$B$4,3,AC78&gt;='NILAI CPL'!$B$5,2,AC78&gt;'NILAI CPL'!$B$6,1),0),"")</f>
        <v/>
      </c>
      <c r="BA78" s="2" t="str" cm="1">
        <f t="array" ref="BA78">IF('NILAI CPL'!$B78&lt;&gt;"",IFERROR(_xlfn.IFS(AD78&gt;='NILAI CPL'!$B$3,4,AD78&gt;='NILAI CPL'!$B$4,3,AD78&gt;='NILAI CPL'!$B$5,2,AD78&gt;'NILAI CPL'!$B$6,1),0),"")</f>
        <v/>
      </c>
      <c r="BB78" s="2" t="str" cm="1">
        <f t="array" ref="BB78">IF('NILAI CPL'!$B78&lt;&gt;"",IFERROR(_xlfn.IFS(AE78&gt;='NILAI CPL'!$B$3,4,AE78&gt;='NILAI CPL'!$B$4,3,AE78&gt;='NILAI CPL'!$B$5,2,AE78&gt;'NILAI CPL'!$B$6,1),0),"")</f>
        <v/>
      </c>
      <c r="BC78" s="2" t="str" cm="1">
        <f t="array" ref="BC78">IF('NILAI CPL'!$B78&lt;&gt;"",IFERROR(_xlfn.IFS(AF78&gt;='NILAI CPL'!$B$3,4,AF78&gt;='NILAI CPL'!$B$4,3,AF78&gt;='NILAI CPL'!$B$5,2,AF78&gt;'NILAI CPL'!$B$6,1),0),"")</f>
        <v/>
      </c>
      <c r="BD78" s="2" t="str" cm="1">
        <f t="array" ref="BD78">IF('NILAI CPL'!$B78&lt;&gt;"",IFERROR(_xlfn.IFS(AG78&gt;='NILAI CPL'!$B$3,4,AG78&gt;='NILAI CPL'!$B$4,3,AG78&gt;='NILAI CPL'!$B$5,2,AG78&gt;'NILAI CPL'!$B$6,1),0),"")</f>
        <v/>
      </c>
      <c r="BE78" s="2" t="str" cm="1">
        <f t="array" ref="BE78">IF('NILAI CPL'!$B78&lt;&gt;"",IFERROR(_xlfn.IFS(AH78&gt;='NILAI CPL'!$B$3,4,AH78&gt;='NILAI CPL'!$B$4,3,AH78&gt;='NILAI CPL'!$B$5,2,AH78&gt;'NILAI CPL'!$B$6,1),0),"")</f>
        <v/>
      </c>
      <c r="BF78" s="2" t="str" cm="1">
        <f t="array" ref="BF78">IF('NILAI CPL'!$B78&lt;&gt;"",IFERROR(_xlfn.IFS(AI78&gt;='NILAI CPL'!$B$3,4,AI78&gt;='NILAI CPL'!$B$4,3,AI78&gt;='NILAI CPL'!$B$5,2,AI78&gt;'NILAI CPL'!$B$6,1),0),"")</f>
        <v/>
      </c>
      <c r="BG78" s="2" t="str" cm="1">
        <f t="array" ref="BG78">IF('NILAI CPL'!$B78&lt;&gt;"",IFERROR(_xlfn.IFS(AJ78&gt;='NILAI CPL'!$B$3,4,AJ78&gt;='NILAI CPL'!$B$4,3,AJ78&gt;='NILAI CPL'!$B$5,2,AJ78&gt;'NILAI CPL'!$B$6,1),0),"")</f>
        <v/>
      </c>
      <c r="BH78" s="2" t="str" cm="1">
        <f t="array" ref="BH78">IF('NILAI CPL'!$B78&lt;&gt;"",IFERROR(_xlfn.IFS(AK78&gt;='NILAI CPL'!$B$3,4,AK78&gt;='NILAI CPL'!$B$4,3,AK78&gt;='NILAI CPL'!$B$5,2,AK78&gt;'NILAI CPL'!$B$6,1),0),"")</f>
        <v/>
      </c>
      <c r="BI78" s="2" t="str" cm="1">
        <f t="array" ref="BI78">IF('NILAI CPL'!$B78&lt;&gt;"",IFERROR(_xlfn.IFS(AL78&gt;='NILAI CPL'!$B$3,4,AL78&gt;='NILAI CPL'!$B$4,3,AL78&gt;='NILAI CPL'!$B$5,2,AL78&gt;'NILAI CPL'!$B$6,1),0),"")</f>
        <v/>
      </c>
      <c r="BJ78" s="2" t="str" cm="1">
        <f t="array" ref="BJ78">IF('NILAI CPL'!$B78&lt;&gt;"",IFERROR(_xlfn.IFS(AM78&gt;='NILAI CPL'!$B$3,4,AM78&gt;='NILAI CPL'!$B$4,3,AM78&gt;='NILAI CPL'!$B$5,2,AM78&gt;'NILAI CPL'!$B$6,1),0),"")</f>
        <v/>
      </c>
      <c r="BK78" s="2" t="str" cm="1">
        <f t="array" ref="BK78">IF('NILAI CPL'!$B78&lt;&gt;"",IFERROR(_xlfn.IFS(AN78&gt;='NILAI CPL'!$B$3,4,AN78&gt;='NILAI CPL'!$B$4,3,AN78&gt;='NILAI CPL'!$B$5,2,AN78&gt;'NILAI CPL'!$B$6,1),0),"")</f>
        <v/>
      </c>
    </row>
    <row r="79" spans="1:63" x14ac:dyDescent="0.2">
      <c r="A79" s="2">
        <v>69</v>
      </c>
      <c r="B79" s="2" t="str">
        <f>IF(LEN(SUMMARY!B79)&gt;0, SUMMARY!B79, "")</f>
        <v/>
      </c>
      <c r="C79" s="2" t="str">
        <f>IF(LEN(SUMMARY!C79)&gt;0, SUMMARY!C79, "")</f>
        <v/>
      </c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" t="str">
        <f t="shared" si="25"/>
        <v/>
      </c>
      <c r="S79" s="2" t="str">
        <f t="shared" si="26"/>
        <v/>
      </c>
      <c r="T79" s="2" t="str">
        <f t="shared" si="27"/>
        <v/>
      </c>
      <c r="U79" s="2" t="str">
        <f t="shared" si="28"/>
        <v/>
      </c>
      <c r="V79" s="2" t="str">
        <f t="shared" si="29"/>
        <v/>
      </c>
      <c r="W79" s="2" t="str">
        <f t="shared" si="30"/>
        <v/>
      </c>
      <c r="X79" s="2" t="str">
        <f t="shared" si="31"/>
        <v/>
      </c>
      <c r="Y79" s="2" t="str">
        <f t="shared" si="32"/>
        <v/>
      </c>
      <c r="Z79" s="2" t="str">
        <f t="shared" si="33"/>
        <v/>
      </c>
      <c r="AA79" s="2" t="str">
        <f t="shared" si="34"/>
        <v/>
      </c>
      <c r="AB79" s="2" t="str">
        <f t="shared" si="35"/>
        <v/>
      </c>
      <c r="AC79" s="2" t="str">
        <f t="shared" si="36"/>
        <v/>
      </c>
      <c r="AD79" s="2" t="str">
        <f t="shared" si="37"/>
        <v/>
      </c>
      <c r="AE79" s="2" t="str">
        <f t="shared" si="38"/>
        <v/>
      </c>
      <c r="AF79" s="2" t="str">
        <f t="shared" si="39"/>
        <v/>
      </c>
      <c r="AG79" s="2" t="str">
        <f t="shared" si="40"/>
        <v/>
      </c>
      <c r="AH79" s="2" t="str">
        <f t="shared" si="41"/>
        <v/>
      </c>
      <c r="AI79" s="2" t="str">
        <f t="shared" si="42"/>
        <v/>
      </c>
      <c r="AJ79" s="2" t="str">
        <f t="shared" si="43"/>
        <v/>
      </c>
      <c r="AK79" s="2" t="str">
        <f t="shared" si="44"/>
        <v/>
      </c>
      <c r="AL79" s="2" t="str">
        <f t="shared" si="45"/>
        <v/>
      </c>
      <c r="AM79" s="2" t="str">
        <f t="shared" si="46"/>
        <v/>
      </c>
      <c r="AN79" s="2" t="str">
        <f t="shared" si="47"/>
        <v/>
      </c>
      <c r="AP79" s="2" t="str" cm="1">
        <f t="array" ref="AP79">IF('NILAI CPL'!$B79&lt;&gt;"",IFERROR(_xlfn.IFS(S79&gt;='NILAI CPL'!$B$3,4,S79&gt;='NILAI CPL'!$B$4,3,S79&gt;='NILAI CPL'!$B$5,2,S79&gt;'NILAI CPL'!$B$6,1),0),"")</f>
        <v/>
      </c>
      <c r="AQ79" s="2" t="str" cm="1">
        <f t="array" ref="AQ79">IF('NILAI CPL'!$B79&lt;&gt;"",IFERROR(_xlfn.IFS(T79&gt;='NILAI CPL'!$B$3,4,T79&gt;='NILAI CPL'!$B$4,3,T79&gt;='NILAI CPL'!$B$5,2,T79&gt;'NILAI CPL'!$B$6,1),0),"")</f>
        <v/>
      </c>
      <c r="AR79" s="2" t="str" cm="1">
        <f t="array" ref="AR79">IF('NILAI CPL'!$B79&lt;&gt;"",IFERROR(_xlfn.IFS(U79&gt;='NILAI CPL'!$B$3,4,U79&gt;='NILAI CPL'!$B$4,3,U79&gt;='NILAI CPL'!$B$5,2,U79&gt;'NILAI CPL'!$B$6,1),0),"")</f>
        <v/>
      </c>
      <c r="AS79" s="2" t="str" cm="1">
        <f t="array" ref="AS79">IF('NILAI CPL'!$B79&lt;&gt;"",IFERROR(_xlfn.IFS(V79&gt;='NILAI CPL'!$B$3,4,V79&gt;='NILAI CPL'!$B$4,3,V79&gt;='NILAI CPL'!$B$5,2,V79&gt;'NILAI CPL'!$B$6,1),0),"")</f>
        <v/>
      </c>
      <c r="AT79" s="2" t="str" cm="1">
        <f t="array" ref="AT79">IF('NILAI CPL'!$B79&lt;&gt;"",IFERROR(_xlfn.IFS(W79&gt;='NILAI CPL'!$B$3,4,W79&gt;='NILAI CPL'!$B$4,3,W79&gt;='NILAI CPL'!$B$5,2,W79&gt;'NILAI CPL'!$B$6,1),0),"")</f>
        <v/>
      </c>
      <c r="AU79" s="2" t="str" cm="1">
        <f t="array" ref="AU79">IF('NILAI CPL'!$B79&lt;&gt;"",IFERROR(_xlfn.IFS(X79&gt;='NILAI CPL'!$B$3,4,X79&gt;='NILAI CPL'!$B$4,3,X79&gt;='NILAI CPL'!$B$5,2,X79&gt;'NILAI CPL'!$B$6,1),0),"")</f>
        <v/>
      </c>
      <c r="AV79" s="2" t="str" cm="1">
        <f t="array" ref="AV79">IF('NILAI CPL'!$B79&lt;&gt;"",IFERROR(_xlfn.IFS(Y79&gt;='NILAI CPL'!$B$3,4,Y79&gt;='NILAI CPL'!$B$4,3,Y79&gt;='NILAI CPL'!$B$5,2,Y79&gt;'NILAI CPL'!$B$6,1),0),"")</f>
        <v/>
      </c>
      <c r="AW79" s="2" t="str" cm="1">
        <f t="array" ref="AW79">IF('NILAI CPL'!$B79&lt;&gt;"",IFERROR(_xlfn.IFS(Z79&gt;='NILAI CPL'!$B$3,4,Z79&gt;='NILAI CPL'!$B$4,3,Z79&gt;='NILAI CPL'!$B$5,2,Z79&gt;'NILAI CPL'!$B$6,1),0),"")</f>
        <v/>
      </c>
      <c r="AX79" s="2" t="str" cm="1">
        <f t="array" ref="AX79">IF('NILAI CPL'!$B79&lt;&gt;"",IFERROR(_xlfn.IFS(AA79&gt;='NILAI CPL'!$B$3,4,AA79&gt;='NILAI CPL'!$B$4,3,AA79&gt;='NILAI CPL'!$B$5,2,AA79&gt;'NILAI CPL'!$B$6,1),0),"")</f>
        <v/>
      </c>
      <c r="AY79" s="2" t="str" cm="1">
        <f t="array" ref="AY79">IF('NILAI CPL'!$B79&lt;&gt;"",IFERROR(_xlfn.IFS(AB79&gt;='NILAI CPL'!$B$3,4,AB79&gt;='NILAI CPL'!$B$4,3,AB79&gt;='NILAI CPL'!$B$5,2,AB79&gt;'NILAI CPL'!$B$6,1),0),"")</f>
        <v/>
      </c>
      <c r="AZ79" s="2" t="str" cm="1">
        <f t="array" ref="AZ79">IF('NILAI CPL'!$B79&lt;&gt;"",IFERROR(_xlfn.IFS(AC79&gt;='NILAI CPL'!$B$3,4,AC79&gt;='NILAI CPL'!$B$4,3,AC79&gt;='NILAI CPL'!$B$5,2,AC79&gt;'NILAI CPL'!$B$6,1),0),"")</f>
        <v/>
      </c>
      <c r="BA79" s="2" t="str" cm="1">
        <f t="array" ref="BA79">IF('NILAI CPL'!$B79&lt;&gt;"",IFERROR(_xlfn.IFS(AD79&gt;='NILAI CPL'!$B$3,4,AD79&gt;='NILAI CPL'!$B$4,3,AD79&gt;='NILAI CPL'!$B$5,2,AD79&gt;'NILAI CPL'!$B$6,1),0),"")</f>
        <v/>
      </c>
      <c r="BB79" s="2" t="str" cm="1">
        <f t="array" ref="BB79">IF('NILAI CPL'!$B79&lt;&gt;"",IFERROR(_xlfn.IFS(AE79&gt;='NILAI CPL'!$B$3,4,AE79&gt;='NILAI CPL'!$B$4,3,AE79&gt;='NILAI CPL'!$B$5,2,AE79&gt;'NILAI CPL'!$B$6,1),0),"")</f>
        <v/>
      </c>
      <c r="BC79" s="2" t="str" cm="1">
        <f t="array" ref="BC79">IF('NILAI CPL'!$B79&lt;&gt;"",IFERROR(_xlfn.IFS(AF79&gt;='NILAI CPL'!$B$3,4,AF79&gt;='NILAI CPL'!$B$4,3,AF79&gt;='NILAI CPL'!$B$5,2,AF79&gt;'NILAI CPL'!$B$6,1),0),"")</f>
        <v/>
      </c>
      <c r="BD79" s="2" t="str" cm="1">
        <f t="array" ref="BD79">IF('NILAI CPL'!$B79&lt;&gt;"",IFERROR(_xlfn.IFS(AG79&gt;='NILAI CPL'!$B$3,4,AG79&gt;='NILAI CPL'!$B$4,3,AG79&gt;='NILAI CPL'!$B$5,2,AG79&gt;'NILAI CPL'!$B$6,1),0),"")</f>
        <v/>
      </c>
      <c r="BE79" s="2" t="str" cm="1">
        <f t="array" ref="BE79">IF('NILAI CPL'!$B79&lt;&gt;"",IFERROR(_xlfn.IFS(AH79&gt;='NILAI CPL'!$B$3,4,AH79&gt;='NILAI CPL'!$B$4,3,AH79&gt;='NILAI CPL'!$B$5,2,AH79&gt;'NILAI CPL'!$B$6,1),0),"")</f>
        <v/>
      </c>
      <c r="BF79" s="2" t="str" cm="1">
        <f t="array" ref="BF79">IF('NILAI CPL'!$B79&lt;&gt;"",IFERROR(_xlfn.IFS(AI79&gt;='NILAI CPL'!$B$3,4,AI79&gt;='NILAI CPL'!$B$4,3,AI79&gt;='NILAI CPL'!$B$5,2,AI79&gt;'NILAI CPL'!$B$6,1),0),"")</f>
        <v/>
      </c>
      <c r="BG79" s="2" t="str" cm="1">
        <f t="array" ref="BG79">IF('NILAI CPL'!$B79&lt;&gt;"",IFERROR(_xlfn.IFS(AJ79&gt;='NILAI CPL'!$B$3,4,AJ79&gt;='NILAI CPL'!$B$4,3,AJ79&gt;='NILAI CPL'!$B$5,2,AJ79&gt;'NILAI CPL'!$B$6,1),0),"")</f>
        <v/>
      </c>
      <c r="BH79" s="2" t="str" cm="1">
        <f t="array" ref="BH79">IF('NILAI CPL'!$B79&lt;&gt;"",IFERROR(_xlfn.IFS(AK79&gt;='NILAI CPL'!$B$3,4,AK79&gt;='NILAI CPL'!$B$4,3,AK79&gt;='NILAI CPL'!$B$5,2,AK79&gt;'NILAI CPL'!$B$6,1),0),"")</f>
        <v/>
      </c>
      <c r="BI79" s="2" t="str" cm="1">
        <f t="array" ref="BI79">IF('NILAI CPL'!$B79&lt;&gt;"",IFERROR(_xlfn.IFS(AL79&gt;='NILAI CPL'!$B$3,4,AL79&gt;='NILAI CPL'!$B$4,3,AL79&gt;='NILAI CPL'!$B$5,2,AL79&gt;'NILAI CPL'!$B$6,1),0),"")</f>
        <v/>
      </c>
      <c r="BJ79" s="2" t="str" cm="1">
        <f t="array" ref="BJ79">IF('NILAI CPL'!$B79&lt;&gt;"",IFERROR(_xlfn.IFS(AM79&gt;='NILAI CPL'!$B$3,4,AM79&gt;='NILAI CPL'!$B$4,3,AM79&gt;='NILAI CPL'!$B$5,2,AM79&gt;'NILAI CPL'!$B$6,1),0),"")</f>
        <v/>
      </c>
      <c r="BK79" s="2" t="str" cm="1">
        <f t="array" ref="BK79">IF('NILAI CPL'!$B79&lt;&gt;"",IFERROR(_xlfn.IFS(AN79&gt;='NILAI CPL'!$B$3,4,AN79&gt;='NILAI CPL'!$B$4,3,AN79&gt;='NILAI CPL'!$B$5,2,AN79&gt;'NILAI CPL'!$B$6,1),0),"")</f>
        <v/>
      </c>
    </row>
    <row r="80" spans="1:63" x14ac:dyDescent="0.2">
      <c r="A80" s="2">
        <v>70</v>
      </c>
      <c r="B80" s="2" t="str">
        <f>IF(LEN(SUMMARY!B80)&gt;0, SUMMARY!B80, "")</f>
        <v/>
      </c>
      <c r="C80" s="2" t="str">
        <f>IF(LEN(SUMMARY!C80)&gt;0, SUMMARY!C80, "")</f>
        <v/>
      </c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" t="str">
        <f t="shared" si="25"/>
        <v/>
      </c>
      <c r="S80" s="2" t="str">
        <f t="shared" si="26"/>
        <v/>
      </c>
      <c r="T80" s="2" t="str">
        <f t="shared" si="27"/>
        <v/>
      </c>
      <c r="U80" s="2" t="str">
        <f t="shared" si="28"/>
        <v/>
      </c>
      <c r="V80" s="2" t="str">
        <f t="shared" si="29"/>
        <v/>
      </c>
      <c r="W80" s="2" t="str">
        <f t="shared" si="30"/>
        <v/>
      </c>
      <c r="X80" s="2" t="str">
        <f t="shared" si="31"/>
        <v/>
      </c>
      <c r="Y80" s="2" t="str">
        <f t="shared" si="32"/>
        <v/>
      </c>
      <c r="Z80" s="2" t="str">
        <f t="shared" si="33"/>
        <v/>
      </c>
      <c r="AA80" s="2" t="str">
        <f t="shared" si="34"/>
        <v/>
      </c>
      <c r="AB80" s="2" t="str">
        <f t="shared" si="35"/>
        <v/>
      </c>
      <c r="AC80" s="2" t="str">
        <f t="shared" si="36"/>
        <v/>
      </c>
      <c r="AD80" s="2" t="str">
        <f t="shared" si="37"/>
        <v/>
      </c>
      <c r="AE80" s="2" t="str">
        <f t="shared" si="38"/>
        <v/>
      </c>
      <c r="AF80" s="2" t="str">
        <f t="shared" si="39"/>
        <v/>
      </c>
      <c r="AG80" s="2" t="str">
        <f t="shared" si="40"/>
        <v/>
      </c>
      <c r="AH80" s="2" t="str">
        <f t="shared" si="41"/>
        <v/>
      </c>
      <c r="AI80" s="2" t="str">
        <f t="shared" si="42"/>
        <v/>
      </c>
      <c r="AJ80" s="2" t="str">
        <f t="shared" si="43"/>
        <v/>
      </c>
      <c r="AK80" s="2" t="str">
        <f t="shared" si="44"/>
        <v/>
      </c>
      <c r="AL80" s="2" t="str">
        <f t="shared" si="45"/>
        <v/>
      </c>
      <c r="AM80" s="2" t="str">
        <f t="shared" si="46"/>
        <v/>
      </c>
      <c r="AN80" s="2" t="str">
        <f t="shared" si="47"/>
        <v/>
      </c>
      <c r="AP80" s="2" t="str" cm="1">
        <f t="array" ref="AP80">IF('NILAI CPL'!$B80&lt;&gt;"",IFERROR(_xlfn.IFS(S80&gt;='NILAI CPL'!$B$3,4,S80&gt;='NILAI CPL'!$B$4,3,S80&gt;='NILAI CPL'!$B$5,2,S80&gt;'NILAI CPL'!$B$6,1),0),"")</f>
        <v/>
      </c>
      <c r="AQ80" s="2" t="str" cm="1">
        <f t="array" ref="AQ80">IF('NILAI CPL'!$B80&lt;&gt;"",IFERROR(_xlfn.IFS(T80&gt;='NILAI CPL'!$B$3,4,T80&gt;='NILAI CPL'!$B$4,3,T80&gt;='NILAI CPL'!$B$5,2,T80&gt;'NILAI CPL'!$B$6,1),0),"")</f>
        <v/>
      </c>
      <c r="AR80" s="2" t="str" cm="1">
        <f t="array" ref="AR80">IF('NILAI CPL'!$B80&lt;&gt;"",IFERROR(_xlfn.IFS(U80&gt;='NILAI CPL'!$B$3,4,U80&gt;='NILAI CPL'!$B$4,3,U80&gt;='NILAI CPL'!$B$5,2,U80&gt;'NILAI CPL'!$B$6,1),0),"")</f>
        <v/>
      </c>
      <c r="AS80" s="2" t="str" cm="1">
        <f t="array" ref="AS80">IF('NILAI CPL'!$B80&lt;&gt;"",IFERROR(_xlfn.IFS(V80&gt;='NILAI CPL'!$B$3,4,V80&gt;='NILAI CPL'!$B$4,3,V80&gt;='NILAI CPL'!$B$5,2,V80&gt;'NILAI CPL'!$B$6,1),0),"")</f>
        <v/>
      </c>
      <c r="AT80" s="2" t="str" cm="1">
        <f t="array" ref="AT80">IF('NILAI CPL'!$B80&lt;&gt;"",IFERROR(_xlfn.IFS(W80&gt;='NILAI CPL'!$B$3,4,W80&gt;='NILAI CPL'!$B$4,3,W80&gt;='NILAI CPL'!$B$5,2,W80&gt;'NILAI CPL'!$B$6,1),0),"")</f>
        <v/>
      </c>
      <c r="AU80" s="2" t="str" cm="1">
        <f t="array" ref="AU80">IF('NILAI CPL'!$B80&lt;&gt;"",IFERROR(_xlfn.IFS(X80&gt;='NILAI CPL'!$B$3,4,X80&gt;='NILAI CPL'!$B$4,3,X80&gt;='NILAI CPL'!$B$5,2,X80&gt;'NILAI CPL'!$B$6,1),0),"")</f>
        <v/>
      </c>
      <c r="AV80" s="2" t="str" cm="1">
        <f t="array" ref="AV80">IF('NILAI CPL'!$B80&lt;&gt;"",IFERROR(_xlfn.IFS(Y80&gt;='NILAI CPL'!$B$3,4,Y80&gt;='NILAI CPL'!$B$4,3,Y80&gt;='NILAI CPL'!$B$5,2,Y80&gt;'NILAI CPL'!$B$6,1),0),"")</f>
        <v/>
      </c>
      <c r="AW80" s="2" t="str" cm="1">
        <f t="array" ref="AW80">IF('NILAI CPL'!$B80&lt;&gt;"",IFERROR(_xlfn.IFS(Z80&gt;='NILAI CPL'!$B$3,4,Z80&gt;='NILAI CPL'!$B$4,3,Z80&gt;='NILAI CPL'!$B$5,2,Z80&gt;'NILAI CPL'!$B$6,1),0),"")</f>
        <v/>
      </c>
      <c r="AX80" s="2" t="str" cm="1">
        <f t="array" ref="AX80">IF('NILAI CPL'!$B80&lt;&gt;"",IFERROR(_xlfn.IFS(AA80&gt;='NILAI CPL'!$B$3,4,AA80&gt;='NILAI CPL'!$B$4,3,AA80&gt;='NILAI CPL'!$B$5,2,AA80&gt;'NILAI CPL'!$B$6,1),0),"")</f>
        <v/>
      </c>
      <c r="AY80" s="2" t="str" cm="1">
        <f t="array" ref="AY80">IF('NILAI CPL'!$B80&lt;&gt;"",IFERROR(_xlfn.IFS(AB80&gt;='NILAI CPL'!$B$3,4,AB80&gt;='NILAI CPL'!$B$4,3,AB80&gt;='NILAI CPL'!$B$5,2,AB80&gt;'NILAI CPL'!$B$6,1),0),"")</f>
        <v/>
      </c>
      <c r="AZ80" s="2" t="str" cm="1">
        <f t="array" ref="AZ80">IF('NILAI CPL'!$B80&lt;&gt;"",IFERROR(_xlfn.IFS(AC80&gt;='NILAI CPL'!$B$3,4,AC80&gt;='NILAI CPL'!$B$4,3,AC80&gt;='NILAI CPL'!$B$5,2,AC80&gt;'NILAI CPL'!$B$6,1),0),"")</f>
        <v/>
      </c>
      <c r="BA80" s="2" t="str" cm="1">
        <f t="array" ref="BA80">IF('NILAI CPL'!$B80&lt;&gt;"",IFERROR(_xlfn.IFS(AD80&gt;='NILAI CPL'!$B$3,4,AD80&gt;='NILAI CPL'!$B$4,3,AD80&gt;='NILAI CPL'!$B$5,2,AD80&gt;'NILAI CPL'!$B$6,1),0),"")</f>
        <v/>
      </c>
      <c r="BB80" s="2" t="str" cm="1">
        <f t="array" ref="BB80">IF('NILAI CPL'!$B80&lt;&gt;"",IFERROR(_xlfn.IFS(AE80&gt;='NILAI CPL'!$B$3,4,AE80&gt;='NILAI CPL'!$B$4,3,AE80&gt;='NILAI CPL'!$B$5,2,AE80&gt;'NILAI CPL'!$B$6,1),0),"")</f>
        <v/>
      </c>
      <c r="BC80" s="2" t="str" cm="1">
        <f t="array" ref="BC80">IF('NILAI CPL'!$B80&lt;&gt;"",IFERROR(_xlfn.IFS(AF80&gt;='NILAI CPL'!$B$3,4,AF80&gt;='NILAI CPL'!$B$4,3,AF80&gt;='NILAI CPL'!$B$5,2,AF80&gt;'NILAI CPL'!$B$6,1),0),"")</f>
        <v/>
      </c>
      <c r="BD80" s="2" t="str" cm="1">
        <f t="array" ref="BD80">IF('NILAI CPL'!$B80&lt;&gt;"",IFERROR(_xlfn.IFS(AG80&gt;='NILAI CPL'!$B$3,4,AG80&gt;='NILAI CPL'!$B$4,3,AG80&gt;='NILAI CPL'!$B$5,2,AG80&gt;'NILAI CPL'!$B$6,1),0),"")</f>
        <v/>
      </c>
      <c r="BE80" s="2" t="str" cm="1">
        <f t="array" ref="BE80">IF('NILAI CPL'!$B80&lt;&gt;"",IFERROR(_xlfn.IFS(AH80&gt;='NILAI CPL'!$B$3,4,AH80&gt;='NILAI CPL'!$B$4,3,AH80&gt;='NILAI CPL'!$B$5,2,AH80&gt;'NILAI CPL'!$B$6,1),0),"")</f>
        <v/>
      </c>
      <c r="BF80" s="2" t="str" cm="1">
        <f t="array" ref="BF80">IF('NILAI CPL'!$B80&lt;&gt;"",IFERROR(_xlfn.IFS(AI80&gt;='NILAI CPL'!$B$3,4,AI80&gt;='NILAI CPL'!$B$4,3,AI80&gt;='NILAI CPL'!$B$5,2,AI80&gt;'NILAI CPL'!$B$6,1),0),"")</f>
        <v/>
      </c>
      <c r="BG80" s="2" t="str" cm="1">
        <f t="array" ref="BG80">IF('NILAI CPL'!$B80&lt;&gt;"",IFERROR(_xlfn.IFS(AJ80&gt;='NILAI CPL'!$B$3,4,AJ80&gt;='NILAI CPL'!$B$4,3,AJ80&gt;='NILAI CPL'!$B$5,2,AJ80&gt;'NILAI CPL'!$B$6,1),0),"")</f>
        <v/>
      </c>
      <c r="BH80" s="2" t="str" cm="1">
        <f t="array" ref="BH80">IF('NILAI CPL'!$B80&lt;&gt;"",IFERROR(_xlfn.IFS(AK80&gt;='NILAI CPL'!$B$3,4,AK80&gt;='NILAI CPL'!$B$4,3,AK80&gt;='NILAI CPL'!$B$5,2,AK80&gt;'NILAI CPL'!$B$6,1),0),"")</f>
        <v/>
      </c>
      <c r="BI80" s="2" t="str" cm="1">
        <f t="array" ref="BI80">IF('NILAI CPL'!$B80&lt;&gt;"",IFERROR(_xlfn.IFS(AL80&gt;='NILAI CPL'!$B$3,4,AL80&gt;='NILAI CPL'!$B$4,3,AL80&gt;='NILAI CPL'!$B$5,2,AL80&gt;'NILAI CPL'!$B$6,1),0),"")</f>
        <v/>
      </c>
      <c r="BJ80" s="2" t="str" cm="1">
        <f t="array" ref="BJ80">IF('NILAI CPL'!$B80&lt;&gt;"",IFERROR(_xlfn.IFS(AM80&gt;='NILAI CPL'!$B$3,4,AM80&gt;='NILAI CPL'!$B$4,3,AM80&gt;='NILAI CPL'!$B$5,2,AM80&gt;'NILAI CPL'!$B$6,1),0),"")</f>
        <v/>
      </c>
      <c r="BK80" s="2" t="str" cm="1">
        <f t="array" ref="BK80">IF('NILAI CPL'!$B80&lt;&gt;"",IFERROR(_xlfn.IFS(AN80&gt;='NILAI CPL'!$B$3,4,AN80&gt;='NILAI CPL'!$B$4,3,AN80&gt;='NILAI CPL'!$B$5,2,AN80&gt;'NILAI CPL'!$B$6,1),0),"")</f>
        <v/>
      </c>
    </row>
    <row r="81" spans="1:63" x14ac:dyDescent="0.2">
      <c r="A81" s="2">
        <v>71</v>
      </c>
      <c r="B81" s="2" t="str">
        <f>IF(LEN(SUMMARY!B81)&gt;0, SUMMARY!B81, "")</f>
        <v/>
      </c>
      <c r="C81" s="2" t="str">
        <f>IF(LEN(SUMMARY!C81)&gt;0, SUMMARY!C81, "")</f>
        <v/>
      </c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" t="str">
        <f t="shared" si="25"/>
        <v/>
      </c>
      <c r="S81" s="2" t="str">
        <f t="shared" si="26"/>
        <v/>
      </c>
      <c r="T81" s="2" t="str">
        <f t="shared" si="27"/>
        <v/>
      </c>
      <c r="U81" s="2" t="str">
        <f t="shared" si="28"/>
        <v/>
      </c>
      <c r="V81" s="2" t="str">
        <f t="shared" si="29"/>
        <v/>
      </c>
      <c r="W81" s="2" t="str">
        <f t="shared" si="30"/>
        <v/>
      </c>
      <c r="X81" s="2" t="str">
        <f t="shared" si="31"/>
        <v/>
      </c>
      <c r="Y81" s="2" t="str">
        <f t="shared" si="32"/>
        <v/>
      </c>
      <c r="Z81" s="2" t="str">
        <f t="shared" si="33"/>
        <v/>
      </c>
      <c r="AA81" s="2" t="str">
        <f t="shared" si="34"/>
        <v/>
      </c>
      <c r="AB81" s="2" t="str">
        <f t="shared" si="35"/>
        <v/>
      </c>
      <c r="AC81" s="2" t="str">
        <f t="shared" si="36"/>
        <v/>
      </c>
      <c r="AD81" s="2" t="str">
        <f t="shared" si="37"/>
        <v/>
      </c>
      <c r="AE81" s="2" t="str">
        <f t="shared" si="38"/>
        <v/>
      </c>
      <c r="AF81" s="2" t="str">
        <f t="shared" si="39"/>
        <v/>
      </c>
      <c r="AG81" s="2" t="str">
        <f t="shared" si="40"/>
        <v/>
      </c>
      <c r="AH81" s="2" t="str">
        <f t="shared" si="41"/>
        <v/>
      </c>
      <c r="AI81" s="2" t="str">
        <f t="shared" si="42"/>
        <v/>
      </c>
      <c r="AJ81" s="2" t="str">
        <f t="shared" si="43"/>
        <v/>
      </c>
      <c r="AK81" s="2" t="str">
        <f t="shared" si="44"/>
        <v/>
      </c>
      <c r="AL81" s="2" t="str">
        <f t="shared" si="45"/>
        <v/>
      </c>
      <c r="AM81" s="2" t="str">
        <f t="shared" si="46"/>
        <v/>
      </c>
      <c r="AN81" s="2" t="str">
        <f t="shared" si="47"/>
        <v/>
      </c>
      <c r="AP81" s="2" t="str" cm="1">
        <f t="array" ref="AP81">IF('NILAI CPL'!$B81&lt;&gt;"",IFERROR(_xlfn.IFS(S81&gt;='NILAI CPL'!$B$3,4,S81&gt;='NILAI CPL'!$B$4,3,S81&gt;='NILAI CPL'!$B$5,2,S81&gt;'NILAI CPL'!$B$6,1),0),"")</f>
        <v/>
      </c>
      <c r="AQ81" s="2" t="str" cm="1">
        <f t="array" ref="AQ81">IF('NILAI CPL'!$B81&lt;&gt;"",IFERROR(_xlfn.IFS(T81&gt;='NILAI CPL'!$B$3,4,T81&gt;='NILAI CPL'!$B$4,3,T81&gt;='NILAI CPL'!$B$5,2,T81&gt;'NILAI CPL'!$B$6,1),0),"")</f>
        <v/>
      </c>
      <c r="AR81" s="2" t="str" cm="1">
        <f t="array" ref="AR81">IF('NILAI CPL'!$B81&lt;&gt;"",IFERROR(_xlfn.IFS(U81&gt;='NILAI CPL'!$B$3,4,U81&gt;='NILAI CPL'!$B$4,3,U81&gt;='NILAI CPL'!$B$5,2,U81&gt;'NILAI CPL'!$B$6,1),0),"")</f>
        <v/>
      </c>
      <c r="AS81" s="2" t="str" cm="1">
        <f t="array" ref="AS81">IF('NILAI CPL'!$B81&lt;&gt;"",IFERROR(_xlfn.IFS(V81&gt;='NILAI CPL'!$B$3,4,V81&gt;='NILAI CPL'!$B$4,3,V81&gt;='NILAI CPL'!$B$5,2,V81&gt;'NILAI CPL'!$B$6,1),0),"")</f>
        <v/>
      </c>
      <c r="AT81" s="2" t="str" cm="1">
        <f t="array" ref="AT81">IF('NILAI CPL'!$B81&lt;&gt;"",IFERROR(_xlfn.IFS(W81&gt;='NILAI CPL'!$B$3,4,W81&gt;='NILAI CPL'!$B$4,3,W81&gt;='NILAI CPL'!$B$5,2,W81&gt;'NILAI CPL'!$B$6,1),0),"")</f>
        <v/>
      </c>
      <c r="AU81" s="2" t="str" cm="1">
        <f t="array" ref="AU81">IF('NILAI CPL'!$B81&lt;&gt;"",IFERROR(_xlfn.IFS(X81&gt;='NILAI CPL'!$B$3,4,X81&gt;='NILAI CPL'!$B$4,3,X81&gt;='NILAI CPL'!$B$5,2,X81&gt;'NILAI CPL'!$B$6,1),0),"")</f>
        <v/>
      </c>
      <c r="AV81" s="2" t="str" cm="1">
        <f t="array" ref="AV81">IF('NILAI CPL'!$B81&lt;&gt;"",IFERROR(_xlfn.IFS(Y81&gt;='NILAI CPL'!$B$3,4,Y81&gt;='NILAI CPL'!$B$4,3,Y81&gt;='NILAI CPL'!$B$5,2,Y81&gt;'NILAI CPL'!$B$6,1),0),"")</f>
        <v/>
      </c>
      <c r="AW81" s="2" t="str" cm="1">
        <f t="array" ref="AW81">IF('NILAI CPL'!$B81&lt;&gt;"",IFERROR(_xlfn.IFS(Z81&gt;='NILAI CPL'!$B$3,4,Z81&gt;='NILAI CPL'!$B$4,3,Z81&gt;='NILAI CPL'!$B$5,2,Z81&gt;'NILAI CPL'!$B$6,1),0),"")</f>
        <v/>
      </c>
      <c r="AX81" s="2" t="str" cm="1">
        <f t="array" ref="AX81">IF('NILAI CPL'!$B81&lt;&gt;"",IFERROR(_xlfn.IFS(AA81&gt;='NILAI CPL'!$B$3,4,AA81&gt;='NILAI CPL'!$B$4,3,AA81&gt;='NILAI CPL'!$B$5,2,AA81&gt;'NILAI CPL'!$B$6,1),0),"")</f>
        <v/>
      </c>
      <c r="AY81" s="2" t="str" cm="1">
        <f t="array" ref="AY81">IF('NILAI CPL'!$B81&lt;&gt;"",IFERROR(_xlfn.IFS(AB81&gt;='NILAI CPL'!$B$3,4,AB81&gt;='NILAI CPL'!$B$4,3,AB81&gt;='NILAI CPL'!$B$5,2,AB81&gt;'NILAI CPL'!$B$6,1),0),"")</f>
        <v/>
      </c>
      <c r="AZ81" s="2" t="str" cm="1">
        <f t="array" ref="AZ81">IF('NILAI CPL'!$B81&lt;&gt;"",IFERROR(_xlfn.IFS(AC81&gt;='NILAI CPL'!$B$3,4,AC81&gt;='NILAI CPL'!$B$4,3,AC81&gt;='NILAI CPL'!$B$5,2,AC81&gt;'NILAI CPL'!$B$6,1),0),"")</f>
        <v/>
      </c>
      <c r="BA81" s="2" t="str" cm="1">
        <f t="array" ref="BA81">IF('NILAI CPL'!$B81&lt;&gt;"",IFERROR(_xlfn.IFS(AD81&gt;='NILAI CPL'!$B$3,4,AD81&gt;='NILAI CPL'!$B$4,3,AD81&gt;='NILAI CPL'!$B$5,2,AD81&gt;'NILAI CPL'!$B$6,1),0),"")</f>
        <v/>
      </c>
      <c r="BB81" s="2" t="str" cm="1">
        <f t="array" ref="BB81">IF('NILAI CPL'!$B81&lt;&gt;"",IFERROR(_xlfn.IFS(AE81&gt;='NILAI CPL'!$B$3,4,AE81&gt;='NILAI CPL'!$B$4,3,AE81&gt;='NILAI CPL'!$B$5,2,AE81&gt;'NILAI CPL'!$B$6,1),0),"")</f>
        <v/>
      </c>
      <c r="BC81" s="2" t="str" cm="1">
        <f t="array" ref="BC81">IF('NILAI CPL'!$B81&lt;&gt;"",IFERROR(_xlfn.IFS(AF81&gt;='NILAI CPL'!$B$3,4,AF81&gt;='NILAI CPL'!$B$4,3,AF81&gt;='NILAI CPL'!$B$5,2,AF81&gt;'NILAI CPL'!$B$6,1),0),"")</f>
        <v/>
      </c>
      <c r="BD81" s="2" t="str" cm="1">
        <f t="array" ref="BD81">IF('NILAI CPL'!$B81&lt;&gt;"",IFERROR(_xlfn.IFS(AG81&gt;='NILAI CPL'!$B$3,4,AG81&gt;='NILAI CPL'!$B$4,3,AG81&gt;='NILAI CPL'!$B$5,2,AG81&gt;'NILAI CPL'!$B$6,1),0),"")</f>
        <v/>
      </c>
      <c r="BE81" s="2" t="str" cm="1">
        <f t="array" ref="BE81">IF('NILAI CPL'!$B81&lt;&gt;"",IFERROR(_xlfn.IFS(AH81&gt;='NILAI CPL'!$B$3,4,AH81&gt;='NILAI CPL'!$B$4,3,AH81&gt;='NILAI CPL'!$B$5,2,AH81&gt;'NILAI CPL'!$B$6,1),0),"")</f>
        <v/>
      </c>
      <c r="BF81" s="2" t="str" cm="1">
        <f t="array" ref="BF81">IF('NILAI CPL'!$B81&lt;&gt;"",IFERROR(_xlfn.IFS(AI81&gt;='NILAI CPL'!$B$3,4,AI81&gt;='NILAI CPL'!$B$4,3,AI81&gt;='NILAI CPL'!$B$5,2,AI81&gt;'NILAI CPL'!$B$6,1),0),"")</f>
        <v/>
      </c>
      <c r="BG81" s="2" t="str" cm="1">
        <f t="array" ref="BG81">IF('NILAI CPL'!$B81&lt;&gt;"",IFERROR(_xlfn.IFS(AJ81&gt;='NILAI CPL'!$B$3,4,AJ81&gt;='NILAI CPL'!$B$4,3,AJ81&gt;='NILAI CPL'!$B$5,2,AJ81&gt;'NILAI CPL'!$B$6,1),0),"")</f>
        <v/>
      </c>
      <c r="BH81" s="2" t="str" cm="1">
        <f t="array" ref="BH81">IF('NILAI CPL'!$B81&lt;&gt;"",IFERROR(_xlfn.IFS(AK81&gt;='NILAI CPL'!$B$3,4,AK81&gt;='NILAI CPL'!$B$4,3,AK81&gt;='NILAI CPL'!$B$5,2,AK81&gt;'NILAI CPL'!$B$6,1),0),"")</f>
        <v/>
      </c>
      <c r="BI81" s="2" t="str" cm="1">
        <f t="array" ref="BI81">IF('NILAI CPL'!$B81&lt;&gt;"",IFERROR(_xlfn.IFS(AL81&gt;='NILAI CPL'!$B$3,4,AL81&gt;='NILAI CPL'!$B$4,3,AL81&gt;='NILAI CPL'!$B$5,2,AL81&gt;'NILAI CPL'!$B$6,1),0),"")</f>
        <v/>
      </c>
      <c r="BJ81" s="2" t="str" cm="1">
        <f t="array" ref="BJ81">IF('NILAI CPL'!$B81&lt;&gt;"",IFERROR(_xlfn.IFS(AM81&gt;='NILAI CPL'!$B$3,4,AM81&gt;='NILAI CPL'!$B$4,3,AM81&gt;='NILAI CPL'!$B$5,2,AM81&gt;'NILAI CPL'!$B$6,1),0),"")</f>
        <v/>
      </c>
      <c r="BK81" s="2" t="str" cm="1">
        <f t="array" ref="BK81">IF('NILAI CPL'!$B81&lt;&gt;"",IFERROR(_xlfn.IFS(AN81&gt;='NILAI CPL'!$B$3,4,AN81&gt;='NILAI CPL'!$B$4,3,AN81&gt;='NILAI CPL'!$B$5,2,AN81&gt;'NILAI CPL'!$B$6,1),0),"")</f>
        <v/>
      </c>
    </row>
    <row r="82" spans="1:63" x14ac:dyDescent="0.2">
      <c r="A82" s="2">
        <v>72</v>
      </c>
      <c r="B82" s="2" t="str">
        <f>IF(LEN(SUMMARY!B82)&gt;0, SUMMARY!B82, "")</f>
        <v/>
      </c>
      <c r="C82" s="2" t="str">
        <f>IF(LEN(SUMMARY!C82)&gt;0, SUMMARY!C82, "")</f>
        <v/>
      </c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" t="str">
        <f t="shared" si="25"/>
        <v/>
      </c>
      <c r="S82" s="2" t="str">
        <f t="shared" si="26"/>
        <v/>
      </c>
      <c r="T82" s="2" t="str">
        <f t="shared" si="27"/>
        <v/>
      </c>
      <c r="U82" s="2" t="str">
        <f t="shared" si="28"/>
        <v/>
      </c>
      <c r="V82" s="2" t="str">
        <f t="shared" si="29"/>
        <v/>
      </c>
      <c r="W82" s="2" t="str">
        <f t="shared" si="30"/>
        <v/>
      </c>
      <c r="X82" s="2" t="str">
        <f t="shared" si="31"/>
        <v/>
      </c>
      <c r="Y82" s="2" t="str">
        <f t="shared" si="32"/>
        <v/>
      </c>
      <c r="Z82" s="2" t="str">
        <f t="shared" si="33"/>
        <v/>
      </c>
      <c r="AA82" s="2" t="str">
        <f t="shared" si="34"/>
        <v/>
      </c>
      <c r="AB82" s="2" t="str">
        <f t="shared" si="35"/>
        <v/>
      </c>
      <c r="AC82" s="2" t="str">
        <f t="shared" si="36"/>
        <v/>
      </c>
      <c r="AD82" s="2" t="str">
        <f t="shared" si="37"/>
        <v/>
      </c>
      <c r="AE82" s="2" t="str">
        <f t="shared" si="38"/>
        <v/>
      </c>
      <c r="AF82" s="2" t="str">
        <f t="shared" si="39"/>
        <v/>
      </c>
      <c r="AG82" s="2" t="str">
        <f t="shared" si="40"/>
        <v/>
      </c>
      <c r="AH82" s="2" t="str">
        <f t="shared" si="41"/>
        <v/>
      </c>
      <c r="AI82" s="2" t="str">
        <f t="shared" si="42"/>
        <v/>
      </c>
      <c r="AJ82" s="2" t="str">
        <f t="shared" si="43"/>
        <v/>
      </c>
      <c r="AK82" s="2" t="str">
        <f t="shared" si="44"/>
        <v/>
      </c>
      <c r="AL82" s="2" t="str">
        <f t="shared" si="45"/>
        <v/>
      </c>
      <c r="AM82" s="2" t="str">
        <f t="shared" si="46"/>
        <v/>
      </c>
      <c r="AN82" s="2" t="str">
        <f t="shared" si="47"/>
        <v/>
      </c>
      <c r="AP82" s="2" t="str" cm="1">
        <f t="array" ref="AP82">IF('NILAI CPL'!$B82&lt;&gt;"",IFERROR(_xlfn.IFS(S82&gt;='NILAI CPL'!$B$3,4,S82&gt;='NILAI CPL'!$B$4,3,S82&gt;='NILAI CPL'!$B$5,2,S82&gt;'NILAI CPL'!$B$6,1),0),"")</f>
        <v/>
      </c>
      <c r="AQ82" s="2" t="str" cm="1">
        <f t="array" ref="AQ82">IF('NILAI CPL'!$B82&lt;&gt;"",IFERROR(_xlfn.IFS(T82&gt;='NILAI CPL'!$B$3,4,T82&gt;='NILAI CPL'!$B$4,3,T82&gt;='NILAI CPL'!$B$5,2,T82&gt;'NILAI CPL'!$B$6,1),0),"")</f>
        <v/>
      </c>
      <c r="AR82" s="2" t="str" cm="1">
        <f t="array" ref="AR82">IF('NILAI CPL'!$B82&lt;&gt;"",IFERROR(_xlfn.IFS(U82&gt;='NILAI CPL'!$B$3,4,U82&gt;='NILAI CPL'!$B$4,3,U82&gt;='NILAI CPL'!$B$5,2,U82&gt;'NILAI CPL'!$B$6,1),0),"")</f>
        <v/>
      </c>
      <c r="AS82" s="2" t="str" cm="1">
        <f t="array" ref="AS82">IF('NILAI CPL'!$B82&lt;&gt;"",IFERROR(_xlfn.IFS(V82&gt;='NILAI CPL'!$B$3,4,V82&gt;='NILAI CPL'!$B$4,3,V82&gt;='NILAI CPL'!$B$5,2,V82&gt;'NILAI CPL'!$B$6,1),0),"")</f>
        <v/>
      </c>
      <c r="AT82" s="2" t="str" cm="1">
        <f t="array" ref="AT82">IF('NILAI CPL'!$B82&lt;&gt;"",IFERROR(_xlfn.IFS(W82&gt;='NILAI CPL'!$B$3,4,W82&gt;='NILAI CPL'!$B$4,3,W82&gt;='NILAI CPL'!$B$5,2,W82&gt;'NILAI CPL'!$B$6,1),0),"")</f>
        <v/>
      </c>
      <c r="AU82" s="2" t="str" cm="1">
        <f t="array" ref="AU82">IF('NILAI CPL'!$B82&lt;&gt;"",IFERROR(_xlfn.IFS(X82&gt;='NILAI CPL'!$B$3,4,X82&gt;='NILAI CPL'!$B$4,3,X82&gt;='NILAI CPL'!$B$5,2,X82&gt;'NILAI CPL'!$B$6,1),0),"")</f>
        <v/>
      </c>
      <c r="AV82" s="2" t="str" cm="1">
        <f t="array" ref="AV82">IF('NILAI CPL'!$B82&lt;&gt;"",IFERROR(_xlfn.IFS(Y82&gt;='NILAI CPL'!$B$3,4,Y82&gt;='NILAI CPL'!$B$4,3,Y82&gt;='NILAI CPL'!$B$5,2,Y82&gt;'NILAI CPL'!$B$6,1),0),"")</f>
        <v/>
      </c>
      <c r="AW82" s="2" t="str" cm="1">
        <f t="array" ref="AW82">IF('NILAI CPL'!$B82&lt;&gt;"",IFERROR(_xlfn.IFS(Z82&gt;='NILAI CPL'!$B$3,4,Z82&gt;='NILAI CPL'!$B$4,3,Z82&gt;='NILAI CPL'!$B$5,2,Z82&gt;'NILAI CPL'!$B$6,1),0),"")</f>
        <v/>
      </c>
      <c r="AX82" s="2" t="str" cm="1">
        <f t="array" ref="AX82">IF('NILAI CPL'!$B82&lt;&gt;"",IFERROR(_xlfn.IFS(AA82&gt;='NILAI CPL'!$B$3,4,AA82&gt;='NILAI CPL'!$B$4,3,AA82&gt;='NILAI CPL'!$B$5,2,AA82&gt;'NILAI CPL'!$B$6,1),0),"")</f>
        <v/>
      </c>
      <c r="AY82" s="2" t="str" cm="1">
        <f t="array" ref="AY82">IF('NILAI CPL'!$B82&lt;&gt;"",IFERROR(_xlfn.IFS(AB82&gt;='NILAI CPL'!$B$3,4,AB82&gt;='NILAI CPL'!$B$4,3,AB82&gt;='NILAI CPL'!$B$5,2,AB82&gt;'NILAI CPL'!$B$6,1),0),"")</f>
        <v/>
      </c>
      <c r="AZ82" s="2" t="str" cm="1">
        <f t="array" ref="AZ82">IF('NILAI CPL'!$B82&lt;&gt;"",IFERROR(_xlfn.IFS(AC82&gt;='NILAI CPL'!$B$3,4,AC82&gt;='NILAI CPL'!$B$4,3,AC82&gt;='NILAI CPL'!$B$5,2,AC82&gt;'NILAI CPL'!$B$6,1),0),"")</f>
        <v/>
      </c>
      <c r="BA82" s="2" t="str" cm="1">
        <f t="array" ref="BA82">IF('NILAI CPL'!$B82&lt;&gt;"",IFERROR(_xlfn.IFS(AD82&gt;='NILAI CPL'!$B$3,4,AD82&gt;='NILAI CPL'!$B$4,3,AD82&gt;='NILAI CPL'!$B$5,2,AD82&gt;'NILAI CPL'!$B$6,1),0),"")</f>
        <v/>
      </c>
      <c r="BB82" s="2" t="str" cm="1">
        <f t="array" ref="BB82">IF('NILAI CPL'!$B82&lt;&gt;"",IFERROR(_xlfn.IFS(AE82&gt;='NILAI CPL'!$B$3,4,AE82&gt;='NILAI CPL'!$B$4,3,AE82&gt;='NILAI CPL'!$B$5,2,AE82&gt;'NILAI CPL'!$B$6,1),0),"")</f>
        <v/>
      </c>
      <c r="BC82" s="2" t="str" cm="1">
        <f t="array" ref="BC82">IF('NILAI CPL'!$B82&lt;&gt;"",IFERROR(_xlfn.IFS(AF82&gt;='NILAI CPL'!$B$3,4,AF82&gt;='NILAI CPL'!$B$4,3,AF82&gt;='NILAI CPL'!$B$5,2,AF82&gt;'NILAI CPL'!$B$6,1),0),"")</f>
        <v/>
      </c>
      <c r="BD82" s="2" t="str" cm="1">
        <f t="array" ref="BD82">IF('NILAI CPL'!$B82&lt;&gt;"",IFERROR(_xlfn.IFS(AG82&gt;='NILAI CPL'!$B$3,4,AG82&gt;='NILAI CPL'!$B$4,3,AG82&gt;='NILAI CPL'!$B$5,2,AG82&gt;'NILAI CPL'!$B$6,1),0),"")</f>
        <v/>
      </c>
      <c r="BE82" s="2" t="str" cm="1">
        <f t="array" ref="BE82">IF('NILAI CPL'!$B82&lt;&gt;"",IFERROR(_xlfn.IFS(AH82&gt;='NILAI CPL'!$B$3,4,AH82&gt;='NILAI CPL'!$B$4,3,AH82&gt;='NILAI CPL'!$B$5,2,AH82&gt;'NILAI CPL'!$B$6,1),0),"")</f>
        <v/>
      </c>
      <c r="BF82" s="2" t="str" cm="1">
        <f t="array" ref="BF82">IF('NILAI CPL'!$B82&lt;&gt;"",IFERROR(_xlfn.IFS(AI82&gt;='NILAI CPL'!$B$3,4,AI82&gt;='NILAI CPL'!$B$4,3,AI82&gt;='NILAI CPL'!$B$5,2,AI82&gt;'NILAI CPL'!$B$6,1),0),"")</f>
        <v/>
      </c>
      <c r="BG82" s="2" t="str" cm="1">
        <f t="array" ref="BG82">IF('NILAI CPL'!$B82&lt;&gt;"",IFERROR(_xlfn.IFS(AJ82&gt;='NILAI CPL'!$B$3,4,AJ82&gt;='NILAI CPL'!$B$4,3,AJ82&gt;='NILAI CPL'!$B$5,2,AJ82&gt;'NILAI CPL'!$B$6,1),0),"")</f>
        <v/>
      </c>
      <c r="BH82" s="2" t="str" cm="1">
        <f t="array" ref="BH82">IF('NILAI CPL'!$B82&lt;&gt;"",IFERROR(_xlfn.IFS(AK82&gt;='NILAI CPL'!$B$3,4,AK82&gt;='NILAI CPL'!$B$4,3,AK82&gt;='NILAI CPL'!$B$5,2,AK82&gt;'NILAI CPL'!$B$6,1),0),"")</f>
        <v/>
      </c>
      <c r="BI82" s="2" t="str" cm="1">
        <f t="array" ref="BI82">IF('NILAI CPL'!$B82&lt;&gt;"",IFERROR(_xlfn.IFS(AL82&gt;='NILAI CPL'!$B$3,4,AL82&gt;='NILAI CPL'!$B$4,3,AL82&gt;='NILAI CPL'!$B$5,2,AL82&gt;'NILAI CPL'!$B$6,1),0),"")</f>
        <v/>
      </c>
      <c r="BJ82" s="2" t="str" cm="1">
        <f t="array" ref="BJ82">IF('NILAI CPL'!$B82&lt;&gt;"",IFERROR(_xlfn.IFS(AM82&gt;='NILAI CPL'!$B$3,4,AM82&gt;='NILAI CPL'!$B$4,3,AM82&gt;='NILAI CPL'!$B$5,2,AM82&gt;'NILAI CPL'!$B$6,1),0),"")</f>
        <v/>
      </c>
      <c r="BK82" s="2" t="str" cm="1">
        <f t="array" ref="BK82">IF('NILAI CPL'!$B82&lt;&gt;"",IFERROR(_xlfn.IFS(AN82&gt;='NILAI CPL'!$B$3,4,AN82&gt;='NILAI CPL'!$B$4,3,AN82&gt;='NILAI CPL'!$B$5,2,AN82&gt;'NILAI CPL'!$B$6,1),0),"")</f>
        <v/>
      </c>
    </row>
    <row r="83" spans="1:63" x14ac:dyDescent="0.2">
      <c r="A83" s="2">
        <v>73</v>
      </c>
      <c r="B83" s="2" t="str">
        <f>IF(LEN(SUMMARY!B83)&gt;0, SUMMARY!B83, "")</f>
        <v/>
      </c>
      <c r="C83" s="2" t="str">
        <f>IF(LEN(SUMMARY!C83)&gt;0, SUMMARY!C83, "")</f>
        <v/>
      </c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" t="str">
        <f t="shared" si="25"/>
        <v/>
      </c>
      <c r="S83" s="2" t="str">
        <f t="shared" si="26"/>
        <v/>
      </c>
      <c r="T83" s="2" t="str">
        <f t="shared" si="27"/>
        <v/>
      </c>
      <c r="U83" s="2" t="str">
        <f t="shared" si="28"/>
        <v/>
      </c>
      <c r="V83" s="2" t="str">
        <f t="shared" si="29"/>
        <v/>
      </c>
      <c r="W83" s="2" t="str">
        <f t="shared" si="30"/>
        <v/>
      </c>
      <c r="X83" s="2" t="str">
        <f t="shared" si="31"/>
        <v/>
      </c>
      <c r="Y83" s="2" t="str">
        <f t="shared" si="32"/>
        <v/>
      </c>
      <c r="Z83" s="2" t="str">
        <f t="shared" si="33"/>
        <v/>
      </c>
      <c r="AA83" s="2" t="str">
        <f t="shared" si="34"/>
        <v/>
      </c>
      <c r="AB83" s="2" t="str">
        <f t="shared" si="35"/>
        <v/>
      </c>
      <c r="AC83" s="2" t="str">
        <f t="shared" si="36"/>
        <v/>
      </c>
      <c r="AD83" s="2" t="str">
        <f t="shared" si="37"/>
        <v/>
      </c>
      <c r="AE83" s="2" t="str">
        <f t="shared" si="38"/>
        <v/>
      </c>
      <c r="AF83" s="2" t="str">
        <f t="shared" si="39"/>
        <v/>
      </c>
      <c r="AG83" s="2" t="str">
        <f t="shared" si="40"/>
        <v/>
      </c>
      <c r="AH83" s="2" t="str">
        <f t="shared" si="41"/>
        <v/>
      </c>
      <c r="AI83" s="2" t="str">
        <f t="shared" si="42"/>
        <v/>
      </c>
      <c r="AJ83" s="2" t="str">
        <f t="shared" si="43"/>
        <v/>
      </c>
      <c r="AK83" s="2" t="str">
        <f t="shared" si="44"/>
        <v/>
      </c>
      <c r="AL83" s="2" t="str">
        <f t="shared" si="45"/>
        <v/>
      </c>
      <c r="AM83" s="2" t="str">
        <f t="shared" si="46"/>
        <v/>
      </c>
      <c r="AN83" s="2" t="str">
        <f t="shared" si="47"/>
        <v/>
      </c>
      <c r="AP83" s="2" t="str" cm="1">
        <f t="array" ref="AP83">IF('NILAI CPL'!$B83&lt;&gt;"",IFERROR(_xlfn.IFS(S83&gt;='NILAI CPL'!$B$3,4,S83&gt;='NILAI CPL'!$B$4,3,S83&gt;='NILAI CPL'!$B$5,2,S83&gt;'NILAI CPL'!$B$6,1),0),"")</f>
        <v/>
      </c>
      <c r="AQ83" s="2" t="str" cm="1">
        <f t="array" ref="AQ83">IF('NILAI CPL'!$B83&lt;&gt;"",IFERROR(_xlfn.IFS(T83&gt;='NILAI CPL'!$B$3,4,T83&gt;='NILAI CPL'!$B$4,3,T83&gt;='NILAI CPL'!$B$5,2,T83&gt;'NILAI CPL'!$B$6,1),0),"")</f>
        <v/>
      </c>
      <c r="AR83" s="2" t="str" cm="1">
        <f t="array" ref="AR83">IF('NILAI CPL'!$B83&lt;&gt;"",IFERROR(_xlfn.IFS(U83&gt;='NILAI CPL'!$B$3,4,U83&gt;='NILAI CPL'!$B$4,3,U83&gt;='NILAI CPL'!$B$5,2,U83&gt;'NILAI CPL'!$B$6,1),0),"")</f>
        <v/>
      </c>
      <c r="AS83" s="2" t="str" cm="1">
        <f t="array" ref="AS83">IF('NILAI CPL'!$B83&lt;&gt;"",IFERROR(_xlfn.IFS(V83&gt;='NILAI CPL'!$B$3,4,V83&gt;='NILAI CPL'!$B$4,3,V83&gt;='NILAI CPL'!$B$5,2,V83&gt;'NILAI CPL'!$B$6,1),0),"")</f>
        <v/>
      </c>
      <c r="AT83" s="2" t="str" cm="1">
        <f t="array" ref="AT83">IF('NILAI CPL'!$B83&lt;&gt;"",IFERROR(_xlfn.IFS(W83&gt;='NILAI CPL'!$B$3,4,W83&gt;='NILAI CPL'!$B$4,3,W83&gt;='NILAI CPL'!$B$5,2,W83&gt;'NILAI CPL'!$B$6,1),0),"")</f>
        <v/>
      </c>
      <c r="AU83" s="2" t="str" cm="1">
        <f t="array" ref="AU83">IF('NILAI CPL'!$B83&lt;&gt;"",IFERROR(_xlfn.IFS(X83&gt;='NILAI CPL'!$B$3,4,X83&gt;='NILAI CPL'!$B$4,3,X83&gt;='NILAI CPL'!$B$5,2,X83&gt;'NILAI CPL'!$B$6,1),0),"")</f>
        <v/>
      </c>
      <c r="AV83" s="2" t="str" cm="1">
        <f t="array" ref="AV83">IF('NILAI CPL'!$B83&lt;&gt;"",IFERROR(_xlfn.IFS(Y83&gt;='NILAI CPL'!$B$3,4,Y83&gt;='NILAI CPL'!$B$4,3,Y83&gt;='NILAI CPL'!$B$5,2,Y83&gt;'NILAI CPL'!$B$6,1),0),"")</f>
        <v/>
      </c>
      <c r="AW83" s="2" t="str" cm="1">
        <f t="array" ref="AW83">IF('NILAI CPL'!$B83&lt;&gt;"",IFERROR(_xlfn.IFS(Z83&gt;='NILAI CPL'!$B$3,4,Z83&gt;='NILAI CPL'!$B$4,3,Z83&gt;='NILAI CPL'!$B$5,2,Z83&gt;'NILAI CPL'!$B$6,1),0),"")</f>
        <v/>
      </c>
      <c r="AX83" s="2" t="str" cm="1">
        <f t="array" ref="AX83">IF('NILAI CPL'!$B83&lt;&gt;"",IFERROR(_xlfn.IFS(AA83&gt;='NILAI CPL'!$B$3,4,AA83&gt;='NILAI CPL'!$B$4,3,AA83&gt;='NILAI CPL'!$B$5,2,AA83&gt;'NILAI CPL'!$B$6,1),0),"")</f>
        <v/>
      </c>
      <c r="AY83" s="2" t="str" cm="1">
        <f t="array" ref="AY83">IF('NILAI CPL'!$B83&lt;&gt;"",IFERROR(_xlfn.IFS(AB83&gt;='NILAI CPL'!$B$3,4,AB83&gt;='NILAI CPL'!$B$4,3,AB83&gt;='NILAI CPL'!$B$5,2,AB83&gt;'NILAI CPL'!$B$6,1),0),"")</f>
        <v/>
      </c>
      <c r="AZ83" s="2" t="str" cm="1">
        <f t="array" ref="AZ83">IF('NILAI CPL'!$B83&lt;&gt;"",IFERROR(_xlfn.IFS(AC83&gt;='NILAI CPL'!$B$3,4,AC83&gt;='NILAI CPL'!$B$4,3,AC83&gt;='NILAI CPL'!$B$5,2,AC83&gt;'NILAI CPL'!$B$6,1),0),"")</f>
        <v/>
      </c>
      <c r="BA83" s="2" t="str" cm="1">
        <f t="array" ref="BA83">IF('NILAI CPL'!$B83&lt;&gt;"",IFERROR(_xlfn.IFS(AD83&gt;='NILAI CPL'!$B$3,4,AD83&gt;='NILAI CPL'!$B$4,3,AD83&gt;='NILAI CPL'!$B$5,2,AD83&gt;'NILAI CPL'!$B$6,1),0),"")</f>
        <v/>
      </c>
      <c r="BB83" s="2" t="str" cm="1">
        <f t="array" ref="BB83">IF('NILAI CPL'!$B83&lt;&gt;"",IFERROR(_xlfn.IFS(AE83&gt;='NILAI CPL'!$B$3,4,AE83&gt;='NILAI CPL'!$B$4,3,AE83&gt;='NILAI CPL'!$B$5,2,AE83&gt;'NILAI CPL'!$B$6,1),0),"")</f>
        <v/>
      </c>
      <c r="BC83" s="2" t="str" cm="1">
        <f t="array" ref="BC83">IF('NILAI CPL'!$B83&lt;&gt;"",IFERROR(_xlfn.IFS(AF83&gt;='NILAI CPL'!$B$3,4,AF83&gt;='NILAI CPL'!$B$4,3,AF83&gt;='NILAI CPL'!$B$5,2,AF83&gt;'NILAI CPL'!$B$6,1),0),"")</f>
        <v/>
      </c>
      <c r="BD83" s="2" t="str" cm="1">
        <f t="array" ref="BD83">IF('NILAI CPL'!$B83&lt;&gt;"",IFERROR(_xlfn.IFS(AG83&gt;='NILAI CPL'!$B$3,4,AG83&gt;='NILAI CPL'!$B$4,3,AG83&gt;='NILAI CPL'!$B$5,2,AG83&gt;'NILAI CPL'!$B$6,1),0),"")</f>
        <v/>
      </c>
      <c r="BE83" s="2" t="str" cm="1">
        <f t="array" ref="BE83">IF('NILAI CPL'!$B83&lt;&gt;"",IFERROR(_xlfn.IFS(AH83&gt;='NILAI CPL'!$B$3,4,AH83&gt;='NILAI CPL'!$B$4,3,AH83&gt;='NILAI CPL'!$B$5,2,AH83&gt;'NILAI CPL'!$B$6,1),0),"")</f>
        <v/>
      </c>
      <c r="BF83" s="2" t="str" cm="1">
        <f t="array" ref="BF83">IF('NILAI CPL'!$B83&lt;&gt;"",IFERROR(_xlfn.IFS(AI83&gt;='NILAI CPL'!$B$3,4,AI83&gt;='NILAI CPL'!$B$4,3,AI83&gt;='NILAI CPL'!$B$5,2,AI83&gt;'NILAI CPL'!$B$6,1),0),"")</f>
        <v/>
      </c>
      <c r="BG83" s="2" t="str" cm="1">
        <f t="array" ref="BG83">IF('NILAI CPL'!$B83&lt;&gt;"",IFERROR(_xlfn.IFS(AJ83&gt;='NILAI CPL'!$B$3,4,AJ83&gt;='NILAI CPL'!$B$4,3,AJ83&gt;='NILAI CPL'!$B$5,2,AJ83&gt;'NILAI CPL'!$B$6,1),0),"")</f>
        <v/>
      </c>
      <c r="BH83" s="2" t="str" cm="1">
        <f t="array" ref="BH83">IF('NILAI CPL'!$B83&lt;&gt;"",IFERROR(_xlfn.IFS(AK83&gt;='NILAI CPL'!$B$3,4,AK83&gt;='NILAI CPL'!$B$4,3,AK83&gt;='NILAI CPL'!$B$5,2,AK83&gt;'NILAI CPL'!$B$6,1),0),"")</f>
        <v/>
      </c>
      <c r="BI83" s="2" t="str" cm="1">
        <f t="array" ref="BI83">IF('NILAI CPL'!$B83&lt;&gt;"",IFERROR(_xlfn.IFS(AL83&gt;='NILAI CPL'!$B$3,4,AL83&gt;='NILAI CPL'!$B$4,3,AL83&gt;='NILAI CPL'!$B$5,2,AL83&gt;'NILAI CPL'!$B$6,1),0),"")</f>
        <v/>
      </c>
      <c r="BJ83" s="2" t="str" cm="1">
        <f t="array" ref="BJ83">IF('NILAI CPL'!$B83&lt;&gt;"",IFERROR(_xlfn.IFS(AM83&gt;='NILAI CPL'!$B$3,4,AM83&gt;='NILAI CPL'!$B$4,3,AM83&gt;='NILAI CPL'!$B$5,2,AM83&gt;'NILAI CPL'!$B$6,1),0),"")</f>
        <v/>
      </c>
      <c r="BK83" s="2" t="str" cm="1">
        <f t="array" ref="BK83">IF('NILAI CPL'!$B83&lt;&gt;"",IFERROR(_xlfn.IFS(AN83&gt;='NILAI CPL'!$B$3,4,AN83&gt;='NILAI CPL'!$B$4,3,AN83&gt;='NILAI CPL'!$B$5,2,AN83&gt;'NILAI CPL'!$B$6,1),0),"")</f>
        <v/>
      </c>
    </row>
    <row r="84" spans="1:63" x14ac:dyDescent="0.2">
      <c r="A84" s="2">
        <v>74</v>
      </c>
      <c r="B84" s="2" t="str">
        <f>IF(LEN(SUMMARY!B84)&gt;0, SUMMARY!B84, "")</f>
        <v/>
      </c>
      <c r="C84" s="2" t="str">
        <f>IF(LEN(SUMMARY!C84)&gt;0, SUMMARY!C84, "")</f>
        <v/>
      </c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" t="str">
        <f t="shared" si="25"/>
        <v/>
      </c>
      <c r="S84" s="2" t="str">
        <f t="shared" si="26"/>
        <v/>
      </c>
      <c r="T84" s="2" t="str">
        <f t="shared" si="27"/>
        <v/>
      </c>
      <c r="U84" s="2" t="str">
        <f t="shared" si="28"/>
        <v/>
      </c>
      <c r="V84" s="2" t="str">
        <f t="shared" si="29"/>
        <v/>
      </c>
      <c r="W84" s="2" t="str">
        <f t="shared" si="30"/>
        <v/>
      </c>
      <c r="X84" s="2" t="str">
        <f t="shared" si="31"/>
        <v/>
      </c>
      <c r="Y84" s="2" t="str">
        <f t="shared" si="32"/>
        <v/>
      </c>
      <c r="Z84" s="2" t="str">
        <f t="shared" si="33"/>
        <v/>
      </c>
      <c r="AA84" s="2" t="str">
        <f t="shared" si="34"/>
        <v/>
      </c>
      <c r="AB84" s="2" t="str">
        <f t="shared" si="35"/>
        <v/>
      </c>
      <c r="AC84" s="2" t="str">
        <f t="shared" si="36"/>
        <v/>
      </c>
      <c r="AD84" s="2" t="str">
        <f t="shared" si="37"/>
        <v/>
      </c>
      <c r="AE84" s="2" t="str">
        <f t="shared" si="38"/>
        <v/>
      </c>
      <c r="AF84" s="2" t="str">
        <f t="shared" si="39"/>
        <v/>
      </c>
      <c r="AG84" s="2" t="str">
        <f t="shared" si="40"/>
        <v/>
      </c>
      <c r="AH84" s="2" t="str">
        <f t="shared" si="41"/>
        <v/>
      </c>
      <c r="AI84" s="2" t="str">
        <f t="shared" si="42"/>
        <v/>
      </c>
      <c r="AJ84" s="2" t="str">
        <f t="shared" si="43"/>
        <v/>
      </c>
      <c r="AK84" s="2" t="str">
        <f t="shared" si="44"/>
        <v/>
      </c>
      <c r="AL84" s="2" t="str">
        <f t="shared" si="45"/>
        <v/>
      </c>
      <c r="AM84" s="2" t="str">
        <f t="shared" si="46"/>
        <v/>
      </c>
      <c r="AN84" s="2" t="str">
        <f t="shared" si="47"/>
        <v/>
      </c>
      <c r="AP84" s="2" t="str" cm="1">
        <f t="array" ref="AP84">IF('NILAI CPL'!$B84&lt;&gt;"",IFERROR(_xlfn.IFS(S84&gt;='NILAI CPL'!$B$3,4,S84&gt;='NILAI CPL'!$B$4,3,S84&gt;='NILAI CPL'!$B$5,2,S84&gt;'NILAI CPL'!$B$6,1),0),"")</f>
        <v/>
      </c>
      <c r="AQ84" s="2" t="str" cm="1">
        <f t="array" ref="AQ84">IF('NILAI CPL'!$B84&lt;&gt;"",IFERROR(_xlfn.IFS(T84&gt;='NILAI CPL'!$B$3,4,T84&gt;='NILAI CPL'!$B$4,3,T84&gt;='NILAI CPL'!$B$5,2,T84&gt;'NILAI CPL'!$B$6,1),0),"")</f>
        <v/>
      </c>
      <c r="AR84" s="2" t="str" cm="1">
        <f t="array" ref="AR84">IF('NILAI CPL'!$B84&lt;&gt;"",IFERROR(_xlfn.IFS(U84&gt;='NILAI CPL'!$B$3,4,U84&gt;='NILAI CPL'!$B$4,3,U84&gt;='NILAI CPL'!$B$5,2,U84&gt;'NILAI CPL'!$B$6,1),0),"")</f>
        <v/>
      </c>
      <c r="AS84" s="2" t="str" cm="1">
        <f t="array" ref="AS84">IF('NILAI CPL'!$B84&lt;&gt;"",IFERROR(_xlfn.IFS(V84&gt;='NILAI CPL'!$B$3,4,V84&gt;='NILAI CPL'!$B$4,3,V84&gt;='NILAI CPL'!$B$5,2,V84&gt;'NILAI CPL'!$B$6,1),0),"")</f>
        <v/>
      </c>
      <c r="AT84" s="2" t="str" cm="1">
        <f t="array" ref="AT84">IF('NILAI CPL'!$B84&lt;&gt;"",IFERROR(_xlfn.IFS(W84&gt;='NILAI CPL'!$B$3,4,W84&gt;='NILAI CPL'!$B$4,3,W84&gt;='NILAI CPL'!$B$5,2,W84&gt;'NILAI CPL'!$B$6,1),0),"")</f>
        <v/>
      </c>
      <c r="AU84" s="2" t="str" cm="1">
        <f t="array" ref="AU84">IF('NILAI CPL'!$B84&lt;&gt;"",IFERROR(_xlfn.IFS(X84&gt;='NILAI CPL'!$B$3,4,X84&gt;='NILAI CPL'!$B$4,3,X84&gt;='NILAI CPL'!$B$5,2,X84&gt;'NILAI CPL'!$B$6,1),0),"")</f>
        <v/>
      </c>
      <c r="AV84" s="2" t="str" cm="1">
        <f t="array" ref="AV84">IF('NILAI CPL'!$B84&lt;&gt;"",IFERROR(_xlfn.IFS(Y84&gt;='NILAI CPL'!$B$3,4,Y84&gt;='NILAI CPL'!$B$4,3,Y84&gt;='NILAI CPL'!$B$5,2,Y84&gt;'NILAI CPL'!$B$6,1),0),"")</f>
        <v/>
      </c>
      <c r="AW84" s="2" t="str" cm="1">
        <f t="array" ref="AW84">IF('NILAI CPL'!$B84&lt;&gt;"",IFERROR(_xlfn.IFS(Z84&gt;='NILAI CPL'!$B$3,4,Z84&gt;='NILAI CPL'!$B$4,3,Z84&gt;='NILAI CPL'!$B$5,2,Z84&gt;'NILAI CPL'!$B$6,1),0),"")</f>
        <v/>
      </c>
      <c r="AX84" s="2" t="str" cm="1">
        <f t="array" ref="AX84">IF('NILAI CPL'!$B84&lt;&gt;"",IFERROR(_xlfn.IFS(AA84&gt;='NILAI CPL'!$B$3,4,AA84&gt;='NILAI CPL'!$B$4,3,AA84&gt;='NILAI CPL'!$B$5,2,AA84&gt;'NILAI CPL'!$B$6,1),0),"")</f>
        <v/>
      </c>
      <c r="AY84" s="2" t="str" cm="1">
        <f t="array" ref="AY84">IF('NILAI CPL'!$B84&lt;&gt;"",IFERROR(_xlfn.IFS(AB84&gt;='NILAI CPL'!$B$3,4,AB84&gt;='NILAI CPL'!$B$4,3,AB84&gt;='NILAI CPL'!$B$5,2,AB84&gt;'NILAI CPL'!$B$6,1),0),"")</f>
        <v/>
      </c>
      <c r="AZ84" s="2" t="str" cm="1">
        <f t="array" ref="AZ84">IF('NILAI CPL'!$B84&lt;&gt;"",IFERROR(_xlfn.IFS(AC84&gt;='NILAI CPL'!$B$3,4,AC84&gt;='NILAI CPL'!$B$4,3,AC84&gt;='NILAI CPL'!$B$5,2,AC84&gt;'NILAI CPL'!$B$6,1),0),"")</f>
        <v/>
      </c>
      <c r="BA84" s="2" t="str" cm="1">
        <f t="array" ref="BA84">IF('NILAI CPL'!$B84&lt;&gt;"",IFERROR(_xlfn.IFS(AD84&gt;='NILAI CPL'!$B$3,4,AD84&gt;='NILAI CPL'!$B$4,3,AD84&gt;='NILAI CPL'!$B$5,2,AD84&gt;'NILAI CPL'!$B$6,1),0),"")</f>
        <v/>
      </c>
      <c r="BB84" s="2" t="str" cm="1">
        <f t="array" ref="BB84">IF('NILAI CPL'!$B84&lt;&gt;"",IFERROR(_xlfn.IFS(AE84&gt;='NILAI CPL'!$B$3,4,AE84&gt;='NILAI CPL'!$B$4,3,AE84&gt;='NILAI CPL'!$B$5,2,AE84&gt;'NILAI CPL'!$B$6,1),0),"")</f>
        <v/>
      </c>
      <c r="BC84" s="2" t="str" cm="1">
        <f t="array" ref="BC84">IF('NILAI CPL'!$B84&lt;&gt;"",IFERROR(_xlfn.IFS(AF84&gt;='NILAI CPL'!$B$3,4,AF84&gt;='NILAI CPL'!$B$4,3,AF84&gt;='NILAI CPL'!$B$5,2,AF84&gt;'NILAI CPL'!$B$6,1),0),"")</f>
        <v/>
      </c>
      <c r="BD84" s="2" t="str" cm="1">
        <f t="array" ref="BD84">IF('NILAI CPL'!$B84&lt;&gt;"",IFERROR(_xlfn.IFS(AG84&gt;='NILAI CPL'!$B$3,4,AG84&gt;='NILAI CPL'!$B$4,3,AG84&gt;='NILAI CPL'!$B$5,2,AG84&gt;'NILAI CPL'!$B$6,1),0),"")</f>
        <v/>
      </c>
      <c r="BE84" s="2" t="str" cm="1">
        <f t="array" ref="BE84">IF('NILAI CPL'!$B84&lt;&gt;"",IFERROR(_xlfn.IFS(AH84&gt;='NILAI CPL'!$B$3,4,AH84&gt;='NILAI CPL'!$B$4,3,AH84&gt;='NILAI CPL'!$B$5,2,AH84&gt;'NILAI CPL'!$B$6,1),0),"")</f>
        <v/>
      </c>
      <c r="BF84" s="2" t="str" cm="1">
        <f t="array" ref="BF84">IF('NILAI CPL'!$B84&lt;&gt;"",IFERROR(_xlfn.IFS(AI84&gt;='NILAI CPL'!$B$3,4,AI84&gt;='NILAI CPL'!$B$4,3,AI84&gt;='NILAI CPL'!$B$5,2,AI84&gt;'NILAI CPL'!$B$6,1),0),"")</f>
        <v/>
      </c>
      <c r="BG84" s="2" t="str" cm="1">
        <f t="array" ref="BG84">IF('NILAI CPL'!$B84&lt;&gt;"",IFERROR(_xlfn.IFS(AJ84&gt;='NILAI CPL'!$B$3,4,AJ84&gt;='NILAI CPL'!$B$4,3,AJ84&gt;='NILAI CPL'!$B$5,2,AJ84&gt;'NILAI CPL'!$B$6,1),0),"")</f>
        <v/>
      </c>
      <c r="BH84" s="2" t="str" cm="1">
        <f t="array" ref="BH84">IF('NILAI CPL'!$B84&lt;&gt;"",IFERROR(_xlfn.IFS(AK84&gt;='NILAI CPL'!$B$3,4,AK84&gt;='NILAI CPL'!$B$4,3,AK84&gt;='NILAI CPL'!$B$5,2,AK84&gt;'NILAI CPL'!$B$6,1),0),"")</f>
        <v/>
      </c>
      <c r="BI84" s="2" t="str" cm="1">
        <f t="array" ref="BI84">IF('NILAI CPL'!$B84&lt;&gt;"",IFERROR(_xlfn.IFS(AL84&gt;='NILAI CPL'!$B$3,4,AL84&gt;='NILAI CPL'!$B$4,3,AL84&gt;='NILAI CPL'!$B$5,2,AL84&gt;'NILAI CPL'!$B$6,1),0),"")</f>
        <v/>
      </c>
      <c r="BJ84" s="2" t="str" cm="1">
        <f t="array" ref="BJ84">IF('NILAI CPL'!$B84&lt;&gt;"",IFERROR(_xlfn.IFS(AM84&gt;='NILAI CPL'!$B$3,4,AM84&gt;='NILAI CPL'!$B$4,3,AM84&gt;='NILAI CPL'!$B$5,2,AM84&gt;'NILAI CPL'!$B$6,1),0),"")</f>
        <v/>
      </c>
      <c r="BK84" s="2" t="str" cm="1">
        <f t="array" ref="BK84">IF('NILAI CPL'!$B84&lt;&gt;"",IFERROR(_xlfn.IFS(AN84&gt;='NILAI CPL'!$B$3,4,AN84&gt;='NILAI CPL'!$B$4,3,AN84&gt;='NILAI CPL'!$B$5,2,AN84&gt;'NILAI CPL'!$B$6,1),0),"")</f>
        <v/>
      </c>
    </row>
    <row r="85" spans="1:63" x14ac:dyDescent="0.2">
      <c r="A85" s="2">
        <v>75</v>
      </c>
      <c r="B85" s="2" t="str">
        <f>IF(LEN(SUMMARY!B85)&gt;0, SUMMARY!B85, "")</f>
        <v/>
      </c>
      <c r="C85" s="2" t="str">
        <f>IF(LEN(SUMMARY!C85)&gt;0, SUMMARY!C85, "")</f>
        <v/>
      </c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" t="str">
        <f t="shared" si="25"/>
        <v/>
      </c>
      <c r="S85" s="2" t="str">
        <f t="shared" si="26"/>
        <v/>
      </c>
      <c r="T85" s="2" t="str">
        <f t="shared" si="27"/>
        <v/>
      </c>
      <c r="U85" s="2" t="str">
        <f t="shared" si="28"/>
        <v/>
      </c>
      <c r="V85" s="2" t="str">
        <f t="shared" si="29"/>
        <v/>
      </c>
      <c r="W85" s="2" t="str">
        <f t="shared" si="30"/>
        <v/>
      </c>
      <c r="X85" s="2" t="str">
        <f t="shared" si="31"/>
        <v/>
      </c>
      <c r="Y85" s="2" t="str">
        <f t="shared" si="32"/>
        <v/>
      </c>
      <c r="Z85" s="2" t="str">
        <f t="shared" si="33"/>
        <v/>
      </c>
      <c r="AA85" s="2" t="str">
        <f t="shared" si="34"/>
        <v/>
      </c>
      <c r="AB85" s="2" t="str">
        <f t="shared" si="35"/>
        <v/>
      </c>
      <c r="AC85" s="2" t="str">
        <f t="shared" si="36"/>
        <v/>
      </c>
      <c r="AD85" s="2" t="str">
        <f t="shared" si="37"/>
        <v/>
      </c>
      <c r="AE85" s="2" t="str">
        <f t="shared" si="38"/>
        <v/>
      </c>
      <c r="AF85" s="2" t="str">
        <f t="shared" si="39"/>
        <v/>
      </c>
      <c r="AG85" s="2" t="str">
        <f t="shared" si="40"/>
        <v/>
      </c>
      <c r="AH85" s="2" t="str">
        <f t="shared" si="41"/>
        <v/>
      </c>
      <c r="AI85" s="2" t="str">
        <f t="shared" si="42"/>
        <v/>
      </c>
      <c r="AJ85" s="2" t="str">
        <f t="shared" si="43"/>
        <v/>
      </c>
      <c r="AK85" s="2" t="str">
        <f t="shared" si="44"/>
        <v/>
      </c>
      <c r="AL85" s="2" t="str">
        <f t="shared" si="45"/>
        <v/>
      </c>
      <c r="AM85" s="2" t="str">
        <f t="shared" si="46"/>
        <v/>
      </c>
      <c r="AN85" s="2" t="str">
        <f t="shared" si="47"/>
        <v/>
      </c>
      <c r="AP85" s="2" t="str" cm="1">
        <f t="array" ref="AP85">IF('NILAI CPL'!$B85&lt;&gt;"",IFERROR(_xlfn.IFS(S85&gt;='NILAI CPL'!$B$3,4,S85&gt;='NILAI CPL'!$B$4,3,S85&gt;='NILAI CPL'!$B$5,2,S85&gt;'NILAI CPL'!$B$6,1),0),"")</f>
        <v/>
      </c>
      <c r="AQ85" s="2" t="str" cm="1">
        <f t="array" ref="AQ85">IF('NILAI CPL'!$B85&lt;&gt;"",IFERROR(_xlfn.IFS(T85&gt;='NILAI CPL'!$B$3,4,T85&gt;='NILAI CPL'!$B$4,3,T85&gt;='NILAI CPL'!$B$5,2,T85&gt;'NILAI CPL'!$B$6,1),0),"")</f>
        <v/>
      </c>
      <c r="AR85" s="2" t="str" cm="1">
        <f t="array" ref="AR85">IF('NILAI CPL'!$B85&lt;&gt;"",IFERROR(_xlfn.IFS(U85&gt;='NILAI CPL'!$B$3,4,U85&gt;='NILAI CPL'!$B$4,3,U85&gt;='NILAI CPL'!$B$5,2,U85&gt;'NILAI CPL'!$B$6,1),0),"")</f>
        <v/>
      </c>
      <c r="AS85" s="2" t="str" cm="1">
        <f t="array" ref="AS85">IF('NILAI CPL'!$B85&lt;&gt;"",IFERROR(_xlfn.IFS(V85&gt;='NILAI CPL'!$B$3,4,V85&gt;='NILAI CPL'!$B$4,3,V85&gt;='NILAI CPL'!$B$5,2,V85&gt;'NILAI CPL'!$B$6,1),0),"")</f>
        <v/>
      </c>
      <c r="AT85" s="2" t="str" cm="1">
        <f t="array" ref="AT85">IF('NILAI CPL'!$B85&lt;&gt;"",IFERROR(_xlfn.IFS(W85&gt;='NILAI CPL'!$B$3,4,W85&gt;='NILAI CPL'!$B$4,3,W85&gt;='NILAI CPL'!$B$5,2,W85&gt;'NILAI CPL'!$B$6,1),0),"")</f>
        <v/>
      </c>
      <c r="AU85" s="2" t="str" cm="1">
        <f t="array" ref="AU85">IF('NILAI CPL'!$B85&lt;&gt;"",IFERROR(_xlfn.IFS(X85&gt;='NILAI CPL'!$B$3,4,X85&gt;='NILAI CPL'!$B$4,3,X85&gt;='NILAI CPL'!$B$5,2,X85&gt;'NILAI CPL'!$B$6,1),0),"")</f>
        <v/>
      </c>
      <c r="AV85" s="2" t="str" cm="1">
        <f t="array" ref="AV85">IF('NILAI CPL'!$B85&lt;&gt;"",IFERROR(_xlfn.IFS(Y85&gt;='NILAI CPL'!$B$3,4,Y85&gt;='NILAI CPL'!$B$4,3,Y85&gt;='NILAI CPL'!$B$5,2,Y85&gt;'NILAI CPL'!$B$6,1),0),"")</f>
        <v/>
      </c>
      <c r="AW85" s="2" t="str" cm="1">
        <f t="array" ref="AW85">IF('NILAI CPL'!$B85&lt;&gt;"",IFERROR(_xlfn.IFS(Z85&gt;='NILAI CPL'!$B$3,4,Z85&gt;='NILAI CPL'!$B$4,3,Z85&gt;='NILAI CPL'!$B$5,2,Z85&gt;'NILAI CPL'!$B$6,1),0),"")</f>
        <v/>
      </c>
      <c r="AX85" s="2" t="str" cm="1">
        <f t="array" ref="AX85">IF('NILAI CPL'!$B85&lt;&gt;"",IFERROR(_xlfn.IFS(AA85&gt;='NILAI CPL'!$B$3,4,AA85&gt;='NILAI CPL'!$B$4,3,AA85&gt;='NILAI CPL'!$B$5,2,AA85&gt;'NILAI CPL'!$B$6,1),0),"")</f>
        <v/>
      </c>
      <c r="AY85" s="2" t="str" cm="1">
        <f t="array" ref="AY85">IF('NILAI CPL'!$B85&lt;&gt;"",IFERROR(_xlfn.IFS(AB85&gt;='NILAI CPL'!$B$3,4,AB85&gt;='NILAI CPL'!$B$4,3,AB85&gt;='NILAI CPL'!$B$5,2,AB85&gt;'NILAI CPL'!$B$6,1),0),"")</f>
        <v/>
      </c>
      <c r="AZ85" s="2" t="str" cm="1">
        <f t="array" ref="AZ85">IF('NILAI CPL'!$B85&lt;&gt;"",IFERROR(_xlfn.IFS(AC85&gt;='NILAI CPL'!$B$3,4,AC85&gt;='NILAI CPL'!$B$4,3,AC85&gt;='NILAI CPL'!$B$5,2,AC85&gt;'NILAI CPL'!$B$6,1),0),"")</f>
        <v/>
      </c>
      <c r="BA85" s="2" t="str" cm="1">
        <f t="array" ref="BA85">IF('NILAI CPL'!$B85&lt;&gt;"",IFERROR(_xlfn.IFS(AD85&gt;='NILAI CPL'!$B$3,4,AD85&gt;='NILAI CPL'!$B$4,3,AD85&gt;='NILAI CPL'!$B$5,2,AD85&gt;'NILAI CPL'!$B$6,1),0),"")</f>
        <v/>
      </c>
      <c r="BB85" s="2" t="str" cm="1">
        <f t="array" ref="BB85">IF('NILAI CPL'!$B85&lt;&gt;"",IFERROR(_xlfn.IFS(AE85&gt;='NILAI CPL'!$B$3,4,AE85&gt;='NILAI CPL'!$B$4,3,AE85&gt;='NILAI CPL'!$B$5,2,AE85&gt;'NILAI CPL'!$B$6,1),0),"")</f>
        <v/>
      </c>
      <c r="BC85" s="2" t="str" cm="1">
        <f t="array" ref="BC85">IF('NILAI CPL'!$B85&lt;&gt;"",IFERROR(_xlfn.IFS(AF85&gt;='NILAI CPL'!$B$3,4,AF85&gt;='NILAI CPL'!$B$4,3,AF85&gt;='NILAI CPL'!$B$5,2,AF85&gt;'NILAI CPL'!$B$6,1),0),"")</f>
        <v/>
      </c>
      <c r="BD85" s="2" t="str" cm="1">
        <f t="array" ref="BD85">IF('NILAI CPL'!$B85&lt;&gt;"",IFERROR(_xlfn.IFS(AG85&gt;='NILAI CPL'!$B$3,4,AG85&gt;='NILAI CPL'!$B$4,3,AG85&gt;='NILAI CPL'!$B$5,2,AG85&gt;'NILAI CPL'!$B$6,1),0),"")</f>
        <v/>
      </c>
      <c r="BE85" s="2" t="str" cm="1">
        <f t="array" ref="BE85">IF('NILAI CPL'!$B85&lt;&gt;"",IFERROR(_xlfn.IFS(AH85&gt;='NILAI CPL'!$B$3,4,AH85&gt;='NILAI CPL'!$B$4,3,AH85&gt;='NILAI CPL'!$B$5,2,AH85&gt;'NILAI CPL'!$B$6,1),0),"")</f>
        <v/>
      </c>
      <c r="BF85" s="2" t="str" cm="1">
        <f t="array" ref="BF85">IF('NILAI CPL'!$B85&lt;&gt;"",IFERROR(_xlfn.IFS(AI85&gt;='NILAI CPL'!$B$3,4,AI85&gt;='NILAI CPL'!$B$4,3,AI85&gt;='NILAI CPL'!$B$5,2,AI85&gt;'NILAI CPL'!$B$6,1),0),"")</f>
        <v/>
      </c>
      <c r="BG85" s="2" t="str" cm="1">
        <f t="array" ref="BG85">IF('NILAI CPL'!$B85&lt;&gt;"",IFERROR(_xlfn.IFS(AJ85&gt;='NILAI CPL'!$B$3,4,AJ85&gt;='NILAI CPL'!$B$4,3,AJ85&gt;='NILAI CPL'!$B$5,2,AJ85&gt;'NILAI CPL'!$B$6,1),0),"")</f>
        <v/>
      </c>
      <c r="BH85" s="2" t="str" cm="1">
        <f t="array" ref="BH85">IF('NILAI CPL'!$B85&lt;&gt;"",IFERROR(_xlfn.IFS(AK85&gt;='NILAI CPL'!$B$3,4,AK85&gt;='NILAI CPL'!$B$4,3,AK85&gt;='NILAI CPL'!$B$5,2,AK85&gt;'NILAI CPL'!$B$6,1),0),"")</f>
        <v/>
      </c>
      <c r="BI85" s="2" t="str" cm="1">
        <f t="array" ref="BI85">IF('NILAI CPL'!$B85&lt;&gt;"",IFERROR(_xlfn.IFS(AL85&gt;='NILAI CPL'!$B$3,4,AL85&gt;='NILAI CPL'!$B$4,3,AL85&gt;='NILAI CPL'!$B$5,2,AL85&gt;'NILAI CPL'!$B$6,1),0),"")</f>
        <v/>
      </c>
      <c r="BJ85" s="2" t="str" cm="1">
        <f t="array" ref="BJ85">IF('NILAI CPL'!$B85&lt;&gt;"",IFERROR(_xlfn.IFS(AM85&gt;='NILAI CPL'!$B$3,4,AM85&gt;='NILAI CPL'!$B$4,3,AM85&gt;='NILAI CPL'!$B$5,2,AM85&gt;'NILAI CPL'!$B$6,1),0),"")</f>
        <v/>
      </c>
      <c r="BK85" s="2" t="str" cm="1">
        <f t="array" ref="BK85">IF('NILAI CPL'!$B85&lt;&gt;"",IFERROR(_xlfn.IFS(AN85&gt;='NILAI CPL'!$B$3,4,AN85&gt;='NILAI CPL'!$B$4,3,AN85&gt;='NILAI CPL'!$B$5,2,AN85&gt;'NILAI CPL'!$B$6,1),0),"")</f>
        <v/>
      </c>
    </row>
    <row r="86" spans="1:63" x14ac:dyDescent="0.2">
      <c r="A86" s="2">
        <v>76</v>
      </c>
      <c r="B86" s="2" t="str">
        <f>IF(LEN(SUMMARY!B86)&gt;0, SUMMARY!B86, "")</f>
        <v/>
      </c>
      <c r="C86" s="2" t="str">
        <f>IF(LEN(SUMMARY!C86)&gt;0, SUMMARY!C86, "")</f>
        <v/>
      </c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" t="str">
        <f t="shared" si="25"/>
        <v/>
      </c>
      <c r="S86" s="2" t="str">
        <f t="shared" si="26"/>
        <v/>
      </c>
      <c r="T86" s="2" t="str">
        <f t="shared" si="27"/>
        <v/>
      </c>
      <c r="U86" s="2" t="str">
        <f t="shared" si="28"/>
        <v/>
      </c>
      <c r="V86" s="2" t="str">
        <f t="shared" si="29"/>
        <v/>
      </c>
      <c r="W86" s="2" t="str">
        <f t="shared" si="30"/>
        <v/>
      </c>
      <c r="X86" s="2" t="str">
        <f t="shared" si="31"/>
        <v/>
      </c>
      <c r="Y86" s="2" t="str">
        <f t="shared" si="32"/>
        <v/>
      </c>
      <c r="Z86" s="2" t="str">
        <f t="shared" si="33"/>
        <v/>
      </c>
      <c r="AA86" s="2" t="str">
        <f t="shared" si="34"/>
        <v/>
      </c>
      <c r="AB86" s="2" t="str">
        <f t="shared" si="35"/>
        <v/>
      </c>
      <c r="AC86" s="2" t="str">
        <f t="shared" si="36"/>
        <v/>
      </c>
      <c r="AD86" s="2" t="str">
        <f t="shared" si="37"/>
        <v/>
      </c>
      <c r="AE86" s="2" t="str">
        <f t="shared" si="38"/>
        <v/>
      </c>
      <c r="AF86" s="2" t="str">
        <f t="shared" si="39"/>
        <v/>
      </c>
      <c r="AG86" s="2" t="str">
        <f t="shared" si="40"/>
        <v/>
      </c>
      <c r="AH86" s="2" t="str">
        <f t="shared" si="41"/>
        <v/>
      </c>
      <c r="AI86" s="2" t="str">
        <f t="shared" si="42"/>
        <v/>
      </c>
      <c r="AJ86" s="2" t="str">
        <f t="shared" si="43"/>
        <v/>
      </c>
      <c r="AK86" s="2" t="str">
        <f t="shared" si="44"/>
        <v/>
      </c>
      <c r="AL86" s="2" t="str">
        <f t="shared" si="45"/>
        <v/>
      </c>
      <c r="AM86" s="2" t="str">
        <f t="shared" si="46"/>
        <v/>
      </c>
      <c r="AN86" s="2" t="str">
        <f t="shared" si="47"/>
        <v/>
      </c>
      <c r="AP86" s="2" t="str" cm="1">
        <f t="array" ref="AP86">IF('NILAI CPL'!$B86&lt;&gt;"",IFERROR(_xlfn.IFS(S86&gt;='NILAI CPL'!$B$3,4,S86&gt;='NILAI CPL'!$B$4,3,S86&gt;='NILAI CPL'!$B$5,2,S86&gt;'NILAI CPL'!$B$6,1),0),"")</f>
        <v/>
      </c>
      <c r="AQ86" s="2" t="str" cm="1">
        <f t="array" ref="AQ86">IF('NILAI CPL'!$B86&lt;&gt;"",IFERROR(_xlfn.IFS(T86&gt;='NILAI CPL'!$B$3,4,T86&gt;='NILAI CPL'!$B$4,3,T86&gt;='NILAI CPL'!$B$5,2,T86&gt;'NILAI CPL'!$B$6,1),0),"")</f>
        <v/>
      </c>
      <c r="AR86" s="2" t="str" cm="1">
        <f t="array" ref="AR86">IF('NILAI CPL'!$B86&lt;&gt;"",IFERROR(_xlfn.IFS(U86&gt;='NILAI CPL'!$B$3,4,U86&gt;='NILAI CPL'!$B$4,3,U86&gt;='NILAI CPL'!$B$5,2,U86&gt;'NILAI CPL'!$B$6,1),0),"")</f>
        <v/>
      </c>
      <c r="AS86" s="2" t="str" cm="1">
        <f t="array" ref="AS86">IF('NILAI CPL'!$B86&lt;&gt;"",IFERROR(_xlfn.IFS(V86&gt;='NILAI CPL'!$B$3,4,V86&gt;='NILAI CPL'!$B$4,3,V86&gt;='NILAI CPL'!$B$5,2,V86&gt;'NILAI CPL'!$B$6,1),0),"")</f>
        <v/>
      </c>
      <c r="AT86" s="2" t="str" cm="1">
        <f t="array" ref="AT86">IF('NILAI CPL'!$B86&lt;&gt;"",IFERROR(_xlfn.IFS(W86&gt;='NILAI CPL'!$B$3,4,W86&gt;='NILAI CPL'!$B$4,3,W86&gt;='NILAI CPL'!$B$5,2,W86&gt;'NILAI CPL'!$B$6,1),0),"")</f>
        <v/>
      </c>
      <c r="AU86" s="2" t="str" cm="1">
        <f t="array" ref="AU86">IF('NILAI CPL'!$B86&lt;&gt;"",IFERROR(_xlfn.IFS(X86&gt;='NILAI CPL'!$B$3,4,X86&gt;='NILAI CPL'!$B$4,3,X86&gt;='NILAI CPL'!$B$5,2,X86&gt;'NILAI CPL'!$B$6,1),0),"")</f>
        <v/>
      </c>
      <c r="AV86" s="2" t="str" cm="1">
        <f t="array" ref="AV86">IF('NILAI CPL'!$B86&lt;&gt;"",IFERROR(_xlfn.IFS(Y86&gt;='NILAI CPL'!$B$3,4,Y86&gt;='NILAI CPL'!$B$4,3,Y86&gt;='NILAI CPL'!$B$5,2,Y86&gt;'NILAI CPL'!$B$6,1),0),"")</f>
        <v/>
      </c>
      <c r="AW86" s="2" t="str" cm="1">
        <f t="array" ref="AW86">IF('NILAI CPL'!$B86&lt;&gt;"",IFERROR(_xlfn.IFS(Z86&gt;='NILAI CPL'!$B$3,4,Z86&gt;='NILAI CPL'!$B$4,3,Z86&gt;='NILAI CPL'!$B$5,2,Z86&gt;'NILAI CPL'!$B$6,1),0),"")</f>
        <v/>
      </c>
      <c r="AX86" s="2" t="str" cm="1">
        <f t="array" ref="AX86">IF('NILAI CPL'!$B86&lt;&gt;"",IFERROR(_xlfn.IFS(AA86&gt;='NILAI CPL'!$B$3,4,AA86&gt;='NILAI CPL'!$B$4,3,AA86&gt;='NILAI CPL'!$B$5,2,AA86&gt;'NILAI CPL'!$B$6,1),0),"")</f>
        <v/>
      </c>
      <c r="AY86" s="2" t="str" cm="1">
        <f t="array" ref="AY86">IF('NILAI CPL'!$B86&lt;&gt;"",IFERROR(_xlfn.IFS(AB86&gt;='NILAI CPL'!$B$3,4,AB86&gt;='NILAI CPL'!$B$4,3,AB86&gt;='NILAI CPL'!$B$5,2,AB86&gt;'NILAI CPL'!$B$6,1),0),"")</f>
        <v/>
      </c>
      <c r="AZ86" s="2" t="str" cm="1">
        <f t="array" ref="AZ86">IF('NILAI CPL'!$B86&lt;&gt;"",IFERROR(_xlfn.IFS(AC86&gt;='NILAI CPL'!$B$3,4,AC86&gt;='NILAI CPL'!$B$4,3,AC86&gt;='NILAI CPL'!$B$5,2,AC86&gt;'NILAI CPL'!$B$6,1),0),"")</f>
        <v/>
      </c>
      <c r="BA86" s="2" t="str" cm="1">
        <f t="array" ref="BA86">IF('NILAI CPL'!$B86&lt;&gt;"",IFERROR(_xlfn.IFS(AD86&gt;='NILAI CPL'!$B$3,4,AD86&gt;='NILAI CPL'!$B$4,3,AD86&gt;='NILAI CPL'!$B$5,2,AD86&gt;'NILAI CPL'!$B$6,1),0),"")</f>
        <v/>
      </c>
      <c r="BB86" s="2" t="str" cm="1">
        <f t="array" ref="BB86">IF('NILAI CPL'!$B86&lt;&gt;"",IFERROR(_xlfn.IFS(AE86&gt;='NILAI CPL'!$B$3,4,AE86&gt;='NILAI CPL'!$B$4,3,AE86&gt;='NILAI CPL'!$B$5,2,AE86&gt;'NILAI CPL'!$B$6,1),0),"")</f>
        <v/>
      </c>
      <c r="BC86" s="2" t="str" cm="1">
        <f t="array" ref="BC86">IF('NILAI CPL'!$B86&lt;&gt;"",IFERROR(_xlfn.IFS(AF86&gt;='NILAI CPL'!$B$3,4,AF86&gt;='NILAI CPL'!$B$4,3,AF86&gt;='NILAI CPL'!$B$5,2,AF86&gt;'NILAI CPL'!$B$6,1),0),"")</f>
        <v/>
      </c>
      <c r="BD86" s="2" t="str" cm="1">
        <f t="array" ref="BD86">IF('NILAI CPL'!$B86&lt;&gt;"",IFERROR(_xlfn.IFS(AG86&gt;='NILAI CPL'!$B$3,4,AG86&gt;='NILAI CPL'!$B$4,3,AG86&gt;='NILAI CPL'!$B$5,2,AG86&gt;'NILAI CPL'!$B$6,1),0),"")</f>
        <v/>
      </c>
      <c r="BE86" s="2" t="str" cm="1">
        <f t="array" ref="BE86">IF('NILAI CPL'!$B86&lt;&gt;"",IFERROR(_xlfn.IFS(AH86&gt;='NILAI CPL'!$B$3,4,AH86&gt;='NILAI CPL'!$B$4,3,AH86&gt;='NILAI CPL'!$B$5,2,AH86&gt;'NILAI CPL'!$B$6,1),0),"")</f>
        <v/>
      </c>
      <c r="BF86" s="2" t="str" cm="1">
        <f t="array" ref="BF86">IF('NILAI CPL'!$B86&lt;&gt;"",IFERROR(_xlfn.IFS(AI86&gt;='NILAI CPL'!$B$3,4,AI86&gt;='NILAI CPL'!$B$4,3,AI86&gt;='NILAI CPL'!$B$5,2,AI86&gt;'NILAI CPL'!$B$6,1),0),"")</f>
        <v/>
      </c>
      <c r="BG86" s="2" t="str" cm="1">
        <f t="array" ref="BG86">IF('NILAI CPL'!$B86&lt;&gt;"",IFERROR(_xlfn.IFS(AJ86&gt;='NILAI CPL'!$B$3,4,AJ86&gt;='NILAI CPL'!$B$4,3,AJ86&gt;='NILAI CPL'!$B$5,2,AJ86&gt;'NILAI CPL'!$B$6,1),0),"")</f>
        <v/>
      </c>
      <c r="BH86" s="2" t="str" cm="1">
        <f t="array" ref="BH86">IF('NILAI CPL'!$B86&lt;&gt;"",IFERROR(_xlfn.IFS(AK86&gt;='NILAI CPL'!$B$3,4,AK86&gt;='NILAI CPL'!$B$4,3,AK86&gt;='NILAI CPL'!$B$5,2,AK86&gt;'NILAI CPL'!$B$6,1),0),"")</f>
        <v/>
      </c>
      <c r="BI86" s="2" t="str" cm="1">
        <f t="array" ref="BI86">IF('NILAI CPL'!$B86&lt;&gt;"",IFERROR(_xlfn.IFS(AL86&gt;='NILAI CPL'!$B$3,4,AL86&gt;='NILAI CPL'!$B$4,3,AL86&gt;='NILAI CPL'!$B$5,2,AL86&gt;'NILAI CPL'!$B$6,1),0),"")</f>
        <v/>
      </c>
      <c r="BJ86" s="2" t="str" cm="1">
        <f t="array" ref="BJ86">IF('NILAI CPL'!$B86&lt;&gt;"",IFERROR(_xlfn.IFS(AM86&gt;='NILAI CPL'!$B$3,4,AM86&gt;='NILAI CPL'!$B$4,3,AM86&gt;='NILAI CPL'!$B$5,2,AM86&gt;'NILAI CPL'!$B$6,1),0),"")</f>
        <v/>
      </c>
      <c r="BK86" s="2" t="str" cm="1">
        <f t="array" ref="BK86">IF('NILAI CPL'!$B86&lt;&gt;"",IFERROR(_xlfn.IFS(AN86&gt;='NILAI CPL'!$B$3,4,AN86&gt;='NILAI CPL'!$B$4,3,AN86&gt;='NILAI CPL'!$B$5,2,AN86&gt;'NILAI CPL'!$B$6,1),0),"")</f>
        <v/>
      </c>
    </row>
    <row r="87" spans="1:63" x14ac:dyDescent="0.2">
      <c r="A87" s="2">
        <v>77</v>
      </c>
      <c r="B87" s="2" t="str">
        <f>IF(LEN(SUMMARY!B87)&gt;0, SUMMARY!B87, "")</f>
        <v/>
      </c>
      <c r="C87" s="2" t="str">
        <f>IF(LEN(SUMMARY!C87)&gt;0, SUMMARY!C87, "")</f>
        <v/>
      </c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" t="str">
        <f t="shared" si="25"/>
        <v/>
      </c>
      <c r="S87" s="2" t="str">
        <f t="shared" si="26"/>
        <v/>
      </c>
      <c r="T87" s="2" t="str">
        <f t="shared" si="27"/>
        <v/>
      </c>
      <c r="U87" s="2" t="str">
        <f t="shared" si="28"/>
        <v/>
      </c>
      <c r="V87" s="2" t="str">
        <f t="shared" si="29"/>
        <v/>
      </c>
      <c r="W87" s="2" t="str">
        <f t="shared" si="30"/>
        <v/>
      </c>
      <c r="X87" s="2" t="str">
        <f t="shared" si="31"/>
        <v/>
      </c>
      <c r="Y87" s="2" t="str">
        <f t="shared" si="32"/>
        <v/>
      </c>
      <c r="Z87" s="2" t="str">
        <f t="shared" si="33"/>
        <v/>
      </c>
      <c r="AA87" s="2" t="str">
        <f t="shared" si="34"/>
        <v/>
      </c>
      <c r="AB87" s="2" t="str">
        <f t="shared" si="35"/>
        <v/>
      </c>
      <c r="AC87" s="2" t="str">
        <f t="shared" si="36"/>
        <v/>
      </c>
      <c r="AD87" s="2" t="str">
        <f t="shared" si="37"/>
        <v/>
      </c>
      <c r="AE87" s="2" t="str">
        <f t="shared" si="38"/>
        <v/>
      </c>
      <c r="AF87" s="2" t="str">
        <f t="shared" si="39"/>
        <v/>
      </c>
      <c r="AG87" s="2" t="str">
        <f t="shared" si="40"/>
        <v/>
      </c>
      <c r="AH87" s="2" t="str">
        <f t="shared" si="41"/>
        <v/>
      </c>
      <c r="AI87" s="2" t="str">
        <f t="shared" si="42"/>
        <v/>
      </c>
      <c r="AJ87" s="2" t="str">
        <f t="shared" si="43"/>
        <v/>
      </c>
      <c r="AK87" s="2" t="str">
        <f t="shared" si="44"/>
        <v/>
      </c>
      <c r="AL87" s="2" t="str">
        <f t="shared" si="45"/>
        <v/>
      </c>
      <c r="AM87" s="2" t="str">
        <f t="shared" si="46"/>
        <v/>
      </c>
      <c r="AN87" s="2" t="str">
        <f t="shared" si="47"/>
        <v/>
      </c>
      <c r="AP87" s="2" t="str" cm="1">
        <f t="array" ref="AP87">IF('NILAI CPL'!$B87&lt;&gt;"",IFERROR(_xlfn.IFS(S87&gt;='NILAI CPL'!$B$3,4,S87&gt;='NILAI CPL'!$B$4,3,S87&gt;='NILAI CPL'!$B$5,2,S87&gt;'NILAI CPL'!$B$6,1),0),"")</f>
        <v/>
      </c>
      <c r="AQ87" s="2" t="str" cm="1">
        <f t="array" ref="AQ87">IF('NILAI CPL'!$B87&lt;&gt;"",IFERROR(_xlfn.IFS(T87&gt;='NILAI CPL'!$B$3,4,T87&gt;='NILAI CPL'!$B$4,3,T87&gt;='NILAI CPL'!$B$5,2,T87&gt;'NILAI CPL'!$B$6,1),0),"")</f>
        <v/>
      </c>
      <c r="AR87" s="2" t="str" cm="1">
        <f t="array" ref="AR87">IF('NILAI CPL'!$B87&lt;&gt;"",IFERROR(_xlfn.IFS(U87&gt;='NILAI CPL'!$B$3,4,U87&gt;='NILAI CPL'!$B$4,3,U87&gt;='NILAI CPL'!$B$5,2,U87&gt;'NILAI CPL'!$B$6,1),0),"")</f>
        <v/>
      </c>
      <c r="AS87" s="2" t="str" cm="1">
        <f t="array" ref="AS87">IF('NILAI CPL'!$B87&lt;&gt;"",IFERROR(_xlfn.IFS(V87&gt;='NILAI CPL'!$B$3,4,V87&gt;='NILAI CPL'!$B$4,3,V87&gt;='NILAI CPL'!$B$5,2,V87&gt;'NILAI CPL'!$B$6,1),0),"")</f>
        <v/>
      </c>
      <c r="AT87" s="2" t="str" cm="1">
        <f t="array" ref="AT87">IF('NILAI CPL'!$B87&lt;&gt;"",IFERROR(_xlfn.IFS(W87&gt;='NILAI CPL'!$B$3,4,W87&gt;='NILAI CPL'!$B$4,3,W87&gt;='NILAI CPL'!$B$5,2,W87&gt;'NILAI CPL'!$B$6,1),0),"")</f>
        <v/>
      </c>
      <c r="AU87" s="2" t="str" cm="1">
        <f t="array" ref="AU87">IF('NILAI CPL'!$B87&lt;&gt;"",IFERROR(_xlfn.IFS(X87&gt;='NILAI CPL'!$B$3,4,X87&gt;='NILAI CPL'!$B$4,3,X87&gt;='NILAI CPL'!$B$5,2,X87&gt;'NILAI CPL'!$B$6,1),0),"")</f>
        <v/>
      </c>
      <c r="AV87" s="2" t="str" cm="1">
        <f t="array" ref="AV87">IF('NILAI CPL'!$B87&lt;&gt;"",IFERROR(_xlfn.IFS(Y87&gt;='NILAI CPL'!$B$3,4,Y87&gt;='NILAI CPL'!$B$4,3,Y87&gt;='NILAI CPL'!$B$5,2,Y87&gt;'NILAI CPL'!$B$6,1),0),"")</f>
        <v/>
      </c>
      <c r="AW87" s="2" t="str" cm="1">
        <f t="array" ref="AW87">IF('NILAI CPL'!$B87&lt;&gt;"",IFERROR(_xlfn.IFS(Z87&gt;='NILAI CPL'!$B$3,4,Z87&gt;='NILAI CPL'!$B$4,3,Z87&gt;='NILAI CPL'!$B$5,2,Z87&gt;'NILAI CPL'!$B$6,1),0),"")</f>
        <v/>
      </c>
      <c r="AX87" s="2" t="str" cm="1">
        <f t="array" ref="AX87">IF('NILAI CPL'!$B87&lt;&gt;"",IFERROR(_xlfn.IFS(AA87&gt;='NILAI CPL'!$B$3,4,AA87&gt;='NILAI CPL'!$B$4,3,AA87&gt;='NILAI CPL'!$B$5,2,AA87&gt;'NILAI CPL'!$B$6,1),0),"")</f>
        <v/>
      </c>
      <c r="AY87" s="2" t="str" cm="1">
        <f t="array" ref="AY87">IF('NILAI CPL'!$B87&lt;&gt;"",IFERROR(_xlfn.IFS(AB87&gt;='NILAI CPL'!$B$3,4,AB87&gt;='NILAI CPL'!$B$4,3,AB87&gt;='NILAI CPL'!$B$5,2,AB87&gt;'NILAI CPL'!$B$6,1),0),"")</f>
        <v/>
      </c>
      <c r="AZ87" s="2" t="str" cm="1">
        <f t="array" ref="AZ87">IF('NILAI CPL'!$B87&lt;&gt;"",IFERROR(_xlfn.IFS(AC87&gt;='NILAI CPL'!$B$3,4,AC87&gt;='NILAI CPL'!$B$4,3,AC87&gt;='NILAI CPL'!$B$5,2,AC87&gt;'NILAI CPL'!$B$6,1),0),"")</f>
        <v/>
      </c>
      <c r="BA87" s="2" t="str" cm="1">
        <f t="array" ref="BA87">IF('NILAI CPL'!$B87&lt;&gt;"",IFERROR(_xlfn.IFS(AD87&gt;='NILAI CPL'!$B$3,4,AD87&gt;='NILAI CPL'!$B$4,3,AD87&gt;='NILAI CPL'!$B$5,2,AD87&gt;'NILAI CPL'!$B$6,1),0),"")</f>
        <v/>
      </c>
      <c r="BB87" s="2" t="str" cm="1">
        <f t="array" ref="BB87">IF('NILAI CPL'!$B87&lt;&gt;"",IFERROR(_xlfn.IFS(AE87&gt;='NILAI CPL'!$B$3,4,AE87&gt;='NILAI CPL'!$B$4,3,AE87&gt;='NILAI CPL'!$B$5,2,AE87&gt;'NILAI CPL'!$B$6,1),0),"")</f>
        <v/>
      </c>
      <c r="BC87" s="2" t="str" cm="1">
        <f t="array" ref="BC87">IF('NILAI CPL'!$B87&lt;&gt;"",IFERROR(_xlfn.IFS(AF87&gt;='NILAI CPL'!$B$3,4,AF87&gt;='NILAI CPL'!$B$4,3,AF87&gt;='NILAI CPL'!$B$5,2,AF87&gt;'NILAI CPL'!$B$6,1),0),"")</f>
        <v/>
      </c>
      <c r="BD87" s="2" t="str" cm="1">
        <f t="array" ref="BD87">IF('NILAI CPL'!$B87&lt;&gt;"",IFERROR(_xlfn.IFS(AG87&gt;='NILAI CPL'!$B$3,4,AG87&gt;='NILAI CPL'!$B$4,3,AG87&gt;='NILAI CPL'!$B$5,2,AG87&gt;'NILAI CPL'!$B$6,1),0),"")</f>
        <v/>
      </c>
      <c r="BE87" s="2" t="str" cm="1">
        <f t="array" ref="BE87">IF('NILAI CPL'!$B87&lt;&gt;"",IFERROR(_xlfn.IFS(AH87&gt;='NILAI CPL'!$B$3,4,AH87&gt;='NILAI CPL'!$B$4,3,AH87&gt;='NILAI CPL'!$B$5,2,AH87&gt;'NILAI CPL'!$B$6,1),0),"")</f>
        <v/>
      </c>
      <c r="BF87" s="2" t="str" cm="1">
        <f t="array" ref="BF87">IF('NILAI CPL'!$B87&lt;&gt;"",IFERROR(_xlfn.IFS(AI87&gt;='NILAI CPL'!$B$3,4,AI87&gt;='NILAI CPL'!$B$4,3,AI87&gt;='NILAI CPL'!$B$5,2,AI87&gt;'NILAI CPL'!$B$6,1),0),"")</f>
        <v/>
      </c>
      <c r="BG87" s="2" t="str" cm="1">
        <f t="array" ref="BG87">IF('NILAI CPL'!$B87&lt;&gt;"",IFERROR(_xlfn.IFS(AJ87&gt;='NILAI CPL'!$B$3,4,AJ87&gt;='NILAI CPL'!$B$4,3,AJ87&gt;='NILAI CPL'!$B$5,2,AJ87&gt;'NILAI CPL'!$B$6,1),0),"")</f>
        <v/>
      </c>
      <c r="BH87" s="2" t="str" cm="1">
        <f t="array" ref="BH87">IF('NILAI CPL'!$B87&lt;&gt;"",IFERROR(_xlfn.IFS(AK87&gt;='NILAI CPL'!$B$3,4,AK87&gt;='NILAI CPL'!$B$4,3,AK87&gt;='NILAI CPL'!$B$5,2,AK87&gt;'NILAI CPL'!$B$6,1),0),"")</f>
        <v/>
      </c>
      <c r="BI87" s="2" t="str" cm="1">
        <f t="array" ref="BI87">IF('NILAI CPL'!$B87&lt;&gt;"",IFERROR(_xlfn.IFS(AL87&gt;='NILAI CPL'!$B$3,4,AL87&gt;='NILAI CPL'!$B$4,3,AL87&gt;='NILAI CPL'!$B$5,2,AL87&gt;'NILAI CPL'!$B$6,1),0),"")</f>
        <v/>
      </c>
      <c r="BJ87" s="2" t="str" cm="1">
        <f t="array" ref="BJ87">IF('NILAI CPL'!$B87&lt;&gt;"",IFERROR(_xlfn.IFS(AM87&gt;='NILAI CPL'!$B$3,4,AM87&gt;='NILAI CPL'!$B$4,3,AM87&gt;='NILAI CPL'!$B$5,2,AM87&gt;'NILAI CPL'!$B$6,1),0),"")</f>
        <v/>
      </c>
      <c r="BK87" s="2" t="str" cm="1">
        <f t="array" ref="BK87">IF('NILAI CPL'!$B87&lt;&gt;"",IFERROR(_xlfn.IFS(AN87&gt;='NILAI CPL'!$B$3,4,AN87&gt;='NILAI CPL'!$B$4,3,AN87&gt;='NILAI CPL'!$B$5,2,AN87&gt;'NILAI CPL'!$B$6,1),0),"")</f>
        <v/>
      </c>
    </row>
    <row r="88" spans="1:63" x14ac:dyDescent="0.2">
      <c r="A88" s="2">
        <v>78</v>
      </c>
      <c r="B88" s="2" t="str">
        <f>IF(LEN(SUMMARY!B88)&gt;0, SUMMARY!B88, "")</f>
        <v/>
      </c>
      <c r="C88" s="2" t="str">
        <f>IF(LEN(SUMMARY!C88)&gt;0, SUMMARY!C88, "")</f>
        <v/>
      </c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" t="str">
        <f t="shared" si="25"/>
        <v/>
      </c>
      <c r="S88" s="2" t="str">
        <f t="shared" si="26"/>
        <v/>
      </c>
      <c r="T88" s="2" t="str">
        <f t="shared" si="27"/>
        <v/>
      </c>
      <c r="U88" s="2" t="str">
        <f t="shared" si="28"/>
        <v/>
      </c>
      <c r="V88" s="2" t="str">
        <f t="shared" si="29"/>
        <v/>
      </c>
      <c r="W88" s="2" t="str">
        <f t="shared" si="30"/>
        <v/>
      </c>
      <c r="X88" s="2" t="str">
        <f t="shared" si="31"/>
        <v/>
      </c>
      <c r="Y88" s="2" t="str">
        <f t="shared" si="32"/>
        <v/>
      </c>
      <c r="Z88" s="2" t="str">
        <f t="shared" si="33"/>
        <v/>
      </c>
      <c r="AA88" s="2" t="str">
        <f t="shared" si="34"/>
        <v/>
      </c>
      <c r="AB88" s="2" t="str">
        <f t="shared" si="35"/>
        <v/>
      </c>
      <c r="AC88" s="2" t="str">
        <f t="shared" si="36"/>
        <v/>
      </c>
      <c r="AD88" s="2" t="str">
        <f t="shared" si="37"/>
        <v/>
      </c>
      <c r="AE88" s="2" t="str">
        <f t="shared" si="38"/>
        <v/>
      </c>
      <c r="AF88" s="2" t="str">
        <f t="shared" si="39"/>
        <v/>
      </c>
      <c r="AG88" s="2" t="str">
        <f t="shared" si="40"/>
        <v/>
      </c>
      <c r="AH88" s="2" t="str">
        <f t="shared" si="41"/>
        <v/>
      </c>
      <c r="AI88" s="2" t="str">
        <f t="shared" si="42"/>
        <v/>
      </c>
      <c r="AJ88" s="2" t="str">
        <f t="shared" si="43"/>
        <v/>
      </c>
      <c r="AK88" s="2" t="str">
        <f t="shared" si="44"/>
        <v/>
      </c>
      <c r="AL88" s="2" t="str">
        <f t="shared" si="45"/>
        <v/>
      </c>
      <c r="AM88" s="2" t="str">
        <f t="shared" si="46"/>
        <v/>
      </c>
      <c r="AN88" s="2" t="str">
        <f t="shared" si="47"/>
        <v/>
      </c>
      <c r="AP88" s="2" t="str" cm="1">
        <f t="array" ref="AP88">IF('NILAI CPL'!$B88&lt;&gt;"",IFERROR(_xlfn.IFS(S88&gt;='NILAI CPL'!$B$3,4,S88&gt;='NILAI CPL'!$B$4,3,S88&gt;='NILAI CPL'!$B$5,2,S88&gt;'NILAI CPL'!$B$6,1),0),"")</f>
        <v/>
      </c>
      <c r="AQ88" s="2" t="str" cm="1">
        <f t="array" ref="AQ88">IF('NILAI CPL'!$B88&lt;&gt;"",IFERROR(_xlfn.IFS(T88&gt;='NILAI CPL'!$B$3,4,T88&gt;='NILAI CPL'!$B$4,3,T88&gt;='NILAI CPL'!$B$5,2,T88&gt;'NILAI CPL'!$B$6,1),0),"")</f>
        <v/>
      </c>
      <c r="AR88" s="2" t="str" cm="1">
        <f t="array" ref="AR88">IF('NILAI CPL'!$B88&lt;&gt;"",IFERROR(_xlfn.IFS(U88&gt;='NILAI CPL'!$B$3,4,U88&gt;='NILAI CPL'!$B$4,3,U88&gt;='NILAI CPL'!$B$5,2,U88&gt;'NILAI CPL'!$B$6,1),0),"")</f>
        <v/>
      </c>
      <c r="AS88" s="2" t="str" cm="1">
        <f t="array" ref="AS88">IF('NILAI CPL'!$B88&lt;&gt;"",IFERROR(_xlfn.IFS(V88&gt;='NILAI CPL'!$B$3,4,V88&gt;='NILAI CPL'!$B$4,3,V88&gt;='NILAI CPL'!$B$5,2,V88&gt;'NILAI CPL'!$B$6,1),0),"")</f>
        <v/>
      </c>
      <c r="AT88" s="2" t="str" cm="1">
        <f t="array" ref="AT88">IF('NILAI CPL'!$B88&lt;&gt;"",IFERROR(_xlfn.IFS(W88&gt;='NILAI CPL'!$B$3,4,W88&gt;='NILAI CPL'!$B$4,3,W88&gt;='NILAI CPL'!$B$5,2,W88&gt;'NILAI CPL'!$B$6,1),0),"")</f>
        <v/>
      </c>
      <c r="AU88" s="2" t="str" cm="1">
        <f t="array" ref="AU88">IF('NILAI CPL'!$B88&lt;&gt;"",IFERROR(_xlfn.IFS(X88&gt;='NILAI CPL'!$B$3,4,X88&gt;='NILAI CPL'!$B$4,3,X88&gt;='NILAI CPL'!$B$5,2,X88&gt;'NILAI CPL'!$B$6,1),0),"")</f>
        <v/>
      </c>
      <c r="AV88" s="2" t="str" cm="1">
        <f t="array" ref="AV88">IF('NILAI CPL'!$B88&lt;&gt;"",IFERROR(_xlfn.IFS(Y88&gt;='NILAI CPL'!$B$3,4,Y88&gt;='NILAI CPL'!$B$4,3,Y88&gt;='NILAI CPL'!$B$5,2,Y88&gt;'NILAI CPL'!$B$6,1),0),"")</f>
        <v/>
      </c>
      <c r="AW88" s="2" t="str" cm="1">
        <f t="array" ref="AW88">IF('NILAI CPL'!$B88&lt;&gt;"",IFERROR(_xlfn.IFS(Z88&gt;='NILAI CPL'!$B$3,4,Z88&gt;='NILAI CPL'!$B$4,3,Z88&gt;='NILAI CPL'!$B$5,2,Z88&gt;'NILAI CPL'!$B$6,1),0),"")</f>
        <v/>
      </c>
      <c r="AX88" s="2" t="str" cm="1">
        <f t="array" ref="AX88">IF('NILAI CPL'!$B88&lt;&gt;"",IFERROR(_xlfn.IFS(AA88&gt;='NILAI CPL'!$B$3,4,AA88&gt;='NILAI CPL'!$B$4,3,AA88&gt;='NILAI CPL'!$B$5,2,AA88&gt;'NILAI CPL'!$B$6,1),0),"")</f>
        <v/>
      </c>
      <c r="AY88" s="2" t="str" cm="1">
        <f t="array" ref="AY88">IF('NILAI CPL'!$B88&lt;&gt;"",IFERROR(_xlfn.IFS(AB88&gt;='NILAI CPL'!$B$3,4,AB88&gt;='NILAI CPL'!$B$4,3,AB88&gt;='NILAI CPL'!$B$5,2,AB88&gt;'NILAI CPL'!$B$6,1),0),"")</f>
        <v/>
      </c>
      <c r="AZ88" s="2" t="str" cm="1">
        <f t="array" ref="AZ88">IF('NILAI CPL'!$B88&lt;&gt;"",IFERROR(_xlfn.IFS(AC88&gt;='NILAI CPL'!$B$3,4,AC88&gt;='NILAI CPL'!$B$4,3,AC88&gt;='NILAI CPL'!$B$5,2,AC88&gt;'NILAI CPL'!$B$6,1),0),"")</f>
        <v/>
      </c>
      <c r="BA88" s="2" t="str" cm="1">
        <f t="array" ref="BA88">IF('NILAI CPL'!$B88&lt;&gt;"",IFERROR(_xlfn.IFS(AD88&gt;='NILAI CPL'!$B$3,4,AD88&gt;='NILAI CPL'!$B$4,3,AD88&gt;='NILAI CPL'!$B$5,2,AD88&gt;'NILAI CPL'!$B$6,1),0),"")</f>
        <v/>
      </c>
      <c r="BB88" s="2" t="str" cm="1">
        <f t="array" ref="BB88">IF('NILAI CPL'!$B88&lt;&gt;"",IFERROR(_xlfn.IFS(AE88&gt;='NILAI CPL'!$B$3,4,AE88&gt;='NILAI CPL'!$B$4,3,AE88&gt;='NILAI CPL'!$B$5,2,AE88&gt;'NILAI CPL'!$B$6,1),0),"")</f>
        <v/>
      </c>
      <c r="BC88" s="2" t="str" cm="1">
        <f t="array" ref="BC88">IF('NILAI CPL'!$B88&lt;&gt;"",IFERROR(_xlfn.IFS(AF88&gt;='NILAI CPL'!$B$3,4,AF88&gt;='NILAI CPL'!$B$4,3,AF88&gt;='NILAI CPL'!$B$5,2,AF88&gt;'NILAI CPL'!$B$6,1),0),"")</f>
        <v/>
      </c>
      <c r="BD88" s="2" t="str" cm="1">
        <f t="array" ref="BD88">IF('NILAI CPL'!$B88&lt;&gt;"",IFERROR(_xlfn.IFS(AG88&gt;='NILAI CPL'!$B$3,4,AG88&gt;='NILAI CPL'!$B$4,3,AG88&gt;='NILAI CPL'!$B$5,2,AG88&gt;'NILAI CPL'!$B$6,1),0),"")</f>
        <v/>
      </c>
      <c r="BE88" s="2" t="str" cm="1">
        <f t="array" ref="BE88">IF('NILAI CPL'!$B88&lt;&gt;"",IFERROR(_xlfn.IFS(AH88&gt;='NILAI CPL'!$B$3,4,AH88&gt;='NILAI CPL'!$B$4,3,AH88&gt;='NILAI CPL'!$B$5,2,AH88&gt;'NILAI CPL'!$B$6,1),0),"")</f>
        <v/>
      </c>
      <c r="BF88" s="2" t="str" cm="1">
        <f t="array" ref="BF88">IF('NILAI CPL'!$B88&lt;&gt;"",IFERROR(_xlfn.IFS(AI88&gt;='NILAI CPL'!$B$3,4,AI88&gt;='NILAI CPL'!$B$4,3,AI88&gt;='NILAI CPL'!$B$5,2,AI88&gt;'NILAI CPL'!$B$6,1),0),"")</f>
        <v/>
      </c>
      <c r="BG88" s="2" t="str" cm="1">
        <f t="array" ref="BG88">IF('NILAI CPL'!$B88&lt;&gt;"",IFERROR(_xlfn.IFS(AJ88&gt;='NILAI CPL'!$B$3,4,AJ88&gt;='NILAI CPL'!$B$4,3,AJ88&gt;='NILAI CPL'!$B$5,2,AJ88&gt;'NILAI CPL'!$B$6,1),0),"")</f>
        <v/>
      </c>
      <c r="BH88" s="2" t="str" cm="1">
        <f t="array" ref="BH88">IF('NILAI CPL'!$B88&lt;&gt;"",IFERROR(_xlfn.IFS(AK88&gt;='NILAI CPL'!$B$3,4,AK88&gt;='NILAI CPL'!$B$4,3,AK88&gt;='NILAI CPL'!$B$5,2,AK88&gt;'NILAI CPL'!$B$6,1),0),"")</f>
        <v/>
      </c>
      <c r="BI88" s="2" t="str" cm="1">
        <f t="array" ref="BI88">IF('NILAI CPL'!$B88&lt;&gt;"",IFERROR(_xlfn.IFS(AL88&gt;='NILAI CPL'!$B$3,4,AL88&gt;='NILAI CPL'!$B$4,3,AL88&gt;='NILAI CPL'!$B$5,2,AL88&gt;'NILAI CPL'!$B$6,1),0),"")</f>
        <v/>
      </c>
      <c r="BJ88" s="2" t="str" cm="1">
        <f t="array" ref="BJ88">IF('NILAI CPL'!$B88&lt;&gt;"",IFERROR(_xlfn.IFS(AM88&gt;='NILAI CPL'!$B$3,4,AM88&gt;='NILAI CPL'!$B$4,3,AM88&gt;='NILAI CPL'!$B$5,2,AM88&gt;'NILAI CPL'!$B$6,1),0),"")</f>
        <v/>
      </c>
      <c r="BK88" s="2" t="str" cm="1">
        <f t="array" ref="BK88">IF('NILAI CPL'!$B88&lt;&gt;"",IFERROR(_xlfn.IFS(AN88&gt;='NILAI CPL'!$B$3,4,AN88&gt;='NILAI CPL'!$B$4,3,AN88&gt;='NILAI CPL'!$B$5,2,AN88&gt;'NILAI CPL'!$B$6,1),0),"")</f>
        <v/>
      </c>
    </row>
    <row r="89" spans="1:63" x14ac:dyDescent="0.2">
      <c r="A89" s="2">
        <v>79</v>
      </c>
      <c r="B89" s="2" t="str">
        <f>IF(LEN(SUMMARY!B89)&gt;0, SUMMARY!B89, "")</f>
        <v/>
      </c>
      <c r="C89" s="2" t="str">
        <f>IF(LEN(SUMMARY!C89)&gt;0, SUMMARY!C89, "")</f>
        <v/>
      </c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" t="str">
        <f t="shared" si="25"/>
        <v/>
      </c>
      <c r="S89" s="2" t="str">
        <f t="shared" si="26"/>
        <v/>
      </c>
      <c r="T89" s="2" t="str">
        <f t="shared" si="27"/>
        <v/>
      </c>
      <c r="U89" s="2" t="str">
        <f t="shared" si="28"/>
        <v/>
      </c>
      <c r="V89" s="2" t="str">
        <f t="shared" si="29"/>
        <v/>
      </c>
      <c r="W89" s="2" t="str">
        <f t="shared" si="30"/>
        <v/>
      </c>
      <c r="X89" s="2" t="str">
        <f t="shared" si="31"/>
        <v/>
      </c>
      <c r="Y89" s="2" t="str">
        <f t="shared" si="32"/>
        <v/>
      </c>
      <c r="Z89" s="2" t="str">
        <f t="shared" si="33"/>
        <v/>
      </c>
      <c r="AA89" s="2" t="str">
        <f t="shared" si="34"/>
        <v/>
      </c>
      <c r="AB89" s="2" t="str">
        <f t="shared" si="35"/>
        <v/>
      </c>
      <c r="AC89" s="2" t="str">
        <f t="shared" si="36"/>
        <v/>
      </c>
      <c r="AD89" s="2" t="str">
        <f t="shared" si="37"/>
        <v/>
      </c>
      <c r="AE89" s="2" t="str">
        <f t="shared" si="38"/>
        <v/>
      </c>
      <c r="AF89" s="2" t="str">
        <f t="shared" si="39"/>
        <v/>
      </c>
      <c r="AG89" s="2" t="str">
        <f t="shared" si="40"/>
        <v/>
      </c>
      <c r="AH89" s="2" t="str">
        <f t="shared" si="41"/>
        <v/>
      </c>
      <c r="AI89" s="2" t="str">
        <f t="shared" si="42"/>
        <v/>
      </c>
      <c r="AJ89" s="2" t="str">
        <f t="shared" si="43"/>
        <v/>
      </c>
      <c r="AK89" s="2" t="str">
        <f t="shared" si="44"/>
        <v/>
      </c>
      <c r="AL89" s="2" t="str">
        <f t="shared" si="45"/>
        <v/>
      </c>
      <c r="AM89" s="2" t="str">
        <f t="shared" si="46"/>
        <v/>
      </c>
      <c r="AN89" s="2" t="str">
        <f t="shared" si="47"/>
        <v/>
      </c>
      <c r="AP89" s="2" t="str" cm="1">
        <f t="array" ref="AP89">IF('NILAI CPL'!$B89&lt;&gt;"",IFERROR(_xlfn.IFS(S89&gt;='NILAI CPL'!$B$3,4,S89&gt;='NILAI CPL'!$B$4,3,S89&gt;='NILAI CPL'!$B$5,2,S89&gt;'NILAI CPL'!$B$6,1),0),"")</f>
        <v/>
      </c>
      <c r="AQ89" s="2" t="str" cm="1">
        <f t="array" ref="AQ89">IF('NILAI CPL'!$B89&lt;&gt;"",IFERROR(_xlfn.IFS(T89&gt;='NILAI CPL'!$B$3,4,T89&gt;='NILAI CPL'!$B$4,3,T89&gt;='NILAI CPL'!$B$5,2,T89&gt;'NILAI CPL'!$B$6,1),0),"")</f>
        <v/>
      </c>
      <c r="AR89" s="2" t="str" cm="1">
        <f t="array" ref="AR89">IF('NILAI CPL'!$B89&lt;&gt;"",IFERROR(_xlfn.IFS(U89&gt;='NILAI CPL'!$B$3,4,U89&gt;='NILAI CPL'!$B$4,3,U89&gt;='NILAI CPL'!$B$5,2,U89&gt;'NILAI CPL'!$B$6,1),0),"")</f>
        <v/>
      </c>
      <c r="AS89" s="2" t="str" cm="1">
        <f t="array" ref="AS89">IF('NILAI CPL'!$B89&lt;&gt;"",IFERROR(_xlfn.IFS(V89&gt;='NILAI CPL'!$B$3,4,V89&gt;='NILAI CPL'!$B$4,3,V89&gt;='NILAI CPL'!$B$5,2,V89&gt;'NILAI CPL'!$B$6,1),0),"")</f>
        <v/>
      </c>
      <c r="AT89" s="2" t="str" cm="1">
        <f t="array" ref="AT89">IF('NILAI CPL'!$B89&lt;&gt;"",IFERROR(_xlfn.IFS(W89&gt;='NILAI CPL'!$B$3,4,W89&gt;='NILAI CPL'!$B$4,3,W89&gt;='NILAI CPL'!$B$5,2,W89&gt;'NILAI CPL'!$B$6,1),0),"")</f>
        <v/>
      </c>
      <c r="AU89" s="2" t="str" cm="1">
        <f t="array" ref="AU89">IF('NILAI CPL'!$B89&lt;&gt;"",IFERROR(_xlfn.IFS(X89&gt;='NILAI CPL'!$B$3,4,X89&gt;='NILAI CPL'!$B$4,3,X89&gt;='NILAI CPL'!$B$5,2,X89&gt;'NILAI CPL'!$B$6,1),0),"")</f>
        <v/>
      </c>
      <c r="AV89" s="2" t="str" cm="1">
        <f t="array" ref="AV89">IF('NILAI CPL'!$B89&lt;&gt;"",IFERROR(_xlfn.IFS(Y89&gt;='NILAI CPL'!$B$3,4,Y89&gt;='NILAI CPL'!$B$4,3,Y89&gt;='NILAI CPL'!$B$5,2,Y89&gt;'NILAI CPL'!$B$6,1),0),"")</f>
        <v/>
      </c>
      <c r="AW89" s="2" t="str" cm="1">
        <f t="array" ref="AW89">IF('NILAI CPL'!$B89&lt;&gt;"",IFERROR(_xlfn.IFS(Z89&gt;='NILAI CPL'!$B$3,4,Z89&gt;='NILAI CPL'!$B$4,3,Z89&gt;='NILAI CPL'!$B$5,2,Z89&gt;'NILAI CPL'!$B$6,1),0),"")</f>
        <v/>
      </c>
      <c r="AX89" s="2" t="str" cm="1">
        <f t="array" ref="AX89">IF('NILAI CPL'!$B89&lt;&gt;"",IFERROR(_xlfn.IFS(AA89&gt;='NILAI CPL'!$B$3,4,AA89&gt;='NILAI CPL'!$B$4,3,AA89&gt;='NILAI CPL'!$B$5,2,AA89&gt;'NILAI CPL'!$B$6,1),0),"")</f>
        <v/>
      </c>
      <c r="AY89" s="2" t="str" cm="1">
        <f t="array" ref="AY89">IF('NILAI CPL'!$B89&lt;&gt;"",IFERROR(_xlfn.IFS(AB89&gt;='NILAI CPL'!$B$3,4,AB89&gt;='NILAI CPL'!$B$4,3,AB89&gt;='NILAI CPL'!$B$5,2,AB89&gt;'NILAI CPL'!$B$6,1),0),"")</f>
        <v/>
      </c>
      <c r="AZ89" s="2" t="str" cm="1">
        <f t="array" ref="AZ89">IF('NILAI CPL'!$B89&lt;&gt;"",IFERROR(_xlfn.IFS(AC89&gt;='NILAI CPL'!$B$3,4,AC89&gt;='NILAI CPL'!$B$4,3,AC89&gt;='NILAI CPL'!$B$5,2,AC89&gt;'NILAI CPL'!$B$6,1),0),"")</f>
        <v/>
      </c>
      <c r="BA89" s="2" t="str" cm="1">
        <f t="array" ref="BA89">IF('NILAI CPL'!$B89&lt;&gt;"",IFERROR(_xlfn.IFS(AD89&gt;='NILAI CPL'!$B$3,4,AD89&gt;='NILAI CPL'!$B$4,3,AD89&gt;='NILAI CPL'!$B$5,2,AD89&gt;'NILAI CPL'!$B$6,1),0),"")</f>
        <v/>
      </c>
      <c r="BB89" s="2" t="str" cm="1">
        <f t="array" ref="BB89">IF('NILAI CPL'!$B89&lt;&gt;"",IFERROR(_xlfn.IFS(AE89&gt;='NILAI CPL'!$B$3,4,AE89&gt;='NILAI CPL'!$B$4,3,AE89&gt;='NILAI CPL'!$B$5,2,AE89&gt;'NILAI CPL'!$B$6,1),0),"")</f>
        <v/>
      </c>
      <c r="BC89" s="2" t="str" cm="1">
        <f t="array" ref="BC89">IF('NILAI CPL'!$B89&lt;&gt;"",IFERROR(_xlfn.IFS(AF89&gt;='NILAI CPL'!$B$3,4,AF89&gt;='NILAI CPL'!$B$4,3,AF89&gt;='NILAI CPL'!$B$5,2,AF89&gt;'NILAI CPL'!$B$6,1),0),"")</f>
        <v/>
      </c>
      <c r="BD89" s="2" t="str" cm="1">
        <f t="array" ref="BD89">IF('NILAI CPL'!$B89&lt;&gt;"",IFERROR(_xlfn.IFS(AG89&gt;='NILAI CPL'!$B$3,4,AG89&gt;='NILAI CPL'!$B$4,3,AG89&gt;='NILAI CPL'!$B$5,2,AG89&gt;'NILAI CPL'!$B$6,1),0),"")</f>
        <v/>
      </c>
      <c r="BE89" s="2" t="str" cm="1">
        <f t="array" ref="BE89">IF('NILAI CPL'!$B89&lt;&gt;"",IFERROR(_xlfn.IFS(AH89&gt;='NILAI CPL'!$B$3,4,AH89&gt;='NILAI CPL'!$B$4,3,AH89&gt;='NILAI CPL'!$B$5,2,AH89&gt;'NILAI CPL'!$B$6,1),0),"")</f>
        <v/>
      </c>
      <c r="BF89" s="2" t="str" cm="1">
        <f t="array" ref="BF89">IF('NILAI CPL'!$B89&lt;&gt;"",IFERROR(_xlfn.IFS(AI89&gt;='NILAI CPL'!$B$3,4,AI89&gt;='NILAI CPL'!$B$4,3,AI89&gt;='NILAI CPL'!$B$5,2,AI89&gt;'NILAI CPL'!$B$6,1),0),"")</f>
        <v/>
      </c>
      <c r="BG89" s="2" t="str" cm="1">
        <f t="array" ref="BG89">IF('NILAI CPL'!$B89&lt;&gt;"",IFERROR(_xlfn.IFS(AJ89&gt;='NILAI CPL'!$B$3,4,AJ89&gt;='NILAI CPL'!$B$4,3,AJ89&gt;='NILAI CPL'!$B$5,2,AJ89&gt;'NILAI CPL'!$B$6,1),0),"")</f>
        <v/>
      </c>
      <c r="BH89" s="2" t="str" cm="1">
        <f t="array" ref="BH89">IF('NILAI CPL'!$B89&lt;&gt;"",IFERROR(_xlfn.IFS(AK89&gt;='NILAI CPL'!$B$3,4,AK89&gt;='NILAI CPL'!$B$4,3,AK89&gt;='NILAI CPL'!$B$5,2,AK89&gt;'NILAI CPL'!$B$6,1),0),"")</f>
        <v/>
      </c>
      <c r="BI89" s="2" t="str" cm="1">
        <f t="array" ref="BI89">IF('NILAI CPL'!$B89&lt;&gt;"",IFERROR(_xlfn.IFS(AL89&gt;='NILAI CPL'!$B$3,4,AL89&gt;='NILAI CPL'!$B$4,3,AL89&gt;='NILAI CPL'!$B$5,2,AL89&gt;'NILAI CPL'!$B$6,1),0),"")</f>
        <v/>
      </c>
      <c r="BJ89" s="2" t="str" cm="1">
        <f t="array" ref="BJ89">IF('NILAI CPL'!$B89&lt;&gt;"",IFERROR(_xlfn.IFS(AM89&gt;='NILAI CPL'!$B$3,4,AM89&gt;='NILAI CPL'!$B$4,3,AM89&gt;='NILAI CPL'!$B$5,2,AM89&gt;'NILAI CPL'!$B$6,1),0),"")</f>
        <v/>
      </c>
      <c r="BK89" s="2" t="str" cm="1">
        <f t="array" ref="BK89">IF('NILAI CPL'!$B89&lt;&gt;"",IFERROR(_xlfn.IFS(AN89&gt;='NILAI CPL'!$B$3,4,AN89&gt;='NILAI CPL'!$B$4,3,AN89&gt;='NILAI CPL'!$B$5,2,AN89&gt;'NILAI CPL'!$B$6,1),0),"")</f>
        <v/>
      </c>
    </row>
    <row r="90" spans="1:63" x14ac:dyDescent="0.2">
      <c r="A90" s="2">
        <v>80</v>
      </c>
      <c r="B90" s="2" t="str">
        <f>IF(LEN(SUMMARY!B90)&gt;0, SUMMARY!B90, "")</f>
        <v/>
      </c>
      <c r="C90" s="2" t="str">
        <f>IF(LEN(SUMMARY!C90)&gt;0, SUMMARY!C90, "")</f>
        <v/>
      </c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" t="str">
        <f t="shared" si="25"/>
        <v/>
      </c>
      <c r="S90" s="2" t="str">
        <f t="shared" si="26"/>
        <v/>
      </c>
      <c r="T90" s="2" t="str">
        <f t="shared" si="27"/>
        <v/>
      </c>
      <c r="U90" s="2" t="str">
        <f t="shared" si="28"/>
        <v/>
      </c>
      <c r="V90" s="2" t="str">
        <f t="shared" si="29"/>
        <v/>
      </c>
      <c r="W90" s="2" t="str">
        <f t="shared" si="30"/>
        <v/>
      </c>
      <c r="X90" s="2" t="str">
        <f t="shared" si="31"/>
        <v/>
      </c>
      <c r="Y90" s="2" t="str">
        <f t="shared" si="32"/>
        <v/>
      </c>
      <c r="Z90" s="2" t="str">
        <f t="shared" si="33"/>
        <v/>
      </c>
      <c r="AA90" s="2" t="str">
        <f t="shared" si="34"/>
        <v/>
      </c>
      <c r="AB90" s="2" t="str">
        <f t="shared" si="35"/>
        <v/>
      </c>
      <c r="AC90" s="2" t="str">
        <f t="shared" si="36"/>
        <v/>
      </c>
      <c r="AD90" s="2" t="str">
        <f t="shared" si="37"/>
        <v/>
      </c>
      <c r="AE90" s="2" t="str">
        <f t="shared" si="38"/>
        <v/>
      </c>
      <c r="AF90" s="2" t="str">
        <f t="shared" si="39"/>
        <v/>
      </c>
      <c r="AG90" s="2" t="str">
        <f t="shared" si="40"/>
        <v/>
      </c>
      <c r="AH90" s="2" t="str">
        <f t="shared" si="41"/>
        <v/>
      </c>
      <c r="AI90" s="2" t="str">
        <f t="shared" si="42"/>
        <v/>
      </c>
      <c r="AJ90" s="2" t="str">
        <f t="shared" si="43"/>
        <v/>
      </c>
      <c r="AK90" s="2" t="str">
        <f t="shared" si="44"/>
        <v/>
      </c>
      <c r="AL90" s="2" t="str">
        <f t="shared" si="45"/>
        <v/>
      </c>
      <c r="AM90" s="2" t="str">
        <f t="shared" si="46"/>
        <v/>
      </c>
      <c r="AN90" s="2" t="str">
        <f t="shared" si="47"/>
        <v/>
      </c>
      <c r="AP90" s="2" t="str" cm="1">
        <f t="array" ref="AP90">IF('NILAI CPL'!$B90&lt;&gt;"",IFERROR(_xlfn.IFS(S90&gt;='NILAI CPL'!$B$3,4,S90&gt;='NILAI CPL'!$B$4,3,S90&gt;='NILAI CPL'!$B$5,2,S90&gt;'NILAI CPL'!$B$6,1),0),"")</f>
        <v/>
      </c>
      <c r="AQ90" s="2" t="str" cm="1">
        <f t="array" ref="AQ90">IF('NILAI CPL'!$B90&lt;&gt;"",IFERROR(_xlfn.IFS(T90&gt;='NILAI CPL'!$B$3,4,T90&gt;='NILAI CPL'!$B$4,3,T90&gt;='NILAI CPL'!$B$5,2,T90&gt;'NILAI CPL'!$B$6,1),0),"")</f>
        <v/>
      </c>
      <c r="AR90" s="2" t="str" cm="1">
        <f t="array" ref="AR90">IF('NILAI CPL'!$B90&lt;&gt;"",IFERROR(_xlfn.IFS(U90&gt;='NILAI CPL'!$B$3,4,U90&gt;='NILAI CPL'!$B$4,3,U90&gt;='NILAI CPL'!$B$5,2,U90&gt;'NILAI CPL'!$B$6,1),0),"")</f>
        <v/>
      </c>
      <c r="AS90" s="2" t="str" cm="1">
        <f t="array" ref="AS90">IF('NILAI CPL'!$B90&lt;&gt;"",IFERROR(_xlfn.IFS(V90&gt;='NILAI CPL'!$B$3,4,V90&gt;='NILAI CPL'!$B$4,3,V90&gt;='NILAI CPL'!$B$5,2,V90&gt;'NILAI CPL'!$B$6,1),0),"")</f>
        <v/>
      </c>
      <c r="AT90" s="2" t="str" cm="1">
        <f t="array" ref="AT90">IF('NILAI CPL'!$B90&lt;&gt;"",IFERROR(_xlfn.IFS(W90&gt;='NILAI CPL'!$B$3,4,W90&gt;='NILAI CPL'!$B$4,3,W90&gt;='NILAI CPL'!$B$5,2,W90&gt;'NILAI CPL'!$B$6,1),0),"")</f>
        <v/>
      </c>
      <c r="AU90" s="2" t="str" cm="1">
        <f t="array" ref="AU90">IF('NILAI CPL'!$B90&lt;&gt;"",IFERROR(_xlfn.IFS(X90&gt;='NILAI CPL'!$B$3,4,X90&gt;='NILAI CPL'!$B$4,3,X90&gt;='NILAI CPL'!$B$5,2,X90&gt;'NILAI CPL'!$B$6,1),0),"")</f>
        <v/>
      </c>
      <c r="AV90" s="2" t="str" cm="1">
        <f t="array" ref="AV90">IF('NILAI CPL'!$B90&lt;&gt;"",IFERROR(_xlfn.IFS(Y90&gt;='NILAI CPL'!$B$3,4,Y90&gt;='NILAI CPL'!$B$4,3,Y90&gt;='NILAI CPL'!$B$5,2,Y90&gt;'NILAI CPL'!$B$6,1),0),"")</f>
        <v/>
      </c>
      <c r="AW90" s="2" t="str" cm="1">
        <f t="array" ref="AW90">IF('NILAI CPL'!$B90&lt;&gt;"",IFERROR(_xlfn.IFS(Z90&gt;='NILAI CPL'!$B$3,4,Z90&gt;='NILAI CPL'!$B$4,3,Z90&gt;='NILAI CPL'!$B$5,2,Z90&gt;'NILAI CPL'!$B$6,1),0),"")</f>
        <v/>
      </c>
      <c r="AX90" s="2" t="str" cm="1">
        <f t="array" ref="AX90">IF('NILAI CPL'!$B90&lt;&gt;"",IFERROR(_xlfn.IFS(AA90&gt;='NILAI CPL'!$B$3,4,AA90&gt;='NILAI CPL'!$B$4,3,AA90&gt;='NILAI CPL'!$B$5,2,AA90&gt;'NILAI CPL'!$B$6,1),0),"")</f>
        <v/>
      </c>
      <c r="AY90" s="2" t="str" cm="1">
        <f t="array" ref="AY90">IF('NILAI CPL'!$B90&lt;&gt;"",IFERROR(_xlfn.IFS(AB90&gt;='NILAI CPL'!$B$3,4,AB90&gt;='NILAI CPL'!$B$4,3,AB90&gt;='NILAI CPL'!$B$5,2,AB90&gt;'NILAI CPL'!$B$6,1),0),"")</f>
        <v/>
      </c>
      <c r="AZ90" s="2" t="str" cm="1">
        <f t="array" ref="AZ90">IF('NILAI CPL'!$B90&lt;&gt;"",IFERROR(_xlfn.IFS(AC90&gt;='NILAI CPL'!$B$3,4,AC90&gt;='NILAI CPL'!$B$4,3,AC90&gt;='NILAI CPL'!$B$5,2,AC90&gt;'NILAI CPL'!$B$6,1),0),"")</f>
        <v/>
      </c>
      <c r="BA90" s="2" t="str" cm="1">
        <f t="array" ref="BA90">IF('NILAI CPL'!$B90&lt;&gt;"",IFERROR(_xlfn.IFS(AD90&gt;='NILAI CPL'!$B$3,4,AD90&gt;='NILAI CPL'!$B$4,3,AD90&gt;='NILAI CPL'!$B$5,2,AD90&gt;'NILAI CPL'!$B$6,1),0),"")</f>
        <v/>
      </c>
      <c r="BB90" s="2" t="str" cm="1">
        <f t="array" ref="BB90">IF('NILAI CPL'!$B90&lt;&gt;"",IFERROR(_xlfn.IFS(AE90&gt;='NILAI CPL'!$B$3,4,AE90&gt;='NILAI CPL'!$B$4,3,AE90&gt;='NILAI CPL'!$B$5,2,AE90&gt;'NILAI CPL'!$B$6,1),0),"")</f>
        <v/>
      </c>
      <c r="BC90" s="2" t="str" cm="1">
        <f t="array" ref="BC90">IF('NILAI CPL'!$B90&lt;&gt;"",IFERROR(_xlfn.IFS(AF90&gt;='NILAI CPL'!$B$3,4,AF90&gt;='NILAI CPL'!$B$4,3,AF90&gt;='NILAI CPL'!$B$5,2,AF90&gt;'NILAI CPL'!$B$6,1),0),"")</f>
        <v/>
      </c>
      <c r="BD90" s="2" t="str" cm="1">
        <f t="array" ref="BD90">IF('NILAI CPL'!$B90&lt;&gt;"",IFERROR(_xlfn.IFS(AG90&gt;='NILAI CPL'!$B$3,4,AG90&gt;='NILAI CPL'!$B$4,3,AG90&gt;='NILAI CPL'!$B$5,2,AG90&gt;'NILAI CPL'!$B$6,1),0),"")</f>
        <v/>
      </c>
      <c r="BE90" s="2" t="str" cm="1">
        <f t="array" ref="BE90">IF('NILAI CPL'!$B90&lt;&gt;"",IFERROR(_xlfn.IFS(AH90&gt;='NILAI CPL'!$B$3,4,AH90&gt;='NILAI CPL'!$B$4,3,AH90&gt;='NILAI CPL'!$B$5,2,AH90&gt;'NILAI CPL'!$B$6,1),0),"")</f>
        <v/>
      </c>
      <c r="BF90" s="2" t="str" cm="1">
        <f t="array" ref="BF90">IF('NILAI CPL'!$B90&lt;&gt;"",IFERROR(_xlfn.IFS(AI90&gt;='NILAI CPL'!$B$3,4,AI90&gt;='NILAI CPL'!$B$4,3,AI90&gt;='NILAI CPL'!$B$5,2,AI90&gt;'NILAI CPL'!$B$6,1),0),"")</f>
        <v/>
      </c>
      <c r="BG90" s="2" t="str" cm="1">
        <f t="array" ref="BG90">IF('NILAI CPL'!$B90&lt;&gt;"",IFERROR(_xlfn.IFS(AJ90&gt;='NILAI CPL'!$B$3,4,AJ90&gt;='NILAI CPL'!$B$4,3,AJ90&gt;='NILAI CPL'!$B$5,2,AJ90&gt;'NILAI CPL'!$B$6,1),0),"")</f>
        <v/>
      </c>
      <c r="BH90" s="2" t="str" cm="1">
        <f t="array" ref="BH90">IF('NILAI CPL'!$B90&lt;&gt;"",IFERROR(_xlfn.IFS(AK90&gt;='NILAI CPL'!$B$3,4,AK90&gt;='NILAI CPL'!$B$4,3,AK90&gt;='NILAI CPL'!$B$5,2,AK90&gt;'NILAI CPL'!$B$6,1),0),"")</f>
        <v/>
      </c>
      <c r="BI90" s="2" t="str" cm="1">
        <f t="array" ref="BI90">IF('NILAI CPL'!$B90&lt;&gt;"",IFERROR(_xlfn.IFS(AL90&gt;='NILAI CPL'!$B$3,4,AL90&gt;='NILAI CPL'!$B$4,3,AL90&gt;='NILAI CPL'!$B$5,2,AL90&gt;'NILAI CPL'!$B$6,1),0),"")</f>
        <v/>
      </c>
      <c r="BJ90" s="2" t="str" cm="1">
        <f t="array" ref="BJ90">IF('NILAI CPL'!$B90&lt;&gt;"",IFERROR(_xlfn.IFS(AM90&gt;='NILAI CPL'!$B$3,4,AM90&gt;='NILAI CPL'!$B$4,3,AM90&gt;='NILAI CPL'!$B$5,2,AM90&gt;'NILAI CPL'!$B$6,1),0),"")</f>
        <v/>
      </c>
      <c r="BK90" s="2" t="str" cm="1">
        <f t="array" ref="BK90">IF('NILAI CPL'!$B90&lt;&gt;"",IFERROR(_xlfn.IFS(AN90&gt;='NILAI CPL'!$B$3,4,AN90&gt;='NILAI CPL'!$B$4,3,AN90&gt;='NILAI CPL'!$B$5,2,AN90&gt;'NILAI CPL'!$B$6,1),0),"")</f>
        <v/>
      </c>
    </row>
    <row r="93" spans="1:63" x14ac:dyDescent="0.2"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</row>
    <row r="94" spans="1:63" x14ac:dyDescent="0.2">
      <c r="B94" s="11" t="s">
        <v>6</v>
      </c>
      <c r="C94" s="11" t="s">
        <v>16</v>
      </c>
      <c r="D94" s="3" t="s">
        <v>79</v>
      </c>
      <c r="E94" s="11" t="s">
        <v>67</v>
      </c>
      <c r="F94" s="11" t="s">
        <v>68</v>
      </c>
      <c r="G94" s="11" t="s">
        <v>69</v>
      </c>
      <c r="H94" s="11" t="s">
        <v>70</v>
      </c>
      <c r="I94" s="11" t="s">
        <v>71</v>
      </c>
      <c r="J94" s="11" t="s">
        <v>72</v>
      </c>
      <c r="K94" s="11" t="s">
        <v>73</v>
      </c>
      <c r="L94" s="11" t="s">
        <v>74</v>
      </c>
      <c r="M94" s="11" t="s">
        <v>75</v>
      </c>
      <c r="N94" s="11" t="s">
        <v>76</v>
      </c>
      <c r="O94" s="11" t="s">
        <v>77</v>
      </c>
      <c r="P94" s="11" t="s">
        <v>78</v>
      </c>
    </row>
    <row r="95" spans="1:63" ht="17" x14ac:dyDescent="0.2">
      <c r="B95" s="55">
        <v>1</v>
      </c>
      <c r="C95" s="5" t="s">
        <v>39</v>
      </c>
      <c r="D95" s="10"/>
      <c r="E95" s="25">
        <v>0</v>
      </c>
      <c r="F95" s="25">
        <v>0</v>
      </c>
      <c r="G95" s="25">
        <v>0</v>
      </c>
      <c r="H95" s="25">
        <v>0</v>
      </c>
      <c r="I95" s="25">
        <v>0</v>
      </c>
      <c r="J95" s="25">
        <v>0</v>
      </c>
      <c r="K95" s="25">
        <v>0</v>
      </c>
      <c r="L95" s="25">
        <v>0</v>
      </c>
      <c r="M95" s="25">
        <v>0</v>
      </c>
      <c r="N95" s="25">
        <v>0</v>
      </c>
      <c r="O95" s="25">
        <v>0</v>
      </c>
      <c r="P95" s="25">
        <v>0</v>
      </c>
    </row>
    <row r="96" spans="1:63" ht="17" x14ac:dyDescent="0.2">
      <c r="B96" s="56"/>
      <c r="C96" s="5" t="s">
        <v>40</v>
      </c>
      <c r="D96" s="10"/>
      <c r="E96" s="25">
        <v>0</v>
      </c>
      <c r="F96" s="25">
        <v>0</v>
      </c>
      <c r="G96" s="25">
        <v>0</v>
      </c>
      <c r="H96" s="25">
        <v>0</v>
      </c>
      <c r="I96" s="25">
        <v>0</v>
      </c>
      <c r="J96" s="25">
        <v>0</v>
      </c>
      <c r="K96" s="25">
        <v>0</v>
      </c>
      <c r="L96" s="25">
        <v>0</v>
      </c>
      <c r="M96" s="25">
        <v>0</v>
      </c>
      <c r="N96" s="25">
        <v>0</v>
      </c>
      <c r="O96" s="25">
        <v>0</v>
      </c>
      <c r="P96" s="25">
        <v>0</v>
      </c>
    </row>
    <row r="97" spans="2:16" ht="17" x14ac:dyDescent="0.2">
      <c r="B97" s="55">
        <v>2</v>
      </c>
      <c r="C97" s="5" t="s">
        <v>41</v>
      </c>
      <c r="D97" s="10"/>
      <c r="E97" s="25">
        <v>0</v>
      </c>
      <c r="F97" s="25">
        <v>0</v>
      </c>
      <c r="G97" s="25">
        <v>0</v>
      </c>
      <c r="H97" s="25">
        <v>0</v>
      </c>
      <c r="I97" s="25">
        <v>0</v>
      </c>
      <c r="J97" s="25">
        <v>0</v>
      </c>
      <c r="K97" s="25">
        <v>0</v>
      </c>
      <c r="L97" s="25">
        <v>0</v>
      </c>
      <c r="M97" s="25">
        <v>0</v>
      </c>
      <c r="N97" s="25">
        <v>0</v>
      </c>
      <c r="O97" s="25">
        <v>0</v>
      </c>
      <c r="P97" s="25">
        <v>0</v>
      </c>
    </row>
    <row r="98" spans="2:16" ht="17" x14ac:dyDescent="0.2">
      <c r="B98" s="57"/>
      <c r="C98" s="5" t="s">
        <v>42</v>
      </c>
      <c r="D98" s="10"/>
      <c r="E98" s="25">
        <v>0</v>
      </c>
      <c r="F98" s="25">
        <v>0</v>
      </c>
      <c r="G98" s="25">
        <v>0</v>
      </c>
      <c r="H98" s="25">
        <v>0</v>
      </c>
      <c r="I98" s="25">
        <v>0</v>
      </c>
      <c r="J98" s="25">
        <v>0</v>
      </c>
      <c r="K98" s="25">
        <v>0</v>
      </c>
      <c r="L98" s="25">
        <v>0</v>
      </c>
      <c r="M98" s="25">
        <v>0</v>
      </c>
      <c r="N98" s="25">
        <v>0</v>
      </c>
      <c r="O98" s="25">
        <v>0</v>
      </c>
      <c r="P98" s="25">
        <v>0</v>
      </c>
    </row>
    <row r="99" spans="2:16" ht="17" x14ac:dyDescent="0.2">
      <c r="B99" s="57"/>
      <c r="C99" s="5" t="s">
        <v>43</v>
      </c>
      <c r="D99" s="10"/>
      <c r="E99" s="25">
        <v>0</v>
      </c>
      <c r="F99" s="25">
        <v>0</v>
      </c>
      <c r="G99" s="25">
        <v>0</v>
      </c>
      <c r="H99" s="25">
        <v>0</v>
      </c>
      <c r="I99" s="25">
        <v>0</v>
      </c>
      <c r="J99" s="25">
        <v>0</v>
      </c>
      <c r="K99" s="25">
        <v>0</v>
      </c>
      <c r="L99" s="25">
        <v>0</v>
      </c>
      <c r="M99" s="25">
        <v>0</v>
      </c>
      <c r="N99" s="25">
        <v>0</v>
      </c>
      <c r="O99" s="25">
        <v>0</v>
      </c>
      <c r="P99" s="25">
        <v>0</v>
      </c>
    </row>
    <row r="100" spans="2:16" ht="17" x14ac:dyDescent="0.2">
      <c r="B100" s="56"/>
      <c r="C100" s="5" t="s">
        <v>44</v>
      </c>
      <c r="D100" s="10"/>
      <c r="E100" s="25">
        <v>0</v>
      </c>
      <c r="F100" s="25">
        <v>0</v>
      </c>
      <c r="G100" s="25">
        <v>0</v>
      </c>
      <c r="H100" s="25">
        <v>0</v>
      </c>
      <c r="I100" s="25">
        <v>0</v>
      </c>
      <c r="J100" s="25">
        <v>0</v>
      </c>
      <c r="K100" s="25">
        <v>0</v>
      </c>
      <c r="L100" s="25">
        <v>0</v>
      </c>
      <c r="M100" s="25">
        <v>0</v>
      </c>
      <c r="N100" s="25">
        <v>0</v>
      </c>
      <c r="O100" s="25">
        <v>0</v>
      </c>
      <c r="P100" s="25">
        <v>0</v>
      </c>
    </row>
    <row r="101" spans="2:16" ht="17" x14ac:dyDescent="0.2">
      <c r="B101" s="55">
        <v>3</v>
      </c>
      <c r="C101" s="5" t="s">
        <v>45</v>
      </c>
      <c r="D101" s="10"/>
      <c r="E101" s="25">
        <v>0</v>
      </c>
      <c r="F101" s="25">
        <v>0</v>
      </c>
      <c r="G101" s="25">
        <v>0</v>
      </c>
      <c r="H101" s="25">
        <v>0</v>
      </c>
      <c r="I101" s="25">
        <v>0</v>
      </c>
      <c r="J101" s="25">
        <v>0</v>
      </c>
      <c r="K101" s="25">
        <v>0</v>
      </c>
      <c r="L101" s="25">
        <v>0</v>
      </c>
      <c r="M101" s="25">
        <v>0</v>
      </c>
      <c r="N101" s="25">
        <v>0</v>
      </c>
      <c r="O101" s="25">
        <v>0</v>
      </c>
      <c r="P101" s="25">
        <v>0</v>
      </c>
    </row>
    <row r="102" spans="2:16" ht="17" x14ac:dyDescent="0.2">
      <c r="B102" s="56"/>
      <c r="C102" s="5" t="s">
        <v>46</v>
      </c>
      <c r="D102" s="10"/>
      <c r="E102" s="25">
        <v>0</v>
      </c>
      <c r="F102" s="25">
        <v>0</v>
      </c>
      <c r="G102" s="25">
        <v>0</v>
      </c>
      <c r="H102" s="25">
        <v>0</v>
      </c>
      <c r="I102" s="25">
        <v>0</v>
      </c>
      <c r="J102" s="25">
        <v>0</v>
      </c>
      <c r="K102" s="25">
        <v>0</v>
      </c>
      <c r="L102" s="25">
        <v>0</v>
      </c>
      <c r="M102" s="25">
        <v>0</v>
      </c>
      <c r="N102" s="25">
        <v>0</v>
      </c>
      <c r="O102" s="25">
        <v>0</v>
      </c>
      <c r="P102" s="25">
        <v>0</v>
      </c>
    </row>
    <row r="103" spans="2:16" ht="17" x14ac:dyDescent="0.2">
      <c r="B103" s="55">
        <v>4</v>
      </c>
      <c r="C103" s="5" t="s">
        <v>47</v>
      </c>
      <c r="D103" s="10"/>
      <c r="E103" s="25">
        <v>0</v>
      </c>
      <c r="F103" s="25">
        <v>0</v>
      </c>
      <c r="G103" s="25">
        <v>0</v>
      </c>
      <c r="H103" s="25">
        <v>0</v>
      </c>
      <c r="I103" s="25">
        <v>0</v>
      </c>
      <c r="J103" s="25">
        <v>0</v>
      </c>
      <c r="K103" s="25">
        <v>0</v>
      </c>
      <c r="L103" s="25">
        <v>0</v>
      </c>
      <c r="M103" s="25">
        <v>0</v>
      </c>
      <c r="N103" s="25">
        <v>0</v>
      </c>
      <c r="O103" s="25">
        <v>0</v>
      </c>
      <c r="P103" s="25">
        <v>0</v>
      </c>
    </row>
    <row r="104" spans="2:16" ht="17" x14ac:dyDescent="0.2">
      <c r="B104" s="56"/>
      <c r="C104" s="5" t="s">
        <v>48</v>
      </c>
      <c r="D104" s="10"/>
      <c r="E104" s="25">
        <v>0</v>
      </c>
      <c r="F104" s="25">
        <v>0</v>
      </c>
      <c r="G104" s="25">
        <v>0</v>
      </c>
      <c r="H104" s="25">
        <v>0</v>
      </c>
      <c r="I104" s="25">
        <v>0</v>
      </c>
      <c r="J104" s="25">
        <v>0</v>
      </c>
      <c r="K104" s="25">
        <v>0</v>
      </c>
      <c r="L104" s="25">
        <v>0</v>
      </c>
      <c r="M104" s="25">
        <v>0</v>
      </c>
      <c r="N104" s="25">
        <v>0</v>
      </c>
      <c r="O104" s="25">
        <v>0</v>
      </c>
      <c r="P104" s="25">
        <v>0</v>
      </c>
    </row>
    <row r="105" spans="2:16" ht="17" x14ac:dyDescent="0.2">
      <c r="B105" s="55">
        <v>5</v>
      </c>
      <c r="C105" s="5" t="s">
        <v>49</v>
      </c>
      <c r="D105" s="10"/>
      <c r="E105" s="25">
        <v>0</v>
      </c>
      <c r="F105" s="25">
        <v>0</v>
      </c>
      <c r="G105" s="25">
        <v>0</v>
      </c>
      <c r="H105" s="25">
        <v>0</v>
      </c>
      <c r="I105" s="25">
        <v>0</v>
      </c>
      <c r="J105" s="25">
        <v>0</v>
      </c>
      <c r="K105" s="25">
        <v>0</v>
      </c>
      <c r="L105" s="25">
        <v>0</v>
      </c>
      <c r="M105" s="25">
        <v>0</v>
      </c>
      <c r="N105" s="25">
        <v>0</v>
      </c>
      <c r="O105" s="25">
        <v>0</v>
      </c>
      <c r="P105" s="25">
        <v>0</v>
      </c>
    </row>
    <row r="106" spans="2:16" ht="17" x14ac:dyDescent="0.2">
      <c r="B106" s="56"/>
      <c r="C106" s="5" t="s">
        <v>50</v>
      </c>
      <c r="D106" s="10"/>
      <c r="E106" s="25">
        <v>0</v>
      </c>
      <c r="F106" s="25">
        <v>0</v>
      </c>
      <c r="G106" s="25">
        <v>0</v>
      </c>
      <c r="H106" s="25">
        <v>0</v>
      </c>
      <c r="I106" s="25">
        <v>0</v>
      </c>
      <c r="J106" s="25">
        <v>0</v>
      </c>
      <c r="K106" s="25">
        <v>0</v>
      </c>
      <c r="L106" s="25">
        <v>0</v>
      </c>
      <c r="M106" s="25">
        <v>0</v>
      </c>
      <c r="N106" s="25">
        <v>0</v>
      </c>
      <c r="O106" s="25">
        <v>0</v>
      </c>
      <c r="P106" s="25">
        <v>0</v>
      </c>
    </row>
    <row r="107" spans="2:16" ht="17" x14ac:dyDescent="0.2">
      <c r="B107" s="55">
        <v>6</v>
      </c>
      <c r="C107" s="5" t="s">
        <v>51</v>
      </c>
      <c r="D107" s="10"/>
      <c r="E107" s="25">
        <v>0</v>
      </c>
      <c r="F107" s="25">
        <v>0</v>
      </c>
      <c r="G107" s="25">
        <v>0</v>
      </c>
      <c r="H107" s="25">
        <v>0</v>
      </c>
      <c r="I107" s="25">
        <v>0</v>
      </c>
      <c r="J107" s="25">
        <v>0</v>
      </c>
      <c r="K107" s="25">
        <v>0</v>
      </c>
      <c r="L107" s="25">
        <v>0</v>
      </c>
      <c r="M107" s="25">
        <v>0</v>
      </c>
      <c r="N107" s="25">
        <v>0</v>
      </c>
      <c r="O107" s="25">
        <v>0</v>
      </c>
      <c r="P107" s="25">
        <v>0</v>
      </c>
    </row>
    <row r="108" spans="2:16" ht="17" x14ac:dyDescent="0.2">
      <c r="B108" s="56"/>
      <c r="C108" s="5" t="s">
        <v>52</v>
      </c>
      <c r="D108" s="10"/>
      <c r="E108" s="25">
        <v>0</v>
      </c>
      <c r="F108" s="25">
        <v>0</v>
      </c>
      <c r="G108" s="25">
        <v>0</v>
      </c>
      <c r="H108" s="25">
        <v>0</v>
      </c>
      <c r="I108" s="25">
        <v>0</v>
      </c>
      <c r="J108" s="25">
        <v>0</v>
      </c>
      <c r="K108" s="25">
        <v>0</v>
      </c>
      <c r="L108" s="25">
        <v>0</v>
      </c>
      <c r="M108" s="25">
        <v>0</v>
      </c>
      <c r="N108" s="25">
        <v>0</v>
      </c>
      <c r="O108" s="25">
        <v>0</v>
      </c>
      <c r="P108" s="25">
        <v>0</v>
      </c>
    </row>
    <row r="109" spans="2:16" ht="17" x14ac:dyDescent="0.2">
      <c r="B109" s="55">
        <v>7</v>
      </c>
      <c r="C109" s="5" t="s">
        <v>53</v>
      </c>
      <c r="D109" s="10"/>
      <c r="E109" s="25">
        <v>0</v>
      </c>
      <c r="F109" s="25">
        <v>0</v>
      </c>
      <c r="G109" s="25">
        <v>0</v>
      </c>
      <c r="H109" s="25">
        <v>0</v>
      </c>
      <c r="I109" s="25">
        <v>0</v>
      </c>
      <c r="J109" s="25">
        <v>0</v>
      </c>
      <c r="K109" s="25">
        <v>0</v>
      </c>
      <c r="L109" s="25">
        <v>0</v>
      </c>
      <c r="M109" s="25">
        <v>0</v>
      </c>
      <c r="N109" s="25">
        <v>0</v>
      </c>
      <c r="O109" s="25">
        <v>0</v>
      </c>
      <c r="P109" s="25">
        <v>0</v>
      </c>
    </row>
    <row r="110" spans="2:16" ht="17" x14ac:dyDescent="0.2">
      <c r="B110" s="56"/>
      <c r="C110" s="5" t="s">
        <v>54</v>
      </c>
      <c r="D110" s="10"/>
      <c r="E110" s="25">
        <v>0</v>
      </c>
      <c r="F110" s="25">
        <v>0</v>
      </c>
      <c r="G110" s="25">
        <v>0</v>
      </c>
      <c r="H110" s="25">
        <v>0</v>
      </c>
      <c r="I110" s="25">
        <v>0</v>
      </c>
      <c r="J110" s="25">
        <v>0</v>
      </c>
      <c r="K110" s="25">
        <v>0</v>
      </c>
      <c r="L110" s="25">
        <v>0</v>
      </c>
      <c r="M110" s="25">
        <v>0</v>
      </c>
      <c r="N110" s="25">
        <v>0</v>
      </c>
      <c r="O110" s="25">
        <v>0</v>
      </c>
      <c r="P110" s="25">
        <v>0</v>
      </c>
    </row>
    <row r="111" spans="2:16" ht="17" x14ac:dyDescent="0.2">
      <c r="B111" s="55">
        <v>8</v>
      </c>
      <c r="C111" s="5" t="s">
        <v>55</v>
      </c>
      <c r="D111" s="10"/>
      <c r="E111" s="25">
        <v>0</v>
      </c>
      <c r="F111" s="25">
        <v>0</v>
      </c>
      <c r="G111" s="25">
        <v>0</v>
      </c>
      <c r="H111" s="25">
        <v>0</v>
      </c>
      <c r="I111" s="25">
        <v>0</v>
      </c>
      <c r="J111" s="25">
        <v>0</v>
      </c>
      <c r="K111" s="25">
        <v>0</v>
      </c>
      <c r="L111" s="25">
        <v>0</v>
      </c>
      <c r="M111" s="25">
        <v>0</v>
      </c>
      <c r="N111" s="25">
        <v>0</v>
      </c>
      <c r="O111" s="25">
        <v>0</v>
      </c>
      <c r="P111" s="25">
        <v>0</v>
      </c>
    </row>
    <row r="112" spans="2:16" ht="17" x14ac:dyDescent="0.2">
      <c r="B112" s="56"/>
      <c r="C112" s="5" t="s">
        <v>56</v>
      </c>
      <c r="D112" s="10"/>
      <c r="E112" s="25">
        <v>0</v>
      </c>
      <c r="F112" s="25">
        <v>0</v>
      </c>
      <c r="G112" s="25">
        <v>0</v>
      </c>
      <c r="H112" s="25">
        <v>0</v>
      </c>
      <c r="I112" s="25">
        <v>0</v>
      </c>
      <c r="J112" s="25">
        <v>0</v>
      </c>
      <c r="K112" s="25">
        <v>0</v>
      </c>
      <c r="L112" s="25">
        <v>0</v>
      </c>
      <c r="M112" s="25">
        <v>0</v>
      </c>
      <c r="N112" s="25">
        <v>0</v>
      </c>
      <c r="O112" s="25">
        <v>0</v>
      </c>
      <c r="P112" s="25">
        <v>0</v>
      </c>
    </row>
    <row r="113" spans="2:16" ht="17" x14ac:dyDescent="0.2">
      <c r="B113" s="55">
        <v>9</v>
      </c>
      <c r="C113" s="5" t="s">
        <v>57</v>
      </c>
      <c r="D113" s="10"/>
      <c r="E113" s="25">
        <v>0</v>
      </c>
      <c r="F113" s="25">
        <v>0</v>
      </c>
      <c r="G113" s="25">
        <v>0</v>
      </c>
      <c r="H113" s="25">
        <v>0</v>
      </c>
      <c r="I113" s="25">
        <v>0</v>
      </c>
      <c r="J113" s="25">
        <v>0</v>
      </c>
      <c r="K113" s="25">
        <v>0</v>
      </c>
      <c r="L113" s="25">
        <v>0</v>
      </c>
      <c r="M113" s="25">
        <v>0</v>
      </c>
      <c r="N113" s="25">
        <v>0</v>
      </c>
      <c r="O113" s="25">
        <v>0</v>
      </c>
      <c r="P113" s="25">
        <v>0</v>
      </c>
    </row>
    <row r="114" spans="2:16" ht="17" x14ac:dyDescent="0.2">
      <c r="B114" s="56"/>
      <c r="C114" s="5" t="s">
        <v>58</v>
      </c>
      <c r="D114" s="10"/>
      <c r="E114" s="25">
        <v>0</v>
      </c>
      <c r="F114" s="25">
        <v>0</v>
      </c>
      <c r="G114" s="25">
        <v>0</v>
      </c>
      <c r="H114" s="25">
        <v>0</v>
      </c>
      <c r="I114" s="25">
        <v>0</v>
      </c>
      <c r="J114" s="25">
        <v>0</v>
      </c>
      <c r="K114" s="25">
        <v>0</v>
      </c>
      <c r="L114" s="25">
        <v>0</v>
      </c>
      <c r="M114" s="25">
        <v>0</v>
      </c>
      <c r="N114" s="25">
        <v>0</v>
      </c>
      <c r="O114" s="25">
        <v>0</v>
      </c>
      <c r="P114" s="25">
        <v>0</v>
      </c>
    </row>
    <row r="115" spans="2:16" ht="17" x14ac:dyDescent="0.2">
      <c r="B115" s="55">
        <v>10</v>
      </c>
      <c r="C115" s="5" t="s">
        <v>59</v>
      </c>
      <c r="D115" s="10"/>
      <c r="E115" s="25">
        <v>0</v>
      </c>
      <c r="F115" s="25">
        <v>0</v>
      </c>
      <c r="G115" s="25">
        <v>0</v>
      </c>
      <c r="H115" s="25">
        <v>0</v>
      </c>
      <c r="I115" s="25">
        <v>0</v>
      </c>
      <c r="J115" s="25">
        <v>0</v>
      </c>
      <c r="K115" s="25">
        <v>0</v>
      </c>
      <c r="L115" s="25">
        <v>0</v>
      </c>
      <c r="M115" s="25">
        <v>0</v>
      </c>
      <c r="N115" s="25">
        <v>0</v>
      </c>
      <c r="O115" s="25">
        <v>0</v>
      </c>
      <c r="P115" s="25">
        <v>0</v>
      </c>
    </row>
    <row r="116" spans="2:16" ht="17" x14ac:dyDescent="0.2">
      <c r="B116" s="56"/>
      <c r="C116" s="5" t="s">
        <v>60</v>
      </c>
      <c r="D116" s="10"/>
      <c r="E116" s="25">
        <v>0</v>
      </c>
      <c r="F116" s="25">
        <v>0</v>
      </c>
      <c r="G116" s="25">
        <v>0</v>
      </c>
      <c r="H116" s="25">
        <v>0</v>
      </c>
      <c r="I116" s="25">
        <v>0</v>
      </c>
      <c r="J116" s="25">
        <v>0</v>
      </c>
      <c r="K116" s="25">
        <v>0</v>
      </c>
      <c r="L116" s="25">
        <v>0</v>
      </c>
      <c r="M116" s="25">
        <v>0</v>
      </c>
      <c r="N116" s="25">
        <v>0</v>
      </c>
      <c r="O116" s="25">
        <v>0</v>
      </c>
      <c r="P116" s="25">
        <v>0</v>
      </c>
    </row>
  </sheetData>
  <mergeCells count="31">
    <mergeCell ref="B111:B112"/>
    <mergeCell ref="B113:B114"/>
    <mergeCell ref="B115:B116"/>
    <mergeCell ref="B97:B100"/>
    <mergeCell ref="B101:B102"/>
    <mergeCell ref="B103:B104"/>
    <mergeCell ref="B105:B106"/>
    <mergeCell ref="B107:B108"/>
    <mergeCell ref="B109:B110"/>
    <mergeCell ref="AG9:AH9"/>
    <mergeCell ref="AI9:AJ9"/>
    <mergeCell ref="AK9:AL9"/>
    <mergeCell ref="AM9:AN9"/>
    <mergeCell ref="E93:P93"/>
    <mergeCell ref="AC9:AD9"/>
    <mergeCell ref="AE9:AF9"/>
    <mergeCell ref="B95:B96"/>
    <mergeCell ref="S9:T9"/>
    <mergeCell ref="U9:X9"/>
    <mergeCell ref="Y9:Z9"/>
    <mergeCell ref="AA9:AB9"/>
    <mergeCell ref="AP9:AQ9"/>
    <mergeCell ref="AR9:AU9"/>
    <mergeCell ref="AV9:AW9"/>
    <mergeCell ref="AX9:AY9"/>
    <mergeCell ref="AZ9:BA9"/>
    <mergeCell ref="BB9:BC9"/>
    <mergeCell ref="BD9:BE9"/>
    <mergeCell ref="BF9:BG9"/>
    <mergeCell ref="BH9:BI9"/>
    <mergeCell ref="BJ9:BK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</vt:lpstr>
      <vt:lpstr>CPL-PI</vt:lpstr>
      <vt:lpstr>NILAI CPL</vt:lpstr>
      <vt:lpstr>NILAI</vt:lpstr>
      <vt:lpstr>TUGAS 1</vt:lpstr>
      <vt:lpstr>TUGAS 2</vt:lpstr>
      <vt:lpstr>TUBES</vt:lpstr>
      <vt:lpstr>UJIAN 1</vt:lpstr>
      <vt:lpstr>UJIAN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Jafar Fadli</dc:creator>
  <cp:lastModifiedBy>Muhammad Jafar Fadli</cp:lastModifiedBy>
  <dcterms:created xsi:type="dcterms:W3CDTF">2026-01-31T14:59:03Z</dcterms:created>
  <dcterms:modified xsi:type="dcterms:W3CDTF">2026-04-08T05:32:36Z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2026-01-31T14:59:05Z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2d1c0388-3c93-41dc-baac-bd1b4c6148aa</vt:lpwstr>
  </property>
  <property fmtid="{D5CDD505-2E9C-101B-9397-08002B2CF9AE}" pid="8" name="MSIP_Label_38b525e5-f3da-4501-8f1e-526b6769fc56_ContentBits">
    <vt:lpwstr>0</vt:lpwstr>
  </property>
  <property fmtid="{D5CDD505-2E9C-101B-9397-08002B2CF9AE}" pid="9" name="MSIP_Label_38b525e5-f3da-4501-8f1e-526b6769fc56_Tag">
    <vt:lpwstr>50, 3, 0, 1</vt:lpwstr>
  </property>
</Properties>
</file>